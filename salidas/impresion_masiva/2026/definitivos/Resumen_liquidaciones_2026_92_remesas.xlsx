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por remesa" sheetId="1" state="visible" r:id="rId1"/>
    <sheet xmlns:r="http://schemas.openxmlformats.org/officeDocument/2006/relationships" name="Detalle acumulado" sheetId="2" state="visible" r:id="rId2"/>
    <sheet xmlns:r="http://schemas.openxmlformats.org/officeDocument/2006/relationships" name="Incidencias" sheetId="3" state="visible" r:id="rId3"/>
    <sheet xmlns:r="http://schemas.openxmlformats.org/officeDocument/2006/relationships" name="Parámetros" sheetId="4" state="visible" r:id="rId4"/>
  </sheets>
  <definedNames>
    <definedName name="_xlnm._FilterDatabase" localSheetId="0" hidden="1">'Resumen por remesa'!$A$1:$W$94</definedName>
    <definedName name="_xlnm._FilterDatabase" localSheetId="1" hidden="1">'Detalle acumulado'!$A$1:$W$422</definedName>
    <definedName name="_xlnm._FilterDatabase" localSheetId="2" hidden="1">'Incidencias'!$A$1:$G$570</definedName>
    <definedName name="_xlnm._FilterDatabase" localSheetId="3" hidden="1">'Parámetros'!$A$1:$B$15</definedName>
  </definedNames>
  <calcPr calcId="124519" fullCalcOnLoad="1"/>
</workbook>
</file>

<file path=xl/styles.xml><?xml version="1.0" encoding="utf-8"?>
<styleSheet xmlns="http://schemas.openxmlformats.org/spreadsheetml/2006/main">
  <numFmts count="8">
    <numFmt numFmtId="164" formatCode="yyyy-mm-dd"/>
    <numFmt numFmtId="165" formatCode="DD/MM/YYYY"/>
    <numFmt numFmtId="166" formatCode="#,##0;-#,##0;-"/>
    <numFmt numFmtId="167" formatCode="#,##0.00;-#,##0.00;-"/>
    <numFmt numFmtId="168" formatCode="0.00000000;-0.00000000;-"/>
    <numFmt numFmtId="169" formatCode="0&quot;%&quot;"/>
    <numFmt numFmtId="170" formatCode="0.00;-0.00;-"/>
    <numFmt numFmtId="171" formatCode="yyyy-mm-dd h:mm:ss"/>
  </numFmts>
  <fonts count="2">
    <font>
      <name val="Calibri"/>
      <family val="2"/>
      <color theme="1"/>
      <sz val="11"/>
      <scheme val="minor"/>
    </font>
    <font>
      <b val="1"/>
    </font>
  </fonts>
  <fills count="4">
    <fill>
      <patternFill/>
    </fill>
    <fill>
      <patternFill patternType="gray125"/>
    </fill>
    <fill>
      <patternFill patternType="solid">
        <fgColor rgb="00C6E0B4"/>
      </patternFill>
    </fill>
    <fill>
      <patternFill patternType="solid">
        <fgColor rgb="00D9EAF7"/>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000000"/>
      </left>
      <right style="thin">
        <color rgb="00000000"/>
      </right>
      <top style="thin">
        <color rgb="00000000"/>
      </top>
      <bottom style="thin">
        <color rgb="00000000"/>
      </bottom>
    </border>
  </borders>
  <cellStyleXfs count="1">
    <xf numFmtId="0" fontId="0" fillId="0" borderId="0"/>
  </cellStyleXfs>
  <cellXfs count="26">
    <xf numFmtId="0" fontId="0" fillId="0" borderId="0" pivotButton="0" quotePrefix="0" xfId="0"/>
    <xf numFmtId="0" fontId="1" fillId="3" borderId="1" applyAlignment="1" pivotButton="0" quotePrefix="0" xfId="0">
      <alignment vertical="top" wrapText="1"/>
    </xf>
    <xf numFmtId="165" fontId="1" fillId="3" borderId="1" applyAlignment="1" pivotButton="0" quotePrefix="0" xfId="0">
      <alignment vertical="top" wrapText="1"/>
    </xf>
    <xf numFmtId="166" fontId="1" fillId="3" borderId="1" applyAlignment="1" pivotButton="0" quotePrefix="0" xfId="0">
      <alignment vertical="top" wrapText="1"/>
    </xf>
    <xf numFmtId="167" fontId="1" fillId="3" borderId="1" applyAlignment="1" pivotButton="0" quotePrefix="0" xfId="0">
      <alignment vertical="top" wrapText="1"/>
    </xf>
    <xf numFmtId="0" fontId="0" fillId="0" borderId="1" applyAlignment="1" pivotButton="0" quotePrefix="0" xfId="0">
      <alignment vertical="top" wrapText="1"/>
    </xf>
    <xf numFmtId="165" fontId="0" fillId="0" borderId="1" applyAlignment="1" pivotButton="0" quotePrefix="0" xfId="0">
      <alignment vertical="top" wrapText="1"/>
    </xf>
    <xf numFmtId="166" fontId="0" fillId="0" borderId="1" applyAlignment="1" pivotButton="0" quotePrefix="0" xfId="0">
      <alignment vertical="top" wrapText="1"/>
    </xf>
    <xf numFmtId="167" fontId="0" fillId="0" borderId="1" applyAlignment="1" pivotButton="0" quotePrefix="0" xfId="0">
      <alignment vertical="top" wrapText="1"/>
    </xf>
    <xf numFmtId="0" fontId="1" fillId="2" borderId="1" applyAlignment="1" pivotButton="0" quotePrefix="0" xfId="0">
      <alignment vertical="top" wrapText="1"/>
    </xf>
    <xf numFmtId="165" fontId="1" fillId="2" borderId="1" applyAlignment="1" pivotButton="0" quotePrefix="0" xfId="0">
      <alignment vertical="top" wrapText="1"/>
    </xf>
    <xf numFmtId="166" fontId="1" fillId="2" borderId="1" applyAlignment="1" pivotButton="0" quotePrefix="0" xfId="0">
      <alignment vertical="top" wrapText="1"/>
    </xf>
    <xf numFmtId="167" fontId="1" fillId="2" borderId="1" applyAlignment="1" pivotButton="0" quotePrefix="0" xfId="0">
      <alignment vertical="top" wrapText="1"/>
    </xf>
    <xf numFmtId="0" fontId="1" fillId="0" borderId="2" applyAlignment="1" pivotButton="0" quotePrefix="0" xfId="0">
      <alignment horizontal="center" vertical="center" wrapText="1"/>
    </xf>
    <xf numFmtId="0" fontId="0" fillId="0" borderId="0" applyAlignment="1" pivotButton="0" quotePrefix="0" xfId="0">
      <alignment vertical="center"/>
    </xf>
    <xf numFmtId="166" fontId="0" fillId="0" borderId="0" applyAlignment="1" pivotButton="0" quotePrefix="0" xfId="0">
      <alignment vertical="center"/>
    </xf>
    <xf numFmtId="167" fontId="0" fillId="0" borderId="0" applyAlignment="1" pivotButton="0" quotePrefix="0" xfId="0">
      <alignment vertical="center"/>
    </xf>
    <xf numFmtId="168" fontId="0" fillId="0" borderId="0" applyAlignment="1" pivotButton="0" quotePrefix="0" xfId="0">
      <alignment vertical="center"/>
    </xf>
    <xf numFmtId="169" fontId="0" fillId="0" borderId="0" applyAlignment="1" pivotButton="0" quotePrefix="0" xfId="0">
      <alignment vertical="center"/>
    </xf>
    <xf numFmtId="170" fontId="0" fillId="0" borderId="0" applyAlignment="1" pivotButton="0" quotePrefix="0" xfId="0">
      <alignment vertical="center"/>
    </xf>
    <xf numFmtId="0" fontId="1" fillId="2" borderId="2" applyAlignment="1" pivotButton="0" quotePrefix="0" xfId="0">
      <alignment vertical="center"/>
    </xf>
    <xf numFmtId="166" fontId="1" fillId="2" borderId="2" applyAlignment="1" pivotButton="0" quotePrefix="0" xfId="0">
      <alignment vertical="center"/>
    </xf>
    <xf numFmtId="167" fontId="1" fillId="2" borderId="2" applyAlignment="1" pivotButton="0" quotePrefix="0" xfId="0">
      <alignment vertical="center"/>
    </xf>
    <xf numFmtId="168" fontId="1" fillId="2" borderId="2" applyAlignment="1" pivotButton="0" quotePrefix="0" xfId="0">
      <alignment vertical="center"/>
    </xf>
    <xf numFmtId="169" fontId="1" fillId="2" borderId="2" applyAlignment="1" pivotButton="0" quotePrefix="0" xfId="0">
      <alignment vertical="center"/>
    </xf>
    <xf numFmtId="170" fontId="1" fillId="2" borderId="2"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4"/>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15" customWidth="1" min="3" max="3"/>
    <col width="15" customWidth="1" min="4" max="4"/>
    <col width="15" customWidth="1" min="5" max="5"/>
    <col width="12" customWidth="1" min="6" max="6"/>
    <col width="18" customWidth="1" min="7" max="7"/>
    <col width="13" customWidth="1" min="8" max="8"/>
    <col width="12" customWidth="1" min="9" max="9"/>
    <col width="15" customWidth="1" min="10" max="10"/>
    <col width="13" customWidth="1" min="11" max="11"/>
    <col width="19" customWidth="1" min="12" max="12"/>
    <col width="13" customWidth="1" min="13" max="13"/>
    <col width="16" customWidth="1" min="14" max="14"/>
    <col width="12" customWidth="1" min="15" max="15"/>
    <col width="12" customWidth="1" min="16" max="16"/>
    <col width="12" customWidth="1" min="17" max="17"/>
    <col width="16" customWidth="1" min="18" max="18"/>
    <col width="13" customWidth="1" min="19" max="19"/>
    <col width="19" customWidth="1" min="20" max="20"/>
    <col width="15" customWidth="1" min="21" max="21"/>
    <col width="12" customWidth="1" min="22" max="22"/>
    <col width="45" customWidth="1" min="23" max="23"/>
  </cols>
  <sheetData>
    <row r="1">
      <c r="A1" s="1" t="inlineStr">
        <is>
          <t>Id Remesa</t>
        </is>
      </c>
      <c r="B1" s="1" t="inlineStr">
        <is>
          <t>Remesa</t>
        </is>
      </c>
      <c r="C1" s="2" t="inlineStr">
        <is>
          <t>Fecha de pago</t>
        </is>
      </c>
      <c r="D1" s="2" t="inlineStr">
        <is>
          <t>Periodo desde</t>
        </is>
      </c>
      <c r="E1" s="2" t="inlineStr">
        <is>
          <t>Periodo hasta</t>
        </is>
      </c>
      <c r="F1" s="1" t="inlineStr">
        <is>
          <t>Categoría</t>
        </is>
      </c>
      <c r="G1" s="1" t="inlineStr">
        <is>
          <t>Tipo liquidación</t>
        </is>
      </c>
      <c r="H1" s="3" t="inlineStr">
        <is>
          <t>Nº entregas</t>
        </is>
      </c>
      <c r="I1" s="3" t="inlineStr">
        <is>
          <t>Nº socios</t>
        </is>
      </c>
      <c r="J1" s="3" t="inlineStr">
        <is>
          <t>Nº variedades</t>
        </is>
      </c>
      <c r="K1" s="3" t="inlineStr">
        <is>
          <t>Kilos netos</t>
        </is>
      </c>
      <c r="L1" s="4" t="inlineStr">
        <is>
          <t>Importe comercial</t>
        </is>
      </c>
      <c r="M1" s="4" t="inlineStr">
        <is>
          <t>Recolección</t>
        </is>
      </c>
      <c r="N1" s="4" t="inlineStr">
        <is>
          <t>Calidad</t>
        </is>
      </c>
      <c r="O1" s="4" t="inlineStr">
        <is>
          <t>Transporte</t>
        </is>
      </c>
      <c r="P1" s="4" t="inlineStr">
        <is>
          <t>GlobalGAP</t>
        </is>
      </c>
      <c r="Q1" s="4" t="inlineStr">
        <is>
          <t>Cuota Ha</t>
        </is>
      </c>
      <c r="R1" s="4" t="inlineStr">
        <is>
          <t>Base imponible</t>
        </is>
      </c>
      <c r="S1" s="4" t="inlineStr">
        <is>
          <t>Importe IVA</t>
        </is>
      </c>
      <c r="T1" s="4" t="inlineStr">
        <is>
          <t>Importe retención</t>
        </is>
      </c>
      <c r="U1" s="4" t="inlineStr">
        <is>
          <t>Importe total</t>
        </is>
      </c>
      <c r="V1" s="1" t="inlineStr">
        <is>
          <t>Estado</t>
        </is>
      </c>
      <c r="W1" s="1" t="inlineStr">
        <is>
          <t>Carpeta de salida</t>
        </is>
      </c>
    </row>
    <row r="2">
      <c r="A2" s="5" t="n">
        <v>2197</v>
      </c>
      <c r="B2" s="5" t="inlineStr">
        <is>
          <t>NAVEL TEMPRANA sem1</t>
        </is>
      </c>
      <c r="C2" s="6" t="n">
        <v>46250</v>
      </c>
      <c r="D2" s="6" t="n">
        <v>45951</v>
      </c>
      <c r="E2" s="6" t="n">
        <v>45957</v>
      </c>
      <c r="F2" s="5" t="inlineStr">
        <is>
          <t>NORMAL</t>
        </is>
      </c>
      <c r="G2" s="5" t="inlineStr">
        <is>
          <t>Final</t>
        </is>
      </c>
      <c r="H2" s="7" t="n">
        <v>47</v>
      </c>
      <c r="I2" s="7" t="n">
        <v>6</v>
      </c>
      <c r="J2" s="7" t="n">
        <v>2</v>
      </c>
      <c r="K2" s="7" t="n">
        <v>508371</v>
      </c>
      <c r="L2" s="8" t="n">
        <v>182184.91</v>
      </c>
      <c r="M2" s="8" t="n">
        <v>35350.26</v>
      </c>
      <c r="N2" s="8" t="n">
        <v>0</v>
      </c>
      <c r="O2" s="8" t="n">
        <v>1376.73</v>
      </c>
      <c r="P2" s="8" t="n">
        <v>1458.43</v>
      </c>
      <c r="Q2" s="8" t="n">
        <v>3011.87</v>
      </c>
      <c r="R2" s="8" t="n">
        <v>157812.71</v>
      </c>
      <c r="S2" s="8" t="n">
        <v>18268.76</v>
      </c>
      <c r="T2" s="8" t="n">
        <v>3347.75</v>
      </c>
      <c r="U2" s="8" t="n">
        <v>172733.7</v>
      </c>
      <c r="V2" s="5" t="inlineStr">
        <is>
          <t>SUCCESS</t>
        </is>
      </c>
      <c r="W2" s="5" t="inlineStr">
        <is>
          <t>C:\Liquidaciones\salidas\remesas\2026\CITRICOS\NAVEL_TEMPRANA_sem1</t>
        </is>
      </c>
    </row>
    <row r="3">
      <c r="A3" s="5" t="n">
        <v>2198</v>
      </c>
      <c r="B3" s="5" t="inlineStr">
        <is>
          <t>NAVEL TEMPRANA sem2</t>
        </is>
      </c>
      <c r="C3" s="6" t="n">
        <v>46251</v>
      </c>
      <c r="D3" s="6" t="n">
        <v>45958</v>
      </c>
      <c r="E3" s="6" t="n">
        <v>45964</v>
      </c>
      <c r="F3" s="5" t="inlineStr">
        <is>
          <t>NORMAL</t>
        </is>
      </c>
      <c r="G3" s="5" t="inlineStr">
        <is>
          <t>Final</t>
        </is>
      </c>
      <c r="H3" s="7" t="n">
        <v>26</v>
      </c>
      <c r="I3" s="7" t="n">
        <v>6</v>
      </c>
      <c r="J3" s="7" t="n">
        <v>1</v>
      </c>
      <c r="K3" s="7" t="n">
        <v>238823</v>
      </c>
      <c r="L3" s="8" t="n">
        <v>85102.21000000001</v>
      </c>
      <c r="M3" s="8" t="n">
        <v>16101.86</v>
      </c>
      <c r="N3" s="8" t="n">
        <v>0</v>
      </c>
      <c r="O3" s="8" t="n">
        <v>115.89</v>
      </c>
      <c r="P3" s="8" t="n">
        <v>1833.65</v>
      </c>
      <c r="Q3" s="8" t="n">
        <v>1373.71</v>
      </c>
      <c r="R3" s="8" t="n">
        <v>74260.28</v>
      </c>
      <c r="S3" s="8" t="n">
        <v>8911.24</v>
      </c>
      <c r="T3" s="8" t="n">
        <v>1663.44</v>
      </c>
      <c r="U3" s="8" t="n">
        <v>81508.08</v>
      </c>
      <c r="V3" s="5" t="inlineStr">
        <is>
          <t>SUCCESS</t>
        </is>
      </c>
      <c r="W3" s="5" t="inlineStr">
        <is>
          <t>C:\Liquidaciones\salidas\remesas\2026\CITRICOS\NAVEL_TEMPRANA_sem2</t>
        </is>
      </c>
    </row>
    <row r="4">
      <c r="A4" s="5" t="n">
        <v>2199</v>
      </c>
      <c r="B4" s="5" t="inlineStr">
        <is>
          <t>NAVEL TEMPRANA sem 3</t>
        </is>
      </c>
      <c r="C4" s="6" t="n">
        <v>46252</v>
      </c>
      <c r="D4" s="6" t="n">
        <v>45965</v>
      </c>
      <c r="E4" s="6" t="n">
        <v>45971</v>
      </c>
      <c r="F4" s="5" t="inlineStr">
        <is>
          <t>NORMAL</t>
        </is>
      </c>
      <c r="G4" s="5" t="inlineStr">
        <is>
          <t>Final</t>
        </is>
      </c>
      <c r="H4" s="7" t="n">
        <v>43</v>
      </c>
      <c r="I4" s="7" t="n">
        <v>7</v>
      </c>
      <c r="J4" s="7" t="n">
        <v>1</v>
      </c>
      <c r="K4" s="7" t="n">
        <v>345464</v>
      </c>
      <c r="L4" s="8" t="n">
        <v>121425.1</v>
      </c>
      <c r="M4" s="8" t="n">
        <v>22742.82</v>
      </c>
      <c r="N4" s="8" t="n">
        <v>0</v>
      </c>
      <c r="O4" s="8" t="n">
        <v>517.62</v>
      </c>
      <c r="P4" s="8" t="n">
        <v>3317.71</v>
      </c>
      <c r="Q4" s="8" t="n">
        <v>2401.32</v>
      </c>
      <c r="R4" s="8" t="n">
        <v>106658.33</v>
      </c>
      <c r="S4" s="8" t="n">
        <v>12799</v>
      </c>
      <c r="T4" s="8" t="n">
        <v>2389.15</v>
      </c>
      <c r="U4" s="8" t="n">
        <v>117068.18</v>
      </c>
      <c r="V4" s="5" t="inlineStr">
        <is>
          <t>SUCCESS</t>
        </is>
      </c>
      <c r="W4" s="5" t="inlineStr">
        <is>
          <t>C:\Liquidaciones\salidas\remesas\2026\CITRICOS\NAVEL_TEMPRANA_sem_3</t>
        </is>
      </c>
    </row>
    <row r="5">
      <c r="A5" s="5" t="n">
        <v>2200</v>
      </c>
      <c r="B5" s="5" t="inlineStr">
        <is>
          <t>NAVEL TEMPRANA sem 4 y +</t>
        </is>
      </c>
      <c r="C5" s="6" t="n">
        <v>46253</v>
      </c>
      <c r="D5" s="6" t="n">
        <v>45972</v>
      </c>
      <c r="E5" s="6" t="n">
        <v>46056</v>
      </c>
      <c r="F5" s="5" t="inlineStr">
        <is>
          <t>NORMAL</t>
        </is>
      </c>
      <c r="G5" s="5" t="inlineStr">
        <is>
          <t>Final</t>
        </is>
      </c>
      <c r="H5" s="7" t="n">
        <v>222</v>
      </c>
      <c r="I5" s="7" t="n">
        <v>49</v>
      </c>
      <c r="J5" s="7" t="n">
        <v>3</v>
      </c>
      <c r="K5" s="7" t="n">
        <v>2069695</v>
      </c>
      <c r="L5" s="8" t="n">
        <v>739134.16</v>
      </c>
      <c r="M5" s="8" t="n">
        <v>127722.82</v>
      </c>
      <c r="N5" s="8" t="n">
        <v>89.5400175</v>
      </c>
      <c r="O5" s="8" t="n">
        <v>3037.67</v>
      </c>
      <c r="P5" s="8" t="n">
        <v>9956.129999999999</v>
      </c>
      <c r="Q5" s="8" t="n">
        <v>14159.44</v>
      </c>
      <c r="R5" s="8" t="n">
        <v>655408.59</v>
      </c>
      <c r="S5" s="8" t="n">
        <v>78649.03</v>
      </c>
      <c r="T5" s="8" t="n">
        <v>14681.16</v>
      </c>
      <c r="U5" s="8" t="n">
        <v>719376.48</v>
      </c>
      <c r="V5" s="5" t="inlineStr">
        <is>
          <t>SUCCESS</t>
        </is>
      </c>
      <c r="W5" s="5" t="inlineStr">
        <is>
          <t>C:\Liquidaciones\salidas\remesas\2026\CITRICOS\NAVEL_TEMPRANA_sem_4_y_+</t>
        </is>
      </c>
    </row>
    <row r="6">
      <c r="A6" s="5" t="n">
        <v>2202</v>
      </c>
      <c r="B6" s="5" t="inlineStr">
        <is>
          <t>NAVEL TEMPRANA sem ultim</t>
        </is>
      </c>
      <c r="C6" s="6" t="n">
        <v>46256</v>
      </c>
      <c r="D6" s="6" t="n">
        <v>46071</v>
      </c>
      <c r="E6" s="6" t="n">
        <v>46077</v>
      </c>
      <c r="F6" s="5" t="inlineStr">
        <is>
          <t>NORMAL</t>
        </is>
      </c>
      <c r="G6" s="5" t="inlineStr">
        <is>
          <t>Final</t>
        </is>
      </c>
      <c r="H6" s="7" t="n">
        <v>3</v>
      </c>
      <c r="I6" s="7" t="n">
        <v>1</v>
      </c>
      <c r="J6" s="7" t="n">
        <v>1</v>
      </c>
      <c r="K6" s="7" t="n">
        <v>21754</v>
      </c>
      <c r="L6" s="8" t="n">
        <v>7241.43</v>
      </c>
      <c r="M6" s="8" t="n">
        <v>1359.63</v>
      </c>
      <c r="N6" s="8" t="n">
        <v>0</v>
      </c>
      <c r="O6" s="8" t="n">
        <v>0</v>
      </c>
      <c r="P6" s="8" t="n">
        <v>305.95</v>
      </c>
      <c r="Q6" s="8" t="n">
        <v>215.73</v>
      </c>
      <c r="R6" s="8" t="n">
        <v>6567.27</v>
      </c>
      <c r="S6" s="8" t="n">
        <v>788.0700000000001</v>
      </c>
      <c r="T6" s="8" t="n">
        <v>147.11</v>
      </c>
      <c r="U6" s="8" t="n">
        <v>7208.24</v>
      </c>
      <c r="V6" s="5" t="inlineStr">
        <is>
          <t>SUCCESS</t>
        </is>
      </c>
      <c r="W6" s="5" t="inlineStr">
        <is>
          <t>C:\Liquidaciones\salidas\remesas\2026\CITRICOS\NAVEL_TEMPRANA_sem_ultim</t>
        </is>
      </c>
    </row>
    <row r="7">
      <c r="A7" s="5" t="n">
        <v>2203</v>
      </c>
      <c r="B7" s="5" t="inlineStr">
        <is>
          <t>BLANCA TEMPRANA sem2</t>
        </is>
      </c>
      <c r="C7" s="6" t="n">
        <v>46258</v>
      </c>
      <c r="D7" s="6" t="n">
        <v>45988</v>
      </c>
      <c r="E7" s="6" t="n">
        <v>45994</v>
      </c>
      <c r="F7" s="5" t="inlineStr">
        <is>
          <t>NORMAL</t>
        </is>
      </c>
      <c r="G7" s="5" t="inlineStr">
        <is>
          <t>Final</t>
        </is>
      </c>
      <c r="H7" s="7" t="n">
        <v>32</v>
      </c>
      <c r="I7" s="7" t="n">
        <v>4</v>
      </c>
      <c r="J7" s="7" t="n">
        <v>1</v>
      </c>
      <c r="K7" s="7" t="n">
        <v>278865</v>
      </c>
      <c r="L7" s="8" t="n">
        <v>91089.53</v>
      </c>
      <c r="M7" s="8" t="n">
        <v>20077.71</v>
      </c>
      <c r="N7" s="8" t="n">
        <v>0</v>
      </c>
      <c r="O7" s="8" t="n">
        <v>0</v>
      </c>
      <c r="P7" s="8" t="n">
        <v>1767.87</v>
      </c>
      <c r="Q7" s="8" t="n">
        <v>1714.32</v>
      </c>
      <c r="R7" s="8" t="n">
        <v>79380.31</v>
      </c>
      <c r="S7" s="8" t="n">
        <v>9525.629999999999</v>
      </c>
      <c r="T7" s="8" t="n">
        <v>1778.11</v>
      </c>
      <c r="U7" s="8" t="n">
        <v>87127.82000000001</v>
      </c>
      <c r="V7" s="5" t="inlineStr">
        <is>
          <t>SUCCESS</t>
        </is>
      </c>
      <c r="W7" s="5" t="inlineStr">
        <is>
          <t>C:\Liquidaciones\salidas\remesas\2026\CITRICOS\BLANCA_TEMPRANA_sem2</t>
        </is>
      </c>
    </row>
    <row r="8">
      <c r="A8" s="5" t="n">
        <v>2204</v>
      </c>
      <c r="B8" s="5" t="inlineStr">
        <is>
          <t>NAVEL TARDIA</t>
        </is>
      </c>
      <c r="C8" s="6" t="n">
        <v>46264</v>
      </c>
      <c r="D8" s="6" t="n">
        <v>46041</v>
      </c>
      <c r="E8" s="6" t="n">
        <v>46102</v>
      </c>
      <c r="F8" s="5" t="inlineStr">
        <is>
          <t>NORMAL</t>
        </is>
      </c>
      <c r="G8" s="5" t="inlineStr">
        <is>
          <t>Final</t>
        </is>
      </c>
      <c r="H8" s="7" t="n">
        <v>162</v>
      </c>
      <c r="I8" s="7" t="n">
        <v>27</v>
      </c>
      <c r="J8" s="7" t="n">
        <v>4</v>
      </c>
      <c r="K8" s="7" t="n">
        <v>1698018</v>
      </c>
      <c r="L8" s="8" t="n">
        <v>670432.83</v>
      </c>
      <c r="M8" s="8" t="n">
        <v>95974.3</v>
      </c>
      <c r="N8" s="8" t="n">
        <v>0</v>
      </c>
      <c r="O8" s="8" t="n">
        <v>3041.8</v>
      </c>
      <c r="P8" s="8" t="n">
        <v>9704.299999999999</v>
      </c>
      <c r="Q8" s="8" t="n">
        <v>15737.24</v>
      </c>
      <c r="R8" s="8" t="n">
        <v>615457.51</v>
      </c>
      <c r="S8" s="8" t="n">
        <v>73830.56</v>
      </c>
      <c r="T8" s="8" t="n">
        <v>13779.43</v>
      </c>
      <c r="U8" s="8" t="n">
        <v>675508.63</v>
      </c>
      <c r="V8" s="5" t="inlineStr">
        <is>
          <t>SUCCESS</t>
        </is>
      </c>
      <c r="W8" s="5" t="inlineStr">
        <is>
          <t>C:\Liquidaciones\salidas\remesas\2026\CITRICOS\NAVEL_TARDIA</t>
        </is>
      </c>
    </row>
    <row r="9">
      <c r="A9" s="5" t="n">
        <v>2205</v>
      </c>
      <c r="B9" s="5" t="inlineStr">
        <is>
          <t>BLANCA TARDIA</t>
        </is>
      </c>
      <c r="C9" s="6" t="n">
        <v>46265</v>
      </c>
      <c r="D9" s="6" t="n">
        <v>46111</v>
      </c>
      <c r="E9" s="6" t="n">
        <v>46134</v>
      </c>
      <c r="F9" s="5" t="inlineStr">
        <is>
          <t>NORMAL</t>
        </is>
      </c>
      <c r="G9" s="5" t="inlineStr">
        <is>
          <t>Final</t>
        </is>
      </c>
      <c r="H9" s="7" t="n">
        <v>66</v>
      </c>
      <c r="I9" s="7" t="n">
        <v>12</v>
      </c>
      <c r="J9" s="7" t="n">
        <v>3</v>
      </c>
      <c r="K9" s="7" t="n">
        <v>931935</v>
      </c>
      <c r="L9" s="8" t="n">
        <v>346943.26</v>
      </c>
      <c r="M9" s="8" t="n">
        <v>66956.85000000001</v>
      </c>
      <c r="N9" s="8" t="n">
        <v>0</v>
      </c>
      <c r="O9" s="8" t="n">
        <v>795.25</v>
      </c>
      <c r="P9" s="8" t="n">
        <v>2460.87</v>
      </c>
      <c r="Q9" s="8" t="n">
        <v>7851.2</v>
      </c>
      <c r="R9" s="8" t="n">
        <v>293374.1</v>
      </c>
      <c r="S9" s="8" t="n">
        <v>32257</v>
      </c>
      <c r="T9" s="8" t="n">
        <v>5746.17</v>
      </c>
      <c r="U9" s="8" t="n">
        <v>319884.94</v>
      </c>
      <c r="V9" s="5" t="inlineStr">
        <is>
          <t>SUCCESS</t>
        </is>
      </c>
      <c r="W9" s="5" t="inlineStr">
        <is>
          <t>C:\Liquidaciones\salidas\remesas\2026\CITRICOS\BLANCA_TARDIA</t>
        </is>
      </c>
    </row>
    <row r="10">
      <c r="A10" s="5" t="n">
        <v>2206</v>
      </c>
      <c r="B10" s="5" t="inlineStr">
        <is>
          <t>BLANCA TEMPRANA sem 3</t>
        </is>
      </c>
      <c r="C10" s="6" t="n">
        <v>46259</v>
      </c>
      <c r="D10" s="6" t="n">
        <v>45995</v>
      </c>
      <c r="E10" s="6" t="n">
        <v>46001</v>
      </c>
      <c r="F10" s="5" t="inlineStr">
        <is>
          <t>NORMAL</t>
        </is>
      </c>
      <c r="G10" s="5" t="inlineStr">
        <is>
          <t>Final</t>
        </is>
      </c>
      <c r="H10" s="7" t="n">
        <v>14</v>
      </c>
      <c r="I10" s="7" t="n">
        <v>6</v>
      </c>
      <c r="J10" s="7" t="n">
        <v>1</v>
      </c>
      <c r="K10" s="7" t="n">
        <v>114667</v>
      </c>
      <c r="L10" s="8" t="n">
        <v>37630.07</v>
      </c>
      <c r="M10" s="8" t="n">
        <v>8256.030000000001</v>
      </c>
      <c r="N10" s="8" t="n">
        <v>0</v>
      </c>
      <c r="O10" s="8" t="n">
        <v>266.62</v>
      </c>
      <c r="P10" s="8" t="n">
        <v>1137.27</v>
      </c>
      <c r="Q10" s="8" t="n">
        <v>908.23</v>
      </c>
      <c r="R10" s="8" t="n">
        <v>32985.74</v>
      </c>
      <c r="S10" s="8" t="n">
        <v>3958.29</v>
      </c>
      <c r="T10" s="8" t="n">
        <v>738.89</v>
      </c>
      <c r="U10" s="8" t="n">
        <v>36205.14</v>
      </c>
      <c r="V10" s="5" t="inlineStr">
        <is>
          <t>SUCCESS</t>
        </is>
      </c>
      <c r="W10" s="5" t="inlineStr">
        <is>
          <t>C:\Liquidaciones\salidas\remesas\2026\CITRICOS\BLANCA_TEMPRANA_sem_3</t>
        </is>
      </c>
    </row>
    <row r="11">
      <c r="A11" s="5" t="n">
        <v>2207</v>
      </c>
      <c r="B11" s="5" t="inlineStr">
        <is>
          <t>BLANCA TEMPRANA sem 4 y +</t>
        </is>
      </c>
      <c r="C11" s="6" t="n">
        <v>46260</v>
      </c>
      <c r="D11" s="6" t="n">
        <v>46002</v>
      </c>
      <c r="E11" s="6" t="n">
        <v>46066</v>
      </c>
      <c r="F11" s="5" t="inlineStr">
        <is>
          <t>NORMAL</t>
        </is>
      </c>
      <c r="G11" s="5" t="inlineStr">
        <is>
          <t>Final</t>
        </is>
      </c>
      <c r="H11" s="7" t="n">
        <v>312</v>
      </c>
      <c r="I11" s="7" t="n">
        <v>34</v>
      </c>
      <c r="J11" s="7" t="n">
        <v>1</v>
      </c>
      <c r="K11" s="7" t="n">
        <v>2704936</v>
      </c>
      <c r="L11" s="8" t="n">
        <v>922661.27</v>
      </c>
      <c r="M11" s="8" t="n">
        <v>189348.35</v>
      </c>
      <c r="N11" s="8" t="n">
        <v>328.139992067</v>
      </c>
      <c r="O11" s="8" t="n">
        <v>7287.4</v>
      </c>
      <c r="P11" s="8" t="n">
        <v>26371.8</v>
      </c>
      <c r="Q11" s="8" t="n">
        <v>19548.7</v>
      </c>
      <c r="R11" s="8" t="n">
        <v>806953.88</v>
      </c>
      <c r="S11" s="8" t="n">
        <v>96834.46000000001</v>
      </c>
      <c r="T11" s="8" t="n">
        <v>18075.75</v>
      </c>
      <c r="U11" s="8" t="n">
        <v>885712.59</v>
      </c>
      <c r="V11" s="5" t="inlineStr">
        <is>
          <t>SUCCESS</t>
        </is>
      </c>
      <c r="W11" s="5" t="inlineStr">
        <is>
          <t>C:\Liquidaciones\salidas\remesas\2026\CITRICOS\BLANCA_TEMPRANA_sem_4_y_+</t>
        </is>
      </c>
    </row>
    <row r="12">
      <c r="A12" s="5" t="n">
        <v>2208</v>
      </c>
      <c r="B12" s="5" t="inlineStr">
        <is>
          <t>BLANCA TEMPRANA sem antep</t>
        </is>
      </c>
      <c r="C12" s="6" t="n">
        <v>46261</v>
      </c>
      <c r="D12" s="6" t="n">
        <v>46067</v>
      </c>
      <c r="E12" s="6" t="n">
        <v>46073</v>
      </c>
      <c r="F12" s="5" t="inlineStr">
        <is>
          <t>NORMAL</t>
        </is>
      </c>
      <c r="G12" s="5" t="inlineStr">
        <is>
          <t>Final</t>
        </is>
      </c>
      <c r="H12" s="7" t="n">
        <v>44</v>
      </c>
      <c r="I12" s="7" t="n">
        <v>10</v>
      </c>
      <c r="J12" s="7" t="n">
        <v>1</v>
      </c>
      <c r="K12" s="7" t="n">
        <v>409282</v>
      </c>
      <c r="L12" s="8" t="n">
        <v>123814.22</v>
      </c>
      <c r="M12" s="8" t="n">
        <v>28763.63</v>
      </c>
      <c r="N12" s="8" t="n">
        <v>3132.47987983</v>
      </c>
      <c r="O12" s="8" t="n">
        <v>24.25</v>
      </c>
      <c r="P12" s="8" t="n">
        <v>3378.1</v>
      </c>
      <c r="Q12" s="8" t="n">
        <v>2878.95</v>
      </c>
      <c r="R12" s="8" t="n">
        <v>110707.82</v>
      </c>
      <c r="S12" s="8" t="n">
        <v>13003.33</v>
      </c>
      <c r="T12" s="8" t="n">
        <v>2474.22</v>
      </c>
      <c r="U12" s="8" t="n">
        <v>121236.91</v>
      </c>
      <c r="V12" s="5" t="inlineStr">
        <is>
          <t>SUCCESS</t>
        </is>
      </c>
      <c r="W12" s="5" t="inlineStr">
        <is>
          <t>C:\Liquidaciones\salidas\remesas\2026\CITRICOS\BLANCA_TEMPRANA_sem_antep</t>
        </is>
      </c>
    </row>
    <row r="13">
      <c r="A13" s="5" t="n">
        <v>2209</v>
      </c>
      <c r="B13" s="5" t="inlineStr">
        <is>
          <t>BLANCA TEMPRANA sem penult</t>
        </is>
      </c>
      <c r="C13" s="6" t="n">
        <v>46262</v>
      </c>
      <c r="D13" s="6" t="n">
        <v>46074</v>
      </c>
      <c r="E13" s="6" t="n">
        <v>46080</v>
      </c>
      <c r="F13" s="5" t="inlineStr">
        <is>
          <t>NORMAL</t>
        </is>
      </c>
      <c r="G13" s="5" t="inlineStr">
        <is>
          <t>Final</t>
        </is>
      </c>
      <c r="H13" s="7" t="n">
        <v>30</v>
      </c>
      <c r="I13" s="7" t="n">
        <v>7</v>
      </c>
      <c r="J13" s="7" t="n">
        <v>1</v>
      </c>
      <c r="K13" s="7" t="n">
        <v>275208</v>
      </c>
      <c r="L13" s="8" t="n">
        <v>79661.89999999999</v>
      </c>
      <c r="M13" s="8" t="n">
        <v>19822.89</v>
      </c>
      <c r="N13" s="8" t="n">
        <v>941.659914004</v>
      </c>
      <c r="O13" s="8" t="n">
        <v>346.44</v>
      </c>
      <c r="P13" s="8" t="n">
        <v>1735.72</v>
      </c>
      <c r="Q13" s="8" t="n">
        <v>2287.78</v>
      </c>
      <c r="R13" s="8" t="n">
        <v>70362.39</v>
      </c>
      <c r="S13" s="8" t="n">
        <v>8443.469999999999</v>
      </c>
      <c r="T13" s="8" t="n">
        <v>1576.11</v>
      </c>
      <c r="U13" s="8" t="n">
        <v>77229.75</v>
      </c>
      <c r="V13" s="5" t="inlineStr">
        <is>
          <t>SUCCESS</t>
        </is>
      </c>
      <c r="W13" s="5" t="inlineStr">
        <is>
          <t>C:\Liquidaciones\salidas\remesas\2026\CITRICOS\BLANCA_TEMPRANA_sem_penult</t>
        </is>
      </c>
    </row>
    <row r="14">
      <c r="A14" s="5" t="n">
        <v>2211</v>
      </c>
      <c r="B14" s="5" t="inlineStr">
        <is>
          <t>BLANCA TEMPRANA sem ultim</t>
        </is>
      </c>
      <c r="C14" s="6" t="n">
        <v>46263</v>
      </c>
      <c r="D14" s="6" t="n">
        <v>46081</v>
      </c>
      <c r="E14" s="6" t="n">
        <v>46087</v>
      </c>
      <c r="F14" s="5" t="inlineStr">
        <is>
          <t>NORMAL</t>
        </is>
      </c>
      <c r="G14" s="5" t="inlineStr">
        <is>
          <t>Final</t>
        </is>
      </c>
      <c r="H14" s="7" t="n">
        <v>20</v>
      </c>
      <c r="I14" s="7" t="n">
        <v>4</v>
      </c>
      <c r="J14" s="7" t="n">
        <v>1</v>
      </c>
      <c r="K14" s="7" t="n">
        <v>169489</v>
      </c>
      <c r="L14" s="8" t="n">
        <v>53639.07</v>
      </c>
      <c r="M14" s="8" t="n">
        <v>6000.85</v>
      </c>
      <c r="N14" s="8" t="n">
        <v>72.57999187999999</v>
      </c>
      <c r="O14" s="8" t="n">
        <v>781.79</v>
      </c>
      <c r="P14" s="8" t="n">
        <v>1654.28</v>
      </c>
      <c r="Q14" s="8" t="n">
        <v>1142.27</v>
      </c>
      <c r="R14" s="8" t="n">
        <v>53971.78</v>
      </c>
      <c r="S14" s="8" t="n">
        <v>6476.62</v>
      </c>
      <c r="T14" s="8" t="n">
        <v>1208.97</v>
      </c>
      <c r="U14" s="8" t="n">
        <v>59239.43</v>
      </c>
      <c r="V14" s="5" t="inlineStr">
        <is>
          <t>SUCCESS</t>
        </is>
      </c>
      <c r="W14" s="5" t="inlineStr">
        <is>
          <t>C:\Liquidaciones\salidas\remesas\2026\CITRICOS\BLANCA_TEMPRANA_sem_ultim</t>
        </is>
      </c>
    </row>
    <row r="15">
      <c r="A15" s="5" t="n">
        <v>2212</v>
      </c>
      <c r="B15" s="5" t="inlineStr">
        <is>
          <t>BLANCA TEMPRANA sem1</t>
        </is>
      </c>
      <c r="C15" s="6" t="n">
        <v>46257</v>
      </c>
      <c r="D15" s="6" t="n">
        <v>45981</v>
      </c>
      <c r="E15" s="6" t="n">
        <v>45987</v>
      </c>
      <c r="F15" s="5" t="inlineStr">
        <is>
          <t>NORMAL</t>
        </is>
      </c>
      <c r="G15" s="5" t="inlineStr">
        <is>
          <t>Final</t>
        </is>
      </c>
      <c r="H15" s="7" t="n">
        <v>16</v>
      </c>
      <c r="I15" s="7" t="n">
        <v>2</v>
      </c>
      <c r="J15" s="7" t="n">
        <v>1</v>
      </c>
      <c r="K15" s="7" t="n">
        <v>166239</v>
      </c>
      <c r="L15" s="8" t="n">
        <v>55542.03</v>
      </c>
      <c r="M15" s="8" t="n">
        <v>11969.21</v>
      </c>
      <c r="N15" s="8" t="n">
        <v>0</v>
      </c>
      <c r="O15" s="8" t="n">
        <v>0</v>
      </c>
      <c r="P15" s="8" t="n">
        <v>619.46</v>
      </c>
      <c r="Q15" s="8" t="n">
        <v>536.54</v>
      </c>
      <c r="R15" s="8" t="n">
        <v>48847.04</v>
      </c>
      <c r="S15" s="8" t="n">
        <v>5861.64</v>
      </c>
      <c r="T15" s="8" t="n">
        <v>1094.18</v>
      </c>
      <c r="U15" s="8" t="n">
        <v>53614.51</v>
      </c>
      <c r="V15" s="5" t="inlineStr">
        <is>
          <t>SUCCESS</t>
        </is>
      </c>
      <c r="W15" s="5" t="inlineStr">
        <is>
          <t>C:\Liquidaciones\salidas\remesas\2026\CITRICOS\BLANCA_TEMPRANA_sem1</t>
        </is>
      </c>
    </row>
    <row r="16">
      <c r="A16" s="5" t="n">
        <v>2326</v>
      </c>
      <c r="B16" s="5" t="inlineStr">
        <is>
          <t>Caracara</t>
        </is>
      </c>
      <c r="C16" s="6" t="n">
        <v>46244</v>
      </c>
      <c r="D16" s="6" t="n">
        <v>45901</v>
      </c>
      <c r="E16" s="6" t="n">
        <v>46265</v>
      </c>
      <c r="F16" s="5" t="inlineStr">
        <is>
          <t>NORMAL</t>
        </is>
      </c>
      <c r="G16" s="5" t="inlineStr">
        <is>
          <t>Final</t>
        </is>
      </c>
      <c r="H16" s="7" t="n">
        <v>5</v>
      </c>
      <c r="I16" s="7" t="n">
        <v>1</v>
      </c>
      <c r="J16" s="7" t="n">
        <v>1</v>
      </c>
      <c r="K16" s="7" t="n">
        <v>14855</v>
      </c>
      <c r="L16" s="8" t="n">
        <v>2997.03</v>
      </c>
      <c r="M16" s="8" t="n">
        <v>950.9400000000001</v>
      </c>
      <c r="N16" s="8" t="n">
        <v>0</v>
      </c>
      <c r="O16" s="8" t="n">
        <v>0</v>
      </c>
      <c r="P16" s="8" t="n">
        <v>0</v>
      </c>
      <c r="Q16" s="8" t="n">
        <v>124.94</v>
      </c>
      <c r="R16" s="8" t="n">
        <v>3677.72</v>
      </c>
      <c r="S16" s="8" t="n">
        <v>441.33</v>
      </c>
      <c r="T16" s="8" t="n">
        <v>82.38</v>
      </c>
      <c r="U16" s="8" t="n">
        <v>4036.67</v>
      </c>
      <c r="V16" s="5" t="inlineStr">
        <is>
          <t>SUCCESS</t>
        </is>
      </c>
      <c r="W16" s="5" t="inlineStr">
        <is>
          <t>C:\Liquidaciones\salidas\remesas\2026\CITRICOS\Caracara</t>
        </is>
      </c>
    </row>
    <row r="17">
      <c r="A17" s="5" t="n">
        <v>2185</v>
      </c>
      <c r="B17" s="5" t="inlineStr">
        <is>
          <t>Tango Semana 5 NORMAL</t>
        </is>
      </c>
      <c r="C17" s="6" t="n">
        <v>46239</v>
      </c>
      <c r="D17" s="6" t="n">
        <v>46048</v>
      </c>
      <c r="E17" s="6" t="n">
        <v>46054</v>
      </c>
      <c r="F17" s="5" t="inlineStr">
        <is>
          <t>NORMAL</t>
        </is>
      </c>
      <c r="G17" s="5" t="inlineStr">
        <is>
          <t>Final</t>
        </is>
      </c>
      <c r="H17" s="7" t="n">
        <v>5</v>
      </c>
      <c r="I17" s="7" t="n">
        <v>1</v>
      </c>
      <c r="J17" s="7" t="n">
        <v>1</v>
      </c>
      <c r="K17" s="7" t="n">
        <v>105845</v>
      </c>
      <c r="L17" s="8" t="n">
        <v>86738.78999999999</v>
      </c>
      <c r="M17" s="8" t="n">
        <v>0</v>
      </c>
      <c r="N17" s="8" t="n">
        <v>0</v>
      </c>
      <c r="O17" s="8" t="n">
        <v>0</v>
      </c>
      <c r="P17" s="8" t="n">
        <v>0</v>
      </c>
      <c r="Q17" s="8" t="n">
        <v>860.59</v>
      </c>
      <c r="R17" s="8" t="n">
        <v>86182.45</v>
      </c>
      <c r="S17" s="8" t="n">
        <v>10341.89</v>
      </c>
      <c r="T17" s="8" t="n">
        <v>1930.49</v>
      </c>
      <c r="U17" s="8" t="n">
        <v>94593.86</v>
      </c>
      <c r="V17" s="5" t="inlineStr">
        <is>
          <t>SUCCESS</t>
        </is>
      </c>
      <c r="W17" s="5" t="inlineStr">
        <is>
          <t>C:\Liquidaciones\salidas\remesas\2026\DIRECTO\Tango_Semana_5_NORMAL</t>
        </is>
      </c>
    </row>
    <row r="18">
      <c r="A18" s="5" t="n">
        <v>2186</v>
      </c>
      <c r="B18" s="5" t="inlineStr">
        <is>
          <t>Tango Semana 6 NORMAL</t>
        </is>
      </c>
      <c r="C18" s="6" t="n">
        <v>46239</v>
      </c>
      <c r="D18" s="6" t="n">
        <v>46055</v>
      </c>
      <c r="E18" s="6" t="n">
        <v>46061</v>
      </c>
      <c r="F18" s="5" t="inlineStr">
        <is>
          <t>NORMAL</t>
        </is>
      </c>
      <c r="G18" s="5" t="inlineStr">
        <is>
          <t>Final</t>
        </is>
      </c>
      <c r="H18" s="7" t="n">
        <v>1</v>
      </c>
      <c r="I18" s="7" t="n">
        <v>1</v>
      </c>
      <c r="J18" s="7" t="n">
        <v>1</v>
      </c>
      <c r="K18" s="7" t="n">
        <v>20120</v>
      </c>
      <c r="L18" s="8" t="n">
        <v>15968.99</v>
      </c>
      <c r="M18" s="8" t="n">
        <v>0</v>
      </c>
      <c r="N18" s="8" t="n">
        <v>0</v>
      </c>
      <c r="O18" s="8" t="n">
        <v>0</v>
      </c>
      <c r="P18" s="8" t="n">
        <v>0</v>
      </c>
      <c r="Q18" s="8" t="n">
        <v>163.59</v>
      </c>
      <c r="R18" s="8" t="n">
        <v>15863.23</v>
      </c>
      <c r="S18" s="8" t="n">
        <v>1903.59</v>
      </c>
      <c r="T18" s="8" t="n">
        <v>355.34</v>
      </c>
      <c r="U18" s="8" t="n">
        <v>17411.48</v>
      </c>
      <c r="V18" s="5" t="inlineStr">
        <is>
          <t>SUCCESS</t>
        </is>
      </c>
      <c r="W18" s="5" t="inlineStr">
        <is>
          <t>C:\Liquidaciones\salidas\remesas\2026\DIRECTO\Tango_Semana_6_NORMAL</t>
        </is>
      </c>
    </row>
    <row r="19">
      <c r="A19" s="5" t="n">
        <v>2267</v>
      </c>
      <c r="B19" s="5" t="inlineStr">
        <is>
          <t>Final ANGELES DURAN (1251) NAVELINA</t>
        </is>
      </c>
      <c r="C19" s="6" t="n">
        <v>46249</v>
      </c>
      <c r="D19" s="6" t="n">
        <v>45901</v>
      </c>
      <c r="E19" s="6" t="n">
        <v>46265</v>
      </c>
      <c r="F19" s="5" t="inlineStr">
        <is>
          <t>NORMAL</t>
        </is>
      </c>
      <c r="G19" s="5" t="inlineStr">
        <is>
          <t>Final</t>
        </is>
      </c>
      <c r="H19" s="7" t="n">
        <v>3</v>
      </c>
      <c r="I19" s="7" t="n">
        <v>1</v>
      </c>
      <c r="J19" s="7" t="n">
        <v>1</v>
      </c>
      <c r="K19" s="7" t="n">
        <v>51468</v>
      </c>
      <c r="L19" s="8" t="n">
        <v>19660.78</v>
      </c>
      <c r="M19" s="8" t="n">
        <v>0</v>
      </c>
      <c r="N19" s="8" t="n">
        <v>0</v>
      </c>
      <c r="O19" s="8" t="n">
        <v>0</v>
      </c>
      <c r="P19" s="8" t="n">
        <v>0</v>
      </c>
      <c r="Q19" s="8" t="n">
        <v>234.65</v>
      </c>
      <c r="R19" s="8" t="n">
        <v>19426.13</v>
      </c>
      <c r="S19" s="8" t="n">
        <v>2331.14</v>
      </c>
      <c r="T19" s="8" t="n">
        <v>435.15</v>
      </c>
      <c r="U19" s="8" t="n">
        <v>21322.12</v>
      </c>
      <c r="V19" s="5" t="inlineStr">
        <is>
          <t>SUCCESS</t>
        </is>
      </c>
      <c r="W19" s="5" t="inlineStr">
        <is>
          <t>C:\Liquidaciones\salidas\remesas\2026\DIRECTO\Final_ANGELES_DURAN_(1251)_NAVELINA</t>
        </is>
      </c>
    </row>
    <row r="20">
      <c r="A20" s="5" t="n">
        <v>2268</v>
      </c>
      <c r="B20" s="5" t="inlineStr">
        <is>
          <t>Final ALVARO HARO (1544) NAVELINA</t>
        </is>
      </c>
      <c r="C20" s="6" t="n">
        <v>46249</v>
      </c>
      <c r="D20" s="6" t="n">
        <v>45901</v>
      </c>
      <c r="E20" s="6" t="n">
        <v>46265</v>
      </c>
      <c r="F20" s="5" t="inlineStr">
        <is>
          <t>NORMAL</t>
        </is>
      </c>
      <c r="G20" s="5" t="inlineStr">
        <is>
          <t>Final</t>
        </is>
      </c>
      <c r="H20" s="7" t="n">
        <v>2</v>
      </c>
      <c r="I20" s="7" t="n">
        <v>1</v>
      </c>
      <c r="J20" s="7" t="n">
        <v>1</v>
      </c>
      <c r="K20" s="7" t="n">
        <v>13962</v>
      </c>
      <c r="L20" s="8" t="n">
        <v>5358.62</v>
      </c>
      <c r="M20" s="8" t="n">
        <v>0</v>
      </c>
      <c r="N20" s="8" t="n">
        <v>0</v>
      </c>
      <c r="O20" s="8" t="n">
        <v>0</v>
      </c>
      <c r="P20" s="8" t="n">
        <v>0</v>
      </c>
      <c r="Q20" s="8" t="n">
        <v>78.55</v>
      </c>
      <c r="R20" s="8" t="n">
        <v>5280.07</v>
      </c>
      <c r="S20" s="8" t="n">
        <v>633.61</v>
      </c>
      <c r="T20" s="8" t="n">
        <v>118.27</v>
      </c>
      <c r="U20" s="8" t="n">
        <v>5795.4</v>
      </c>
      <c r="V20" s="5" t="inlineStr">
        <is>
          <t>SUCCESS</t>
        </is>
      </c>
      <c r="W20" s="5" t="inlineStr">
        <is>
          <t>C:\Liquidaciones\salidas\remesas\2026\DIRECTO\Final_ALVARO_HARO_(1544)_NAVELINA</t>
        </is>
      </c>
    </row>
    <row r="21">
      <c r="A21" s="5" t="n">
        <v>2269</v>
      </c>
      <c r="B21" s="5" t="inlineStr">
        <is>
          <t>Final JUAN MARTINEZ LOPEZ DE ROZAS (1429) NAVELINA</t>
        </is>
      </c>
      <c r="C21" s="6" t="n">
        <v>46249</v>
      </c>
      <c r="D21" s="6" t="n">
        <v>45901</v>
      </c>
      <c r="E21" s="6" t="n">
        <v>46265</v>
      </c>
      <c r="F21" s="5" t="inlineStr">
        <is>
          <t>NORMAL</t>
        </is>
      </c>
      <c r="G21" s="5" t="inlineStr">
        <is>
          <t>Final</t>
        </is>
      </c>
      <c r="H21" s="7" t="n">
        <v>4</v>
      </c>
      <c r="I21" s="7" t="n">
        <v>1</v>
      </c>
      <c r="J21" s="7" t="n">
        <v>1</v>
      </c>
      <c r="K21" s="7" t="n">
        <v>76460</v>
      </c>
      <c r="L21" s="8" t="n">
        <v>28290.2</v>
      </c>
      <c r="M21" s="8" t="n">
        <v>0</v>
      </c>
      <c r="N21" s="8" t="n">
        <v>0</v>
      </c>
      <c r="O21" s="8" t="n">
        <v>0</v>
      </c>
      <c r="P21" s="8" t="n">
        <v>0</v>
      </c>
      <c r="Q21" s="8" t="n">
        <v>758.24</v>
      </c>
      <c r="R21" s="8" t="n">
        <v>27531.96</v>
      </c>
      <c r="S21" s="8" t="n">
        <v>3303.84</v>
      </c>
      <c r="T21" s="8" t="n">
        <v>616.72</v>
      </c>
      <c r="U21" s="8" t="n">
        <v>30219.08</v>
      </c>
      <c r="V21" s="5" t="inlineStr">
        <is>
          <t>SUCCESS</t>
        </is>
      </c>
      <c r="W21" s="5" t="inlineStr">
        <is>
          <t>C:\Liquidaciones\salidas\remesas\2026\DIRECTO\Final_JUAN_MARTINEZ_LOPEZ_DE_ROZAS_(1429)_NAVELINA</t>
        </is>
      </c>
    </row>
    <row r="22">
      <c r="A22" s="5" t="n">
        <v>2270</v>
      </c>
      <c r="B22" s="5" t="inlineStr">
        <is>
          <t>Final J. A. RODRIGUEZ MEJIAS (1523) FUKUMOTO</t>
        </is>
      </c>
      <c r="C22" s="6" t="n">
        <v>46249</v>
      </c>
      <c r="D22" s="6" t="n">
        <v>45901</v>
      </c>
      <c r="E22" s="6" t="n">
        <v>46265</v>
      </c>
      <c r="F22" s="5" t="inlineStr">
        <is>
          <t>NORMAL</t>
        </is>
      </c>
      <c r="G22" s="5" t="inlineStr">
        <is>
          <t>Final</t>
        </is>
      </c>
      <c r="H22" s="7" t="n">
        <v>3</v>
      </c>
      <c r="I22" s="7" t="n">
        <v>1</v>
      </c>
      <c r="J22" s="7" t="n">
        <v>1</v>
      </c>
      <c r="K22" s="7" t="n">
        <v>60605</v>
      </c>
      <c r="L22" s="8" t="n">
        <v>21939.01</v>
      </c>
      <c r="M22" s="8" t="n">
        <v>0</v>
      </c>
      <c r="N22" s="8" t="n">
        <v>0</v>
      </c>
      <c r="O22" s="8" t="n">
        <v>0</v>
      </c>
      <c r="P22" s="8" t="n">
        <v>0</v>
      </c>
      <c r="Q22" s="8" t="n">
        <v>440.33</v>
      </c>
      <c r="R22" s="8" t="n">
        <v>21498.68</v>
      </c>
      <c r="S22" s="8" t="n">
        <v>2579.84</v>
      </c>
      <c r="T22" s="8" t="n">
        <v>481.57</v>
      </c>
      <c r="U22" s="8" t="n">
        <v>23596.95</v>
      </c>
      <c r="V22" s="5" t="inlineStr">
        <is>
          <t>SUCCESS</t>
        </is>
      </c>
      <c r="W22" s="5" t="inlineStr">
        <is>
          <t>C:\Liquidaciones\salidas\remesas\2026\DIRECTO\Final_J._A._RODRIGUEZ_MEJIAS_(1523)_FUKUMOTO</t>
        </is>
      </c>
    </row>
    <row r="23">
      <c r="A23" s="5" t="n">
        <v>2271</v>
      </c>
      <c r="B23" s="5" t="inlineStr">
        <is>
          <t>Final J. A. RODRIGUEZ MEJIAS (1523) POMELOS</t>
        </is>
      </c>
      <c r="C23" s="6" t="n">
        <v>46249</v>
      </c>
      <c r="D23" s="6" t="n">
        <v>45901</v>
      </c>
      <c r="E23" s="6" t="n">
        <v>46265</v>
      </c>
      <c r="F23" s="5" t="inlineStr">
        <is>
          <t>NORMAL</t>
        </is>
      </c>
      <c r="G23" s="5" t="inlineStr">
        <is>
          <t>Final</t>
        </is>
      </c>
      <c r="H23" s="7" t="n">
        <v>5</v>
      </c>
      <c r="I23" s="7" t="n">
        <v>1</v>
      </c>
      <c r="J23" s="7" t="n">
        <v>1</v>
      </c>
      <c r="K23" s="7" t="n">
        <v>71633</v>
      </c>
      <c r="L23" s="8" t="n">
        <v>18963.33</v>
      </c>
      <c r="M23" s="8" t="n">
        <v>4222.58</v>
      </c>
      <c r="N23" s="8" t="n">
        <v>4222.57982053</v>
      </c>
      <c r="O23" s="8" t="n">
        <v>0</v>
      </c>
      <c r="P23" s="8" t="n">
        <v>0</v>
      </c>
      <c r="Q23" s="8" t="n">
        <v>520.46</v>
      </c>
      <c r="R23" s="8" t="n">
        <v>18442.87</v>
      </c>
      <c r="S23" s="8" t="n">
        <v>2213.14</v>
      </c>
      <c r="T23" s="8" t="n">
        <v>413.12</v>
      </c>
      <c r="U23" s="8" t="n">
        <v>20242.89</v>
      </c>
      <c r="V23" s="5" t="inlineStr">
        <is>
          <t>SUCCESS</t>
        </is>
      </c>
      <c r="W23" s="5" t="inlineStr">
        <is>
          <t>C:\Liquidaciones\salidas\remesas\2026\DIRECTO\Final_J._A._RODRIGUEZ_MEJIAS_(1523)_POMELOS</t>
        </is>
      </c>
    </row>
    <row r="24">
      <c r="A24" s="5" t="n">
        <v>2272</v>
      </c>
      <c r="B24" s="5" t="inlineStr">
        <is>
          <t>Final JUAN FRANCISCO BARRERA PERA (1463) NAVELINA</t>
        </is>
      </c>
      <c r="C24" s="6" t="n">
        <v>46249</v>
      </c>
      <c r="D24" s="6" t="n">
        <v>45901</v>
      </c>
      <c r="E24" s="6" t="n">
        <v>46265</v>
      </c>
      <c r="F24" s="5" t="inlineStr">
        <is>
          <t>NORMAL</t>
        </is>
      </c>
      <c r="G24" s="5" t="inlineStr">
        <is>
          <t>Final</t>
        </is>
      </c>
      <c r="H24" s="7" t="n">
        <v>2</v>
      </c>
      <c r="I24" s="7" t="n">
        <v>1</v>
      </c>
      <c r="J24" s="7" t="n">
        <v>1</v>
      </c>
      <c r="K24" s="7" t="n">
        <v>33020</v>
      </c>
      <c r="L24" s="8" t="n">
        <v>11623.04</v>
      </c>
      <c r="M24" s="8" t="n">
        <v>0</v>
      </c>
      <c r="N24" s="8" t="n">
        <v>0</v>
      </c>
      <c r="O24" s="8" t="n">
        <v>0</v>
      </c>
      <c r="P24" s="8" t="n">
        <v>0</v>
      </c>
      <c r="Q24" s="8" t="n">
        <v>380.25</v>
      </c>
      <c r="R24" s="8" t="n">
        <v>11242.79</v>
      </c>
      <c r="S24" s="8" t="n">
        <v>1349.13</v>
      </c>
      <c r="T24" s="8" t="n">
        <v>251.84</v>
      </c>
      <c r="U24" s="8" t="n">
        <v>12340.09</v>
      </c>
      <c r="V24" s="5" t="inlineStr">
        <is>
          <t>SUCCESS</t>
        </is>
      </c>
      <c r="W24" s="5" t="inlineStr">
        <is>
          <t>C:\Liquidaciones\salidas\remesas\2026\DIRECTO\Final_JUAN_FRANCISCO_BARRERA_PERA_(1463)_NAVELINA</t>
        </is>
      </c>
    </row>
    <row r="25">
      <c r="A25" s="5" t="n">
        <v>2273</v>
      </c>
      <c r="B25" s="5" t="inlineStr">
        <is>
          <t>Final M&amp;M (1571) NAVELINA</t>
        </is>
      </c>
      <c r="C25" s="6" t="n">
        <v>46249</v>
      </c>
      <c r="D25" s="6" t="n">
        <v>45901</v>
      </c>
      <c r="E25" s="6" t="n">
        <v>46265</v>
      </c>
      <c r="F25" s="5" t="inlineStr">
        <is>
          <t>NORMAL</t>
        </is>
      </c>
      <c r="G25" s="5" t="inlineStr">
        <is>
          <t>Final</t>
        </is>
      </c>
      <c r="H25" s="7" t="n">
        <v>3</v>
      </c>
      <c r="I25" s="7" t="n">
        <v>1</v>
      </c>
      <c r="J25" s="7" t="n">
        <v>1</v>
      </c>
      <c r="K25" s="7" t="n">
        <v>67030</v>
      </c>
      <c r="L25" s="8" t="n">
        <v>25605.46</v>
      </c>
      <c r="M25" s="8" t="n">
        <v>0</v>
      </c>
      <c r="N25" s="8" t="n">
        <v>0</v>
      </c>
      <c r="O25" s="8" t="n">
        <v>0</v>
      </c>
      <c r="P25" s="8" t="n">
        <v>0</v>
      </c>
      <c r="Q25" s="8" t="n">
        <v>766.35</v>
      </c>
      <c r="R25" s="8" t="n">
        <v>24839.11</v>
      </c>
      <c r="S25" s="8" t="n">
        <v>993.5599999999999</v>
      </c>
      <c r="T25" s="8" t="n">
        <v>0</v>
      </c>
      <c r="U25" s="8" t="n">
        <v>25832.67</v>
      </c>
      <c r="V25" s="5" t="inlineStr">
        <is>
          <t>SUCCESS</t>
        </is>
      </c>
      <c r="W25" s="5" t="inlineStr">
        <is>
          <t>C:\Liquidaciones\salidas\remesas\2026\DIRECTO\Final_M&amp;M_(1571)_NAVELINA</t>
        </is>
      </c>
    </row>
    <row r="26">
      <c r="A26" s="5" t="n">
        <v>2274</v>
      </c>
      <c r="B26" s="5" t="inlineStr">
        <is>
          <t>Final EXP. AGR. ARJONA Y CRESPO (1313) NAVELINA</t>
        </is>
      </c>
      <c r="C26" s="6" t="n">
        <v>46249</v>
      </c>
      <c r="D26" s="6" t="n">
        <v>45901</v>
      </c>
      <c r="E26" s="6" t="n">
        <v>46265</v>
      </c>
      <c r="F26" s="5" t="inlineStr">
        <is>
          <t>NORMAL</t>
        </is>
      </c>
      <c r="G26" s="5" t="inlineStr">
        <is>
          <t>Final</t>
        </is>
      </c>
      <c r="H26" s="7" t="n">
        <v>7</v>
      </c>
      <c r="I26" s="7" t="n">
        <v>1</v>
      </c>
      <c r="J26" s="7" t="n">
        <v>1</v>
      </c>
      <c r="K26" s="7" t="n">
        <v>154682</v>
      </c>
      <c r="L26" s="8" t="n">
        <v>51354.42</v>
      </c>
      <c r="M26" s="8" t="n">
        <v>0</v>
      </c>
      <c r="N26" s="8" t="n">
        <v>0</v>
      </c>
      <c r="O26" s="8" t="n">
        <v>0</v>
      </c>
      <c r="P26" s="8" t="n">
        <v>0</v>
      </c>
      <c r="Q26" s="8" t="n">
        <v>978.02</v>
      </c>
      <c r="R26" s="8" t="n">
        <v>50376.4</v>
      </c>
      <c r="S26" s="8" t="n">
        <v>6045.17</v>
      </c>
      <c r="T26" s="8" t="n">
        <v>1128.43</v>
      </c>
      <c r="U26" s="8" t="n">
        <v>55293.14</v>
      </c>
      <c r="V26" s="5" t="inlineStr">
        <is>
          <t>SUCCESS</t>
        </is>
      </c>
      <c r="W26" s="5" t="inlineStr">
        <is>
          <t>C:\Liquidaciones\salidas\remesas\2026\DIRECTO\Final_EXP._AGR._ARJONA_Y_CRESPO_(1313)_NAVELINA</t>
        </is>
      </c>
    </row>
    <row r="27">
      <c r="A27" s="5" t="n">
        <v>2275</v>
      </c>
      <c r="B27" s="5" t="inlineStr">
        <is>
          <t>Final MATIAS BARRERA (1456) NAVELINA</t>
        </is>
      </c>
      <c r="C27" s="6" t="n">
        <v>46249</v>
      </c>
      <c r="D27" s="6" t="n">
        <v>45901</v>
      </c>
      <c r="E27" s="6" t="n">
        <v>46265</v>
      </c>
      <c r="F27" s="5" t="inlineStr">
        <is>
          <t>NORMAL</t>
        </is>
      </c>
      <c r="G27" s="5" t="inlineStr">
        <is>
          <t>Final</t>
        </is>
      </c>
      <c r="H27" s="7" t="n">
        <v>9</v>
      </c>
      <c r="I27" s="7" t="n">
        <v>1</v>
      </c>
      <c r="J27" s="7" t="n">
        <v>1</v>
      </c>
      <c r="K27" s="7" t="n">
        <v>181742</v>
      </c>
      <c r="L27" s="8" t="n">
        <v>67971.50999999999</v>
      </c>
      <c r="M27" s="8" t="n">
        <v>0</v>
      </c>
      <c r="N27" s="8" t="n">
        <v>0</v>
      </c>
      <c r="O27" s="8" t="n">
        <v>0</v>
      </c>
      <c r="P27" s="8" t="n">
        <v>0</v>
      </c>
      <c r="Q27" s="8" t="n">
        <v>1728.37</v>
      </c>
      <c r="R27" s="8" t="n">
        <v>66243.14</v>
      </c>
      <c r="S27" s="8" t="n">
        <v>7949.18</v>
      </c>
      <c r="T27" s="8" t="n">
        <v>1483.85</v>
      </c>
      <c r="U27" s="8" t="n">
        <v>72708.47</v>
      </c>
      <c r="V27" s="5" t="inlineStr">
        <is>
          <t>SUCCESS</t>
        </is>
      </c>
      <c r="W27" s="5" t="inlineStr">
        <is>
          <t>C:\Liquidaciones\salidas\remesas\2026\DIRECTO\Final_MATIAS_BARRERA_(1456)_NAVELINA</t>
        </is>
      </c>
    </row>
    <row r="28">
      <c r="A28" s="5" t="n">
        <v>2276</v>
      </c>
      <c r="B28" s="5" t="inlineStr">
        <is>
          <t>Final LUIS HINIESTA (1181) NAVELINA</t>
        </is>
      </c>
      <c r="C28" s="6" t="n">
        <v>46249</v>
      </c>
      <c r="D28" s="6" t="n">
        <v>45901</v>
      </c>
      <c r="E28" s="6" t="n">
        <v>46265</v>
      </c>
      <c r="F28" s="5" t="inlineStr">
        <is>
          <t>NORMAL</t>
        </is>
      </c>
      <c r="G28" s="5" t="inlineStr">
        <is>
          <t>Final</t>
        </is>
      </c>
      <c r="H28" s="7" t="n">
        <v>2</v>
      </c>
      <c r="I28" s="7" t="n">
        <v>1</v>
      </c>
      <c r="J28" s="7" t="n">
        <v>1</v>
      </c>
      <c r="K28" s="7" t="n">
        <v>46220</v>
      </c>
      <c r="L28" s="8" t="n">
        <v>14420.64</v>
      </c>
      <c r="M28" s="8" t="n">
        <v>0</v>
      </c>
      <c r="N28" s="8" t="n">
        <v>0</v>
      </c>
      <c r="O28" s="8" t="n">
        <v>0</v>
      </c>
      <c r="P28" s="8" t="n">
        <v>0</v>
      </c>
      <c r="Q28" s="8" t="n">
        <v>598.65</v>
      </c>
      <c r="R28" s="8" t="n">
        <v>13821.99</v>
      </c>
      <c r="S28" s="8" t="n">
        <v>1658.64</v>
      </c>
      <c r="T28" s="8" t="n">
        <v>309.61</v>
      </c>
      <c r="U28" s="8" t="n">
        <v>15171.02</v>
      </c>
      <c r="V28" s="5" t="inlineStr">
        <is>
          <t>SUCCESS</t>
        </is>
      </c>
      <c r="W28" s="5" t="inlineStr">
        <is>
          <t>C:\Liquidaciones\salidas\remesas\2026\DIRECTO\Final_LUIS_HINIESTA_(1181)_NAVELINA</t>
        </is>
      </c>
    </row>
    <row r="29">
      <c r="A29" s="5" t="n">
        <v>2277</v>
      </c>
      <c r="B29" s="5" t="inlineStr">
        <is>
          <t>Final ISABEL MOLINA HIDALGO (1283) NAVEL FOYOS</t>
        </is>
      </c>
      <c r="C29" s="6" t="n">
        <v>46249</v>
      </c>
      <c r="D29" s="6" t="n">
        <v>45901</v>
      </c>
      <c r="E29" s="6" t="n">
        <v>46265</v>
      </c>
      <c r="F29" s="5" t="inlineStr">
        <is>
          <t>NORMAL</t>
        </is>
      </c>
      <c r="G29" s="5" t="inlineStr">
        <is>
          <t>Final</t>
        </is>
      </c>
      <c r="H29" s="7" t="n">
        <v>8</v>
      </c>
      <c r="I29" s="7" t="n">
        <v>1</v>
      </c>
      <c r="J29" s="7" t="n">
        <v>1</v>
      </c>
      <c r="K29" s="7" t="n">
        <v>170966</v>
      </c>
      <c r="L29" s="8" t="n">
        <v>68422.61</v>
      </c>
      <c r="M29" s="8" t="n">
        <v>0</v>
      </c>
      <c r="N29" s="8" t="n">
        <v>0</v>
      </c>
      <c r="O29" s="8" t="n">
        <v>0</v>
      </c>
      <c r="P29" s="8" t="n">
        <v>0</v>
      </c>
      <c r="Q29" s="8" t="n">
        <v>1950.74</v>
      </c>
      <c r="R29" s="8" t="n">
        <v>66471.87</v>
      </c>
      <c r="S29" s="8" t="n">
        <v>7976.62</v>
      </c>
      <c r="T29" s="8" t="n">
        <v>1488.97</v>
      </c>
      <c r="U29" s="8" t="n">
        <v>72959.52</v>
      </c>
      <c r="V29" s="5" t="inlineStr">
        <is>
          <t>SUCCESS</t>
        </is>
      </c>
      <c r="W29" s="5" t="inlineStr">
        <is>
          <t>C:\Liquidaciones\salidas\remesas\2026\DIRECTO\Final_ISABEL_MOLINA_HIDALGO_(1283)_NAVEL_FOYOS</t>
        </is>
      </c>
    </row>
    <row r="30">
      <c r="A30" s="5" t="n">
        <v>2278</v>
      </c>
      <c r="B30" s="5" t="inlineStr">
        <is>
          <t>Final PEDRO JIMENEZ MALDONADO (1500) SALUSTIANAS</t>
        </is>
      </c>
      <c r="C30" s="6" t="n">
        <v>46249</v>
      </c>
      <c r="D30" s="6" t="n">
        <v>45901</v>
      </c>
      <c r="E30" s="6" t="n">
        <v>46265</v>
      </c>
      <c r="F30" s="5" t="inlineStr">
        <is>
          <t>NORMAL</t>
        </is>
      </c>
      <c r="G30" s="5" t="inlineStr">
        <is>
          <t>Final</t>
        </is>
      </c>
      <c r="H30" s="7" t="n">
        <v>6</v>
      </c>
      <c r="I30" s="7" t="n">
        <v>1</v>
      </c>
      <c r="J30" s="7" t="n">
        <v>1</v>
      </c>
      <c r="K30" s="7" t="n">
        <v>109860</v>
      </c>
      <c r="L30" s="8" t="n">
        <v>34276.32</v>
      </c>
      <c r="M30" s="8" t="n">
        <v>0</v>
      </c>
      <c r="N30" s="8" t="n">
        <v>0</v>
      </c>
      <c r="O30" s="8" t="n">
        <v>0</v>
      </c>
      <c r="P30" s="8" t="n">
        <v>0</v>
      </c>
      <c r="Q30" s="8" t="n">
        <v>384.77</v>
      </c>
      <c r="R30" s="8" t="n">
        <v>33891.55</v>
      </c>
      <c r="S30" s="8" t="n">
        <v>4066.99</v>
      </c>
      <c r="T30" s="8" t="n">
        <v>759.17</v>
      </c>
      <c r="U30" s="8" t="n">
        <v>37199.37</v>
      </c>
      <c r="V30" s="5" t="inlineStr">
        <is>
          <t>SUCCESS</t>
        </is>
      </c>
      <c r="W30" s="5" t="inlineStr">
        <is>
          <t>C:\Liquidaciones\salidas\remesas\2026\DIRECTO\Final_PEDRO_JIMENEZ_MALDONADO_(1500)_SALUSTIANAS</t>
        </is>
      </c>
    </row>
    <row r="31">
      <c r="A31" s="5" t="n">
        <v>2279</v>
      </c>
      <c r="B31" s="5" t="inlineStr">
        <is>
          <t>Final YOLANDA CALZADO RUIZ (1516) NEW HALL</t>
        </is>
      </c>
      <c r="C31" s="6" t="n">
        <v>46249</v>
      </c>
      <c r="D31" s="6" t="n">
        <v>45901</v>
      </c>
      <c r="E31" s="6" t="n">
        <v>46265</v>
      </c>
      <c r="F31" s="5" t="inlineStr">
        <is>
          <t>NORMAL</t>
        </is>
      </c>
      <c r="G31" s="5" t="inlineStr">
        <is>
          <t>Final</t>
        </is>
      </c>
      <c r="H31" s="7" t="n">
        <v>7</v>
      </c>
      <c r="I31" s="7" t="n">
        <v>1</v>
      </c>
      <c r="J31" s="7" t="n">
        <v>1</v>
      </c>
      <c r="K31" s="7" t="n">
        <v>83782</v>
      </c>
      <c r="L31" s="8" t="n">
        <v>26139.98</v>
      </c>
      <c r="M31" s="8" t="n">
        <v>0</v>
      </c>
      <c r="N31" s="8" t="n">
        <v>0</v>
      </c>
      <c r="O31" s="8" t="n">
        <v>0</v>
      </c>
      <c r="P31" s="8" t="n">
        <v>0</v>
      </c>
      <c r="Q31" s="8" t="n">
        <v>778.04</v>
      </c>
      <c r="R31" s="8" t="n">
        <v>25361.94</v>
      </c>
      <c r="S31" s="8" t="n">
        <v>3043.43</v>
      </c>
      <c r="T31" s="8" t="n">
        <v>568.11</v>
      </c>
      <c r="U31" s="8" t="n">
        <v>27837.27</v>
      </c>
      <c r="V31" s="5" t="inlineStr">
        <is>
          <t>SUCCESS</t>
        </is>
      </c>
      <c r="W31" s="5" t="inlineStr">
        <is>
          <t>C:\Liquidaciones\salidas\remesas\2026\DIRECTO\Final_YOLANDA_CALZADO_RUIZ_(1516)_NEW_HALL</t>
        </is>
      </c>
    </row>
    <row r="32">
      <c r="A32" s="5" t="n">
        <v>2280</v>
      </c>
      <c r="B32" s="5" t="inlineStr">
        <is>
          <t>Final RURAL PRIME (BERBABE) (1615) LANE LATE</t>
        </is>
      </c>
      <c r="C32" s="6" t="n">
        <v>46249</v>
      </c>
      <c r="D32" s="6" t="n">
        <v>45901</v>
      </c>
      <c r="E32" s="6" t="n">
        <v>46265</v>
      </c>
      <c r="F32" s="5" t="inlineStr">
        <is>
          <t>NORMAL</t>
        </is>
      </c>
      <c r="G32" s="5" t="inlineStr">
        <is>
          <t>Final</t>
        </is>
      </c>
      <c r="H32" s="7" t="n">
        <v>8</v>
      </c>
      <c r="I32" s="7" t="n">
        <v>1</v>
      </c>
      <c r="J32" s="7" t="n">
        <v>1</v>
      </c>
      <c r="K32" s="7" t="n">
        <v>144460</v>
      </c>
      <c r="L32" s="8" t="n">
        <v>61106.58</v>
      </c>
      <c r="M32" s="8" t="n">
        <v>0</v>
      </c>
      <c r="N32" s="8" t="n">
        <v>0</v>
      </c>
      <c r="O32" s="8" t="n">
        <v>0</v>
      </c>
      <c r="P32" s="8" t="n">
        <v>0</v>
      </c>
      <c r="Q32" s="8" t="n">
        <v>0</v>
      </c>
      <c r="R32" s="8" t="n">
        <v>61106.58</v>
      </c>
      <c r="S32" s="8" t="n">
        <v>2444.26</v>
      </c>
      <c r="T32" s="8" t="n">
        <v>0</v>
      </c>
      <c r="U32" s="8" t="n">
        <v>63550.84</v>
      </c>
      <c r="V32" s="5" t="inlineStr">
        <is>
          <t>SUCCESS</t>
        </is>
      </c>
      <c r="W32" s="5" t="inlineStr">
        <is>
          <t>C:\Liquidaciones\salidas\remesas\2026\DIRECTO\Final_RURAL_PRIME_(BERBABE)_(1615)_LANE_LATE</t>
        </is>
      </c>
    </row>
    <row r="33">
      <c r="A33" s="5" t="n">
        <v>2282</v>
      </c>
      <c r="B33" s="5" t="inlineStr">
        <is>
          <t>Final MIGUEL ANGEL GUIL (1471) SALUSTIANAS</t>
        </is>
      </c>
      <c r="C33" s="6" t="n">
        <v>46249</v>
      </c>
      <c r="D33" s="6" t="n">
        <v>45901</v>
      </c>
      <c r="E33" s="6" t="n">
        <v>46265</v>
      </c>
      <c r="F33" s="5" t="inlineStr">
        <is>
          <t>NORMAL</t>
        </is>
      </c>
      <c r="G33" s="5" t="inlineStr">
        <is>
          <t>Final</t>
        </is>
      </c>
      <c r="H33" s="7" t="n">
        <v>1</v>
      </c>
      <c r="I33" s="7" t="n">
        <v>1</v>
      </c>
      <c r="J33" s="7" t="n">
        <v>1</v>
      </c>
      <c r="K33" s="7" t="n">
        <v>22554</v>
      </c>
      <c r="L33" s="8" t="n">
        <v>6224.9</v>
      </c>
      <c r="M33" s="8" t="n">
        <v>0</v>
      </c>
      <c r="N33" s="8" t="n">
        <v>0</v>
      </c>
      <c r="O33" s="8" t="n">
        <v>0</v>
      </c>
      <c r="P33" s="8" t="n">
        <v>0</v>
      </c>
      <c r="Q33" s="8" t="n">
        <v>112.42</v>
      </c>
      <c r="R33" s="8" t="n">
        <v>6112.48</v>
      </c>
      <c r="S33" s="8" t="n">
        <v>733.5</v>
      </c>
      <c r="T33" s="8" t="n">
        <v>136.92</v>
      </c>
      <c r="U33" s="8" t="n">
        <v>6709.06</v>
      </c>
      <c r="V33" s="5" t="inlineStr">
        <is>
          <t>SUCCESS</t>
        </is>
      </c>
      <c r="W33" s="5" t="inlineStr">
        <is>
          <t>C:\Liquidaciones\salidas\remesas\2026\DIRECTO\Final_MIGUEL_ANGEL_GUIL_(1471)_SALUSTIANAS</t>
        </is>
      </c>
    </row>
    <row r="34">
      <c r="A34" s="5" t="n">
        <v>2283</v>
      </c>
      <c r="B34" s="5" t="inlineStr">
        <is>
          <t>Final JOSE MARIA GUIL (963) SALUSTIANAS</t>
        </is>
      </c>
      <c r="C34" s="6" t="n">
        <v>46249</v>
      </c>
      <c r="D34" s="6" t="n">
        <v>45901</v>
      </c>
      <c r="E34" s="6" t="n">
        <v>46265</v>
      </c>
      <c r="F34" s="5" t="inlineStr">
        <is>
          <t>NORMAL</t>
        </is>
      </c>
      <c r="G34" s="5" t="inlineStr">
        <is>
          <t>Final</t>
        </is>
      </c>
      <c r="H34" s="7" t="n">
        <v>1</v>
      </c>
      <c r="I34" s="7" t="n">
        <v>1</v>
      </c>
      <c r="J34" s="7" t="n">
        <v>1</v>
      </c>
      <c r="K34" s="7" t="n">
        <v>28180</v>
      </c>
      <c r="L34" s="8" t="n">
        <v>7777.68</v>
      </c>
      <c r="M34" s="8" t="n">
        <v>0</v>
      </c>
      <c r="N34" s="8" t="n">
        <v>0</v>
      </c>
      <c r="O34" s="8" t="n">
        <v>0</v>
      </c>
      <c r="P34" s="8" t="n">
        <v>0</v>
      </c>
      <c r="Q34" s="8" t="n">
        <v>0</v>
      </c>
      <c r="R34" s="8" t="n">
        <v>7777.68</v>
      </c>
      <c r="S34" s="8" t="n">
        <v>933.3200000000001</v>
      </c>
      <c r="T34" s="8" t="n">
        <v>174.22</v>
      </c>
      <c r="U34" s="8" t="n">
        <v>8536.780000000001</v>
      </c>
      <c r="V34" s="5" t="inlineStr">
        <is>
          <t>SUCCESS</t>
        </is>
      </c>
      <c r="W34" s="5" t="inlineStr">
        <is>
          <t>C:\Liquidaciones\salidas\remesas\2026\DIRECTO\Final_JOSE_MARIA_GUIL_(963)_SALUSTIANAS</t>
        </is>
      </c>
    </row>
    <row r="35">
      <c r="A35" s="5" t="n">
        <v>2285</v>
      </c>
      <c r="B35" s="5" t="inlineStr">
        <is>
          <t>Final HILARIO  GARCIA (453) NAVEL</t>
        </is>
      </c>
      <c r="C35" s="6" t="n">
        <v>46249</v>
      </c>
      <c r="D35" s="6" t="n">
        <v>45901</v>
      </c>
      <c r="E35" s="6" t="n">
        <v>46265</v>
      </c>
      <c r="F35" s="5" t="inlineStr">
        <is>
          <t>NORMAL</t>
        </is>
      </c>
      <c r="G35" s="5" t="inlineStr">
        <is>
          <t>Final</t>
        </is>
      </c>
      <c r="H35" s="7" t="n">
        <v>2</v>
      </c>
      <c r="I35" s="7" t="n">
        <v>1</v>
      </c>
      <c r="J35" s="7" t="n">
        <v>1</v>
      </c>
      <c r="K35" s="7" t="n">
        <v>12947</v>
      </c>
      <c r="L35" s="8" t="n">
        <v>3651.05</v>
      </c>
      <c r="M35" s="8" t="n">
        <v>0</v>
      </c>
      <c r="N35" s="8" t="n">
        <v>0</v>
      </c>
      <c r="O35" s="8" t="n">
        <v>0</v>
      </c>
      <c r="P35" s="8" t="n">
        <v>0</v>
      </c>
      <c r="Q35" s="8" t="n">
        <v>99.55</v>
      </c>
      <c r="R35" s="8" t="n">
        <v>3551.5</v>
      </c>
      <c r="S35" s="8" t="n">
        <v>426.18</v>
      </c>
      <c r="T35" s="8" t="n">
        <v>79.55</v>
      </c>
      <c r="U35" s="8" t="n">
        <v>3898.13</v>
      </c>
      <c r="V35" s="5" t="inlineStr">
        <is>
          <t>SUCCESS</t>
        </is>
      </c>
      <c r="W35" s="5" t="inlineStr">
        <is>
          <t>C:\Liquidaciones\salidas\remesas\2026\DIRECTO\Final_HILARIO__GARCIA_(453)_NAVEL</t>
        </is>
      </c>
    </row>
    <row r="36">
      <c r="A36" s="5" t="n">
        <v>2288</v>
      </c>
      <c r="B36" s="5" t="inlineStr">
        <is>
          <t>Final RAFAEL GARCIA (1462) NAVEL</t>
        </is>
      </c>
      <c r="C36" s="6" t="n">
        <v>46249</v>
      </c>
      <c r="D36" s="6" t="n">
        <v>45901</v>
      </c>
      <c r="E36" s="6" t="n">
        <v>46265</v>
      </c>
      <c r="F36" s="5" t="inlineStr">
        <is>
          <t>NORMAL</t>
        </is>
      </c>
      <c r="G36" s="5" t="inlineStr">
        <is>
          <t>Final</t>
        </is>
      </c>
      <c r="H36" s="7" t="n">
        <v>2</v>
      </c>
      <c r="I36" s="7" t="n">
        <v>1</v>
      </c>
      <c r="J36" s="7" t="n">
        <v>1</v>
      </c>
      <c r="K36" s="7" t="n">
        <v>24906</v>
      </c>
      <c r="L36" s="8" t="n">
        <v>7023.49</v>
      </c>
      <c r="M36" s="8" t="n">
        <v>0</v>
      </c>
      <c r="N36" s="8" t="n">
        <v>0</v>
      </c>
      <c r="O36" s="8" t="n">
        <v>0</v>
      </c>
      <c r="P36" s="8" t="n">
        <v>0</v>
      </c>
      <c r="Q36" s="8" t="n">
        <v>272.22</v>
      </c>
      <c r="R36" s="8" t="n">
        <v>6751.27</v>
      </c>
      <c r="S36" s="8" t="n">
        <v>810.15</v>
      </c>
      <c r="T36" s="8" t="n">
        <v>151.23</v>
      </c>
      <c r="U36" s="8" t="n">
        <v>7410.19</v>
      </c>
      <c r="V36" s="5" t="inlineStr">
        <is>
          <t>SUCCESS</t>
        </is>
      </c>
      <c r="W36" s="5" t="inlineStr">
        <is>
          <t>C:\Liquidaciones\salidas\remesas\2026\DIRECTO\Final_RAFAEL_GARCIA_(1462)_NAVEL</t>
        </is>
      </c>
    </row>
    <row r="37">
      <c r="A37" s="5" t="n">
        <v>2289</v>
      </c>
      <c r="B37" s="5" t="inlineStr">
        <is>
          <t>Final ALVARO HARO (1544) LANE LATE</t>
        </is>
      </c>
      <c r="C37" s="6" t="n">
        <v>46249</v>
      </c>
      <c r="D37" s="6" t="n">
        <v>45901</v>
      </c>
      <c r="E37" s="6" t="n">
        <v>46265</v>
      </c>
      <c r="F37" s="5" t="inlineStr">
        <is>
          <t>NORMAL</t>
        </is>
      </c>
      <c r="G37" s="5" t="inlineStr">
        <is>
          <t>Final</t>
        </is>
      </c>
      <c r="H37" s="7" t="n">
        <v>1</v>
      </c>
      <c r="I37" s="7" t="n">
        <v>1</v>
      </c>
      <c r="J37" s="7" t="n">
        <v>1</v>
      </c>
      <c r="K37" s="7" t="n">
        <v>21260</v>
      </c>
      <c r="L37" s="8" t="n">
        <v>8121.32</v>
      </c>
      <c r="M37" s="8" t="n">
        <v>0</v>
      </c>
      <c r="N37" s="8" t="n">
        <v>0</v>
      </c>
      <c r="O37" s="8" t="n">
        <v>0</v>
      </c>
      <c r="P37" s="8" t="n">
        <v>0</v>
      </c>
      <c r="Q37" s="8" t="n">
        <v>119.6</v>
      </c>
      <c r="R37" s="8" t="n">
        <v>8001.72</v>
      </c>
      <c r="S37" s="8" t="n">
        <v>960.21</v>
      </c>
      <c r="T37" s="8" t="n">
        <v>179.24</v>
      </c>
      <c r="U37" s="8" t="n">
        <v>8782.690000000001</v>
      </c>
      <c r="V37" s="5" t="inlineStr">
        <is>
          <t>SUCCESS</t>
        </is>
      </c>
      <c r="W37" s="5" t="inlineStr">
        <is>
          <t>C:\Liquidaciones\salidas\remesas\2026\DIRECTO\Final_ALVARO_HARO_(1544)_LANE_LATE</t>
        </is>
      </c>
    </row>
    <row r="38">
      <c r="A38" s="5" t="n">
        <v>2290</v>
      </c>
      <c r="B38" s="5" t="inlineStr">
        <is>
          <t>Final HNOS GONZALEZ ROLDAN (1272) LANE LATE</t>
        </is>
      </c>
      <c r="C38" s="6" t="n">
        <v>46249</v>
      </c>
      <c r="D38" s="6" t="n">
        <v>45901</v>
      </c>
      <c r="E38" s="6" t="n">
        <v>46084</v>
      </c>
      <c r="F38" s="5" t="inlineStr">
        <is>
          <t>NORMAL</t>
        </is>
      </c>
      <c r="G38" s="5" t="inlineStr">
        <is>
          <t>Final</t>
        </is>
      </c>
      <c r="H38" s="7" t="n">
        <v>12</v>
      </c>
      <c r="I38" s="7" t="n">
        <v>1</v>
      </c>
      <c r="J38" s="7" t="n">
        <v>1</v>
      </c>
      <c r="K38" s="7" t="n">
        <v>258132</v>
      </c>
      <c r="L38" s="8" t="n">
        <v>105059.72</v>
      </c>
      <c r="M38" s="8" t="n">
        <v>0</v>
      </c>
      <c r="N38" s="8" t="n">
        <v>0</v>
      </c>
      <c r="O38" s="8" t="n">
        <v>0</v>
      </c>
      <c r="P38" s="8" t="n">
        <v>0</v>
      </c>
      <c r="Q38" s="8" t="n">
        <v>4744.21</v>
      </c>
      <c r="R38" s="8" t="n">
        <v>100315.51</v>
      </c>
      <c r="S38" s="8" t="n">
        <v>12037.86</v>
      </c>
      <c r="T38" s="8" t="n">
        <v>2247.07</v>
      </c>
      <c r="U38" s="8" t="n">
        <v>110106.3</v>
      </c>
      <c r="V38" s="5" t="inlineStr">
        <is>
          <t>SUCCESS</t>
        </is>
      </c>
      <c r="W38" s="5" t="inlineStr">
        <is>
          <t>C:\Liquidaciones\salidas\remesas\2026\DIRECTO\Final_HNOS_GONZALEZ_ROLDAN_(1272)_LANE_LATE</t>
        </is>
      </c>
    </row>
    <row r="39">
      <c r="A39" s="5" t="n">
        <v>2291</v>
      </c>
      <c r="B39" s="5" t="inlineStr">
        <is>
          <t>Final CRISTINA CALZADO (1519) LANE LATE</t>
        </is>
      </c>
      <c r="C39" s="6" t="n">
        <v>46249</v>
      </c>
      <c r="D39" s="6" t="n">
        <v>45901</v>
      </c>
      <c r="E39" s="6" t="n">
        <v>46265</v>
      </c>
      <c r="F39" s="5" t="inlineStr">
        <is>
          <t>NORMAL</t>
        </is>
      </c>
      <c r="G39" s="5" t="inlineStr">
        <is>
          <t>Final</t>
        </is>
      </c>
      <c r="H39" s="7" t="n">
        <v>3</v>
      </c>
      <c r="I39" s="7" t="n">
        <v>1</v>
      </c>
      <c r="J39" s="7" t="n">
        <v>1</v>
      </c>
      <c r="K39" s="7" t="n">
        <v>62160</v>
      </c>
      <c r="L39" s="8" t="n">
        <v>26231.52</v>
      </c>
      <c r="M39" s="8" t="n">
        <v>0</v>
      </c>
      <c r="N39" s="8" t="n">
        <v>0</v>
      </c>
      <c r="O39" s="8" t="n">
        <v>0</v>
      </c>
      <c r="P39" s="8" t="n">
        <v>0</v>
      </c>
      <c r="Q39" s="8" t="n">
        <v>641.55</v>
      </c>
      <c r="R39" s="8" t="n">
        <v>25589.97</v>
      </c>
      <c r="S39" s="8" t="n">
        <v>3070.8</v>
      </c>
      <c r="T39" s="8" t="n">
        <v>573.22</v>
      </c>
      <c r="U39" s="8" t="n">
        <v>28087.55</v>
      </c>
      <c r="V39" s="5" t="inlineStr">
        <is>
          <t>SUCCESS</t>
        </is>
      </c>
      <c r="W39" s="5" t="inlineStr">
        <is>
          <t>C:\Liquidaciones\salidas\remesas\2026\DIRECTO\Final_CRISTINA_CALZADO_(1519)_LANE_LATE</t>
        </is>
      </c>
    </row>
    <row r="40">
      <c r="A40" s="5" t="n">
        <v>2292</v>
      </c>
      <c r="B40" s="5" t="inlineStr">
        <is>
          <t>Final MARIA CALZADO (1518) LANE LATE</t>
        </is>
      </c>
      <c r="C40" s="6" t="n">
        <v>46249</v>
      </c>
      <c r="D40" s="6" t="n">
        <v>45901</v>
      </c>
      <c r="E40" s="6" t="n">
        <v>46265</v>
      </c>
      <c r="F40" s="5" t="inlineStr">
        <is>
          <t>NORMAL</t>
        </is>
      </c>
      <c r="G40" s="5" t="inlineStr">
        <is>
          <t>Final</t>
        </is>
      </c>
      <c r="H40" s="7" t="n">
        <v>5</v>
      </c>
      <c r="I40" s="7" t="n">
        <v>1</v>
      </c>
      <c r="J40" s="7" t="n">
        <v>1</v>
      </c>
      <c r="K40" s="7" t="n">
        <v>103140</v>
      </c>
      <c r="L40" s="8" t="n">
        <v>43525.08</v>
      </c>
      <c r="M40" s="8" t="n">
        <v>0</v>
      </c>
      <c r="N40" s="8" t="n">
        <v>0</v>
      </c>
      <c r="O40" s="8" t="n">
        <v>0</v>
      </c>
      <c r="P40" s="8" t="n">
        <v>0</v>
      </c>
      <c r="Q40" s="8" t="n">
        <v>891.3099999999999</v>
      </c>
      <c r="R40" s="8" t="n">
        <v>42633.77</v>
      </c>
      <c r="S40" s="8" t="n">
        <v>5116.05</v>
      </c>
      <c r="T40" s="8" t="n">
        <v>955</v>
      </c>
      <c r="U40" s="8" t="n">
        <v>46794.83</v>
      </c>
      <c r="V40" s="5" t="inlineStr">
        <is>
          <t>SUCCESS</t>
        </is>
      </c>
      <c r="W40" s="5" t="inlineStr">
        <is>
          <t>C:\Liquidaciones\salidas\remesas\2026\DIRECTO\Final_MARIA_CALZADO_(1518)_LANE_LATE</t>
        </is>
      </c>
    </row>
    <row r="41">
      <c r="A41" s="5" t="n">
        <v>2293</v>
      </c>
      <c r="B41" s="5" t="inlineStr">
        <is>
          <t>Final FRANCISCO GALVEZ (937) SALUSTIANAS</t>
        </is>
      </c>
      <c r="C41" s="6" t="n">
        <v>46249</v>
      </c>
      <c r="D41" s="6" t="n">
        <v>45901</v>
      </c>
      <c r="E41" s="6" t="n">
        <v>46265</v>
      </c>
      <c r="F41" s="5" t="inlineStr">
        <is>
          <t>NORMAL</t>
        </is>
      </c>
      <c r="G41" s="5" t="inlineStr">
        <is>
          <t>Final</t>
        </is>
      </c>
      <c r="H41" s="7" t="n">
        <v>7</v>
      </c>
      <c r="I41" s="7" t="n">
        <v>1</v>
      </c>
      <c r="J41" s="7" t="n">
        <v>1</v>
      </c>
      <c r="K41" s="7" t="n">
        <v>108389</v>
      </c>
      <c r="L41" s="8" t="n">
        <v>43680.77</v>
      </c>
      <c r="M41" s="8" t="n">
        <v>4151.52</v>
      </c>
      <c r="N41" s="8" t="n">
        <v>0</v>
      </c>
      <c r="O41" s="8" t="n">
        <v>0</v>
      </c>
      <c r="P41" s="8" t="n">
        <v>0</v>
      </c>
      <c r="Q41" s="8" t="n">
        <v>885.86</v>
      </c>
      <c r="R41" s="8" t="n">
        <v>38643.39</v>
      </c>
      <c r="S41" s="8" t="n">
        <v>4637.21</v>
      </c>
      <c r="T41" s="8" t="n">
        <v>865.61</v>
      </c>
      <c r="U41" s="8" t="n">
        <v>42414.98</v>
      </c>
      <c r="V41" s="5" t="inlineStr">
        <is>
          <t>SUCCESS</t>
        </is>
      </c>
      <c r="W41" s="5" t="inlineStr">
        <is>
          <t>C:\Liquidaciones\salidas\remesas\2026\DIRECTO\Final_FRANCISCO_GALVEZ_(937)_SALUSTIANAS</t>
        </is>
      </c>
    </row>
    <row r="42">
      <c r="A42" s="5" t="n">
        <v>2294</v>
      </c>
      <c r="B42" s="5" t="inlineStr">
        <is>
          <t>Final ESTIBEN HIDALGO (1602) SALUSTIANAS</t>
        </is>
      </c>
      <c r="C42" s="6" t="n">
        <v>46249</v>
      </c>
      <c r="D42" s="6" t="n">
        <v>45901</v>
      </c>
      <c r="E42" s="6" t="n">
        <v>46265</v>
      </c>
      <c r="F42" s="5" t="inlineStr">
        <is>
          <t>NORMAL</t>
        </is>
      </c>
      <c r="G42" s="5" t="inlineStr">
        <is>
          <t>Final</t>
        </is>
      </c>
      <c r="H42" s="7" t="n">
        <v>3</v>
      </c>
      <c r="I42" s="7" t="n">
        <v>1</v>
      </c>
      <c r="J42" s="7" t="n">
        <v>1</v>
      </c>
      <c r="K42" s="7" t="n">
        <v>45074</v>
      </c>
      <c r="L42" s="8" t="n">
        <v>16046.34</v>
      </c>
      <c r="M42" s="8" t="n">
        <v>3051.19</v>
      </c>
      <c r="N42" s="8" t="n">
        <v>0</v>
      </c>
      <c r="O42" s="8" t="n">
        <v>0</v>
      </c>
      <c r="P42" s="8" t="n">
        <v>0</v>
      </c>
      <c r="Q42" s="8" t="n">
        <v>282.75</v>
      </c>
      <c r="R42" s="8" t="n">
        <v>12712.4</v>
      </c>
      <c r="S42" s="8" t="n">
        <v>1525.49</v>
      </c>
      <c r="T42" s="8" t="n">
        <v>284.76</v>
      </c>
      <c r="U42" s="8" t="n">
        <v>13953.13</v>
      </c>
      <c r="V42" s="5" t="inlineStr">
        <is>
          <t>SUCCESS</t>
        </is>
      </c>
      <c r="W42" s="5" t="inlineStr">
        <is>
          <t>C:\Liquidaciones\salidas\remesas\2026\DIRECTO\Final_ESTIBEN_HIDALGO_(1602)_SALUSTIANAS</t>
        </is>
      </c>
    </row>
    <row r="43">
      <c r="A43" s="5" t="n">
        <v>2295</v>
      </c>
      <c r="B43" s="5" t="inlineStr">
        <is>
          <t>Final JOSE RINCON (824) SALUSTIANAS</t>
        </is>
      </c>
      <c r="C43" s="6" t="n">
        <v>46249</v>
      </c>
      <c r="D43" s="6" t="n">
        <v>45901</v>
      </c>
      <c r="E43" s="6" t="n">
        <v>46265</v>
      </c>
      <c r="F43" s="5" t="inlineStr">
        <is>
          <t>NORMAL</t>
        </is>
      </c>
      <c r="G43" s="5" t="inlineStr">
        <is>
          <t>Final</t>
        </is>
      </c>
      <c r="H43" s="7" t="n">
        <v>2</v>
      </c>
      <c r="I43" s="7" t="n">
        <v>1</v>
      </c>
      <c r="J43" s="7" t="n">
        <v>1</v>
      </c>
      <c r="K43" s="7" t="n">
        <v>35387</v>
      </c>
      <c r="L43" s="8" t="n">
        <v>12597.77</v>
      </c>
      <c r="M43" s="8" t="n">
        <v>2592.79</v>
      </c>
      <c r="N43" s="8" t="n">
        <v>0</v>
      </c>
      <c r="O43" s="8" t="n">
        <v>0</v>
      </c>
      <c r="P43" s="8" t="n">
        <v>0</v>
      </c>
      <c r="Q43" s="8" t="n">
        <v>391.7</v>
      </c>
      <c r="R43" s="8" t="n">
        <v>9613.280000000001</v>
      </c>
      <c r="S43" s="8" t="n">
        <v>1153.59</v>
      </c>
      <c r="T43" s="8" t="n">
        <v>215.34</v>
      </c>
      <c r="U43" s="8" t="n">
        <v>10551.54</v>
      </c>
      <c r="V43" s="5" t="inlineStr">
        <is>
          <t>SUCCESS</t>
        </is>
      </c>
      <c r="W43" s="5" t="inlineStr">
        <is>
          <t>C:\Liquidaciones\salidas\remesas\2026\DIRECTO\Final_JOSE_RINCON_(824)_SALUSTIANAS</t>
        </is>
      </c>
    </row>
    <row r="44">
      <c r="A44" s="5" t="n">
        <v>2296</v>
      </c>
      <c r="B44" s="5" t="inlineStr">
        <is>
          <t>Final LEON CARRASCO SL (1504) SALUSTIANAS</t>
        </is>
      </c>
      <c r="C44" s="6" t="n">
        <v>46249</v>
      </c>
      <c r="D44" s="6" t="n">
        <v>45901</v>
      </c>
      <c r="E44" s="6" t="n">
        <v>46265</v>
      </c>
      <c r="F44" s="5" t="inlineStr">
        <is>
          <t>NORMAL</t>
        </is>
      </c>
      <c r="G44" s="5" t="inlineStr">
        <is>
          <t>Final</t>
        </is>
      </c>
      <c r="H44" s="7" t="n">
        <v>8</v>
      </c>
      <c r="I44" s="7" t="n">
        <v>1</v>
      </c>
      <c r="J44" s="7" t="n">
        <v>1</v>
      </c>
      <c r="K44" s="7" t="n">
        <v>157340</v>
      </c>
      <c r="L44" s="8" t="n">
        <v>51450.18</v>
      </c>
      <c r="M44" s="8" t="n">
        <v>0</v>
      </c>
      <c r="N44" s="8" t="n">
        <v>0</v>
      </c>
      <c r="O44" s="8" t="n">
        <v>0</v>
      </c>
      <c r="P44" s="8" t="n">
        <v>0</v>
      </c>
      <c r="Q44" s="8" t="n">
        <v>1003.7</v>
      </c>
      <c r="R44" s="8" t="n">
        <v>50446.48</v>
      </c>
      <c r="S44" s="8" t="n">
        <v>6053.58</v>
      </c>
      <c r="T44" s="8" t="n">
        <v>1130</v>
      </c>
      <c r="U44" s="8" t="n">
        <v>55370.06</v>
      </c>
      <c r="V44" s="5" t="inlineStr">
        <is>
          <t>SUCCESS</t>
        </is>
      </c>
      <c r="W44" s="5" t="inlineStr">
        <is>
          <t>C:\Liquidaciones\salidas\remesas\2026\DIRECTO\Final_LEON_CARRASCO_SL_(1504)_SALUSTIANAS</t>
        </is>
      </c>
    </row>
    <row r="45">
      <c r="A45" s="5" t="n">
        <v>2297</v>
      </c>
      <c r="B45" s="5" t="inlineStr">
        <is>
          <t>Final CADORTAN SL (1550) LANE LATE</t>
        </is>
      </c>
      <c r="C45" s="6" t="n">
        <v>46249</v>
      </c>
      <c r="D45" s="6" t="n">
        <v>45901</v>
      </c>
      <c r="E45" s="6" t="n">
        <v>46265</v>
      </c>
      <c r="F45" s="5" t="inlineStr">
        <is>
          <t>NORMAL</t>
        </is>
      </c>
      <c r="G45" s="5" t="inlineStr">
        <is>
          <t>Final</t>
        </is>
      </c>
      <c r="H45" s="7" t="n">
        <v>10</v>
      </c>
      <c r="I45" s="7" t="n">
        <v>1</v>
      </c>
      <c r="J45" s="7" t="n">
        <v>1</v>
      </c>
      <c r="K45" s="7" t="n">
        <v>187789</v>
      </c>
      <c r="L45" s="8" t="n">
        <v>81124.85000000001</v>
      </c>
      <c r="M45" s="8" t="n">
        <v>0</v>
      </c>
      <c r="N45" s="8" t="n">
        <v>0</v>
      </c>
      <c r="O45" s="8" t="n">
        <v>0</v>
      </c>
      <c r="P45" s="8" t="n">
        <v>0</v>
      </c>
      <c r="Q45" s="8" t="n">
        <v>1661.46</v>
      </c>
      <c r="R45" s="8" t="n">
        <v>79463.39</v>
      </c>
      <c r="S45" s="8" t="n">
        <v>3178.54</v>
      </c>
      <c r="T45" s="8" t="n">
        <v>0</v>
      </c>
      <c r="U45" s="8" t="n">
        <v>82641.92999999999</v>
      </c>
      <c r="V45" s="5" t="inlineStr">
        <is>
          <t>SUCCESS</t>
        </is>
      </c>
      <c r="W45" s="5" t="inlineStr">
        <is>
          <t>C:\Liquidaciones\salidas\remesas\2026\DIRECTO\Final_CADORTAN_SL_(1550)_LANE_LATE</t>
        </is>
      </c>
    </row>
    <row r="46">
      <c r="A46" s="5" t="n">
        <v>2298</v>
      </c>
      <c r="B46" s="5" t="inlineStr">
        <is>
          <t>Final FERNANDO TOMENO (1415) SALUSTIANAS</t>
        </is>
      </c>
      <c r="C46" s="6" t="n">
        <v>46249</v>
      </c>
      <c r="D46" s="6" t="n">
        <v>45901</v>
      </c>
      <c r="E46" s="6" t="n">
        <v>46265</v>
      </c>
      <c r="F46" s="5" t="inlineStr">
        <is>
          <t>NORMAL</t>
        </is>
      </c>
      <c r="G46" s="5" t="inlineStr">
        <is>
          <t>Final</t>
        </is>
      </c>
      <c r="H46" s="7" t="n">
        <v>7</v>
      </c>
      <c r="I46" s="7" t="n">
        <v>1</v>
      </c>
      <c r="J46" s="7" t="n">
        <v>1</v>
      </c>
      <c r="K46" s="7" t="n">
        <v>136563</v>
      </c>
      <c r="L46" s="8" t="n">
        <v>55581.14</v>
      </c>
      <c r="M46" s="8" t="n">
        <v>0</v>
      </c>
      <c r="N46" s="8" t="n">
        <v>0</v>
      </c>
      <c r="O46" s="8" t="n">
        <v>0</v>
      </c>
      <c r="P46" s="8" t="n">
        <v>0</v>
      </c>
      <c r="Q46" s="8" t="n">
        <v>481.24</v>
      </c>
      <c r="R46" s="8" t="n">
        <v>55099.9</v>
      </c>
      <c r="S46" s="8" t="n">
        <v>6611.99</v>
      </c>
      <c r="T46" s="8" t="n">
        <v>1234.24</v>
      </c>
      <c r="U46" s="8" t="n">
        <v>60477.65</v>
      </c>
      <c r="V46" s="5" t="inlineStr">
        <is>
          <t>SUCCESS</t>
        </is>
      </c>
      <c r="W46" s="5" t="inlineStr">
        <is>
          <t>C:\Liquidaciones\salidas\remesas\2026\DIRECTO\Final_FERNANDO_TOMENO_(1415)_SALUSTIANAS</t>
        </is>
      </c>
    </row>
    <row r="47">
      <c r="A47" s="5" t="n">
        <v>2299</v>
      </c>
      <c r="B47" s="5" t="inlineStr">
        <is>
          <t>Final DOLORES MUÑOZ  (1511) SALUSTIANAS</t>
        </is>
      </c>
      <c r="C47" s="6" t="n">
        <v>46249</v>
      </c>
      <c r="D47" s="6" t="n">
        <v>45901</v>
      </c>
      <c r="E47" s="6" t="n">
        <v>46265</v>
      </c>
      <c r="F47" s="5" t="inlineStr">
        <is>
          <t>NORMAL</t>
        </is>
      </c>
      <c r="G47" s="5" t="inlineStr">
        <is>
          <t>Final</t>
        </is>
      </c>
      <c r="H47" s="7" t="n">
        <v>3</v>
      </c>
      <c r="I47" s="7" t="n">
        <v>1</v>
      </c>
      <c r="J47" s="7" t="n">
        <v>1</v>
      </c>
      <c r="K47" s="7" t="n">
        <v>56193</v>
      </c>
      <c r="L47" s="8" t="n">
        <v>18375.11</v>
      </c>
      <c r="M47" s="8" t="n">
        <v>0</v>
      </c>
      <c r="N47" s="8" t="n">
        <v>0</v>
      </c>
      <c r="O47" s="8" t="n">
        <v>0</v>
      </c>
      <c r="P47" s="8" t="n">
        <v>0</v>
      </c>
      <c r="Q47" s="8" t="n">
        <v>577.2</v>
      </c>
      <c r="R47" s="8" t="n">
        <v>17797.91</v>
      </c>
      <c r="S47" s="8" t="n">
        <v>2135.75</v>
      </c>
      <c r="T47" s="8" t="n">
        <v>398.67</v>
      </c>
      <c r="U47" s="8" t="n">
        <v>19534.99</v>
      </c>
      <c r="V47" s="5" t="inlineStr">
        <is>
          <t>SUCCESS</t>
        </is>
      </c>
      <c r="W47" s="5" t="inlineStr">
        <is>
          <t>C:\Liquidaciones\salidas\remesas\2026\DIRECTO\Final_DOLORES_MUÑOZ__(1511)_SALUSTIANAS</t>
        </is>
      </c>
    </row>
    <row r="48">
      <c r="A48" s="5" t="n">
        <v>2300</v>
      </c>
      <c r="B48" s="5" t="inlineStr">
        <is>
          <t>Final DOLORES HDEZ (1549) SALUSTIANAS</t>
        </is>
      </c>
      <c r="C48" s="6" t="n">
        <v>46249</v>
      </c>
      <c r="D48" s="6" t="n">
        <v>45901</v>
      </c>
      <c r="E48" s="6" t="n">
        <v>46265</v>
      </c>
      <c r="F48" s="5" t="inlineStr">
        <is>
          <t>NORMAL</t>
        </is>
      </c>
      <c r="G48" s="5" t="inlineStr">
        <is>
          <t>Final</t>
        </is>
      </c>
      <c r="H48" s="7" t="n">
        <v>4</v>
      </c>
      <c r="I48" s="7" t="n">
        <v>1</v>
      </c>
      <c r="J48" s="7" t="n">
        <v>1</v>
      </c>
      <c r="K48" s="7" t="n">
        <v>75812</v>
      </c>
      <c r="L48" s="8" t="n">
        <v>24790.52</v>
      </c>
      <c r="M48" s="8" t="n">
        <v>0</v>
      </c>
      <c r="N48" s="8" t="n">
        <v>0</v>
      </c>
      <c r="O48" s="8" t="n">
        <v>0</v>
      </c>
      <c r="P48" s="8" t="n">
        <v>0</v>
      </c>
      <c r="Q48" s="8" t="n">
        <v>596.7</v>
      </c>
      <c r="R48" s="8" t="n">
        <v>24193.82</v>
      </c>
      <c r="S48" s="8" t="n">
        <v>2903.26</v>
      </c>
      <c r="T48" s="8" t="n">
        <v>541.9400000000001</v>
      </c>
      <c r="U48" s="8" t="n">
        <v>26555.14</v>
      </c>
      <c r="V48" s="5" t="inlineStr">
        <is>
          <t>SUCCESS</t>
        </is>
      </c>
      <c r="W48" s="5" t="inlineStr">
        <is>
          <t>C:\Liquidaciones\salidas\remesas\2026\DIRECTO\Final_DOLORES_HDEZ_(1549)_SALUSTIANAS</t>
        </is>
      </c>
    </row>
    <row r="49">
      <c r="A49" s="5" t="n">
        <v>2301</v>
      </c>
      <c r="B49" s="5" t="inlineStr">
        <is>
          <t>Final JESUS PADILLA (1611) LANE LATE</t>
        </is>
      </c>
      <c r="C49" s="6" t="n">
        <v>46249</v>
      </c>
      <c r="D49" s="6" t="n">
        <v>45901</v>
      </c>
      <c r="E49" s="6" t="n">
        <v>46265</v>
      </c>
      <c r="F49" s="5" t="inlineStr">
        <is>
          <t>NORMAL</t>
        </is>
      </c>
      <c r="G49" s="5" t="inlineStr">
        <is>
          <t>Final</t>
        </is>
      </c>
      <c r="H49" s="7" t="n">
        <v>4</v>
      </c>
      <c r="I49" s="7" t="n">
        <v>1</v>
      </c>
      <c r="J49" s="7" t="n">
        <v>1</v>
      </c>
      <c r="K49" s="7" t="n">
        <v>89325</v>
      </c>
      <c r="L49" s="8" t="n">
        <v>35649.61</v>
      </c>
      <c r="M49" s="8" t="n">
        <v>0</v>
      </c>
      <c r="N49" s="8" t="n">
        <v>0</v>
      </c>
      <c r="O49" s="8" t="n">
        <v>0</v>
      </c>
      <c r="P49" s="8" t="n">
        <v>0</v>
      </c>
      <c r="Q49" s="8" t="n">
        <v>1134.9</v>
      </c>
      <c r="R49" s="8" t="n">
        <v>34514.71</v>
      </c>
      <c r="S49" s="8" t="n">
        <v>4141.77</v>
      </c>
      <c r="T49" s="8" t="n">
        <v>773.13</v>
      </c>
      <c r="U49" s="8" t="n">
        <v>37883.35</v>
      </c>
      <c r="V49" s="5" t="inlineStr">
        <is>
          <t>SUCCESS</t>
        </is>
      </c>
      <c r="W49" s="5" t="inlineStr">
        <is>
          <t>C:\Liquidaciones\salidas\remesas\2026\DIRECTO\Final_JESUS_PADILLA_(1611)_LANE_LATE</t>
        </is>
      </c>
    </row>
    <row r="50">
      <c r="A50" s="5" t="n">
        <v>2302</v>
      </c>
      <c r="B50" s="5" t="inlineStr">
        <is>
          <t>Final ALVARO HARO (1544) CHISSLET</t>
        </is>
      </c>
      <c r="C50" s="6" t="n">
        <v>46249</v>
      </c>
      <c r="D50" s="6" t="n">
        <v>45901</v>
      </c>
      <c r="E50" s="6" t="n">
        <v>46265</v>
      </c>
      <c r="F50" s="5" t="inlineStr">
        <is>
          <t>NORMAL</t>
        </is>
      </c>
      <c r="G50" s="5" t="inlineStr">
        <is>
          <t>Final</t>
        </is>
      </c>
      <c r="H50" s="7" t="n">
        <v>3</v>
      </c>
      <c r="I50" s="7" t="n">
        <v>1</v>
      </c>
      <c r="J50" s="7" t="n">
        <v>1</v>
      </c>
      <c r="K50" s="7" t="n">
        <v>53005</v>
      </c>
      <c r="L50" s="8" t="n">
        <v>19045.91</v>
      </c>
      <c r="M50" s="8" t="n">
        <v>0</v>
      </c>
      <c r="N50" s="8" t="n">
        <v>0</v>
      </c>
      <c r="O50" s="8" t="n">
        <v>0</v>
      </c>
      <c r="P50" s="8" t="n">
        <v>0</v>
      </c>
      <c r="Q50" s="8" t="n">
        <v>298.19</v>
      </c>
      <c r="R50" s="8" t="n">
        <v>18747.72</v>
      </c>
      <c r="S50" s="8" t="n">
        <v>2249.73</v>
      </c>
      <c r="T50" s="8" t="n">
        <v>419.95</v>
      </c>
      <c r="U50" s="8" t="n">
        <v>20577.5</v>
      </c>
      <c r="V50" s="5" t="inlineStr">
        <is>
          <t>SUCCESS</t>
        </is>
      </c>
      <c r="W50" s="5" t="inlineStr">
        <is>
          <t>C:\Liquidaciones\salidas\remesas\2026\DIRECTO\Final_ALVARO_HARO_(1544)_CHISSLET</t>
        </is>
      </c>
    </row>
    <row r="51">
      <c r="A51" s="5" t="n">
        <v>2303</v>
      </c>
      <c r="B51" s="5" t="inlineStr">
        <is>
          <t>Final J. A. RODRIGUEZ MEJIAS (1523) LANE LATE</t>
        </is>
      </c>
      <c r="C51" s="6" t="n">
        <v>46249</v>
      </c>
      <c r="D51" s="6" t="n">
        <v>45901</v>
      </c>
      <c r="E51" s="6" t="n">
        <v>46265</v>
      </c>
      <c r="F51" s="5" t="inlineStr">
        <is>
          <t>NORMAL</t>
        </is>
      </c>
      <c r="G51" s="5" t="inlineStr">
        <is>
          <t>Final</t>
        </is>
      </c>
      <c r="H51" s="7" t="n">
        <v>4</v>
      </c>
      <c r="I51" s="7" t="n">
        <v>1</v>
      </c>
      <c r="J51" s="7" t="n">
        <v>1</v>
      </c>
      <c r="K51" s="7" t="n">
        <v>78560</v>
      </c>
      <c r="L51" s="8" t="n">
        <v>33937.92</v>
      </c>
      <c r="M51" s="8" t="n">
        <v>0</v>
      </c>
      <c r="N51" s="8" t="n">
        <v>0</v>
      </c>
      <c r="O51" s="8" t="n">
        <v>0</v>
      </c>
      <c r="P51" s="8" t="n">
        <v>0</v>
      </c>
      <c r="Q51" s="8" t="n">
        <v>570.79</v>
      </c>
      <c r="R51" s="8" t="n">
        <v>33367.13</v>
      </c>
      <c r="S51" s="8" t="n">
        <v>4004.06</v>
      </c>
      <c r="T51" s="8" t="n">
        <v>747.42</v>
      </c>
      <c r="U51" s="8" t="n">
        <v>36623.76</v>
      </c>
      <c r="V51" s="5" t="inlineStr">
        <is>
          <t>SUCCESS</t>
        </is>
      </c>
      <c r="W51" s="5" t="inlineStr">
        <is>
          <t>C:\Liquidaciones\salidas\remesas\2026\DIRECTO\Final_J._A._RODRIGUEZ_MEJIAS_(1523)_LANE_LATE</t>
        </is>
      </c>
    </row>
    <row r="52">
      <c r="A52" s="5" t="n">
        <v>2304</v>
      </c>
      <c r="B52" s="5" t="inlineStr">
        <is>
          <t>Final AGRONUÑEZ (1466) LANE LATE</t>
        </is>
      </c>
      <c r="C52" s="6" t="n">
        <v>46249</v>
      </c>
      <c r="D52" s="6" t="n">
        <v>45901</v>
      </c>
      <c r="E52" s="6" t="n">
        <v>46265</v>
      </c>
      <c r="F52" s="5" t="inlineStr">
        <is>
          <t>NORMAL</t>
        </is>
      </c>
      <c r="G52" s="5" t="inlineStr">
        <is>
          <t>Final</t>
        </is>
      </c>
      <c r="H52" s="7" t="n">
        <v>5</v>
      </c>
      <c r="I52" s="7" t="n">
        <v>1</v>
      </c>
      <c r="J52" s="7" t="n">
        <v>1</v>
      </c>
      <c r="K52" s="7" t="n">
        <v>100396</v>
      </c>
      <c r="L52" s="8" t="n">
        <v>50398.79</v>
      </c>
      <c r="M52" s="8" t="n">
        <v>6274.75</v>
      </c>
      <c r="N52" s="8" t="n">
        <v>0</v>
      </c>
      <c r="O52" s="8" t="n">
        <v>0</v>
      </c>
      <c r="P52" s="8" t="n">
        <v>0</v>
      </c>
      <c r="Q52" s="8" t="n">
        <v>1118.85</v>
      </c>
      <c r="R52" s="8" t="n">
        <v>43005.19</v>
      </c>
      <c r="S52" s="8" t="n">
        <v>5160.62</v>
      </c>
      <c r="T52" s="8" t="n">
        <v>963.3200000000001</v>
      </c>
      <c r="U52" s="8" t="n">
        <v>47202.5</v>
      </c>
      <c r="V52" s="5" t="inlineStr">
        <is>
          <t>SUCCESS</t>
        </is>
      </c>
      <c r="W52" s="5" t="inlineStr">
        <is>
          <t>C:\Liquidaciones\salidas\remesas\2026\DIRECTO\Final_AGRONUÑEZ_(1466)_LANE_LATE</t>
        </is>
      </c>
    </row>
    <row r="53">
      <c r="A53" s="5" t="n">
        <v>2305</v>
      </c>
      <c r="B53" s="5" t="inlineStr">
        <is>
          <t>Final MANUEL JESUS NUÑEZ (1560) LANE LATE</t>
        </is>
      </c>
      <c r="C53" s="6" t="n">
        <v>46249</v>
      </c>
      <c r="D53" s="6" t="n">
        <v>45901</v>
      </c>
      <c r="E53" s="6" t="n">
        <v>46265</v>
      </c>
      <c r="F53" s="5" t="inlineStr">
        <is>
          <t>NORMAL</t>
        </is>
      </c>
      <c r="G53" s="5" t="inlineStr">
        <is>
          <t>Final</t>
        </is>
      </c>
      <c r="H53" s="7" t="n">
        <v>3</v>
      </c>
      <c r="I53" s="7" t="n">
        <v>1</v>
      </c>
      <c r="J53" s="7" t="n">
        <v>1</v>
      </c>
      <c r="K53" s="7" t="n">
        <v>45424</v>
      </c>
      <c r="L53" s="8" t="n">
        <v>22802.85</v>
      </c>
      <c r="M53" s="8" t="n">
        <v>2839</v>
      </c>
      <c r="N53" s="8" t="n">
        <v>0</v>
      </c>
      <c r="O53" s="8" t="n">
        <v>0</v>
      </c>
      <c r="P53" s="8" t="n">
        <v>0</v>
      </c>
      <c r="Q53" s="8" t="n">
        <v>526.5</v>
      </c>
      <c r="R53" s="8" t="n">
        <v>19437.35</v>
      </c>
      <c r="S53" s="8" t="n">
        <v>2332.48</v>
      </c>
      <c r="T53" s="8" t="n">
        <v>435.4</v>
      </c>
      <c r="U53" s="8" t="n">
        <v>21334.44</v>
      </c>
      <c r="V53" s="5" t="inlineStr">
        <is>
          <t>SUCCESS</t>
        </is>
      </c>
      <c r="W53" s="5" t="inlineStr">
        <is>
          <t>C:\Liquidaciones\salidas\remesas\2026\DIRECTO\Final_MANUEL_JESUS_NUÑEZ_(1560)_LANE_LATE</t>
        </is>
      </c>
    </row>
    <row r="54">
      <c r="A54" s="5" t="n">
        <v>2306</v>
      </c>
      <c r="B54" s="5" t="inlineStr">
        <is>
          <t>Final HNOS GONZALEZ ROLDAN (1272) LANE LATE 1</t>
        </is>
      </c>
      <c r="C54" s="6" t="n">
        <v>46249</v>
      </c>
      <c r="D54" s="6" t="n">
        <v>46092</v>
      </c>
      <c r="E54" s="6" t="n">
        <v>46265</v>
      </c>
      <c r="F54" s="5" t="inlineStr">
        <is>
          <t>NORMAL</t>
        </is>
      </c>
      <c r="G54" s="5" t="inlineStr">
        <is>
          <t>Final</t>
        </is>
      </c>
      <c r="H54" s="7" t="n">
        <v>4</v>
      </c>
      <c r="I54" s="7" t="n">
        <v>1</v>
      </c>
      <c r="J54" s="7" t="n">
        <v>1</v>
      </c>
      <c r="K54" s="7" t="n">
        <v>36500</v>
      </c>
      <c r="L54" s="8" t="n">
        <v>13943</v>
      </c>
      <c r="M54" s="8" t="n">
        <v>0</v>
      </c>
      <c r="N54" s="8" t="n">
        <v>0</v>
      </c>
      <c r="O54" s="8" t="n">
        <v>0</v>
      </c>
      <c r="P54" s="8" t="n">
        <v>0</v>
      </c>
      <c r="Q54" s="8" t="n">
        <v>670.83</v>
      </c>
      <c r="R54" s="8" t="n">
        <v>13272.17</v>
      </c>
      <c r="S54" s="8" t="n">
        <v>1592.66</v>
      </c>
      <c r="T54" s="8" t="n">
        <v>297.3</v>
      </c>
      <c r="U54" s="8" t="n">
        <v>14567.53</v>
      </c>
      <c r="V54" s="5" t="inlineStr">
        <is>
          <t>SUCCESS</t>
        </is>
      </c>
      <c r="W54" s="5" t="inlineStr">
        <is>
          <t>C:\Liquidaciones\salidas\remesas\2026\DIRECTO\Final_HNOS_GONZALEZ_ROLDAN_(1272)_LANE_LATE_1</t>
        </is>
      </c>
    </row>
    <row r="55">
      <c r="A55" s="5" t="n">
        <v>2307</v>
      </c>
      <c r="B55" s="5" t="inlineStr">
        <is>
          <t>Final AGRICOLA HNOS BUIZA (1395) POWEL</t>
        </is>
      </c>
      <c r="C55" s="6" t="n">
        <v>46249</v>
      </c>
      <c r="D55" s="6" t="n">
        <v>45901</v>
      </c>
      <c r="E55" s="6" t="n">
        <v>46265</v>
      </c>
      <c r="F55" s="5" t="inlineStr">
        <is>
          <t>NORMAL</t>
        </is>
      </c>
      <c r="G55" s="5" t="inlineStr">
        <is>
          <t>Final</t>
        </is>
      </c>
      <c r="H55" s="7" t="n">
        <v>3</v>
      </c>
      <c r="I55" s="7" t="n">
        <v>1</v>
      </c>
      <c r="J55" s="7" t="n">
        <v>1</v>
      </c>
      <c r="K55" s="7" t="n">
        <v>68380</v>
      </c>
      <c r="L55" s="8" t="n">
        <v>28924.74</v>
      </c>
      <c r="M55" s="8" t="n">
        <v>0</v>
      </c>
      <c r="N55" s="8" t="n">
        <v>0</v>
      </c>
      <c r="O55" s="8" t="n">
        <v>0</v>
      </c>
      <c r="P55" s="8" t="n">
        <v>0</v>
      </c>
      <c r="Q55" s="8" t="n">
        <v>258.36</v>
      </c>
      <c r="R55" s="8" t="n">
        <v>28666.38</v>
      </c>
      <c r="S55" s="8" t="n">
        <v>3439.97</v>
      </c>
      <c r="T55" s="8" t="n">
        <v>642.13</v>
      </c>
      <c r="U55" s="8" t="n">
        <v>31464.22</v>
      </c>
      <c r="V55" s="5" t="inlineStr">
        <is>
          <t>SUCCESS</t>
        </is>
      </c>
      <c r="W55" s="5" t="inlineStr">
        <is>
          <t>C:\Liquidaciones\salidas\remesas\2026\DIRECTO\Final_AGRICOLA_HNOS_BUIZA_(1395)_POWEL</t>
        </is>
      </c>
    </row>
    <row r="56">
      <c r="A56" s="5" t="n">
        <v>2308</v>
      </c>
      <c r="B56" s="5" t="inlineStr">
        <is>
          <t>Final JAVIER SANCHEZ GUIL (1624) SALUSTIANAS</t>
        </is>
      </c>
      <c r="C56" s="6" t="n">
        <v>46249</v>
      </c>
      <c r="D56" s="6" t="n">
        <v>45901</v>
      </c>
      <c r="E56" s="6" t="n">
        <v>46265</v>
      </c>
      <c r="F56" s="5" t="inlineStr">
        <is>
          <t>NORMAL</t>
        </is>
      </c>
      <c r="G56" s="5" t="inlineStr">
        <is>
          <t>Final</t>
        </is>
      </c>
      <c r="H56" s="7" t="n">
        <v>1</v>
      </c>
      <c r="I56" s="7" t="n">
        <v>1</v>
      </c>
      <c r="J56" s="7" t="n">
        <v>1</v>
      </c>
      <c r="K56" s="7" t="n">
        <v>10200</v>
      </c>
      <c r="L56" s="8" t="n">
        <v>4110.6</v>
      </c>
      <c r="M56" s="8" t="n">
        <v>734.4</v>
      </c>
      <c r="N56" s="8" t="n">
        <v>0</v>
      </c>
      <c r="O56" s="8" t="n">
        <v>0</v>
      </c>
      <c r="P56" s="8" t="n">
        <v>0</v>
      </c>
      <c r="Q56" s="8" t="n">
        <v>86.13</v>
      </c>
      <c r="R56" s="8" t="n">
        <v>3290.07</v>
      </c>
      <c r="S56" s="8" t="n">
        <v>394.81</v>
      </c>
      <c r="T56" s="8" t="n">
        <v>73.7</v>
      </c>
      <c r="U56" s="8" t="n">
        <v>3611.18</v>
      </c>
      <c r="V56" s="5" t="inlineStr">
        <is>
          <t>SUCCESS</t>
        </is>
      </c>
      <c r="W56" s="5" t="inlineStr">
        <is>
          <t>C:\Liquidaciones\salidas\remesas\2026\DIRECTO\Final_JAVIER_SANCHEZ_GUIL_(1624)_SALUSTIANAS</t>
        </is>
      </c>
    </row>
    <row r="57">
      <c r="A57" s="5" t="n">
        <v>2309</v>
      </c>
      <c r="B57" s="5" t="inlineStr">
        <is>
          <t>Final J. A. PRIOR PORTILLO (1589) SALUSTIANAS</t>
        </is>
      </c>
      <c r="C57" s="6" t="n">
        <v>46249</v>
      </c>
      <c r="D57" s="6" t="n">
        <v>45901</v>
      </c>
      <c r="E57" s="6" t="n">
        <v>46265</v>
      </c>
      <c r="F57" s="5" t="inlineStr">
        <is>
          <t>NORMAL</t>
        </is>
      </c>
      <c r="G57" s="5" t="inlineStr">
        <is>
          <t>Final</t>
        </is>
      </c>
      <c r="H57" s="7" t="n">
        <v>1</v>
      </c>
      <c r="I57" s="7" t="n">
        <v>1</v>
      </c>
      <c r="J57" s="7" t="n">
        <v>1</v>
      </c>
      <c r="K57" s="7" t="n">
        <v>10620</v>
      </c>
      <c r="L57" s="8" t="n">
        <v>4279.86</v>
      </c>
      <c r="M57" s="8" t="n">
        <v>764.64</v>
      </c>
      <c r="N57" s="8" t="n">
        <v>0</v>
      </c>
      <c r="O57" s="8" t="n">
        <v>0</v>
      </c>
      <c r="P57" s="8" t="n">
        <v>0</v>
      </c>
      <c r="Q57" s="8" t="n">
        <v>66.23999999999999</v>
      </c>
      <c r="R57" s="8" t="n">
        <v>3448.98</v>
      </c>
      <c r="S57" s="8" t="n">
        <v>413.88</v>
      </c>
      <c r="T57" s="8" t="n">
        <v>77.26000000000001</v>
      </c>
      <c r="U57" s="8" t="n">
        <v>3785.6</v>
      </c>
      <c r="V57" s="5" t="inlineStr">
        <is>
          <t>SUCCESS</t>
        </is>
      </c>
      <c r="W57" s="5" t="inlineStr">
        <is>
          <t>C:\Liquidaciones\salidas\remesas\2026\DIRECTO\Final_J._A._PRIOR_PORTILLO_(1589)_SALUSTIANAS</t>
        </is>
      </c>
    </row>
    <row r="58">
      <c r="A58" s="5" t="n">
        <v>2310</v>
      </c>
      <c r="B58" s="5" t="inlineStr">
        <is>
          <t>Final LEON CARRASCO SL (1504) POWEL</t>
        </is>
      </c>
      <c r="C58" s="6" t="n">
        <v>46249</v>
      </c>
      <c r="D58" s="6" t="n">
        <v>45901</v>
      </c>
      <c r="E58" s="6" t="n">
        <v>46265</v>
      </c>
      <c r="F58" s="5" t="inlineStr">
        <is>
          <t>NORMAL</t>
        </is>
      </c>
      <c r="G58" s="5" t="inlineStr">
        <is>
          <t>Final</t>
        </is>
      </c>
      <c r="H58" s="7" t="n">
        <v>4</v>
      </c>
      <c r="I58" s="7" t="n">
        <v>1</v>
      </c>
      <c r="J58" s="7" t="n">
        <v>1</v>
      </c>
      <c r="K58" s="7" t="n">
        <v>78340</v>
      </c>
      <c r="L58" s="8" t="n">
        <v>31492.68</v>
      </c>
      <c r="M58" s="8" t="n">
        <v>0</v>
      </c>
      <c r="N58" s="8" t="n">
        <v>0</v>
      </c>
      <c r="O58" s="8" t="n">
        <v>0</v>
      </c>
      <c r="P58" s="8" t="n">
        <v>0</v>
      </c>
      <c r="Q58" s="8" t="n">
        <v>499.75</v>
      </c>
      <c r="R58" s="8" t="n">
        <v>30992.93</v>
      </c>
      <c r="S58" s="8" t="n">
        <v>3719.15</v>
      </c>
      <c r="T58" s="8" t="n">
        <v>694.24</v>
      </c>
      <c r="U58" s="8" t="n">
        <v>34017.84</v>
      </c>
      <c r="V58" s="5" t="inlineStr">
        <is>
          <t>SUCCESS</t>
        </is>
      </c>
      <c r="W58" s="5" t="inlineStr">
        <is>
          <t>C:\Liquidaciones\salidas\remesas\2026\DIRECTO\Final_LEON_CARRASCO_SL_(1504)_POWEL</t>
        </is>
      </c>
    </row>
    <row r="59">
      <c r="A59" s="5" t="n">
        <v>2311</v>
      </c>
      <c r="B59" s="5" t="inlineStr">
        <is>
          <t>Final MERCEDES GOMEZ (1577) POWEL</t>
        </is>
      </c>
      <c r="C59" s="6" t="n">
        <v>46249</v>
      </c>
      <c r="D59" s="6" t="n">
        <v>45901</v>
      </c>
      <c r="E59" s="6" t="n">
        <v>46265</v>
      </c>
      <c r="F59" s="5" t="inlineStr">
        <is>
          <t>NORMAL</t>
        </is>
      </c>
      <c r="G59" s="5" t="inlineStr">
        <is>
          <t>Final</t>
        </is>
      </c>
      <c r="H59" s="7" t="n">
        <v>4</v>
      </c>
      <c r="I59" s="7" t="n">
        <v>1</v>
      </c>
      <c r="J59" s="7" t="n">
        <v>1</v>
      </c>
      <c r="K59" s="7" t="n">
        <v>83263</v>
      </c>
      <c r="L59" s="8" t="n">
        <v>40132.77</v>
      </c>
      <c r="M59" s="8" t="n">
        <v>5203.94</v>
      </c>
      <c r="N59" s="8" t="n">
        <v>0</v>
      </c>
      <c r="O59" s="8" t="n">
        <v>0</v>
      </c>
      <c r="P59" s="8" t="n">
        <v>0</v>
      </c>
      <c r="Q59" s="8" t="n">
        <v>531.41</v>
      </c>
      <c r="R59" s="8" t="n">
        <v>34397.42</v>
      </c>
      <c r="S59" s="8" t="n">
        <v>4127.69</v>
      </c>
      <c r="T59" s="8" t="n">
        <v>770.5</v>
      </c>
      <c r="U59" s="8" t="n">
        <v>37754.61</v>
      </c>
      <c r="V59" s="5" t="inlineStr">
        <is>
          <t>SUCCESS</t>
        </is>
      </c>
      <c r="W59" s="5" t="inlineStr">
        <is>
          <t>C:\Liquidaciones\salidas\remesas\2026\DIRECTO\Final_MERCEDES_GOMEZ_(1577)_POWEL</t>
        </is>
      </c>
    </row>
    <row r="60">
      <c r="A60" s="5" t="n">
        <v>2312</v>
      </c>
      <c r="B60" s="5" t="inlineStr">
        <is>
          <t>Final FRANCISCO JAVIER CALZADO (1178) NAVEL POWEL</t>
        </is>
      </c>
      <c r="C60" s="6" t="n">
        <v>46249</v>
      </c>
      <c r="D60" s="6" t="n">
        <v>45901</v>
      </c>
      <c r="E60" s="6" t="n">
        <v>46265</v>
      </c>
      <c r="F60" s="5" t="inlineStr">
        <is>
          <t>NORMAL</t>
        </is>
      </c>
      <c r="G60" s="5" t="inlineStr">
        <is>
          <t>Final</t>
        </is>
      </c>
      <c r="H60" s="7" t="n">
        <v>2</v>
      </c>
      <c r="I60" s="7" t="n">
        <v>1</v>
      </c>
      <c r="J60" s="7" t="n">
        <v>1</v>
      </c>
      <c r="K60" s="7" t="n">
        <v>20980</v>
      </c>
      <c r="L60" s="8" t="n">
        <v>8014.36</v>
      </c>
      <c r="M60" s="8" t="n">
        <v>0</v>
      </c>
      <c r="N60" s="8" t="n">
        <v>0</v>
      </c>
      <c r="O60" s="8" t="n">
        <v>0</v>
      </c>
      <c r="P60" s="8" t="n">
        <v>0</v>
      </c>
      <c r="Q60" s="8" t="n">
        <v>258.34</v>
      </c>
      <c r="R60" s="8" t="n">
        <v>7756.02</v>
      </c>
      <c r="S60" s="8" t="n">
        <v>930.72</v>
      </c>
      <c r="T60" s="8" t="n">
        <v>173.73</v>
      </c>
      <c r="U60" s="8" t="n">
        <v>8513.01</v>
      </c>
      <c r="V60" s="5" t="inlineStr">
        <is>
          <t>SUCCESS</t>
        </is>
      </c>
      <c r="W60" s="5" t="inlineStr">
        <is>
          <t>C:\Liquidaciones\salidas\remesas\2026\DIRECTO\Final_FRANCISCO_JAVIER_CALZADO_(1178)_NAVEL_POWEL</t>
        </is>
      </c>
    </row>
    <row r="61">
      <c r="A61" s="5" t="n">
        <v>2313</v>
      </c>
      <c r="B61" s="5" t="inlineStr">
        <is>
          <t>Final FERNANDO TOMENO SUAREZ (1415) BARBERINA</t>
        </is>
      </c>
      <c r="C61" s="6" t="n">
        <v>46249</v>
      </c>
      <c r="D61" s="6" t="n">
        <v>45901</v>
      </c>
      <c r="E61" s="6" t="n">
        <v>46265</v>
      </c>
      <c r="F61" s="5" t="inlineStr">
        <is>
          <t>NORMAL</t>
        </is>
      </c>
      <c r="G61" s="5" t="inlineStr">
        <is>
          <t>Final</t>
        </is>
      </c>
      <c r="H61" s="7" t="n">
        <v>4</v>
      </c>
      <c r="I61" s="7" t="n">
        <v>1</v>
      </c>
      <c r="J61" s="7" t="n">
        <v>1</v>
      </c>
      <c r="K61" s="7" t="n">
        <v>84220</v>
      </c>
      <c r="L61" s="8" t="n">
        <v>43120.64</v>
      </c>
      <c r="M61" s="8" t="n">
        <v>0</v>
      </c>
      <c r="N61" s="8" t="n">
        <v>0</v>
      </c>
      <c r="O61" s="8" t="n">
        <v>0</v>
      </c>
      <c r="P61" s="8" t="n">
        <v>0</v>
      </c>
      <c r="Q61" s="8" t="n">
        <v>296.78</v>
      </c>
      <c r="R61" s="8" t="n">
        <v>42823.86</v>
      </c>
      <c r="S61" s="8" t="n">
        <v>5138.86</v>
      </c>
      <c r="T61" s="8" t="n">
        <v>959.25</v>
      </c>
      <c r="U61" s="8" t="n">
        <v>47003.47</v>
      </c>
      <c r="V61" s="5" t="inlineStr">
        <is>
          <t>SUCCESS</t>
        </is>
      </c>
      <c r="W61" s="5" t="inlineStr">
        <is>
          <t>C:\Liquidaciones\salidas\remesas\2026\DIRECTO\Final_FERNANDO_TOMENO_SUAREZ_(1415)_BARBERINA</t>
        </is>
      </c>
    </row>
    <row r="62">
      <c r="A62" s="5" t="n">
        <v>2314</v>
      </c>
      <c r="B62" s="5" t="inlineStr">
        <is>
          <t>Final FAMILIA GONZALEZ LACAL (1350) BARBERINA</t>
        </is>
      </c>
      <c r="C62" s="6" t="n">
        <v>46249</v>
      </c>
      <c r="D62" s="6" t="n">
        <v>45901</v>
      </c>
      <c r="E62" s="6" t="n">
        <v>46265</v>
      </c>
      <c r="F62" s="5" t="inlineStr">
        <is>
          <t>NORMAL</t>
        </is>
      </c>
      <c r="G62" s="5" t="inlineStr">
        <is>
          <t>Final</t>
        </is>
      </c>
      <c r="H62" s="7" t="n">
        <v>1</v>
      </c>
      <c r="I62" s="7" t="n">
        <v>1</v>
      </c>
      <c r="J62" s="7" t="n">
        <v>1</v>
      </c>
      <c r="K62" s="7" t="n">
        <v>22080</v>
      </c>
      <c r="L62" s="8" t="n">
        <v>11304.96</v>
      </c>
      <c r="M62" s="8" t="n">
        <v>1380</v>
      </c>
      <c r="N62" s="8" t="n">
        <v>0</v>
      </c>
      <c r="O62" s="8" t="n">
        <v>0</v>
      </c>
      <c r="P62" s="8" t="n">
        <v>0</v>
      </c>
      <c r="Q62" s="8" t="n">
        <v>308.38</v>
      </c>
      <c r="R62" s="8" t="n">
        <v>9616.58</v>
      </c>
      <c r="S62" s="8" t="n">
        <v>1153.99</v>
      </c>
      <c r="T62" s="8" t="n">
        <v>215.41</v>
      </c>
      <c r="U62" s="8" t="n">
        <v>10555.16</v>
      </c>
      <c r="V62" s="5" t="inlineStr">
        <is>
          <t>SUCCESS</t>
        </is>
      </c>
      <c r="W62" s="5" t="inlineStr">
        <is>
          <t>C:\Liquidaciones\salidas\remesas\2026\DIRECTO\Final_FAMILIA_GONZALEZ_LACAL_(1350)_BARBERINA</t>
        </is>
      </c>
    </row>
    <row r="63">
      <c r="A63" s="5" t="n">
        <v>2315</v>
      </c>
      <c r="B63" s="5" t="inlineStr">
        <is>
          <t>Final FRUTAS ANDALUZAS DE SEVILLA (1627) BARBERINA</t>
        </is>
      </c>
      <c r="C63" s="6" t="n">
        <v>46249</v>
      </c>
      <c r="D63" s="6" t="n">
        <v>45901</v>
      </c>
      <c r="E63" s="6" t="n">
        <v>46265</v>
      </c>
      <c r="F63" s="5" t="inlineStr">
        <is>
          <t>NORMAL</t>
        </is>
      </c>
      <c r="G63" s="5" t="inlineStr">
        <is>
          <t>Final</t>
        </is>
      </c>
      <c r="H63" s="7" t="n">
        <v>2</v>
      </c>
      <c r="I63" s="7" t="n">
        <v>1</v>
      </c>
      <c r="J63" s="7" t="n">
        <v>1</v>
      </c>
      <c r="K63" s="7" t="n">
        <v>40500</v>
      </c>
      <c r="L63" s="8" t="n">
        <v>20331</v>
      </c>
      <c r="M63" s="8" t="n">
        <v>0</v>
      </c>
      <c r="N63" s="8" t="n">
        <v>0</v>
      </c>
      <c r="O63" s="8" t="n">
        <v>0</v>
      </c>
      <c r="P63" s="8" t="n">
        <v>0</v>
      </c>
      <c r="Q63" s="8" t="n">
        <v>409.54</v>
      </c>
      <c r="R63" s="8" t="n">
        <v>19921.46</v>
      </c>
      <c r="S63" s="8" t="n">
        <v>2390.58</v>
      </c>
      <c r="T63" s="8" t="n">
        <v>446.24</v>
      </c>
      <c r="U63" s="8" t="n">
        <v>21865.79</v>
      </c>
      <c r="V63" s="5" t="inlineStr">
        <is>
          <t>SUCCESS</t>
        </is>
      </c>
      <c r="W63" s="5" t="inlineStr">
        <is>
          <t>C:\Liquidaciones\salidas\remesas\2026\DIRECTO\Final_FRUTAS_ANDALUZAS_DE_SEVILLA_(1627)_BARBERINA</t>
        </is>
      </c>
    </row>
    <row r="64">
      <c r="A64" s="5" t="n">
        <v>2317</v>
      </c>
      <c r="B64" s="5" t="inlineStr">
        <is>
          <t>Final JUAN SERRANO CORZO (981) SALUSTIANAS</t>
        </is>
      </c>
      <c r="C64" s="6" t="n">
        <v>46249</v>
      </c>
      <c r="D64" s="6" t="n">
        <v>45901</v>
      </c>
      <c r="E64" s="6" t="n">
        <v>46265</v>
      </c>
      <c r="F64" s="5" t="inlineStr">
        <is>
          <t>NORMAL</t>
        </is>
      </c>
      <c r="G64" s="5" t="inlineStr">
        <is>
          <t>Final</t>
        </is>
      </c>
      <c r="H64" s="7" t="n">
        <v>3</v>
      </c>
      <c r="I64" s="7" t="n">
        <v>1</v>
      </c>
      <c r="J64" s="7" t="n">
        <v>1</v>
      </c>
      <c r="K64" s="7" t="n">
        <v>34725</v>
      </c>
      <c r="L64" s="8" t="n">
        <v>8056.2</v>
      </c>
      <c r="M64" s="8" t="n">
        <v>0</v>
      </c>
      <c r="N64" s="8" t="n">
        <v>0</v>
      </c>
      <c r="O64" s="8" t="n">
        <v>0</v>
      </c>
      <c r="P64" s="8" t="n">
        <v>0</v>
      </c>
      <c r="Q64" s="8" t="n">
        <v>312</v>
      </c>
      <c r="R64" s="8" t="n">
        <v>7744.2</v>
      </c>
      <c r="S64" s="8" t="n">
        <v>929.3</v>
      </c>
      <c r="T64" s="8" t="n">
        <v>173.47</v>
      </c>
      <c r="U64" s="8" t="n">
        <v>8500.030000000001</v>
      </c>
      <c r="V64" s="5" t="inlineStr">
        <is>
          <t>SUCCESS</t>
        </is>
      </c>
      <c r="W64" s="5" t="inlineStr">
        <is>
          <t>C:\Liquidaciones\salidas\remesas\2026\DIRECTO\Final_JUAN_SERRANO_CORZO_(981)_SALUSTIANAS</t>
        </is>
      </c>
    </row>
    <row r="65">
      <c r="A65" s="5" t="n">
        <v>2318</v>
      </c>
      <c r="B65" s="5" t="inlineStr">
        <is>
          <t>Final J. A. RODRIGUEZ MEJIAS (1523) VALENCIA</t>
        </is>
      </c>
      <c r="C65" s="6" t="n">
        <v>46249</v>
      </c>
      <c r="D65" s="6" t="n">
        <v>45901</v>
      </c>
      <c r="E65" s="6" t="n">
        <v>46265</v>
      </c>
      <c r="F65" s="5" t="inlineStr">
        <is>
          <t>NORMAL</t>
        </is>
      </c>
      <c r="G65" s="5" t="inlineStr">
        <is>
          <t>Final</t>
        </is>
      </c>
      <c r="H65" s="7" t="n">
        <v>3</v>
      </c>
      <c r="I65" s="7" t="n">
        <v>1</v>
      </c>
      <c r="J65" s="7" t="n">
        <v>1</v>
      </c>
      <c r="K65" s="7" t="n">
        <v>56312</v>
      </c>
      <c r="L65" s="8" t="n">
        <v>19258.7</v>
      </c>
      <c r="M65" s="8" t="n">
        <v>0</v>
      </c>
      <c r="N65" s="8" t="n">
        <v>0</v>
      </c>
      <c r="O65" s="8" t="n">
        <v>0</v>
      </c>
      <c r="P65" s="8" t="n">
        <v>0</v>
      </c>
      <c r="Q65" s="8" t="n">
        <v>409.14</v>
      </c>
      <c r="R65" s="8" t="n">
        <v>18849.56</v>
      </c>
      <c r="S65" s="8" t="n">
        <v>2261.95</v>
      </c>
      <c r="T65" s="8" t="n">
        <v>422.23</v>
      </c>
      <c r="U65" s="8" t="n">
        <v>20689.28</v>
      </c>
      <c r="V65" s="5" t="inlineStr">
        <is>
          <t>SUCCESS</t>
        </is>
      </c>
      <c r="W65" s="5" t="inlineStr">
        <is>
          <t>C:\Liquidaciones\salidas\remesas\2026\DIRECTO\Final_J._A._RODRIGUEZ_MEJIAS_(1523)_VALENCIA</t>
        </is>
      </c>
    </row>
    <row r="66">
      <c r="A66" s="5" t="n">
        <v>2319</v>
      </c>
      <c r="B66" s="5" t="inlineStr">
        <is>
          <t>Final J. A. RODRIGUEZ GARCIA (1194) VALENCIA</t>
        </is>
      </c>
      <c r="C66" s="6" t="n">
        <v>46249</v>
      </c>
      <c r="D66" s="6" t="n">
        <v>45901</v>
      </c>
      <c r="E66" s="6" t="n">
        <v>46265</v>
      </c>
      <c r="F66" s="5" t="inlineStr">
        <is>
          <t>NORMAL</t>
        </is>
      </c>
      <c r="G66" s="5" t="inlineStr">
        <is>
          <t>Final</t>
        </is>
      </c>
      <c r="H66" s="7" t="n">
        <v>10</v>
      </c>
      <c r="I66" s="7" t="n">
        <v>1</v>
      </c>
      <c r="J66" s="7" t="n">
        <v>1</v>
      </c>
      <c r="K66" s="7" t="n">
        <v>181217</v>
      </c>
      <c r="L66" s="8" t="n">
        <v>61976.21</v>
      </c>
      <c r="M66" s="8" t="n">
        <v>0</v>
      </c>
      <c r="N66" s="8" t="n">
        <v>0</v>
      </c>
      <c r="O66" s="8" t="n">
        <v>0</v>
      </c>
      <c r="P66" s="8" t="n">
        <v>0</v>
      </c>
      <c r="Q66" s="8" t="n">
        <v>1372.8</v>
      </c>
      <c r="R66" s="8" t="n">
        <v>60603.41</v>
      </c>
      <c r="S66" s="8" t="n">
        <v>7272.41</v>
      </c>
      <c r="T66" s="8" t="n">
        <v>1357.52</v>
      </c>
      <c r="U66" s="8" t="n">
        <v>66518.3</v>
      </c>
      <c r="V66" s="5" t="inlineStr">
        <is>
          <t>SUCCESS</t>
        </is>
      </c>
      <c r="W66" s="5" t="inlineStr">
        <is>
          <t>C:\Liquidaciones\salidas\remesas\2026\DIRECTO\Final_J._A._RODRIGUEZ_GARCIA_(1194)_VALENCIA</t>
        </is>
      </c>
    </row>
    <row r="67">
      <c r="A67" s="5" t="n">
        <v>2320</v>
      </c>
      <c r="B67" s="5" t="inlineStr">
        <is>
          <t>Final PEDRO JIMENEZ MALDONADO (1500) CHISSLET</t>
        </is>
      </c>
      <c r="C67" s="6" t="n">
        <v>46249</v>
      </c>
      <c r="D67" s="6" t="n">
        <v>45901</v>
      </c>
      <c r="E67" s="6" t="n">
        <v>46265</v>
      </c>
      <c r="F67" s="5" t="inlineStr">
        <is>
          <t>NORMAL</t>
        </is>
      </c>
      <c r="G67" s="5" t="inlineStr">
        <is>
          <t>Final</t>
        </is>
      </c>
      <c r="H67" s="7" t="n">
        <v>1</v>
      </c>
      <c r="I67" s="7" t="n">
        <v>1</v>
      </c>
      <c r="J67" s="7" t="n">
        <v>1</v>
      </c>
      <c r="K67" s="7" t="n">
        <v>2769</v>
      </c>
      <c r="L67" s="8" t="n">
        <v>1334.66</v>
      </c>
      <c r="M67" s="8" t="n">
        <v>173.06</v>
      </c>
      <c r="N67" s="8" t="n">
        <v>0</v>
      </c>
      <c r="O67" s="8" t="n">
        <v>0</v>
      </c>
      <c r="P67" s="8" t="n">
        <v>0</v>
      </c>
      <c r="Q67" s="8" t="n">
        <v>9.699999999999999</v>
      </c>
      <c r="R67" s="8" t="n">
        <v>1151.9</v>
      </c>
      <c r="S67" s="8" t="n">
        <v>138.23</v>
      </c>
      <c r="T67" s="8" t="n">
        <v>25.8</v>
      </c>
      <c r="U67" s="8" t="n">
        <v>1264.33</v>
      </c>
      <c r="V67" s="5" t="inlineStr">
        <is>
          <t>SUCCESS</t>
        </is>
      </c>
      <c r="W67" s="5" t="inlineStr">
        <is>
          <t>C:\Liquidaciones\salidas\remesas\2026\DIRECTO\Final_PEDRO_JIMENEZ_MALDONADO_(1500)_CHISSLET</t>
        </is>
      </c>
    </row>
    <row r="68">
      <c r="A68" s="5" t="n">
        <v>2321</v>
      </c>
      <c r="B68" s="5" t="inlineStr">
        <is>
          <t>BLANCA TARDIA</t>
        </is>
      </c>
      <c r="C68" s="6" t="n">
        <v>46235</v>
      </c>
      <c r="D68" s="6" t="n">
        <v>45901</v>
      </c>
      <c r="E68" s="6" t="n">
        <v>46265</v>
      </c>
      <c r="F68" s="5" t="inlineStr">
        <is>
          <t>NORMAL</t>
        </is>
      </c>
      <c r="G68" s="5" t="inlineStr">
        <is>
          <t>Final</t>
        </is>
      </c>
      <c r="H68" s="7" t="n">
        <v>23</v>
      </c>
      <c r="I68" s="7" t="n">
        <v>9</v>
      </c>
      <c r="J68" s="7" t="n">
        <v>4</v>
      </c>
      <c r="K68" s="7" t="n">
        <v>59061</v>
      </c>
      <c r="L68" s="8" t="n">
        <v>18308.91</v>
      </c>
      <c r="M68" s="8" t="n">
        <v>2972.53</v>
      </c>
      <c r="N68" s="8" t="n">
        <v>0</v>
      </c>
      <c r="O68" s="8" t="n">
        <v>-123.78</v>
      </c>
      <c r="P68" s="8" t="n">
        <v>0</v>
      </c>
      <c r="Q68" s="8" t="n">
        <v>613.24</v>
      </c>
      <c r="R68" s="8" t="n">
        <v>14599.36</v>
      </c>
      <c r="S68" s="8" t="n">
        <v>1751.91</v>
      </c>
      <c r="T68" s="8" t="n">
        <v>327.02</v>
      </c>
      <c r="U68" s="8" t="n">
        <v>16024.25</v>
      </c>
      <c r="V68" s="5" t="inlineStr">
        <is>
          <t>SUCCESS</t>
        </is>
      </c>
      <c r="W68" s="5" t="inlineStr">
        <is>
          <t>C:\Liquidaciones\salidas\remesas\2026\INDUSTRIA\BLANCA_TARDIA</t>
        </is>
      </c>
    </row>
    <row r="69">
      <c r="A69" s="5" t="n">
        <v>2322</v>
      </c>
      <c r="B69" s="5" t="inlineStr">
        <is>
          <t>BLANCA TEMPRANA</t>
        </is>
      </c>
      <c r="C69" s="6" t="n">
        <v>46235</v>
      </c>
      <c r="D69" s="6" t="n">
        <v>45901</v>
      </c>
      <c r="E69" s="6" t="n">
        <v>46265</v>
      </c>
      <c r="F69" s="5" t="inlineStr">
        <is>
          <t>NORMAL</t>
        </is>
      </c>
      <c r="G69" s="5" t="inlineStr">
        <is>
          <t>Final</t>
        </is>
      </c>
      <c r="H69" s="7" t="n">
        <v>225</v>
      </c>
      <c r="I69" s="7" t="n">
        <v>53</v>
      </c>
      <c r="J69" s="7" t="n">
        <v>1</v>
      </c>
      <c r="K69" s="7" t="n">
        <v>1208716</v>
      </c>
      <c r="L69" s="8" t="n">
        <v>374701.96</v>
      </c>
      <c r="M69" s="8" t="n">
        <v>72495.74000000001</v>
      </c>
      <c r="N69" s="8" t="n">
        <v>0</v>
      </c>
      <c r="O69" s="8" t="n">
        <v>-2655.02</v>
      </c>
      <c r="P69" s="8" t="n">
        <v>0</v>
      </c>
      <c r="Q69" s="8" t="n">
        <v>10438.45</v>
      </c>
      <c r="R69" s="8" t="n">
        <v>289112.75</v>
      </c>
      <c r="S69" s="8" t="n">
        <v>34492.36</v>
      </c>
      <c r="T69" s="8" t="n">
        <v>6472.09</v>
      </c>
      <c r="U69" s="8" t="n">
        <v>317132.99</v>
      </c>
      <c r="V69" s="5" t="inlineStr">
        <is>
          <t>SUCCESS</t>
        </is>
      </c>
      <c r="W69" s="5" t="inlineStr">
        <is>
          <t>C:\Liquidaciones\salidas\remesas\2026\INDUSTRIA\BLANCA_TEMPRANA</t>
        </is>
      </c>
    </row>
    <row r="70">
      <c r="A70" s="5" t="n">
        <v>2324</v>
      </c>
      <c r="B70" s="5" t="inlineStr">
        <is>
          <t>NAVEL TARDIA</t>
        </is>
      </c>
      <c r="C70" s="6" t="n">
        <v>46235</v>
      </c>
      <c r="D70" s="6" t="n">
        <v>45901</v>
      </c>
      <c r="E70" s="6" t="n">
        <v>46265</v>
      </c>
      <c r="F70" s="5" t="inlineStr">
        <is>
          <t>NORMAL</t>
        </is>
      </c>
      <c r="G70" s="5" t="inlineStr">
        <is>
          <t>Final</t>
        </is>
      </c>
      <c r="H70" s="7" t="n">
        <v>46</v>
      </c>
      <c r="I70" s="7" t="n">
        <v>14</v>
      </c>
      <c r="J70" s="7" t="n">
        <v>4</v>
      </c>
      <c r="K70" s="7" t="n">
        <v>52653</v>
      </c>
      <c r="L70" s="8" t="n">
        <v>16322.43</v>
      </c>
      <c r="M70" s="8" t="n">
        <v>1879.24</v>
      </c>
      <c r="N70" s="8" t="n">
        <v>0</v>
      </c>
      <c r="O70" s="8" t="n">
        <v>-310.36</v>
      </c>
      <c r="P70" s="8" t="n">
        <v>0</v>
      </c>
      <c r="Q70" s="8" t="n">
        <v>444.69</v>
      </c>
      <c r="R70" s="8" t="n">
        <v>13688.14</v>
      </c>
      <c r="S70" s="8" t="n">
        <v>1642.59</v>
      </c>
      <c r="T70" s="8" t="n">
        <v>306.6</v>
      </c>
      <c r="U70" s="8" t="n">
        <v>15024.1</v>
      </c>
      <c r="V70" s="5" t="inlineStr">
        <is>
          <t>SUCCESS</t>
        </is>
      </c>
      <c r="W70" s="5" t="inlineStr">
        <is>
          <t>C:\Liquidaciones\salidas\remesas\2026\INDUSTRIA\NAVEL_TARDIA</t>
        </is>
      </c>
    </row>
    <row r="71">
      <c r="A71" s="5" t="n">
        <v>2325</v>
      </c>
      <c r="B71" s="5" t="inlineStr">
        <is>
          <t>NAVEL TEMPRANA</t>
        </is>
      </c>
      <c r="C71" s="6" t="n">
        <v>46235</v>
      </c>
      <c r="D71" s="6" t="n">
        <v>45901</v>
      </c>
      <c r="E71" s="6" t="n">
        <v>46265</v>
      </c>
      <c r="F71" s="5" t="inlineStr">
        <is>
          <t>NORMAL</t>
        </is>
      </c>
      <c r="G71" s="5" t="inlineStr">
        <is>
          <t>Final</t>
        </is>
      </c>
      <c r="H71" s="7" t="n">
        <v>115</v>
      </c>
      <c r="I71" s="7" t="n">
        <v>42</v>
      </c>
      <c r="J71" s="7" t="n">
        <v>4</v>
      </c>
      <c r="K71" s="7" t="n">
        <v>288954</v>
      </c>
      <c r="L71" s="8" t="n">
        <v>89575.74000000001</v>
      </c>
      <c r="M71" s="8" t="n">
        <v>16742.11</v>
      </c>
      <c r="N71" s="8" t="n">
        <v>0</v>
      </c>
      <c r="O71" s="8" t="n">
        <v>-1924.8</v>
      </c>
      <c r="P71" s="8" t="n">
        <v>0</v>
      </c>
      <c r="Q71" s="8" t="n">
        <v>2260.04</v>
      </c>
      <c r="R71" s="8" t="n">
        <v>68648.78999999999</v>
      </c>
      <c r="S71" s="8" t="n">
        <v>7180.8</v>
      </c>
      <c r="T71" s="8" t="n">
        <v>1461.81</v>
      </c>
      <c r="U71" s="8" t="n">
        <v>74367.81</v>
      </c>
      <c r="V71" s="5" t="inlineStr">
        <is>
          <t>SUCCESS</t>
        </is>
      </c>
      <c r="W71" s="5" t="inlineStr">
        <is>
          <t>C:\Liquidaciones\salidas\remesas\2026\INDUSTRIA\NAVEL_TEMPRANA</t>
        </is>
      </c>
    </row>
    <row r="72">
      <c r="A72" s="5" t="n">
        <v>2148</v>
      </c>
      <c r="B72" s="5" t="inlineStr">
        <is>
          <t>Nadorcott Semana 5 NORMAL</t>
        </is>
      </c>
      <c r="C72" s="6" t="n">
        <v>46239</v>
      </c>
      <c r="D72" s="6" t="n">
        <v>46048</v>
      </c>
      <c r="E72" s="6" t="n">
        <v>46054</v>
      </c>
      <c r="F72" s="5" t="inlineStr">
        <is>
          <t>NORMAL</t>
        </is>
      </c>
      <c r="G72" s="5" t="inlineStr">
        <is>
          <t>Final</t>
        </is>
      </c>
      <c r="H72" s="7" t="n">
        <v>14</v>
      </c>
      <c r="I72" s="7" t="n">
        <v>4</v>
      </c>
      <c r="J72" s="7" t="n">
        <v>1</v>
      </c>
      <c r="K72" s="7" t="n">
        <v>117324</v>
      </c>
      <c r="L72" s="8" t="n">
        <v>87085.11</v>
      </c>
      <c r="M72" s="8" t="n">
        <v>6925.63</v>
      </c>
      <c r="N72" s="8" t="n">
        <v>0</v>
      </c>
      <c r="O72" s="8" t="n">
        <v>810.61</v>
      </c>
      <c r="P72" s="8" t="n">
        <v>1834.85</v>
      </c>
      <c r="Q72" s="8" t="n">
        <v>760.34</v>
      </c>
      <c r="R72" s="8" t="n">
        <v>82978.45</v>
      </c>
      <c r="S72" s="8" t="n">
        <v>9841.35</v>
      </c>
      <c r="T72" s="8" t="n">
        <v>1826.22</v>
      </c>
      <c r="U72" s="8" t="n">
        <v>90993.58</v>
      </c>
      <c r="V72" s="5" t="inlineStr">
        <is>
          <t>SUCCESS</t>
        </is>
      </c>
      <c r="W72" s="5" t="inlineStr">
        <is>
          <t>C:\Liquidaciones\salidas\remesas\2026\MANDARINA\Nadorcott_Semana_5_NORMAL</t>
        </is>
      </c>
    </row>
    <row r="73">
      <c r="A73" s="5" t="n">
        <v>2149</v>
      </c>
      <c r="B73" s="5" t="inlineStr">
        <is>
          <t>Nadorcott Semana 7 NORMAL</t>
        </is>
      </c>
      <c r="C73" s="6" t="n">
        <v>46239</v>
      </c>
      <c r="D73" s="6" t="n">
        <v>46062</v>
      </c>
      <c r="E73" s="6" t="n">
        <v>46068</v>
      </c>
      <c r="F73" s="5" t="inlineStr">
        <is>
          <t>NORMAL</t>
        </is>
      </c>
      <c r="G73" s="5" t="inlineStr">
        <is>
          <t>Final</t>
        </is>
      </c>
      <c r="H73" s="7" t="n">
        <v>3</v>
      </c>
      <c r="I73" s="7" t="n">
        <v>1</v>
      </c>
      <c r="J73" s="7" t="n">
        <v>1</v>
      </c>
      <c r="K73" s="7" t="n">
        <v>22750</v>
      </c>
      <c r="L73" s="8" t="n">
        <v>17609.69</v>
      </c>
      <c r="M73" s="8" t="n">
        <v>2843.75</v>
      </c>
      <c r="N73" s="8" t="n">
        <v>0</v>
      </c>
      <c r="O73" s="8" t="n">
        <v>0</v>
      </c>
      <c r="P73" s="8" t="n">
        <v>341.89</v>
      </c>
      <c r="Q73" s="8" t="n">
        <v>146.12</v>
      </c>
      <c r="R73" s="8" t="n">
        <v>15189.07</v>
      </c>
      <c r="S73" s="8" t="n">
        <v>1822.69</v>
      </c>
      <c r="T73" s="8" t="n">
        <v>340.24</v>
      </c>
      <c r="U73" s="8" t="n">
        <v>16671.52</v>
      </c>
      <c r="V73" s="5" t="inlineStr">
        <is>
          <t>SUCCESS</t>
        </is>
      </c>
      <c r="W73" s="5" t="inlineStr">
        <is>
          <t>C:\Liquidaciones\salidas\remesas\2026\MANDARINA\Nadorcott_Semana_7_NORMAL</t>
        </is>
      </c>
    </row>
    <row r="74">
      <c r="A74" s="5" t="n">
        <v>2150</v>
      </c>
      <c r="B74" s="5" t="inlineStr">
        <is>
          <t>Tango Semana 1 CON HOJAS</t>
        </is>
      </c>
      <c r="C74" s="6" t="n">
        <v>46239</v>
      </c>
      <c r="D74" s="6" t="n">
        <v>46020</v>
      </c>
      <c r="E74" s="6" t="n">
        <v>46026</v>
      </c>
      <c r="F74" s="5" t="inlineStr">
        <is>
          <t>CON HOJAS</t>
        </is>
      </c>
      <c r="G74" s="5" t="inlineStr">
        <is>
          <t>Final</t>
        </is>
      </c>
      <c r="H74" s="7" t="n">
        <v>1</v>
      </c>
      <c r="I74" s="7" t="n">
        <v>1</v>
      </c>
      <c r="J74" s="7" t="n">
        <v>1</v>
      </c>
      <c r="K74" s="7" t="n">
        <v>2283</v>
      </c>
      <c r="L74" s="8" t="n">
        <v>1875.74</v>
      </c>
      <c r="M74" s="8" t="n">
        <v>285.38</v>
      </c>
      <c r="N74" s="8" t="n">
        <v>0</v>
      </c>
      <c r="O74" s="8" t="n">
        <v>0</v>
      </c>
      <c r="P74" s="8" t="n">
        <v>37.08</v>
      </c>
      <c r="Q74" s="8" t="n">
        <v>0</v>
      </c>
      <c r="R74" s="8" t="n">
        <v>1640.39</v>
      </c>
      <c r="S74" s="8" t="n">
        <v>196.85</v>
      </c>
      <c r="T74" s="8" t="n">
        <v>36.74</v>
      </c>
      <c r="U74" s="8" t="n">
        <v>1800.49</v>
      </c>
      <c r="V74" s="5" t="inlineStr">
        <is>
          <t>SUCCESS</t>
        </is>
      </c>
      <c r="W74" s="5" t="inlineStr">
        <is>
          <t>C:\Liquidaciones\salidas\remesas\2026\MANDARINA\Tango_Semana_1_CON_HOJAS</t>
        </is>
      </c>
    </row>
    <row r="75">
      <c r="A75" s="5" t="n">
        <v>2151</v>
      </c>
      <c r="B75" s="5" t="inlineStr">
        <is>
          <t>Tango Semana 1 NORMAL</t>
        </is>
      </c>
      <c r="C75" s="6" t="n">
        <v>46239</v>
      </c>
      <c r="D75" s="6" t="n">
        <v>46020</v>
      </c>
      <c r="E75" s="6" t="n">
        <v>46026</v>
      </c>
      <c r="F75" s="5" t="inlineStr">
        <is>
          <t>NORMAL</t>
        </is>
      </c>
      <c r="G75" s="5" t="inlineStr">
        <is>
          <t>Final</t>
        </is>
      </c>
      <c r="H75" s="7" t="n">
        <v>4</v>
      </c>
      <c r="I75" s="7" t="n">
        <v>2</v>
      </c>
      <c r="J75" s="7" t="n">
        <v>1</v>
      </c>
      <c r="K75" s="7" t="n">
        <v>59085</v>
      </c>
      <c r="L75" s="8" t="n">
        <v>46525.39</v>
      </c>
      <c r="M75" s="8" t="n">
        <v>7391.63</v>
      </c>
      <c r="N75" s="8" t="n">
        <v>0</v>
      </c>
      <c r="O75" s="8" t="n">
        <v>105.5</v>
      </c>
      <c r="P75" s="8" t="n">
        <v>1008.31</v>
      </c>
      <c r="Q75" s="8" t="n">
        <v>130.72</v>
      </c>
      <c r="R75" s="8" t="n">
        <v>40297.75</v>
      </c>
      <c r="S75" s="8" t="n">
        <v>4835.73</v>
      </c>
      <c r="T75" s="8" t="n">
        <v>902.67</v>
      </c>
      <c r="U75" s="8" t="n">
        <v>44230.81</v>
      </c>
      <c r="V75" s="5" t="inlineStr">
        <is>
          <t>SUCCESS</t>
        </is>
      </c>
      <c r="W75" s="5" t="inlineStr">
        <is>
          <t>C:\Liquidaciones\salidas\remesas\2026\MANDARINA\Tango_Semana_1_NORMAL</t>
        </is>
      </c>
    </row>
    <row r="76">
      <c r="A76" s="5" t="n">
        <v>2152</v>
      </c>
      <c r="B76" s="5" t="inlineStr">
        <is>
          <t>Tango Semana 2 NORMAL</t>
        </is>
      </c>
      <c r="C76" s="6" t="n">
        <v>46239</v>
      </c>
      <c r="D76" s="6" t="n">
        <v>46027</v>
      </c>
      <c r="E76" s="6" t="n">
        <v>46033</v>
      </c>
      <c r="F76" s="5" t="inlineStr">
        <is>
          <t>NORMAL</t>
        </is>
      </c>
      <c r="G76" s="5" t="inlineStr">
        <is>
          <t>Final</t>
        </is>
      </c>
      <c r="H76" s="7" t="n">
        <v>8</v>
      </c>
      <c r="I76" s="7" t="n">
        <v>5</v>
      </c>
      <c r="J76" s="7" t="n">
        <v>1</v>
      </c>
      <c r="K76" s="7" t="n">
        <v>148610</v>
      </c>
      <c r="L76" s="8" t="n">
        <v>114802.33</v>
      </c>
      <c r="M76" s="8" t="n">
        <v>10233.25</v>
      </c>
      <c r="N76" s="8" t="n">
        <v>0</v>
      </c>
      <c r="O76" s="8" t="n">
        <v>1347.47</v>
      </c>
      <c r="P76" s="8" t="n">
        <v>1850.71</v>
      </c>
      <c r="Q76" s="8" t="n">
        <v>926.3200000000001</v>
      </c>
      <c r="R76" s="8" t="n">
        <v>107250.78</v>
      </c>
      <c r="S76" s="8" t="n">
        <v>12870.09</v>
      </c>
      <c r="T76" s="8" t="n">
        <v>2402.42</v>
      </c>
      <c r="U76" s="8" t="n">
        <v>117718.44</v>
      </c>
      <c r="V76" s="5" t="inlineStr">
        <is>
          <t>SUCCESS</t>
        </is>
      </c>
      <c r="W76" s="5" t="inlineStr">
        <is>
          <t>C:\Liquidaciones\salidas\remesas\2026\MANDARINA\Tango_Semana_2_NORMAL</t>
        </is>
      </c>
    </row>
    <row r="77">
      <c r="A77" s="5" t="n">
        <v>2153</v>
      </c>
      <c r="B77" s="5" t="inlineStr">
        <is>
          <t>Tango Semana 3 NORMAL</t>
        </is>
      </c>
      <c r="C77" s="6" t="n">
        <v>46239</v>
      </c>
      <c r="D77" s="6" t="n">
        <v>46034</v>
      </c>
      <c r="E77" s="6" t="n">
        <v>46040</v>
      </c>
      <c r="F77" s="5" t="inlineStr">
        <is>
          <t>NORMAL</t>
        </is>
      </c>
      <c r="G77" s="5" t="inlineStr">
        <is>
          <t>Final</t>
        </is>
      </c>
      <c r="H77" s="7" t="n">
        <v>15</v>
      </c>
      <c r="I77" s="7" t="n">
        <v>7</v>
      </c>
      <c r="J77" s="7" t="n">
        <v>1</v>
      </c>
      <c r="K77" s="7" t="n">
        <v>276602</v>
      </c>
      <c r="L77" s="8" t="n">
        <v>222295.44</v>
      </c>
      <c r="M77" s="8" t="n">
        <v>19539.01</v>
      </c>
      <c r="N77" s="8" t="n">
        <v>0</v>
      </c>
      <c r="O77" s="8" t="n">
        <v>0</v>
      </c>
      <c r="P77" s="8" t="n">
        <v>4728.83</v>
      </c>
      <c r="Q77" s="8" t="n">
        <v>1870.2</v>
      </c>
      <c r="R77" s="8" t="n">
        <v>206434.95</v>
      </c>
      <c r="S77" s="8" t="n">
        <v>23835.94</v>
      </c>
      <c r="T77" s="8" t="n">
        <v>4361.99</v>
      </c>
      <c r="U77" s="8" t="n">
        <v>225908.9</v>
      </c>
      <c r="V77" s="5" t="inlineStr">
        <is>
          <t>SUCCESS</t>
        </is>
      </c>
      <c r="W77" s="5" t="inlineStr">
        <is>
          <t>C:\Liquidaciones\salidas\remesas\2026\MANDARINA\Tango_Semana_3_NORMAL</t>
        </is>
      </c>
    </row>
    <row r="78">
      <c r="A78" s="5" t="n">
        <v>2154</v>
      </c>
      <c r="B78" s="5" t="inlineStr">
        <is>
          <t>Tango Semana 4 CON HOJAS</t>
        </is>
      </c>
      <c r="C78" s="6" t="n">
        <v>46239</v>
      </c>
      <c r="D78" s="6" t="n">
        <v>46041</v>
      </c>
      <c r="E78" s="6" t="n">
        <v>46047</v>
      </c>
      <c r="F78" s="5" t="inlineStr">
        <is>
          <t>CON HOJAS</t>
        </is>
      </c>
      <c r="G78" s="5" t="inlineStr">
        <is>
          <t>Final</t>
        </is>
      </c>
      <c r="H78" s="7" t="n">
        <v>3</v>
      </c>
      <c r="I78" s="7" t="n">
        <v>1</v>
      </c>
      <c r="J78" s="7" t="n">
        <v>1</v>
      </c>
      <c r="K78" s="7" t="n">
        <v>38454</v>
      </c>
      <c r="L78" s="8" t="n">
        <v>29698.67</v>
      </c>
      <c r="M78" s="8" t="n">
        <v>4806.75</v>
      </c>
      <c r="N78" s="8" t="n">
        <v>0</v>
      </c>
      <c r="O78" s="8" t="n">
        <v>15.91</v>
      </c>
      <c r="P78" s="8" t="n">
        <v>645.27</v>
      </c>
      <c r="Q78" s="8" t="n">
        <v>349.14</v>
      </c>
      <c r="R78" s="8" t="n">
        <v>25356.51</v>
      </c>
      <c r="S78" s="8" t="n">
        <v>3042.78</v>
      </c>
      <c r="T78" s="8" t="n">
        <v>567.99</v>
      </c>
      <c r="U78" s="8" t="n">
        <v>27831.31</v>
      </c>
      <c r="V78" s="5" t="inlineStr">
        <is>
          <t>SUCCESS</t>
        </is>
      </c>
      <c r="W78" s="5" t="inlineStr">
        <is>
          <t>C:\Liquidaciones\salidas\remesas\2026\MANDARINA\Tango_Semana_4_CON_HOJAS</t>
        </is>
      </c>
    </row>
    <row r="79">
      <c r="A79" s="5" t="n">
        <v>2155</v>
      </c>
      <c r="B79" s="5" t="inlineStr">
        <is>
          <t>Tango Semana 9 NORMAL</t>
        </is>
      </c>
      <c r="C79" s="6" t="n">
        <v>46239</v>
      </c>
      <c r="D79" s="6" t="n">
        <v>46076</v>
      </c>
      <c r="E79" s="6" t="n">
        <v>46082</v>
      </c>
      <c r="F79" s="5" t="inlineStr">
        <is>
          <t>NORMAL</t>
        </is>
      </c>
      <c r="G79" s="5" t="inlineStr">
        <is>
          <t>Final</t>
        </is>
      </c>
      <c r="H79" s="7" t="n">
        <v>1</v>
      </c>
      <c r="I79" s="7" t="n">
        <v>1</v>
      </c>
      <c r="J79" s="7" t="n">
        <v>1</v>
      </c>
      <c r="K79" s="7" t="n">
        <v>17023</v>
      </c>
      <c r="L79" s="8" t="n">
        <v>11131.45</v>
      </c>
      <c r="M79" s="8" t="n">
        <v>1063.94</v>
      </c>
      <c r="N79" s="8" t="n">
        <v>0</v>
      </c>
      <c r="O79" s="8" t="n">
        <v>0</v>
      </c>
      <c r="P79" s="8" t="n">
        <v>0</v>
      </c>
      <c r="Q79" s="8" t="n">
        <v>161.72</v>
      </c>
      <c r="R79" s="8" t="n">
        <v>10143.29</v>
      </c>
      <c r="S79" s="8" t="n">
        <v>1217.19</v>
      </c>
      <c r="T79" s="8" t="n">
        <v>227.21</v>
      </c>
      <c r="U79" s="8" t="n">
        <v>11133.28</v>
      </c>
      <c r="V79" s="5" t="inlineStr">
        <is>
          <t>SUCCESS</t>
        </is>
      </c>
      <c r="W79" s="5" t="inlineStr">
        <is>
          <t>C:\Liquidaciones\salidas\remesas\2026\MANDARINA\Tango_Semana_9_NORMAL</t>
        </is>
      </c>
    </row>
    <row r="80">
      <c r="A80" s="5" t="n">
        <v>2156</v>
      </c>
      <c r="B80" s="5" t="inlineStr">
        <is>
          <t>Tango Semana 5 NORMAL</t>
        </is>
      </c>
      <c r="C80" s="6" t="n">
        <v>46239</v>
      </c>
      <c r="D80" s="6" t="n">
        <v>46048</v>
      </c>
      <c r="E80" s="6" t="n">
        <v>46054</v>
      </c>
      <c r="F80" s="5" t="inlineStr">
        <is>
          <t>NORMAL</t>
        </is>
      </c>
      <c r="G80" s="5" t="inlineStr">
        <is>
          <t>Final</t>
        </is>
      </c>
      <c r="H80" s="7" t="n">
        <v>3</v>
      </c>
      <c r="I80" s="7" t="n">
        <v>1</v>
      </c>
      <c r="J80" s="7" t="n">
        <v>1</v>
      </c>
      <c r="K80" s="7" t="n">
        <v>62684</v>
      </c>
      <c r="L80" s="8" t="n">
        <v>46130.93</v>
      </c>
      <c r="M80" s="8" t="n">
        <v>7834</v>
      </c>
      <c r="N80" s="8" t="n">
        <v>0</v>
      </c>
      <c r="O80" s="8" t="n">
        <v>0</v>
      </c>
      <c r="P80" s="8" t="n">
        <v>999.4</v>
      </c>
      <c r="Q80" s="8" t="n">
        <v>246.36</v>
      </c>
      <c r="R80" s="8" t="n">
        <v>39465.13</v>
      </c>
      <c r="S80" s="8" t="n">
        <v>4735.82</v>
      </c>
      <c r="T80" s="8" t="n">
        <v>884.02</v>
      </c>
      <c r="U80" s="8" t="n">
        <v>43316.93</v>
      </c>
      <c r="V80" s="5" t="inlineStr">
        <is>
          <t>SUCCESS</t>
        </is>
      </c>
      <c r="W80" s="5" t="inlineStr">
        <is>
          <t>C:\Liquidaciones\salidas\remesas\2026\MANDARINA\Tango_Semana_5_NORMAL</t>
        </is>
      </c>
    </row>
    <row r="81">
      <c r="A81" s="5" t="n">
        <v>2157</v>
      </c>
      <c r="B81" s="5" t="inlineStr">
        <is>
          <t>Tango Semana 4 NORMAL</t>
        </is>
      </c>
      <c r="C81" s="6" t="n">
        <v>46239</v>
      </c>
      <c r="D81" s="6" t="n">
        <v>46041</v>
      </c>
      <c r="E81" s="6" t="n">
        <v>46047</v>
      </c>
      <c r="F81" s="5" t="inlineStr">
        <is>
          <t>NORMAL</t>
        </is>
      </c>
      <c r="G81" s="5" t="inlineStr">
        <is>
          <t>Final</t>
        </is>
      </c>
      <c r="H81" s="7" t="n">
        <v>15</v>
      </c>
      <c r="I81" s="7" t="n">
        <v>7</v>
      </c>
      <c r="J81" s="7" t="n">
        <v>1</v>
      </c>
      <c r="K81" s="7" t="n">
        <v>269012</v>
      </c>
      <c r="L81" s="8" t="n">
        <v>210028.61</v>
      </c>
      <c r="M81" s="8" t="n">
        <v>21336.5</v>
      </c>
      <c r="N81" s="8" t="n">
        <v>0</v>
      </c>
      <c r="O81" s="8" t="n">
        <v>0</v>
      </c>
      <c r="P81" s="8" t="n">
        <v>4145.19</v>
      </c>
      <c r="Q81" s="8" t="n">
        <v>2375.14</v>
      </c>
      <c r="R81" s="8" t="n">
        <v>191530.09</v>
      </c>
      <c r="S81" s="8" t="n">
        <v>20449.12</v>
      </c>
      <c r="T81" s="8" t="n">
        <v>3580.62</v>
      </c>
      <c r="U81" s="8" t="n">
        <v>208398.59</v>
      </c>
      <c r="V81" s="5" t="inlineStr">
        <is>
          <t>SUCCESS</t>
        </is>
      </c>
      <c r="W81" s="5" t="inlineStr">
        <is>
          <t>C:\Liquidaciones\salidas\remesas\2026\MANDARINA\Tango_Semana_4_NORMAL</t>
        </is>
      </c>
    </row>
    <row r="82">
      <c r="A82" s="5" t="n">
        <v>2158</v>
      </c>
      <c r="B82" s="5" t="inlineStr">
        <is>
          <t>Tango Semana 7 NORMAL</t>
        </is>
      </c>
      <c r="C82" s="6" t="n">
        <v>46239</v>
      </c>
      <c r="D82" s="6" t="n">
        <v>46062</v>
      </c>
      <c r="E82" s="6" t="n">
        <v>46068</v>
      </c>
      <c r="F82" s="5" t="inlineStr">
        <is>
          <t>NORMAL</t>
        </is>
      </c>
      <c r="G82" s="5" t="inlineStr">
        <is>
          <t>Final</t>
        </is>
      </c>
      <c r="H82" s="7" t="n">
        <v>8</v>
      </c>
      <c r="I82" s="7" t="n">
        <v>3</v>
      </c>
      <c r="J82" s="7" t="n">
        <v>1</v>
      </c>
      <c r="K82" s="7" t="n">
        <v>137885</v>
      </c>
      <c r="L82" s="8" t="n">
        <v>84557.83</v>
      </c>
      <c r="M82" s="8" t="n">
        <v>2186</v>
      </c>
      <c r="N82" s="8" t="n">
        <v>0</v>
      </c>
      <c r="O82" s="8" t="n">
        <v>0</v>
      </c>
      <c r="P82" s="8" t="n">
        <v>2054.99</v>
      </c>
      <c r="Q82" s="8" t="n">
        <v>997.34</v>
      </c>
      <c r="R82" s="8" t="n">
        <v>84797.71000000001</v>
      </c>
      <c r="S82" s="8" t="n">
        <v>10175.72</v>
      </c>
      <c r="T82" s="8" t="n">
        <v>1899.47</v>
      </c>
      <c r="U82" s="8" t="n">
        <v>93073.96000000001</v>
      </c>
      <c r="V82" s="5" t="inlineStr">
        <is>
          <t>SUCCESS</t>
        </is>
      </c>
      <c r="W82" s="5" t="inlineStr">
        <is>
          <t>C:\Liquidaciones\salidas\remesas\2026\MANDARINA\Tango_Semana_7_NORMAL</t>
        </is>
      </c>
    </row>
    <row r="83">
      <c r="A83" s="5" t="n">
        <v>2159</v>
      </c>
      <c r="B83" s="5" t="inlineStr">
        <is>
          <t>Tango Semana 8 NORMAL</t>
        </is>
      </c>
      <c r="C83" s="6" t="n">
        <v>46239</v>
      </c>
      <c r="D83" s="6" t="n">
        <v>46069</v>
      </c>
      <c r="E83" s="6" t="n">
        <v>46075</v>
      </c>
      <c r="F83" s="5" t="inlineStr">
        <is>
          <t>NORMAL</t>
        </is>
      </c>
      <c r="G83" s="5" t="inlineStr">
        <is>
          <t>Final</t>
        </is>
      </c>
      <c r="H83" s="7" t="n">
        <v>2</v>
      </c>
      <c r="I83" s="7" t="n">
        <v>2</v>
      </c>
      <c r="J83" s="7" t="n">
        <v>1</v>
      </c>
      <c r="K83" s="7" t="n">
        <v>8186</v>
      </c>
      <c r="L83" s="8" t="n">
        <v>5877.02</v>
      </c>
      <c r="M83" s="8" t="n">
        <v>107.75</v>
      </c>
      <c r="N83" s="8" t="n">
        <v>0</v>
      </c>
      <c r="O83" s="8" t="n">
        <v>107.66</v>
      </c>
      <c r="P83" s="8" t="n">
        <v>131.7</v>
      </c>
      <c r="Q83" s="8" t="n">
        <v>80.69</v>
      </c>
      <c r="R83" s="8" t="n">
        <v>5978.38</v>
      </c>
      <c r="S83" s="8" t="n">
        <v>683.08</v>
      </c>
      <c r="T83" s="8" t="n">
        <v>124.3</v>
      </c>
      <c r="U83" s="8" t="n">
        <v>6537.15</v>
      </c>
      <c r="V83" s="5" t="inlineStr">
        <is>
          <t>SUCCESS</t>
        </is>
      </c>
      <c r="W83" s="5" t="inlineStr">
        <is>
          <t>C:\Liquidaciones\salidas\remesas\2026\MANDARINA\Tango_Semana_8_NORMAL</t>
        </is>
      </c>
    </row>
    <row r="84">
      <c r="A84" s="5" t="n">
        <v>2187</v>
      </c>
      <c r="B84" s="5" t="inlineStr">
        <is>
          <t>Tango Semana 52 NORMAL</t>
        </is>
      </c>
      <c r="C84" s="6" t="n">
        <v>46239</v>
      </c>
      <c r="D84" s="6" t="n">
        <v>46013</v>
      </c>
      <c r="E84" s="6" t="n">
        <v>46019</v>
      </c>
      <c r="F84" s="5" t="inlineStr">
        <is>
          <t>NORMAL</t>
        </is>
      </c>
      <c r="G84" s="5" t="inlineStr">
        <is>
          <t>Final</t>
        </is>
      </c>
      <c r="H84" s="7" t="n">
        <v>2</v>
      </c>
      <c r="I84" s="7" t="n">
        <v>1</v>
      </c>
      <c r="J84" s="7" t="n">
        <v>1</v>
      </c>
      <c r="K84" s="7" t="n">
        <v>42552</v>
      </c>
      <c r="L84" s="8" t="n">
        <v>37996.14</v>
      </c>
      <c r="M84" s="8" t="n">
        <v>5319</v>
      </c>
      <c r="N84" s="8" t="n">
        <v>0</v>
      </c>
      <c r="O84" s="8" t="n">
        <v>0</v>
      </c>
      <c r="P84" s="8" t="n">
        <v>726.55</v>
      </c>
      <c r="Q84" s="8" t="n">
        <v>523.96</v>
      </c>
      <c r="R84" s="8" t="n">
        <v>33008.8</v>
      </c>
      <c r="S84" s="8" t="n">
        <v>3961.06</v>
      </c>
      <c r="T84" s="8" t="n">
        <v>739.4</v>
      </c>
      <c r="U84" s="8" t="n">
        <v>36230.46</v>
      </c>
      <c r="V84" s="5" t="inlineStr">
        <is>
          <t>SUCCESS</t>
        </is>
      </c>
      <c r="W84" s="5" t="inlineStr">
        <is>
          <t>C:\Liquidaciones\salidas\remesas\2026\MANDARINA\Tango_Semana_52_NORMAL</t>
        </is>
      </c>
    </row>
    <row r="85">
      <c r="A85" s="5" t="n">
        <v>2188</v>
      </c>
      <c r="B85" s="5" t="inlineStr">
        <is>
          <t>Tango Semana 6 NORMAL</t>
        </is>
      </c>
      <c r="C85" s="6" t="n">
        <v>46239</v>
      </c>
      <c r="D85" s="6" t="n">
        <v>46055</v>
      </c>
      <c r="E85" s="6" t="n">
        <v>46061</v>
      </c>
      <c r="F85" s="5" t="inlineStr">
        <is>
          <t>NORMAL</t>
        </is>
      </c>
      <c r="G85" s="5" t="inlineStr">
        <is>
          <t>Final</t>
        </is>
      </c>
      <c r="H85" s="7" t="n">
        <v>2</v>
      </c>
      <c r="I85" s="7" t="n">
        <v>2</v>
      </c>
      <c r="J85" s="7" t="n">
        <v>1</v>
      </c>
      <c r="K85" s="7" t="n">
        <v>40828</v>
      </c>
      <c r="L85" s="8" t="n">
        <v>26931.91</v>
      </c>
      <c r="M85" s="8" t="n">
        <v>2581</v>
      </c>
      <c r="N85" s="8" t="n">
        <v>0</v>
      </c>
      <c r="O85" s="8" t="n">
        <v>0</v>
      </c>
      <c r="P85" s="8" t="n">
        <v>611.97</v>
      </c>
      <c r="Q85" s="8" t="n">
        <v>205.93</v>
      </c>
      <c r="R85" s="8" t="n">
        <v>25151.03</v>
      </c>
      <c r="S85" s="8" t="n">
        <v>3018.13</v>
      </c>
      <c r="T85" s="8" t="n">
        <v>563.38</v>
      </c>
      <c r="U85" s="8" t="n">
        <v>27605.77</v>
      </c>
      <c r="V85" s="5" t="inlineStr">
        <is>
          <t>SUCCESS</t>
        </is>
      </c>
      <c r="W85" s="5" t="inlineStr">
        <is>
          <t>C:\Liquidaciones\salidas\remesas\2026\MANDARINA\Tango_Semana_6_NORMAL</t>
        </is>
      </c>
    </row>
    <row r="86">
      <c r="A86" s="5" t="n">
        <v>2189</v>
      </c>
      <c r="B86" s="5" t="inlineStr">
        <is>
          <t>Nadorcott Semana 2 NORMAL</t>
        </is>
      </c>
      <c r="C86" s="6" t="n">
        <v>46239</v>
      </c>
      <c r="D86" s="6" t="n">
        <v>46027</v>
      </c>
      <c r="E86" s="6" t="n">
        <v>46033</v>
      </c>
      <c r="F86" s="5" t="inlineStr">
        <is>
          <t>NORMAL</t>
        </is>
      </c>
      <c r="G86" s="5" t="inlineStr">
        <is>
          <t>Final</t>
        </is>
      </c>
      <c r="H86" s="7" t="n">
        <v>15</v>
      </c>
      <c r="I86" s="7" t="n">
        <v>3</v>
      </c>
      <c r="J86" s="7" t="n">
        <v>1</v>
      </c>
      <c r="K86" s="7" t="n">
        <v>136093</v>
      </c>
      <c r="L86" s="8" t="n">
        <v>104201.5</v>
      </c>
      <c r="M86" s="8" t="n">
        <v>17011.63</v>
      </c>
      <c r="N86" s="8" t="n">
        <v>0</v>
      </c>
      <c r="O86" s="8" t="n">
        <v>0</v>
      </c>
      <c r="P86" s="8" t="n">
        <v>2250.18</v>
      </c>
      <c r="Q86" s="8" t="n">
        <v>1515.75</v>
      </c>
      <c r="R86" s="8" t="n">
        <v>88602</v>
      </c>
      <c r="S86" s="8" t="n">
        <v>8824.190000000001</v>
      </c>
      <c r="T86" s="8" t="n">
        <v>1478.43</v>
      </c>
      <c r="U86" s="8" t="n">
        <v>95947.75999999999</v>
      </c>
      <c r="V86" s="5" t="inlineStr">
        <is>
          <t>SUCCESS</t>
        </is>
      </c>
      <c r="W86" s="5" t="inlineStr">
        <is>
          <t>C:\Liquidaciones\salidas\remesas\2026\MANDARINA\Nadorcott_Semana_2_NORMAL</t>
        </is>
      </c>
    </row>
    <row r="87">
      <c r="A87" s="5" t="n">
        <v>2190</v>
      </c>
      <c r="B87" s="5" t="inlineStr">
        <is>
          <t>Nadorcott Semana 1 NORMAL</t>
        </is>
      </c>
      <c r="C87" s="6" t="n">
        <v>46239</v>
      </c>
      <c r="D87" s="6" t="n">
        <v>46020</v>
      </c>
      <c r="E87" s="6" t="n">
        <v>46026</v>
      </c>
      <c r="F87" s="5" t="inlineStr">
        <is>
          <t>NORMAL</t>
        </is>
      </c>
      <c r="G87" s="5" t="inlineStr">
        <is>
          <t>Final</t>
        </is>
      </c>
      <c r="H87" s="7" t="n">
        <v>16</v>
      </c>
      <c r="I87" s="7" t="n">
        <v>4</v>
      </c>
      <c r="J87" s="7" t="n">
        <v>1</v>
      </c>
      <c r="K87" s="7" t="n">
        <v>137120</v>
      </c>
      <c r="L87" s="8" t="n">
        <v>120957.4</v>
      </c>
      <c r="M87" s="8" t="n">
        <v>11433.25</v>
      </c>
      <c r="N87" s="8" t="n">
        <v>0</v>
      </c>
      <c r="O87" s="8" t="n">
        <v>999.63</v>
      </c>
      <c r="P87" s="8" t="n">
        <v>2384</v>
      </c>
      <c r="Q87" s="8" t="n">
        <v>902.89</v>
      </c>
      <c r="R87" s="8" t="n">
        <v>112298.79</v>
      </c>
      <c r="S87" s="8" t="n">
        <v>11483.63</v>
      </c>
      <c r="T87" s="8" t="n">
        <v>1957.66</v>
      </c>
      <c r="U87" s="8" t="n">
        <v>121824.76</v>
      </c>
      <c r="V87" s="5" t="inlineStr">
        <is>
          <t>SUCCESS</t>
        </is>
      </c>
      <c r="W87" s="5" t="inlineStr">
        <is>
          <t>C:\Liquidaciones\salidas\remesas\2026\MANDARINA\Nadorcott_Semana_1_NORMAL</t>
        </is>
      </c>
    </row>
    <row r="88">
      <c r="A88" s="5" t="n">
        <v>2191</v>
      </c>
      <c r="B88" s="5" t="inlineStr">
        <is>
          <t>Nadorcott Semana 3 CON HOJAS</t>
        </is>
      </c>
      <c r="C88" s="6" t="n">
        <v>46239</v>
      </c>
      <c r="D88" s="6" t="n">
        <v>46034</v>
      </c>
      <c r="E88" s="6" t="n">
        <v>46040</v>
      </c>
      <c r="F88" s="5" t="inlineStr">
        <is>
          <t>CON HOJAS</t>
        </is>
      </c>
      <c r="G88" s="5" t="inlineStr">
        <is>
          <t>Final</t>
        </is>
      </c>
      <c r="H88" s="7" t="n">
        <v>8</v>
      </c>
      <c r="I88" s="7" t="n">
        <v>3</v>
      </c>
      <c r="J88" s="7" t="n">
        <v>1</v>
      </c>
      <c r="K88" s="7" t="n">
        <v>45877</v>
      </c>
      <c r="L88" s="8" t="n">
        <v>36721.58</v>
      </c>
      <c r="M88" s="8" t="n">
        <v>3915</v>
      </c>
      <c r="N88" s="8" t="n">
        <v>0</v>
      </c>
      <c r="O88" s="8" t="n">
        <v>213.99</v>
      </c>
      <c r="P88" s="8" t="n">
        <v>793.13</v>
      </c>
      <c r="Q88" s="8" t="n">
        <v>370.26</v>
      </c>
      <c r="R88" s="8" t="n">
        <v>33556.74</v>
      </c>
      <c r="S88" s="8" t="n">
        <v>3092.55</v>
      </c>
      <c r="T88" s="8" t="n">
        <v>490.08</v>
      </c>
      <c r="U88" s="8" t="n">
        <v>36159.21</v>
      </c>
      <c r="V88" s="5" t="inlineStr">
        <is>
          <t>SUCCESS</t>
        </is>
      </c>
      <c r="W88" s="5" t="inlineStr">
        <is>
          <t>C:\Liquidaciones\salidas\remesas\2026\MANDARINA\Nadorcott_Semana_3_CON_HOJAS</t>
        </is>
      </c>
    </row>
    <row r="89">
      <c r="A89" s="5" t="n">
        <v>2192</v>
      </c>
      <c r="B89" s="5" t="inlineStr">
        <is>
          <t>Nadorcott Semana 3 NORMAL</t>
        </is>
      </c>
      <c r="C89" s="6" t="n">
        <v>46239</v>
      </c>
      <c r="D89" s="6" t="n">
        <v>46034</v>
      </c>
      <c r="E89" s="6" t="n">
        <v>46040</v>
      </c>
      <c r="F89" s="5" t="inlineStr">
        <is>
          <t>NORMAL</t>
        </is>
      </c>
      <c r="G89" s="5" t="inlineStr">
        <is>
          <t>Final</t>
        </is>
      </c>
      <c r="H89" s="7" t="n">
        <v>18</v>
      </c>
      <c r="I89" s="7" t="n">
        <v>4</v>
      </c>
      <c r="J89" s="7" t="n">
        <v>1</v>
      </c>
      <c r="K89" s="7" t="n">
        <v>184043</v>
      </c>
      <c r="L89" s="8" t="n">
        <v>132529.06</v>
      </c>
      <c r="M89" s="8" t="n">
        <v>16947</v>
      </c>
      <c r="N89" s="8" t="n">
        <v>0</v>
      </c>
      <c r="O89" s="8" t="n">
        <v>430.34</v>
      </c>
      <c r="P89" s="8" t="n">
        <v>3024.26</v>
      </c>
      <c r="Q89" s="8" t="n">
        <v>1646.54</v>
      </c>
      <c r="R89" s="8" t="n">
        <v>118368.99</v>
      </c>
      <c r="S89" s="8" t="n">
        <v>14204.27</v>
      </c>
      <c r="T89" s="8" t="n">
        <v>2651.47</v>
      </c>
      <c r="U89" s="8" t="n">
        <v>129921.8</v>
      </c>
      <c r="V89" s="5" t="inlineStr">
        <is>
          <t>SUCCESS</t>
        </is>
      </c>
      <c r="W89" s="5" t="inlineStr">
        <is>
          <t>C:\Liquidaciones\salidas\remesas\2026\MANDARINA\Nadorcott_Semana_3_NORMAL</t>
        </is>
      </c>
    </row>
    <row r="90">
      <c r="A90" s="5" t="n">
        <v>2193</v>
      </c>
      <c r="B90" s="5" t="inlineStr">
        <is>
          <t>Nadorcott Semana 6 NORMAL</t>
        </is>
      </c>
      <c r="C90" s="6" t="n">
        <v>46239</v>
      </c>
      <c r="D90" s="6" t="n">
        <v>46055</v>
      </c>
      <c r="E90" s="6" t="n">
        <v>46061</v>
      </c>
      <c r="F90" s="5" t="inlineStr">
        <is>
          <t>NORMAL</t>
        </is>
      </c>
      <c r="G90" s="5" t="inlineStr">
        <is>
          <t>Final</t>
        </is>
      </c>
      <c r="H90" s="7" t="n">
        <v>4</v>
      </c>
      <c r="I90" s="7" t="n">
        <v>1</v>
      </c>
      <c r="J90" s="7" t="n">
        <v>1</v>
      </c>
      <c r="K90" s="7" t="n">
        <v>35685</v>
      </c>
      <c r="L90" s="8" t="n">
        <v>21618.21</v>
      </c>
      <c r="M90" s="8" t="n">
        <v>4460.63</v>
      </c>
      <c r="N90" s="8" t="n">
        <v>0</v>
      </c>
      <c r="O90" s="8" t="n">
        <v>524.5700000000001</v>
      </c>
      <c r="P90" s="8" t="n">
        <v>508.43</v>
      </c>
      <c r="Q90" s="8" t="n">
        <v>875.3200000000001</v>
      </c>
      <c r="R90" s="8" t="n">
        <v>17764.6</v>
      </c>
      <c r="S90" s="8" t="n">
        <v>710.58</v>
      </c>
      <c r="T90" s="8" t="n">
        <v>0</v>
      </c>
      <c r="U90" s="8" t="n">
        <v>18475.18</v>
      </c>
      <c r="V90" s="5" t="inlineStr">
        <is>
          <t>SUCCESS</t>
        </is>
      </c>
      <c r="W90" s="5" t="inlineStr">
        <is>
          <t>C:\Liquidaciones\salidas\remesas\2026\MANDARINA\Nadorcott_Semana_6_NORMAL</t>
        </is>
      </c>
    </row>
    <row r="91">
      <c r="A91" s="5" t="n">
        <v>2194</v>
      </c>
      <c r="B91" s="5" t="inlineStr">
        <is>
          <t>Nadorcott Semana 4 NORMAL</t>
        </is>
      </c>
      <c r="C91" s="6" t="n">
        <v>46239</v>
      </c>
      <c r="D91" s="6" t="n">
        <v>46041</v>
      </c>
      <c r="E91" s="6" t="n">
        <v>46047</v>
      </c>
      <c r="F91" s="5" t="inlineStr">
        <is>
          <t>NORMAL</t>
        </is>
      </c>
      <c r="G91" s="5" t="inlineStr">
        <is>
          <t>Final</t>
        </is>
      </c>
      <c r="H91" s="7" t="n">
        <v>10</v>
      </c>
      <c r="I91" s="7" t="n">
        <v>4</v>
      </c>
      <c r="J91" s="7" t="n">
        <v>1</v>
      </c>
      <c r="K91" s="7" t="n">
        <v>100730</v>
      </c>
      <c r="L91" s="8" t="n">
        <v>74968.46000000001</v>
      </c>
      <c r="M91" s="8" t="n">
        <v>6137.25</v>
      </c>
      <c r="N91" s="8" t="n">
        <v>0</v>
      </c>
      <c r="O91" s="8" t="n">
        <v>0</v>
      </c>
      <c r="P91" s="8" t="n">
        <v>1396.47</v>
      </c>
      <c r="Q91" s="8" t="n">
        <v>907.4</v>
      </c>
      <c r="R91" s="8" t="n">
        <v>69698.66</v>
      </c>
      <c r="S91" s="8" t="n">
        <v>7806.59</v>
      </c>
      <c r="T91" s="8" t="n">
        <v>1405.21</v>
      </c>
      <c r="U91" s="8" t="n">
        <v>76100.03</v>
      </c>
      <c r="V91" s="5" t="inlineStr">
        <is>
          <t>SUCCESS</t>
        </is>
      </c>
      <c r="W91" s="5" t="inlineStr">
        <is>
          <t>C:\Liquidaciones\salidas\remesas\2026\MANDARINA\Nadorcott_Semana_4_NORMAL</t>
        </is>
      </c>
    </row>
    <row r="92">
      <c r="A92" s="5" t="n">
        <v>2195</v>
      </c>
      <c r="B92" s="5" t="inlineStr">
        <is>
          <t>Nadorcott Semana 8 NORMAL</t>
        </is>
      </c>
      <c r="C92" s="6" t="n">
        <v>46239</v>
      </c>
      <c r="D92" s="6" t="n">
        <v>46069</v>
      </c>
      <c r="E92" s="6" t="n">
        <v>46075</v>
      </c>
      <c r="F92" s="5" t="inlineStr">
        <is>
          <t>NORMAL</t>
        </is>
      </c>
      <c r="G92" s="5" t="inlineStr">
        <is>
          <t>Final</t>
        </is>
      </c>
      <c r="H92" s="7" t="n">
        <v>1</v>
      </c>
      <c r="I92" s="7" t="n">
        <v>1</v>
      </c>
      <c r="J92" s="7" t="n">
        <v>1</v>
      </c>
      <c r="K92" s="7" t="n">
        <v>11720</v>
      </c>
      <c r="L92" s="8" t="n">
        <v>5983.62</v>
      </c>
      <c r="M92" s="8" t="n">
        <v>1465</v>
      </c>
      <c r="N92" s="8" t="n">
        <v>0</v>
      </c>
      <c r="O92" s="8" t="n">
        <v>172.28</v>
      </c>
      <c r="P92" s="8" t="n">
        <v>164.79</v>
      </c>
      <c r="Q92" s="8" t="n">
        <v>287.48</v>
      </c>
      <c r="R92" s="8" t="n">
        <v>4723.08</v>
      </c>
      <c r="S92" s="8" t="n">
        <v>188.92</v>
      </c>
      <c r="T92" s="8" t="n">
        <v>0</v>
      </c>
      <c r="U92" s="8" t="n">
        <v>4912</v>
      </c>
      <c r="V92" s="5" t="inlineStr">
        <is>
          <t>SUCCESS</t>
        </is>
      </c>
      <c r="W92" s="5" t="inlineStr">
        <is>
          <t>C:\Liquidaciones\salidas\remesas\2026\MANDARINA\Nadorcott_Semana_8_NORMAL</t>
        </is>
      </c>
    </row>
    <row r="93">
      <c r="A93" s="5" t="n">
        <v>2196</v>
      </c>
      <c r="B93" s="5" t="inlineStr">
        <is>
          <t>Nadorcott Semana 52 NORMAL</t>
        </is>
      </c>
      <c r="C93" s="6" t="n">
        <v>46239</v>
      </c>
      <c r="D93" s="6" t="n">
        <v>46013</v>
      </c>
      <c r="E93" s="6" t="n">
        <v>46019</v>
      </c>
      <c r="F93" s="5" t="inlineStr">
        <is>
          <t>NORMAL</t>
        </is>
      </c>
      <c r="G93" s="5" t="inlineStr">
        <is>
          <t>Final</t>
        </is>
      </c>
      <c r="H93" s="7" t="n">
        <v>11</v>
      </c>
      <c r="I93" s="7" t="n">
        <v>3</v>
      </c>
      <c r="J93" s="7" t="n">
        <v>1</v>
      </c>
      <c r="K93" s="7" t="n">
        <v>97334</v>
      </c>
      <c r="L93" s="8" t="n">
        <v>87276.69</v>
      </c>
      <c r="M93" s="8" t="n">
        <v>9336.75</v>
      </c>
      <c r="N93" s="8" t="n">
        <v>0</v>
      </c>
      <c r="O93" s="8" t="n">
        <v>328.05</v>
      </c>
      <c r="P93" s="8" t="n">
        <v>1714.37</v>
      </c>
      <c r="Q93" s="8" t="n">
        <v>910.9400000000001</v>
      </c>
      <c r="R93" s="8" t="n">
        <v>79206.44</v>
      </c>
      <c r="S93" s="8" t="n">
        <v>6124.1</v>
      </c>
      <c r="T93" s="8" t="n">
        <v>827.63</v>
      </c>
      <c r="U93" s="8" t="n">
        <v>84502.91</v>
      </c>
      <c r="V93" s="5" t="inlineStr">
        <is>
          <t>SUCCESS</t>
        </is>
      </c>
      <c r="W93" s="5" t="inlineStr">
        <is>
          <t>C:\Liquidaciones\salidas\remesas\2026\MANDARINA\Nadorcott_Semana_52_NORMAL</t>
        </is>
      </c>
    </row>
    <row r="94">
      <c r="A94" s="9" t="inlineStr">
        <is>
          <t>TOTAL GENERAL</t>
        </is>
      </c>
      <c r="B94" s="9" t="inlineStr"/>
      <c r="C94" s="10" t="inlineStr"/>
      <c r="D94" s="10" t="inlineStr"/>
      <c r="E94" s="10" t="inlineStr"/>
      <c r="F94" s="9" t="inlineStr"/>
      <c r="G94" s="9" t="inlineStr"/>
      <c r="H94" s="11" t="n">
        <v>1823</v>
      </c>
      <c r="I94" s="11" t="n">
        <v>406</v>
      </c>
      <c r="J94" s="11" t="inlineStr"/>
      <c r="K94" s="11" t="n">
        <v>17373362</v>
      </c>
      <c r="L94" s="12" t="n">
        <v>7072428.02</v>
      </c>
      <c r="M94" s="12" t="n">
        <v>940035.74</v>
      </c>
      <c r="N94" s="12" t="n">
        <v>8786.979615811</v>
      </c>
      <c r="O94" s="12" t="n">
        <v>17633.51</v>
      </c>
      <c r="P94" s="12" t="n">
        <v>97053.91</v>
      </c>
      <c r="Q94" s="12" t="n">
        <v>136360.92</v>
      </c>
      <c r="R94" s="12" t="n">
        <v>6363808.41</v>
      </c>
      <c r="S94" s="12" t="n">
        <v>731150.84</v>
      </c>
      <c r="T94" s="12" t="n">
        <v>133793.14</v>
      </c>
      <c r="U94" s="12" t="n">
        <v>6961166.08</v>
      </c>
      <c r="V94" s="9" t="inlineStr"/>
      <c r="W94" s="9" t="inlineStr"/>
    </row>
  </sheetData>
  <autoFilter ref="A1:W94"/>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W422"/>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2" customWidth="1" min="3" max="3"/>
    <col width="35" customWidth="1" min="4" max="4"/>
    <col width="18" customWidth="1" min="5" max="5"/>
    <col width="14" customWidth="1" min="6" max="6"/>
    <col width="15" customWidth="1" min="7" max="7"/>
    <col width="12" customWidth="1" min="8" max="8"/>
    <col width="14" customWidth="1" min="9" max="9"/>
    <col width="14" customWidth="1" min="10" max="10"/>
    <col width="14" customWidth="1" min="11" max="11"/>
    <col width="14" customWidth="1" min="12" max="12"/>
    <col width="14" customWidth="1" min="13" max="13"/>
    <col width="17" customWidth="1" min="14" max="14"/>
    <col width="12" customWidth="1" min="15" max="15"/>
    <col width="10" customWidth="1" min="16" max="16"/>
    <col width="10" customWidth="1" min="17" max="17"/>
    <col width="17" customWidth="1" min="18" max="18"/>
    <col width="32" customWidth="1" min="19" max="19"/>
    <col width="16" customWidth="1" min="20" max="20"/>
    <col width="24" customWidth="1" min="21" max="21"/>
    <col width="23" customWidth="1" min="22" max="22"/>
    <col width="24" customWidth="1" min="23" max="23"/>
  </cols>
  <sheetData>
    <row r="1">
      <c r="A1" s="13" t="inlineStr">
        <is>
          <t>Id Remesa</t>
        </is>
      </c>
      <c r="B1" s="13" t="inlineStr">
        <is>
          <t>Remesa</t>
        </is>
      </c>
      <c r="C1" s="13" t="inlineStr">
        <is>
          <t>Nº Socio</t>
        </is>
      </c>
      <c r="D1" s="13" t="inlineStr">
        <is>
          <t>Socio</t>
        </is>
      </c>
      <c r="E1" s="13" t="inlineStr">
        <is>
          <t>Variedad</t>
        </is>
      </c>
      <c r="F1" s="13" t="inlineStr">
        <is>
          <t>Neto</t>
        </is>
      </c>
      <c r="G1" s="13" t="inlineStr">
        <is>
          <t>I. Bruto</t>
        </is>
      </c>
      <c r="H1" s="13" t="inlineStr">
        <is>
          <t>P. Comer.</t>
        </is>
      </c>
      <c r="I1" s="13" t="inlineStr">
        <is>
          <t>Recolec.</t>
        </is>
      </c>
      <c r="J1" s="13" t="inlineStr">
        <is>
          <t>C. Has.</t>
        </is>
      </c>
      <c r="K1" s="13" t="inlineStr">
        <is>
          <t>B/P Cal.</t>
        </is>
      </c>
      <c r="L1" s="13" t="inlineStr">
        <is>
          <t>B. Trans.</t>
        </is>
      </c>
      <c r="M1" s="13" t="inlineStr">
        <is>
          <t>B. Glob.</t>
        </is>
      </c>
      <c r="N1" s="13" t="inlineStr">
        <is>
          <t>Base Imponible</t>
        </is>
      </c>
      <c r="O1" s="13" t="inlineStr">
        <is>
          <t>P.Medio</t>
        </is>
      </c>
      <c r="P1" s="13" t="inlineStr">
        <is>
          <t>I.V.A</t>
        </is>
      </c>
      <c r="Q1" s="13" t="inlineStr">
        <is>
          <t>Ret.</t>
        </is>
      </c>
      <c r="R1" s="13" t="inlineStr">
        <is>
          <t>Importe Total.</t>
        </is>
      </c>
      <c r="S1" s="13" t="inlineStr">
        <is>
          <t>Concepto Liquidación</t>
        </is>
      </c>
      <c r="T1" s="13" t="inlineStr">
        <is>
          <t>Cultivo</t>
        </is>
      </c>
      <c r="U1" s="13" t="inlineStr">
        <is>
          <t>Com. Recol. (Pts/kg)(&lt;11,65)</t>
        </is>
      </c>
      <c r="V1" s="13" t="inlineStr">
        <is>
          <t>Com. Global (Pts/kg)(&lt;2)</t>
        </is>
      </c>
      <c r="W1" s="13" t="inlineStr">
        <is>
          <t>Com. Trans. (Pts/kg) (&lt;1,7)</t>
        </is>
      </c>
    </row>
    <row r="2">
      <c r="A2" s="14" t="n">
        <v>2197</v>
      </c>
      <c r="B2" s="14" t="inlineStr">
        <is>
          <t>NAVEL TEMPRANA sem1</t>
        </is>
      </c>
      <c r="C2" s="15" t="n">
        <v>818</v>
      </c>
      <c r="D2" s="14" t="inlineStr">
        <is>
          <t>CARBONELL MEMBRILLA,RAFAEL</t>
        </is>
      </c>
      <c r="E2" s="14" t="inlineStr">
        <is>
          <t>NAVELINA</t>
        </is>
      </c>
      <c r="F2" s="15" t="n">
        <v>91830</v>
      </c>
      <c r="G2" s="16" t="n">
        <v>36213.94</v>
      </c>
      <c r="H2" s="17" t="n">
        <v>0.3943584885113797</v>
      </c>
      <c r="I2" s="16" t="n">
        <v>5739.38</v>
      </c>
      <c r="J2" s="16" t="n">
        <v>384.96</v>
      </c>
      <c r="K2" s="16" t="n">
        <v>0</v>
      </c>
      <c r="L2" s="16" t="n">
        <v>691.64</v>
      </c>
      <c r="M2" s="16" t="n">
        <v>0</v>
      </c>
      <c r="N2" s="16" t="n">
        <v>30781.24</v>
      </c>
      <c r="O2" s="17" t="n">
        <v>0.36791</v>
      </c>
      <c r="P2" s="18" t="n">
        <v>12</v>
      </c>
      <c r="Q2" s="18" t="n">
        <v>2</v>
      </c>
      <c r="R2" s="16" t="n">
        <v>33785.49</v>
      </c>
      <c r="S2" s="14" t="inlineStr">
        <is>
          <t>NAVEL TEMPRANA sem1</t>
        </is>
      </c>
      <c r="T2" s="14" t="inlineStr">
        <is>
          <t>CITRICOS</t>
        </is>
      </c>
      <c r="U2" s="19">
        <f>IFERROR(166.386*I2/F2,0)</f>
        <v/>
      </c>
      <c r="V2" s="19">
        <f>IFERROR(166.386*M2/F2,0)</f>
        <v/>
      </c>
      <c r="W2" s="19">
        <f>IFERROR(166.386*L2/F2,0)</f>
        <v/>
      </c>
    </row>
    <row r="3">
      <c r="A3" s="14" t="n">
        <v>2197</v>
      </c>
      <c r="B3" s="14" t="inlineStr">
        <is>
          <t>NAVEL TEMPRANA sem1</t>
        </is>
      </c>
      <c r="C3" s="15" t="n">
        <v>1184</v>
      </c>
      <c r="D3" s="14" t="inlineStr">
        <is>
          <t>CLUB DE CAMPO LAS LAGUNAS</t>
        </is>
      </c>
      <c r="E3" s="14" t="inlineStr">
        <is>
          <t>NEWHALL</t>
        </is>
      </c>
      <c r="F3" s="15" t="n">
        <v>33437</v>
      </c>
      <c r="G3" s="16" t="n">
        <v>10777.24</v>
      </c>
      <c r="H3" s="17" t="n">
        <v>0.3223148009689865</v>
      </c>
      <c r="I3" s="16" t="n">
        <v>2112.56</v>
      </c>
      <c r="J3" s="16" t="n">
        <v>305.11</v>
      </c>
      <c r="K3" s="16" t="n">
        <v>0</v>
      </c>
      <c r="L3" s="16" t="n">
        <v>0</v>
      </c>
      <c r="M3" s="16" t="n">
        <v>0</v>
      </c>
      <c r="N3" s="16" t="n">
        <v>8359.57</v>
      </c>
      <c r="O3" s="17" t="n">
        <v>0.26001</v>
      </c>
      <c r="P3" s="18" t="n">
        <v>4</v>
      </c>
      <c r="Q3" s="18" t="n">
        <v>0</v>
      </c>
      <c r="R3" s="16" t="n">
        <v>8693.950000000001</v>
      </c>
      <c r="S3" s="14" t="inlineStr">
        <is>
          <t>NAVEL TEMPRANA sem1</t>
        </is>
      </c>
      <c r="T3" s="14" t="inlineStr">
        <is>
          <t>CITRICOS</t>
        </is>
      </c>
      <c r="U3" s="19">
        <f>IFERROR(166.386*I3/F3,0)</f>
        <v/>
      </c>
      <c r="V3" s="19">
        <f>IFERROR(166.386*M3/F3,0)</f>
        <v/>
      </c>
      <c r="W3" s="19">
        <f>IFERROR(166.386*L3/F3,0)</f>
        <v/>
      </c>
    </row>
    <row r="4">
      <c r="A4" s="14" t="n">
        <v>2197</v>
      </c>
      <c r="B4" s="14" t="inlineStr">
        <is>
          <t>NAVEL TEMPRANA sem1</t>
        </is>
      </c>
      <c r="C4" s="15" t="n">
        <v>1395</v>
      </c>
      <c r="D4" s="14" t="inlineStr">
        <is>
          <t>AGRICOLA HERMANOS BUIZA S.C.</t>
        </is>
      </c>
      <c r="E4" s="14" t="inlineStr">
        <is>
          <t>NAVELINA</t>
        </is>
      </c>
      <c r="F4" s="15" t="n">
        <v>61720</v>
      </c>
      <c r="G4" s="16" t="n">
        <v>22105.91</v>
      </c>
      <c r="H4" s="17" t="n">
        <v>0.3581644523655217</v>
      </c>
      <c r="I4" s="16" t="n">
        <v>3857.5</v>
      </c>
      <c r="J4" s="16" t="n">
        <v>233.19</v>
      </c>
      <c r="K4" s="16" t="n">
        <v>0</v>
      </c>
      <c r="L4" s="16" t="n">
        <v>685.09</v>
      </c>
      <c r="M4" s="16" t="n">
        <v>888.05</v>
      </c>
      <c r="N4" s="16" t="n">
        <v>19588.36</v>
      </c>
      <c r="O4" s="17" t="n">
        <v>0.34835</v>
      </c>
      <c r="P4" s="18" t="n">
        <v>12</v>
      </c>
      <c r="Q4" s="18" t="n">
        <v>2</v>
      </c>
      <c r="R4" s="16" t="n">
        <v>21500.18</v>
      </c>
      <c r="S4" s="14" t="inlineStr">
        <is>
          <t>NAVEL TEMPRANA sem1</t>
        </is>
      </c>
      <c r="T4" s="14" t="inlineStr">
        <is>
          <t>CITRICOS</t>
        </is>
      </c>
      <c r="U4" s="19">
        <f>IFERROR(166.386*I4/F4,0)</f>
        <v/>
      </c>
      <c r="V4" s="19">
        <f>IFERROR(166.386*M4/F4,0)</f>
        <v/>
      </c>
      <c r="W4" s="19">
        <f>IFERROR(166.386*L4/F4,0)</f>
        <v/>
      </c>
    </row>
    <row r="5">
      <c r="A5" s="14" t="n">
        <v>2197</v>
      </c>
      <c r="B5" s="14" t="inlineStr">
        <is>
          <t>NAVEL TEMPRANA sem1</t>
        </is>
      </c>
      <c r="C5" s="15" t="n">
        <v>1529</v>
      </c>
      <c r="D5" s="14" t="inlineStr">
        <is>
          <t>RAMOS BRUGAROLAS, JOSE</t>
        </is>
      </c>
      <c r="E5" s="14" t="inlineStr">
        <is>
          <t>NAVELINA</t>
        </is>
      </c>
      <c r="F5" s="15" t="n">
        <v>204792</v>
      </c>
      <c r="G5" s="16" t="n">
        <v>79566.99000000001</v>
      </c>
      <c r="H5" s="17" t="n">
        <v>0.3885258701511778</v>
      </c>
      <c r="I5" s="16" t="n">
        <v>15359.41</v>
      </c>
      <c r="J5" s="16" t="n">
        <v>1353.74</v>
      </c>
      <c r="K5" s="16" t="n">
        <v>0</v>
      </c>
      <c r="L5" s="16" t="n">
        <v>0</v>
      </c>
      <c r="M5" s="16" t="n">
        <v>0</v>
      </c>
      <c r="N5" s="16" t="n">
        <v>62853.84</v>
      </c>
      <c r="O5" s="17" t="n">
        <v>0.33687</v>
      </c>
      <c r="P5" s="18" t="n">
        <v>12</v>
      </c>
      <c r="Q5" s="18" t="n">
        <v>2</v>
      </c>
      <c r="R5" s="16" t="n">
        <v>68988.37</v>
      </c>
      <c r="S5" s="14" t="inlineStr">
        <is>
          <t>NAVEL TEMPRANA sem1</t>
        </is>
      </c>
      <c r="T5" s="14" t="inlineStr">
        <is>
          <t>CITRICOS</t>
        </is>
      </c>
      <c r="U5" s="19">
        <f>IFERROR(166.386*I5/F5,0)</f>
        <v/>
      </c>
      <c r="V5" s="19">
        <f>IFERROR(166.386*M5/F5,0)</f>
        <v/>
      </c>
      <c r="W5" s="19">
        <f>IFERROR(166.386*L5/F5,0)</f>
        <v/>
      </c>
    </row>
    <row r="6">
      <c r="A6" s="14" t="n">
        <v>2197</v>
      </c>
      <c r="B6" s="14" t="inlineStr">
        <is>
          <t>NAVEL TEMPRANA sem1</t>
        </is>
      </c>
      <c r="C6" s="15" t="n">
        <v>1530</v>
      </c>
      <c r="D6" s="14" t="inlineStr">
        <is>
          <t>CABRERA BONILLA, GRACIA Mª</t>
        </is>
      </c>
      <c r="E6" s="14" t="inlineStr">
        <is>
          <t>NAVELINA</t>
        </is>
      </c>
      <c r="F6" s="15" t="n">
        <v>37040</v>
      </c>
      <c r="G6" s="16" t="n">
        <v>15157.32</v>
      </c>
      <c r="H6" s="17" t="n">
        <v>0.4092149028077754</v>
      </c>
      <c r="I6" s="16" t="n">
        <v>2315</v>
      </c>
      <c r="J6" s="16" t="n">
        <v>279.05</v>
      </c>
      <c r="K6" s="16" t="n">
        <v>0</v>
      </c>
      <c r="L6" s="16" t="n">
        <v>0</v>
      </c>
      <c r="M6" s="16" t="n">
        <v>570.38</v>
      </c>
      <c r="N6" s="16" t="n">
        <v>13133.65</v>
      </c>
      <c r="O6" s="17" t="n">
        <v>0.38919</v>
      </c>
      <c r="P6" s="18" t="n">
        <v>12</v>
      </c>
      <c r="Q6" s="18" t="n">
        <v>2</v>
      </c>
      <c r="R6" s="16" t="n">
        <v>14415.49</v>
      </c>
      <c r="S6" s="14" t="inlineStr">
        <is>
          <t>NAVEL TEMPRANA sem1</t>
        </is>
      </c>
      <c r="T6" s="14" t="inlineStr">
        <is>
          <t>CITRICOS</t>
        </is>
      </c>
      <c r="U6" s="19">
        <f>IFERROR(166.386*I6/F6,0)</f>
        <v/>
      </c>
      <c r="V6" s="19">
        <f>IFERROR(166.386*M6/F6,0)</f>
        <v/>
      </c>
      <c r="W6" s="19">
        <f>IFERROR(166.386*L6/F6,0)</f>
        <v/>
      </c>
    </row>
    <row r="7">
      <c r="A7" s="14" t="n">
        <v>2197</v>
      </c>
      <c r="B7" s="14" t="inlineStr">
        <is>
          <t>NAVEL TEMPRANA sem1</t>
        </is>
      </c>
      <c r="C7" s="15" t="n">
        <v>1588</v>
      </c>
      <c r="D7" s="14" t="inlineStr">
        <is>
          <t>RAMOS GARCIA DE TEJADA, ALVARO</t>
        </is>
      </c>
      <c r="E7" s="14" t="inlineStr">
        <is>
          <t>NAVELINA</t>
        </is>
      </c>
      <c r="F7" s="15" t="n">
        <v>79552</v>
      </c>
      <c r="G7" s="16" t="n">
        <v>29518.28</v>
      </c>
      <c r="H7" s="17" t="n">
        <v>0.3710564159292035</v>
      </c>
      <c r="I7" s="16" t="n">
        <v>5966.41</v>
      </c>
      <c r="J7" s="16" t="n">
        <v>455.82</v>
      </c>
      <c r="K7" s="16" t="n">
        <v>0</v>
      </c>
      <c r="L7" s="16" t="n">
        <v>0</v>
      </c>
      <c r="M7" s="16" t="n">
        <v>0</v>
      </c>
      <c r="N7" s="16" t="n">
        <v>23096.05</v>
      </c>
      <c r="O7" s="17" t="n">
        <v>0.31866</v>
      </c>
      <c r="P7" s="18" t="n">
        <v>12</v>
      </c>
      <c r="Q7" s="18" t="n">
        <v>2</v>
      </c>
      <c r="R7" s="16" t="n">
        <v>25350.22</v>
      </c>
      <c r="S7" s="14" t="inlineStr">
        <is>
          <t>NAVEL TEMPRANA sem1</t>
        </is>
      </c>
      <c r="T7" s="14" t="inlineStr">
        <is>
          <t>CITRICOS</t>
        </is>
      </c>
      <c r="U7" s="19">
        <f>IFERROR(166.386*I7/F7,0)</f>
        <v/>
      </c>
      <c r="V7" s="19">
        <f>IFERROR(166.386*M7/F7,0)</f>
        <v/>
      </c>
      <c r="W7" s="19">
        <f>IFERROR(166.386*L7/F7,0)</f>
        <v/>
      </c>
    </row>
    <row r="8">
      <c r="A8" s="14" t="n">
        <v>2198</v>
      </c>
      <c r="B8" s="14" t="inlineStr">
        <is>
          <t>NAVEL TEMPRANA sem2</t>
        </is>
      </c>
      <c r="C8" s="15" t="n">
        <v>818</v>
      </c>
      <c r="D8" s="14" t="inlineStr">
        <is>
          <t>CARBONELL MEMBRILLA,RAFAEL</t>
        </is>
      </c>
      <c r="E8" s="14" t="inlineStr">
        <is>
          <t>NAVELINA</t>
        </is>
      </c>
      <c r="F8" s="15" t="n">
        <v>22314</v>
      </c>
      <c r="G8" s="16" t="n">
        <v>8663.889999999999</v>
      </c>
      <c r="H8" s="17" t="n">
        <v>0.3882714887514565</v>
      </c>
      <c r="I8" s="16" t="n">
        <v>1394.63</v>
      </c>
      <c r="J8" s="16" t="n">
        <v>93.54000000000001</v>
      </c>
      <c r="K8" s="16" t="n">
        <v>0</v>
      </c>
      <c r="L8" s="16" t="n">
        <v>0</v>
      </c>
      <c r="M8" s="16" t="n">
        <v>0</v>
      </c>
      <c r="N8" s="16" t="n">
        <v>7175.72</v>
      </c>
      <c r="O8" s="17" t="n">
        <v>0.35297</v>
      </c>
      <c r="P8" s="18" t="n">
        <v>12</v>
      </c>
      <c r="Q8" s="18" t="n">
        <v>2</v>
      </c>
      <c r="R8" s="16" t="n">
        <v>7876.07</v>
      </c>
      <c r="S8" s="14" t="inlineStr">
        <is>
          <t>NAVEL TEMPRANA sem2</t>
        </is>
      </c>
      <c r="T8" s="14" t="inlineStr">
        <is>
          <t>CITRICOS</t>
        </is>
      </c>
      <c r="U8" s="19">
        <f>IFERROR(166.386*I8/F8,0)</f>
        <v/>
      </c>
      <c r="V8" s="19">
        <f>IFERROR(166.386*M8/F8,0)</f>
        <v/>
      </c>
      <c r="W8" s="19">
        <f>IFERROR(166.386*L8/F8,0)</f>
        <v/>
      </c>
    </row>
    <row r="9">
      <c r="A9" s="14" t="n">
        <v>2198</v>
      </c>
      <c r="B9" s="14" t="inlineStr">
        <is>
          <t>NAVEL TEMPRANA sem2</t>
        </is>
      </c>
      <c r="C9" s="15" t="n">
        <v>1395</v>
      </c>
      <c r="D9" s="14" t="inlineStr">
        <is>
          <t>AGRICOLA HERMANOS BUIZA S.C.</t>
        </is>
      </c>
      <c r="E9" s="14" t="inlineStr">
        <is>
          <t>NAVELINA</t>
        </is>
      </c>
      <c r="F9" s="15" t="n">
        <v>49685</v>
      </c>
      <c r="G9" s="16" t="n">
        <v>17346.65</v>
      </c>
      <c r="H9" s="17" t="n">
        <v>0.349132534970313</v>
      </c>
      <c r="I9" s="16" t="n">
        <v>3105.31</v>
      </c>
      <c r="J9" s="16" t="n">
        <v>187.72</v>
      </c>
      <c r="K9" s="16" t="n">
        <v>0</v>
      </c>
      <c r="L9" s="16" t="n">
        <v>112.17</v>
      </c>
      <c r="M9" s="16" t="n">
        <v>722.46</v>
      </c>
      <c r="N9" s="16" t="n">
        <v>14888.25</v>
      </c>
      <c r="O9" s="17" t="n">
        <v>0.3289</v>
      </c>
      <c r="P9" s="18" t="n">
        <v>12</v>
      </c>
      <c r="Q9" s="18" t="n">
        <v>2</v>
      </c>
      <c r="R9" s="16" t="n">
        <v>16341.34</v>
      </c>
      <c r="S9" s="14" t="inlineStr">
        <is>
          <t>NAVEL TEMPRANA sem2</t>
        </is>
      </c>
      <c r="T9" s="14" t="inlineStr">
        <is>
          <t>CITRICOS</t>
        </is>
      </c>
      <c r="U9" s="19">
        <f>IFERROR(166.386*I9/F9,0)</f>
        <v/>
      </c>
      <c r="V9" s="19">
        <f>IFERROR(166.386*M9/F9,0)</f>
        <v/>
      </c>
      <c r="W9" s="19">
        <f>IFERROR(166.386*L9/F9,0)</f>
        <v/>
      </c>
    </row>
    <row r="10">
      <c r="A10" s="14" t="n">
        <v>2198</v>
      </c>
      <c r="B10" s="14" t="inlineStr">
        <is>
          <t>NAVEL TEMPRANA sem2</t>
        </is>
      </c>
      <c r="C10" s="15" t="n">
        <v>1499</v>
      </c>
      <c r="D10" s="14" t="inlineStr">
        <is>
          <t>PERALTA MARQUEZ,ISABEL</t>
        </is>
      </c>
      <c r="E10" s="14" t="inlineStr">
        <is>
          <t>NAVELINA</t>
        </is>
      </c>
      <c r="F10" s="15" t="n">
        <v>29640</v>
      </c>
      <c r="G10" s="16" t="n">
        <v>11645.46</v>
      </c>
      <c r="H10" s="17" t="n">
        <v>0.3928967611336032</v>
      </c>
      <c r="I10" s="16" t="n">
        <v>1852.5</v>
      </c>
      <c r="J10" s="16" t="n">
        <v>187.37</v>
      </c>
      <c r="K10" s="16" t="n">
        <v>0</v>
      </c>
      <c r="L10" s="16" t="n">
        <v>0</v>
      </c>
      <c r="M10" s="16" t="n">
        <v>473.84</v>
      </c>
      <c r="N10" s="16" t="n">
        <v>10079.43</v>
      </c>
      <c r="O10" s="17" t="n">
        <v>0.37325</v>
      </c>
      <c r="P10" s="18" t="n">
        <v>12</v>
      </c>
      <c r="Q10" s="18" t="n">
        <v>2</v>
      </c>
      <c r="R10" s="16" t="n">
        <v>11063.18</v>
      </c>
      <c r="S10" s="14" t="inlineStr">
        <is>
          <t>NAVEL TEMPRANA sem2</t>
        </is>
      </c>
      <c r="T10" s="14" t="inlineStr">
        <is>
          <t>CITRICOS</t>
        </is>
      </c>
      <c r="U10" s="19">
        <f>IFERROR(166.386*I10/F10,0)</f>
        <v/>
      </c>
      <c r="V10" s="19">
        <f>IFERROR(166.386*M10/F10,0)</f>
        <v/>
      </c>
      <c r="W10" s="19">
        <f>IFERROR(166.386*L10/F10,0)</f>
        <v/>
      </c>
    </row>
    <row r="11">
      <c r="A11" s="14" t="n">
        <v>2198</v>
      </c>
      <c r="B11" s="14" t="inlineStr">
        <is>
          <t>NAVEL TEMPRANA sem2</t>
        </is>
      </c>
      <c r="C11" s="15" t="n">
        <v>1529</v>
      </c>
      <c r="D11" s="14" t="inlineStr">
        <is>
          <t>RAMOS BRUGAROLAS, JOSE</t>
        </is>
      </c>
      <c r="E11" s="14" t="inlineStr">
        <is>
          <t>NAVELINA</t>
        </is>
      </c>
      <c r="F11" s="15" t="n">
        <v>47773</v>
      </c>
      <c r="G11" s="16" t="n">
        <v>17272.43</v>
      </c>
      <c r="H11" s="17" t="n">
        <v>0.3615521319573818</v>
      </c>
      <c r="I11" s="16" t="n">
        <v>3582.98</v>
      </c>
      <c r="J11" s="16" t="n">
        <v>315.8</v>
      </c>
      <c r="K11" s="16" t="n">
        <v>0</v>
      </c>
      <c r="L11" s="16" t="n">
        <v>0</v>
      </c>
      <c r="M11" s="16" t="n">
        <v>0</v>
      </c>
      <c r="N11" s="16" t="n">
        <v>13373.65</v>
      </c>
      <c r="O11" s="17" t="n">
        <v>0.30726</v>
      </c>
      <c r="P11" s="18" t="n">
        <v>12</v>
      </c>
      <c r="Q11" s="18" t="n">
        <v>2</v>
      </c>
      <c r="R11" s="16" t="n">
        <v>14678.92</v>
      </c>
      <c r="S11" s="14" t="inlineStr">
        <is>
          <t>NAVEL TEMPRANA sem2</t>
        </is>
      </c>
      <c r="T11" s="14" t="inlineStr">
        <is>
          <t>CITRICOS</t>
        </is>
      </c>
      <c r="U11" s="19">
        <f>IFERROR(166.386*I11/F11,0)</f>
        <v/>
      </c>
      <c r="V11" s="19">
        <f>IFERROR(166.386*M11/F11,0)</f>
        <v/>
      </c>
      <c r="W11" s="19">
        <f>IFERROR(166.386*L11/F11,0)</f>
        <v/>
      </c>
    </row>
    <row r="12">
      <c r="A12" s="14" t="n">
        <v>2198</v>
      </c>
      <c r="B12" s="14" t="inlineStr">
        <is>
          <t>NAVEL TEMPRANA sem2</t>
        </is>
      </c>
      <c r="C12" s="15" t="n">
        <v>1530</v>
      </c>
      <c r="D12" s="14" t="inlineStr">
        <is>
          <t>CABRERA BONILLA, GRACIA Mª</t>
        </is>
      </c>
      <c r="E12" s="14" t="inlineStr">
        <is>
          <t>NAVELINA</t>
        </is>
      </c>
      <c r="F12" s="15" t="n">
        <v>42671</v>
      </c>
      <c r="G12" s="16" t="n">
        <v>17311.55</v>
      </c>
      <c r="H12" s="17" t="n">
        <v>0.4056982493965456</v>
      </c>
      <c r="I12" s="16" t="n">
        <v>2666.94</v>
      </c>
      <c r="J12" s="16" t="n">
        <v>321.47</v>
      </c>
      <c r="K12" s="16" t="n">
        <v>0</v>
      </c>
      <c r="L12" s="16" t="n">
        <v>3.72</v>
      </c>
      <c r="M12" s="16" t="n">
        <v>637.35</v>
      </c>
      <c r="N12" s="16" t="n">
        <v>14964.21</v>
      </c>
      <c r="O12" s="17" t="n">
        <v>0.38492</v>
      </c>
      <c r="P12" s="18" t="n">
        <v>12</v>
      </c>
      <c r="Q12" s="18" t="n">
        <v>2</v>
      </c>
      <c r="R12" s="16" t="n">
        <v>16424.72</v>
      </c>
      <c r="S12" s="14" t="inlineStr">
        <is>
          <t>NAVEL TEMPRANA sem2</t>
        </is>
      </c>
      <c r="T12" s="14" t="inlineStr">
        <is>
          <t>CITRICOS</t>
        </is>
      </c>
      <c r="U12" s="19">
        <f>IFERROR(166.386*I12/F12,0)</f>
        <v/>
      </c>
      <c r="V12" s="19">
        <f>IFERROR(166.386*M12/F12,0)</f>
        <v/>
      </c>
      <c r="W12" s="19">
        <f>IFERROR(166.386*L12/F12,0)</f>
        <v/>
      </c>
    </row>
    <row r="13">
      <c r="A13" s="14" t="n">
        <v>2198</v>
      </c>
      <c r="B13" s="14" t="inlineStr">
        <is>
          <t>NAVEL TEMPRANA sem2</t>
        </is>
      </c>
      <c r="C13" s="15" t="n">
        <v>1588</v>
      </c>
      <c r="D13" s="14" t="inlineStr">
        <is>
          <t>RAMOS GARCIA DE TEJADA, ALVARO</t>
        </is>
      </c>
      <c r="E13" s="14" t="inlineStr">
        <is>
          <t>NAVELINA</t>
        </is>
      </c>
      <c r="F13" s="15" t="n">
        <v>46740</v>
      </c>
      <c r="G13" s="16" t="n">
        <v>17546.33</v>
      </c>
      <c r="H13" s="17" t="n">
        <v>0.3754028669234061</v>
      </c>
      <c r="I13" s="16" t="n">
        <v>3499.5</v>
      </c>
      <c r="J13" s="16" t="n">
        <v>267.81</v>
      </c>
      <c r="K13" s="16" t="n">
        <v>0</v>
      </c>
      <c r="L13" s="16" t="n">
        <v>0</v>
      </c>
      <c r="M13" s="16" t="n">
        <v>0</v>
      </c>
      <c r="N13" s="16" t="n">
        <v>13779.02</v>
      </c>
      <c r="O13" s="17" t="n">
        <v>0.32357</v>
      </c>
      <c r="P13" s="18" t="n">
        <v>12</v>
      </c>
      <c r="Q13" s="18" t="n">
        <v>2</v>
      </c>
      <c r="R13" s="16" t="n">
        <v>15123.85</v>
      </c>
      <c r="S13" s="14" t="inlineStr">
        <is>
          <t>NAVEL TEMPRANA sem2</t>
        </is>
      </c>
      <c r="T13" s="14" t="inlineStr">
        <is>
          <t>CITRICOS</t>
        </is>
      </c>
      <c r="U13" s="19">
        <f>IFERROR(166.386*I13/F13,0)</f>
        <v/>
      </c>
      <c r="V13" s="19">
        <f>IFERROR(166.386*M13/F13,0)</f>
        <v/>
      </c>
      <c r="W13" s="19">
        <f>IFERROR(166.386*L13/F13,0)</f>
        <v/>
      </c>
    </row>
    <row r="14">
      <c r="A14" s="14" t="n">
        <v>2199</v>
      </c>
      <c r="B14" s="14" t="inlineStr">
        <is>
          <t>NAVEL TEMPRANA sem 3</t>
        </is>
      </c>
      <c r="C14" s="15" t="n">
        <v>1040</v>
      </c>
      <c r="D14" s="14" t="inlineStr">
        <is>
          <t>CARRASCO BAEZA,JUAN</t>
        </is>
      </c>
      <c r="E14" s="14" t="inlineStr">
        <is>
          <t>NAVELINA</t>
        </is>
      </c>
      <c r="F14" s="15" t="n">
        <v>13435</v>
      </c>
      <c r="G14" s="16" t="n">
        <v>5107.84</v>
      </c>
      <c r="H14" s="17" t="n">
        <v>0.3801890584294753</v>
      </c>
      <c r="I14" s="16" t="n">
        <v>839.6900000000001</v>
      </c>
      <c r="J14" s="16" t="n">
        <v>226.2</v>
      </c>
      <c r="K14" s="16" t="n">
        <v>0</v>
      </c>
      <c r="L14" s="16" t="n">
        <v>0</v>
      </c>
      <c r="M14" s="16" t="n">
        <v>0</v>
      </c>
      <c r="N14" s="16" t="n">
        <v>4041.95</v>
      </c>
      <c r="O14" s="17" t="n">
        <v>0.33022</v>
      </c>
      <c r="P14" s="18" t="n">
        <v>12</v>
      </c>
      <c r="Q14" s="18" t="n">
        <v>2</v>
      </c>
      <c r="R14" s="16" t="n">
        <v>4436.44</v>
      </c>
      <c r="S14" s="14" t="inlineStr">
        <is>
          <t>NAVEL TEMPRANA sem 3</t>
        </is>
      </c>
      <c r="T14" s="14" t="inlineStr">
        <is>
          <t>CITRICOS</t>
        </is>
      </c>
      <c r="U14" s="19">
        <f>IFERROR(166.386*I14/F14,0)</f>
        <v/>
      </c>
      <c r="V14" s="19">
        <f>IFERROR(166.386*M14/F14,0)</f>
        <v/>
      </c>
      <c r="W14" s="19">
        <f>IFERROR(166.386*L14/F14,0)</f>
        <v/>
      </c>
    </row>
    <row r="15">
      <c r="A15" s="14" t="n">
        <v>2199</v>
      </c>
      <c r="B15" s="14" t="inlineStr">
        <is>
          <t>NAVEL TEMPRANA sem 3</t>
        </is>
      </c>
      <c r="C15" s="15" t="n">
        <v>1395</v>
      </c>
      <c r="D15" s="14" t="inlineStr">
        <is>
          <t>AGRICOLA HERMANOS BUIZA S.C.</t>
        </is>
      </c>
      <c r="E15" s="14" t="inlineStr">
        <is>
          <t>NAVELINA</t>
        </is>
      </c>
      <c r="F15" s="15" t="n">
        <v>90188</v>
      </c>
      <c r="G15" s="16" t="n">
        <v>31640.59</v>
      </c>
      <c r="H15" s="17" t="n">
        <v>0.3508292677518073</v>
      </c>
      <c r="I15" s="16" t="n">
        <v>5635.75</v>
      </c>
      <c r="J15" s="16" t="n">
        <v>340.75</v>
      </c>
      <c r="K15" s="16" t="n">
        <v>0</v>
      </c>
      <c r="L15" s="16" t="n">
        <v>517.62</v>
      </c>
      <c r="M15" s="16" t="n">
        <v>1307.45</v>
      </c>
      <c r="N15" s="16" t="n">
        <v>27489.16</v>
      </c>
      <c r="O15" s="17" t="n">
        <v>0.33455</v>
      </c>
      <c r="P15" s="18" t="n">
        <v>12</v>
      </c>
      <c r="Q15" s="18" t="n">
        <v>2</v>
      </c>
      <c r="R15" s="16" t="n">
        <v>30172.1</v>
      </c>
      <c r="S15" s="14" t="inlineStr">
        <is>
          <t>NAVEL TEMPRANA sem 3</t>
        </is>
      </c>
      <c r="T15" s="14" t="inlineStr">
        <is>
          <t>CITRICOS</t>
        </is>
      </c>
      <c r="U15" s="19">
        <f>IFERROR(166.386*I15/F15,0)</f>
        <v/>
      </c>
      <c r="V15" s="19">
        <f>IFERROR(166.386*M15/F15,0)</f>
        <v/>
      </c>
      <c r="W15" s="19">
        <f>IFERROR(166.386*L15/F15,0)</f>
        <v/>
      </c>
    </row>
    <row r="16">
      <c r="A16" s="14" t="n">
        <v>2199</v>
      </c>
      <c r="B16" s="14" t="inlineStr">
        <is>
          <t>NAVEL TEMPRANA sem 3</t>
        </is>
      </c>
      <c r="C16" s="15" t="n">
        <v>1499</v>
      </c>
      <c r="D16" s="14" t="inlineStr">
        <is>
          <t>PERALTA MARQUEZ,ISABEL</t>
        </is>
      </c>
      <c r="E16" s="14" t="inlineStr">
        <is>
          <t>NAVELINA</t>
        </is>
      </c>
      <c r="F16" s="15" t="n">
        <v>94532</v>
      </c>
      <c r="G16" s="16" t="n">
        <v>35524.85</v>
      </c>
      <c r="H16" s="17" t="n">
        <v>0.375797084585114</v>
      </c>
      <c r="I16" s="16" t="n">
        <v>5906.25</v>
      </c>
      <c r="J16" s="16" t="n">
        <v>597.58</v>
      </c>
      <c r="K16" s="16" t="n">
        <v>0</v>
      </c>
      <c r="L16" s="16" t="n">
        <v>0</v>
      </c>
      <c r="M16" s="16" t="n">
        <v>1508.36</v>
      </c>
      <c r="N16" s="16" t="n">
        <v>30529.38</v>
      </c>
      <c r="O16" s="17" t="n">
        <v>0.35447</v>
      </c>
      <c r="P16" s="18" t="n">
        <v>12</v>
      </c>
      <c r="Q16" s="18" t="n">
        <v>2</v>
      </c>
      <c r="R16" s="16" t="n">
        <v>33509.05</v>
      </c>
      <c r="S16" s="14" t="inlineStr">
        <is>
          <t>NAVEL TEMPRANA sem 3</t>
        </is>
      </c>
      <c r="T16" s="14" t="inlineStr">
        <is>
          <t>CITRICOS</t>
        </is>
      </c>
      <c r="U16" s="19">
        <f>IFERROR(166.386*I16/F16,0)</f>
        <v/>
      </c>
      <c r="V16" s="19">
        <f>IFERROR(166.386*M16/F16,0)</f>
        <v/>
      </c>
      <c r="W16" s="19">
        <f>IFERROR(166.386*L16/F16,0)</f>
        <v/>
      </c>
    </row>
    <row r="17">
      <c r="A17" s="14" t="n">
        <v>2199</v>
      </c>
      <c r="B17" s="14" t="inlineStr">
        <is>
          <t>NAVEL TEMPRANA sem 3</t>
        </is>
      </c>
      <c r="C17" s="15" t="n">
        <v>1525</v>
      </c>
      <c r="D17" s="14" t="inlineStr">
        <is>
          <t>ECIJA BORREGO, DOLORES</t>
        </is>
      </c>
      <c r="E17" s="14" t="inlineStr">
        <is>
          <t>NAVELINA</t>
        </is>
      </c>
      <c r="F17" s="15" t="n">
        <v>18727</v>
      </c>
      <c r="G17" s="16" t="n">
        <v>7038.19</v>
      </c>
      <c r="H17" s="17" t="n">
        <v>0.3758311528808672</v>
      </c>
      <c r="I17" s="16" t="n">
        <v>1170.44</v>
      </c>
      <c r="J17" s="16" t="n">
        <v>190.82</v>
      </c>
      <c r="K17" s="16" t="n">
        <v>0</v>
      </c>
      <c r="L17" s="16" t="n">
        <v>0</v>
      </c>
      <c r="M17" s="16" t="n">
        <v>0</v>
      </c>
      <c r="N17" s="16" t="n">
        <v>5676.93</v>
      </c>
      <c r="O17" s="17" t="n">
        <v>0.33273</v>
      </c>
      <c r="P17" s="18" t="n">
        <v>12</v>
      </c>
      <c r="Q17" s="18" t="n">
        <v>2</v>
      </c>
      <c r="R17" s="16" t="n">
        <v>6231</v>
      </c>
      <c r="S17" s="14" t="inlineStr">
        <is>
          <t>NAVEL TEMPRANA sem 3</t>
        </is>
      </c>
      <c r="T17" s="14" t="inlineStr">
        <is>
          <t>CITRICOS</t>
        </is>
      </c>
      <c r="U17" s="19">
        <f>IFERROR(166.386*I17/F17,0)</f>
        <v/>
      </c>
      <c r="V17" s="19">
        <f>IFERROR(166.386*M17/F17,0)</f>
        <v/>
      </c>
      <c r="W17" s="19">
        <f>IFERROR(166.386*L17/F17,0)</f>
        <v/>
      </c>
    </row>
    <row r="18">
      <c r="A18" s="14" t="n">
        <v>2199</v>
      </c>
      <c r="B18" s="14" t="inlineStr">
        <is>
          <t>NAVEL TEMPRANA sem 3</t>
        </is>
      </c>
      <c r="C18" s="15" t="n">
        <v>1529</v>
      </c>
      <c r="D18" s="14" t="inlineStr">
        <is>
          <t>RAMOS BRUGAROLAS, JOSE</t>
        </is>
      </c>
      <c r="E18" s="14" t="inlineStr">
        <is>
          <t>NAVELINA</t>
        </is>
      </c>
      <c r="F18" s="15" t="n">
        <v>92825</v>
      </c>
      <c r="G18" s="16" t="n">
        <v>34329.47</v>
      </c>
      <c r="H18" s="17" t="n">
        <v>0.36983000269324</v>
      </c>
      <c r="I18" s="16" t="n">
        <v>6961.88</v>
      </c>
      <c r="J18" s="16" t="n">
        <v>613.6</v>
      </c>
      <c r="K18" s="16" t="n">
        <v>0</v>
      </c>
      <c r="L18" s="16" t="n">
        <v>0</v>
      </c>
      <c r="M18" s="16" t="n">
        <v>0</v>
      </c>
      <c r="N18" s="16" t="n">
        <v>26753.99</v>
      </c>
      <c r="O18" s="17" t="n">
        <v>0.31635</v>
      </c>
      <c r="P18" s="18" t="n">
        <v>12</v>
      </c>
      <c r="Q18" s="18" t="n">
        <v>2</v>
      </c>
      <c r="R18" s="16" t="n">
        <v>29365.18</v>
      </c>
      <c r="S18" s="14" t="inlineStr">
        <is>
          <t>NAVEL TEMPRANA sem 3</t>
        </is>
      </c>
      <c r="T18" s="14" t="inlineStr">
        <is>
          <t>CITRICOS</t>
        </is>
      </c>
      <c r="U18" s="19">
        <f>IFERROR(166.386*I18/F18,0)</f>
        <v/>
      </c>
      <c r="V18" s="19">
        <f>IFERROR(166.386*M18/F18,0)</f>
        <v/>
      </c>
      <c r="W18" s="19">
        <f>IFERROR(166.386*L18/F18,0)</f>
        <v/>
      </c>
    </row>
    <row r="19">
      <c r="A19" s="14" t="n">
        <v>2199</v>
      </c>
      <c r="B19" s="14" t="inlineStr">
        <is>
          <t>NAVEL TEMPRANA sem 3</t>
        </is>
      </c>
      <c r="C19" s="15" t="n">
        <v>1530</v>
      </c>
      <c r="D19" s="14" t="inlineStr">
        <is>
          <t>CABRERA BONILLA, GRACIA Mª</t>
        </is>
      </c>
      <c r="E19" s="14" t="inlineStr">
        <is>
          <t>NAVELINA</t>
        </is>
      </c>
      <c r="F19" s="15" t="n">
        <v>21931</v>
      </c>
      <c r="G19" s="16" t="n">
        <v>8823.809999999999</v>
      </c>
      <c r="H19" s="17" t="n">
        <v>0.4023441703524691</v>
      </c>
      <c r="I19" s="16" t="n">
        <v>1364.69</v>
      </c>
      <c r="J19" s="16" t="n">
        <v>165.22</v>
      </c>
      <c r="K19" s="16" t="n">
        <v>0</v>
      </c>
      <c r="L19" s="16" t="n">
        <v>0</v>
      </c>
      <c r="M19" s="16" t="n">
        <v>314.4</v>
      </c>
      <c r="N19" s="16" t="n">
        <v>7608.3</v>
      </c>
      <c r="O19" s="17" t="n">
        <v>0.38078</v>
      </c>
      <c r="P19" s="18" t="n">
        <v>12</v>
      </c>
      <c r="Q19" s="18" t="n">
        <v>2</v>
      </c>
      <c r="R19" s="16" t="n">
        <v>8350.870000000001</v>
      </c>
      <c r="S19" s="14" t="inlineStr">
        <is>
          <t>NAVEL TEMPRANA sem 3</t>
        </is>
      </c>
      <c r="T19" s="14" t="inlineStr">
        <is>
          <t>CITRICOS</t>
        </is>
      </c>
      <c r="U19" s="19">
        <f>IFERROR(166.386*I19/F19,0)</f>
        <v/>
      </c>
      <c r="V19" s="19">
        <f>IFERROR(166.386*M19/F19,0)</f>
        <v/>
      </c>
      <c r="W19" s="19">
        <f>IFERROR(166.386*L19/F19,0)</f>
        <v/>
      </c>
    </row>
    <row r="20">
      <c r="A20" s="14" t="n">
        <v>2199</v>
      </c>
      <c r="B20" s="14" t="inlineStr">
        <is>
          <t>NAVEL TEMPRANA sem 3</t>
        </is>
      </c>
      <c r="C20" s="15" t="n">
        <v>1537</v>
      </c>
      <c r="D20" s="14" t="inlineStr">
        <is>
          <t>CARRASCO BAEZA, RICARDO</t>
        </is>
      </c>
      <c r="E20" s="14" t="inlineStr">
        <is>
          <t>NAVELINA</t>
        </is>
      </c>
      <c r="F20" s="15" t="n">
        <v>13826</v>
      </c>
      <c r="G20" s="16" t="n">
        <v>5502.39</v>
      </c>
      <c r="H20" s="17" t="n">
        <v>0.3979741067553884</v>
      </c>
      <c r="I20" s="16" t="n">
        <v>864.12</v>
      </c>
      <c r="J20" s="16" t="n">
        <v>267.15</v>
      </c>
      <c r="K20" s="16" t="n">
        <v>0</v>
      </c>
      <c r="L20" s="16" t="n">
        <v>0</v>
      </c>
      <c r="M20" s="16" t="n">
        <v>187.5</v>
      </c>
      <c r="N20" s="16" t="n">
        <v>4558.62</v>
      </c>
      <c r="O20" s="17" t="n">
        <v>0.36189</v>
      </c>
      <c r="P20" s="18" t="n">
        <v>12</v>
      </c>
      <c r="Q20" s="18" t="n">
        <v>2</v>
      </c>
      <c r="R20" s="16" t="n">
        <v>5003.54</v>
      </c>
      <c r="S20" s="14" t="inlineStr">
        <is>
          <t>NAVEL TEMPRANA sem 3</t>
        </is>
      </c>
      <c r="T20" s="14" t="inlineStr">
        <is>
          <t>CITRICOS</t>
        </is>
      </c>
      <c r="U20" s="19">
        <f>IFERROR(166.386*I20/F20,0)</f>
        <v/>
      </c>
      <c r="V20" s="19">
        <f>IFERROR(166.386*M20/F20,0)</f>
        <v/>
      </c>
      <c r="W20" s="19">
        <f>IFERROR(166.386*L20/F20,0)</f>
        <v/>
      </c>
    </row>
    <row r="21">
      <c r="A21" s="14" t="n">
        <v>2200</v>
      </c>
      <c r="B21" s="14" t="inlineStr">
        <is>
          <t>NAVEL TEMPRANA sem 4 y +</t>
        </is>
      </c>
      <c r="C21" s="15" t="n">
        <v>487</v>
      </c>
      <c r="D21" s="14" t="inlineStr">
        <is>
          <t>NUÑEZ ORDOÑEZ,ANGEL CUSTODIO</t>
        </is>
      </c>
      <c r="E21" s="14" t="inlineStr">
        <is>
          <t>NAVELINA</t>
        </is>
      </c>
      <c r="F21" s="15" t="n">
        <v>42255</v>
      </c>
      <c r="G21" s="16" t="n">
        <v>17419.46</v>
      </c>
      <c r="H21" s="17" t="n">
        <v>0.4122461247189682</v>
      </c>
      <c r="I21" s="16" t="n">
        <v>2640.94</v>
      </c>
      <c r="J21" s="16" t="n">
        <v>796.55</v>
      </c>
      <c r="K21" s="16" t="n">
        <v>0</v>
      </c>
      <c r="L21" s="16" t="n">
        <v>0</v>
      </c>
      <c r="M21" s="16" t="n">
        <v>625.75</v>
      </c>
      <c r="N21" s="16" t="n">
        <v>14607.72</v>
      </c>
      <c r="O21" s="17" t="n">
        <v>0.37944</v>
      </c>
      <c r="P21" s="18" t="n">
        <v>12</v>
      </c>
      <c r="Q21" s="18" t="n">
        <v>2</v>
      </c>
      <c r="R21" s="16" t="n">
        <v>16033.43</v>
      </c>
      <c r="S21" s="14" t="inlineStr">
        <is>
          <t>NAVEL TEMPRANA sem 4 y +</t>
        </is>
      </c>
      <c r="T21" s="14" t="inlineStr">
        <is>
          <t>CITRICOS</t>
        </is>
      </c>
      <c r="U21" s="19">
        <f>IFERROR(166.386*I21/F21,0)</f>
        <v/>
      </c>
      <c r="V21" s="19">
        <f>IFERROR(166.386*M21/F21,0)</f>
        <v/>
      </c>
      <c r="W21" s="19">
        <f>IFERROR(166.386*L21/F21,0)</f>
        <v/>
      </c>
    </row>
    <row r="22">
      <c r="A22" s="14" t="n">
        <v>2200</v>
      </c>
      <c r="B22" s="14" t="inlineStr">
        <is>
          <t>NAVEL TEMPRANA sem 4 y +</t>
        </is>
      </c>
      <c r="C22" s="15" t="n">
        <v>877</v>
      </c>
      <c r="D22" s="14" t="inlineStr">
        <is>
          <t>AGRICOLAS RECUERO  S.C.</t>
        </is>
      </c>
      <c r="E22" s="14" t="inlineStr">
        <is>
          <t>NAVELINA</t>
        </is>
      </c>
      <c r="F22" s="15" t="n">
        <v>85785</v>
      </c>
      <c r="G22" s="16" t="n">
        <v>33535.04</v>
      </c>
      <c r="H22" s="17" t="n">
        <v>0.3909196246430028</v>
      </c>
      <c r="I22" s="16" t="n">
        <v>5361.57</v>
      </c>
      <c r="J22" s="16" t="n">
        <v>533.96</v>
      </c>
      <c r="K22" s="16" t="n">
        <v>0</v>
      </c>
      <c r="L22" s="16" t="n">
        <v>0</v>
      </c>
      <c r="M22" s="16" t="n">
        <v>0</v>
      </c>
      <c r="N22" s="16" t="n">
        <v>27639.51</v>
      </c>
      <c r="O22" s="17" t="n">
        <v>0.35364</v>
      </c>
      <c r="P22" s="18" t="n">
        <v>12</v>
      </c>
      <c r="Q22" s="18" t="n">
        <v>2</v>
      </c>
      <c r="R22" s="16" t="n">
        <v>30337.13</v>
      </c>
      <c r="S22" s="14" t="inlineStr">
        <is>
          <t>NAVEL TEMPRANA sem 4 y +</t>
        </is>
      </c>
      <c r="T22" s="14" t="inlineStr">
        <is>
          <t>CITRICOS</t>
        </is>
      </c>
      <c r="U22" s="19">
        <f>IFERROR(166.386*I22/F22,0)</f>
        <v/>
      </c>
      <c r="V22" s="19">
        <f>IFERROR(166.386*M22/F22,0)</f>
        <v/>
      </c>
      <c r="W22" s="19">
        <f>IFERROR(166.386*L22/F22,0)</f>
        <v/>
      </c>
    </row>
    <row r="23">
      <c r="A23" s="14" t="n">
        <v>2200</v>
      </c>
      <c r="B23" s="14" t="inlineStr">
        <is>
          <t>NAVEL TEMPRANA sem 4 y +</t>
        </is>
      </c>
      <c r="C23" s="15" t="n">
        <v>886</v>
      </c>
      <c r="D23" s="14" t="inlineStr">
        <is>
          <t>IGEÑO LUQUE S.C.</t>
        </is>
      </c>
      <c r="E23" s="14" t="inlineStr">
        <is>
          <t>NAVELINA</t>
        </is>
      </c>
      <c r="F23" s="15" t="n">
        <v>134189</v>
      </c>
      <c r="G23" s="16" t="n">
        <v>51339.29</v>
      </c>
      <c r="H23" s="17" t="n">
        <v>0.3825894074775131</v>
      </c>
      <c r="I23" s="16" t="n">
        <v>8359.07</v>
      </c>
      <c r="J23" s="16" t="n">
        <v>683.58</v>
      </c>
      <c r="K23" s="16" t="n">
        <v>0</v>
      </c>
      <c r="L23" s="16" t="n">
        <v>1489.5</v>
      </c>
      <c r="M23" s="16" t="n">
        <v>2022.58</v>
      </c>
      <c r="N23" s="16" t="n">
        <v>45808.72</v>
      </c>
      <c r="O23" s="17" t="n">
        <v>0.37469</v>
      </c>
      <c r="P23" s="18" t="n">
        <v>12</v>
      </c>
      <c r="Q23" s="18" t="n">
        <v>2</v>
      </c>
      <c r="R23" s="16" t="n">
        <v>50279.65</v>
      </c>
      <c r="S23" s="14" t="inlineStr">
        <is>
          <t>NAVEL TEMPRANA sem 4 y +</t>
        </is>
      </c>
      <c r="T23" s="14" t="inlineStr">
        <is>
          <t>CITRICOS</t>
        </is>
      </c>
      <c r="U23" s="19">
        <f>IFERROR(166.386*I23/F23,0)</f>
        <v/>
      </c>
      <c r="V23" s="19">
        <f>IFERROR(166.386*M23/F23,0)</f>
        <v/>
      </c>
      <c r="W23" s="19">
        <f>IFERROR(166.386*L23/F23,0)</f>
        <v/>
      </c>
    </row>
    <row r="24">
      <c r="A24" s="14" t="n">
        <v>2200</v>
      </c>
      <c r="B24" s="14" t="inlineStr">
        <is>
          <t>NAVEL TEMPRANA sem 4 y +</t>
        </is>
      </c>
      <c r="C24" s="15" t="n">
        <v>886</v>
      </c>
      <c r="D24" s="14" t="inlineStr">
        <is>
          <t>IGEÑO LUQUE S.C.</t>
        </is>
      </c>
      <c r="E24" s="14" t="inlineStr">
        <is>
          <t>WASHINGTON</t>
        </is>
      </c>
      <c r="F24" s="15" t="n">
        <v>50376</v>
      </c>
      <c r="G24" s="16" t="n">
        <v>18802.48</v>
      </c>
      <c r="H24" s="17" t="n">
        <v>0.373242814038431</v>
      </c>
      <c r="I24" s="16" t="n">
        <v>3145.88</v>
      </c>
      <c r="J24" s="16" t="n">
        <v>256.62</v>
      </c>
      <c r="K24" s="16" t="n">
        <v>0</v>
      </c>
      <c r="L24" s="16" t="n">
        <v>483.95</v>
      </c>
      <c r="M24" s="16" t="n">
        <v>731.9</v>
      </c>
      <c r="N24" s="16" t="n">
        <v>16615.83</v>
      </c>
      <c r="O24" s="17" t="n">
        <v>0.36203</v>
      </c>
      <c r="P24" s="18" t="n">
        <v>12</v>
      </c>
      <c r="Q24" s="18" t="n">
        <v>2</v>
      </c>
      <c r="R24" s="16" t="n">
        <v>18237.54</v>
      </c>
      <c r="S24" s="14" t="inlineStr">
        <is>
          <t>NAVEL TEMPRANA sem 4 y +</t>
        </is>
      </c>
      <c r="T24" s="14" t="inlineStr">
        <is>
          <t>CITRICOS</t>
        </is>
      </c>
      <c r="U24" s="19">
        <f>IFERROR(166.386*I24/F24,0)</f>
        <v/>
      </c>
      <c r="V24" s="19">
        <f>IFERROR(166.386*M24/F24,0)</f>
        <v/>
      </c>
      <c r="W24" s="19">
        <f>IFERROR(166.386*L24/F24,0)</f>
        <v/>
      </c>
    </row>
    <row r="25">
      <c r="A25" s="14" t="n">
        <v>2200</v>
      </c>
      <c r="B25" s="14" t="inlineStr">
        <is>
          <t>NAVEL TEMPRANA sem 4 y +</t>
        </is>
      </c>
      <c r="C25" s="15" t="n">
        <v>994</v>
      </c>
      <c r="D25" s="14" t="inlineStr">
        <is>
          <t>MARTINEZ PASADAS,FRANCISCO JAVIER</t>
        </is>
      </c>
      <c r="E25" s="14" t="inlineStr">
        <is>
          <t>WASHINGTON</t>
        </is>
      </c>
      <c r="F25" s="15" t="n">
        <v>9853</v>
      </c>
      <c r="G25" s="16" t="n">
        <v>3576.23</v>
      </c>
      <c r="H25" s="17" t="n">
        <v>0.3629584898000609</v>
      </c>
      <c r="I25" s="16" t="n">
        <v>615.8099999999999</v>
      </c>
      <c r="J25" s="16" t="n">
        <v>94.95999999999999</v>
      </c>
      <c r="K25" s="16" t="n">
        <v>0</v>
      </c>
      <c r="L25" s="16" t="n">
        <v>0</v>
      </c>
      <c r="M25" s="16" t="n">
        <v>0</v>
      </c>
      <c r="N25" s="16" t="n">
        <v>2865.46</v>
      </c>
      <c r="O25" s="17" t="n">
        <v>0.31921</v>
      </c>
      <c r="P25" s="18" t="n">
        <v>12</v>
      </c>
      <c r="Q25" s="18" t="n">
        <v>2</v>
      </c>
      <c r="R25" s="16" t="n">
        <v>3145.13</v>
      </c>
      <c r="S25" s="14" t="inlineStr">
        <is>
          <t>NAVEL TEMPRANA sem 4 y +</t>
        </is>
      </c>
      <c r="T25" s="14" t="inlineStr">
        <is>
          <t>CITRICOS</t>
        </is>
      </c>
      <c r="U25" s="19">
        <f>IFERROR(166.386*I25/F25,0)</f>
        <v/>
      </c>
      <c r="V25" s="19">
        <f>IFERROR(166.386*M25/F25,0)</f>
        <v/>
      </c>
      <c r="W25" s="19">
        <f>IFERROR(166.386*L25/F25,0)</f>
        <v/>
      </c>
    </row>
    <row r="26">
      <c r="A26" s="14" t="n">
        <v>2200</v>
      </c>
      <c r="B26" s="14" t="inlineStr">
        <is>
          <t>NAVEL TEMPRANA sem 4 y +</t>
        </is>
      </c>
      <c r="C26" s="15" t="n">
        <v>1099</v>
      </c>
      <c r="D26" s="14" t="inlineStr">
        <is>
          <t>CUEVAS MORGADO,RAFAEL</t>
        </is>
      </c>
      <c r="E26" s="14" t="inlineStr">
        <is>
          <t>NAVELINA</t>
        </is>
      </c>
      <c r="F26" s="15" t="n">
        <v>3460</v>
      </c>
      <c r="G26" s="16" t="n">
        <v>1287.91</v>
      </c>
      <c r="H26" s="17" t="n">
        <v>0.372228323699422</v>
      </c>
      <c r="I26" s="16" t="n">
        <v>0</v>
      </c>
      <c r="J26" s="16" t="n">
        <v>50.42</v>
      </c>
      <c r="K26" s="16" t="n">
        <v>0</v>
      </c>
      <c r="L26" s="16" t="n">
        <v>28.42</v>
      </c>
      <c r="M26" s="16" t="n">
        <v>0</v>
      </c>
      <c r="N26" s="16" t="n">
        <v>1265.91</v>
      </c>
      <c r="O26" s="17" t="n">
        <v>0.40158</v>
      </c>
      <c r="P26" s="18" t="n">
        <v>12</v>
      </c>
      <c r="Q26" s="18" t="n">
        <v>2</v>
      </c>
      <c r="R26" s="16" t="n">
        <v>1389.46</v>
      </c>
      <c r="S26" s="14" t="inlineStr">
        <is>
          <t>NAVEL TEMPRANA sem 4 y +</t>
        </is>
      </c>
      <c r="T26" s="14" t="inlineStr">
        <is>
          <t>CITRICOS</t>
        </is>
      </c>
      <c r="U26" s="19">
        <f>IFERROR(166.386*I26/F26,0)</f>
        <v/>
      </c>
      <c r="V26" s="19">
        <f>IFERROR(166.386*M26/F26,0)</f>
        <v/>
      </c>
      <c r="W26" s="19">
        <f>IFERROR(166.386*L26/F26,0)</f>
        <v/>
      </c>
    </row>
    <row r="27">
      <c r="A27" s="14" t="n">
        <v>2200</v>
      </c>
      <c r="B27" s="14" t="inlineStr">
        <is>
          <t>NAVEL TEMPRANA sem 4 y +</t>
        </is>
      </c>
      <c r="C27" s="15" t="n">
        <v>1103</v>
      </c>
      <c r="D27" s="14" t="inlineStr">
        <is>
          <t>MARTIN RUIZ,JOSE</t>
        </is>
      </c>
      <c r="E27" s="14" t="inlineStr">
        <is>
          <t>NAVELINA</t>
        </is>
      </c>
      <c r="F27" s="15" t="n">
        <v>17980</v>
      </c>
      <c r="G27" s="16" t="n">
        <v>6832.55</v>
      </c>
      <c r="H27" s="17" t="n">
        <v>0.3800083426028921</v>
      </c>
      <c r="I27" s="16" t="n">
        <v>1114.76</v>
      </c>
      <c r="J27" s="16" t="n">
        <v>167.85</v>
      </c>
      <c r="K27" s="16" t="n">
        <v>0</v>
      </c>
      <c r="L27" s="16" t="n">
        <v>0</v>
      </c>
      <c r="M27" s="16" t="n">
        <v>0</v>
      </c>
      <c r="N27" s="16" t="n">
        <v>5549.94</v>
      </c>
      <c r="O27" s="17" t="n">
        <v>0.3388</v>
      </c>
      <c r="P27" s="18" t="n">
        <v>12</v>
      </c>
      <c r="Q27" s="18" t="n">
        <v>2</v>
      </c>
      <c r="R27" s="16" t="n">
        <v>6091.61</v>
      </c>
      <c r="S27" s="14" t="inlineStr">
        <is>
          <t>NAVEL TEMPRANA sem 4 y +</t>
        </is>
      </c>
      <c r="T27" s="14" t="inlineStr">
        <is>
          <t>CITRICOS</t>
        </is>
      </c>
      <c r="U27" s="19">
        <f>IFERROR(166.386*I27/F27,0)</f>
        <v/>
      </c>
      <c r="V27" s="19">
        <f>IFERROR(166.386*M27/F27,0)</f>
        <v/>
      </c>
      <c r="W27" s="19">
        <f>IFERROR(166.386*L27/F27,0)</f>
        <v/>
      </c>
    </row>
    <row r="28">
      <c r="A28" s="14" t="n">
        <v>2200</v>
      </c>
      <c r="B28" s="14" t="inlineStr">
        <is>
          <t>NAVEL TEMPRANA sem 4 y +</t>
        </is>
      </c>
      <c r="C28" s="15" t="n">
        <v>1129</v>
      </c>
      <c r="D28" s="14" t="inlineStr">
        <is>
          <t>MIÑANA JARDON,JOSE MANUEL</t>
        </is>
      </c>
      <c r="E28" s="14" t="inlineStr">
        <is>
          <t>WASHINGTON</t>
        </is>
      </c>
      <c r="F28" s="15" t="n">
        <v>25074</v>
      </c>
      <c r="G28" s="16" t="n">
        <v>8470.59</v>
      </c>
      <c r="H28" s="17" t="n">
        <v>0.3378236420196219</v>
      </c>
      <c r="I28" s="16" t="n">
        <v>1615.18</v>
      </c>
      <c r="J28" s="16" t="n">
        <v>269.99</v>
      </c>
      <c r="K28" s="16" t="n">
        <v>0</v>
      </c>
      <c r="L28" s="16" t="n">
        <v>0</v>
      </c>
      <c r="M28" s="16" t="n">
        <v>0</v>
      </c>
      <c r="N28" s="16" t="n">
        <v>6585.42</v>
      </c>
      <c r="O28" s="17" t="n">
        <v>0.28827</v>
      </c>
      <c r="P28" s="18" t="n">
        <v>12</v>
      </c>
      <c r="Q28" s="18" t="n">
        <v>2</v>
      </c>
      <c r="R28" s="16" t="n">
        <v>7228.16</v>
      </c>
      <c r="S28" s="14" t="inlineStr">
        <is>
          <t>NAVEL TEMPRANA sem 4 y +</t>
        </is>
      </c>
      <c r="T28" s="14" t="inlineStr">
        <is>
          <t>CITRICOS</t>
        </is>
      </c>
      <c r="U28" s="19">
        <f>IFERROR(166.386*I28/F28,0)</f>
        <v/>
      </c>
      <c r="V28" s="19">
        <f>IFERROR(166.386*M28/F28,0)</f>
        <v/>
      </c>
      <c r="W28" s="19">
        <f>IFERROR(166.386*L28/F28,0)</f>
        <v/>
      </c>
    </row>
    <row r="29">
      <c r="A29" s="14" t="n">
        <v>2200</v>
      </c>
      <c r="B29" s="14" t="inlineStr">
        <is>
          <t>NAVEL TEMPRANA sem 4 y +</t>
        </is>
      </c>
      <c r="C29" s="15" t="n">
        <v>1158</v>
      </c>
      <c r="D29" s="14" t="inlineStr">
        <is>
          <t>CID URBAN,RAFAEL</t>
        </is>
      </c>
      <c r="E29" s="14" t="inlineStr">
        <is>
          <t>NAVELINA</t>
        </is>
      </c>
      <c r="F29" s="15" t="n">
        <v>55537</v>
      </c>
      <c r="G29" s="16" t="n">
        <v>20480.22</v>
      </c>
      <c r="H29" s="17" t="n">
        <v>0.3687671282208257</v>
      </c>
      <c r="I29" s="16" t="n">
        <v>3464.07</v>
      </c>
      <c r="J29" s="16" t="n">
        <v>508.95</v>
      </c>
      <c r="K29" s="16" t="n">
        <v>0</v>
      </c>
      <c r="L29" s="16" t="n">
        <v>0</v>
      </c>
      <c r="M29" s="16" t="n">
        <v>0</v>
      </c>
      <c r="N29" s="16" t="n">
        <v>16507.2</v>
      </c>
      <c r="O29" s="17" t="n">
        <v>0.32624</v>
      </c>
      <c r="P29" s="18" t="n">
        <v>12</v>
      </c>
      <c r="Q29" s="18" t="n">
        <v>2</v>
      </c>
      <c r="R29" s="16" t="n">
        <v>18118.3</v>
      </c>
      <c r="S29" s="14" t="inlineStr">
        <is>
          <t>NAVEL TEMPRANA sem 4 y +</t>
        </is>
      </c>
      <c r="T29" s="14" t="inlineStr">
        <is>
          <t>CITRICOS</t>
        </is>
      </c>
      <c r="U29" s="19">
        <f>IFERROR(166.386*I29/F29,0)</f>
        <v/>
      </c>
      <c r="V29" s="19">
        <f>IFERROR(166.386*M29/F29,0)</f>
        <v/>
      </c>
      <c r="W29" s="19">
        <f>IFERROR(166.386*L29/F29,0)</f>
        <v/>
      </c>
    </row>
    <row r="30">
      <c r="A30" s="14" t="n">
        <v>2200</v>
      </c>
      <c r="B30" s="14" t="inlineStr">
        <is>
          <t>NAVEL TEMPRANA sem 4 y +</t>
        </is>
      </c>
      <c r="C30" s="15" t="n">
        <v>1197</v>
      </c>
      <c r="D30" s="14" t="inlineStr">
        <is>
          <t>MUNZON FERNANDEZ,ANTONIO</t>
        </is>
      </c>
      <c r="E30" s="14" t="inlineStr">
        <is>
          <t>NAVELINA</t>
        </is>
      </c>
      <c r="F30" s="15" t="n">
        <v>32040</v>
      </c>
      <c r="G30" s="16" t="n">
        <v>12723.82</v>
      </c>
      <c r="H30" s="17" t="n">
        <v>0.3971229712858926</v>
      </c>
      <c r="I30" s="16" t="n">
        <v>2002.5</v>
      </c>
      <c r="J30" s="16" t="n">
        <v>292.96</v>
      </c>
      <c r="K30" s="16" t="n">
        <v>0</v>
      </c>
      <c r="L30" s="16" t="n">
        <v>355.64</v>
      </c>
      <c r="M30" s="16" t="n">
        <v>0</v>
      </c>
      <c r="N30" s="16" t="n">
        <v>10784</v>
      </c>
      <c r="O30" s="17" t="n">
        <v>0.36943</v>
      </c>
      <c r="P30" s="18" t="n">
        <v>12</v>
      </c>
      <c r="Q30" s="18" t="n">
        <v>2</v>
      </c>
      <c r="R30" s="16" t="n">
        <v>11836.52</v>
      </c>
      <c r="S30" s="14" t="inlineStr">
        <is>
          <t>NAVEL TEMPRANA sem 4 y +</t>
        </is>
      </c>
      <c r="T30" s="14" t="inlineStr">
        <is>
          <t>CITRICOS</t>
        </is>
      </c>
      <c r="U30" s="19">
        <f>IFERROR(166.386*I30/F30,0)</f>
        <v/>
      </c>
      <c r="V30" s="19">
        <f>IFERROR(166.386*M30/F30,0)</f>
        <v/>
      </c>
      <c r="W30" s="19">
        <f>IFERROR(166.386*L30/F30,0)</f>
        <v/>
      </c>
    </row>
    <row r="31">
      <c r="A31" s="14" t="n">
        <v>2200</v>
      </c>
      <c r="B31" s="14" t="inlineStr">
        <is>
          <t>NAVEL TEMPRANA sem 4 y +</t>
        </is>
      </c>
      <c r="C31" s="15" t="n">
        <v>1197</v>
      </c>
      <c r="D31" s="14" t="inlineStr">
        <is>
          <t>MUNZON FERNANDEZ,ANTONIO</t>
        </is>
      </c>
      <c r="E31" s="14" t="inlineStr">
        <is>
          <t>NEWHALL</t>
        </is>
      </c>
      <c r="F31" s="15" t="n">
        <v>11162</v>
      </c>
      <c r="G31" s="16" t="n">
        <v>3969.01</v>
      </c>
      <c r="H31" s="17" t="n">
        <v>0.3555823329152482</v>
      </c>
      <c r="I31" s="16" t="n">
        <v>697.63</v>
      </c>
      <c r="J31" s="16" t="n">
        <v>102.06</v>
      </c>
      <c r="K31" s="16" t="n">
        <v>0</v>
      </c>
      <c r="L31" s="16" t="n">
        <v>123.9</v>
      </c>
      <c r="M31" s="16" t="n">
        <v>0</v>
      </c>
      <c r="N31" s="16" t="n">
        <v>3293.22</v>
      </c>
      <c r="O31" s="17" t="n">
        <v>0.32383</v>
      </c>
      <c r="P31" s="18" t="n">
        <v>12</v>
      </c>
      <c r="Q31" s="18" t="n">
        <v>2</v>
      </c>
      <c r="R31" s="16" t="n">
        <v>3614.64</v>
      </c>
      <c r="S31" s="14" t="inlineStr">
        <is>
          <t>NAVEL TEMPRANA sem 4 y +</t>
        </is>
      </c>
      <c r="T31" s="14" t="inlineStr">
        <is>
          <t>CITRICOS</t>
        </is>
      </c>
      <c r="U31" s="19">
        <f>IFERROR(166.386*I31/F31,0)</f>
        <v/>
      </c>
      <c r="V31" s="19">
        <f>IFERROR(166.386*M31/F31,0)</f>
        <v/>
      </c>
      <c r="W31" s="19">
        <f>IFERROR(166.386*L31/F31,0)</f>
        <v/>
      </c>
    </row>
    <row r="32">
      <c r="A32" s="14" t="n">
        <v>2200</v>
      </c>
      <c r="B32" s="14" t="inlineStr">
        <is>
          <t>NAVEL TEMPRANA sem 4 y +</t>
        </is>
      </c>
      <c r="C32" s="15" t="n">
        <v>1243</v>
      </c>
      <c r="D32" s="14" t="inlineStr">
        <is>
          <t>ZURITA CABRERA,PEDRO</t>
        </is>
      </c>
      <c r="E32" s="14" t="inlineStr">
        <is>
          <t>NEWHALL</t>
        </is>
      </c>
      <c r="F32" s="15" t="n">
        <v>34550</v>
      </c>
      <c r="G32" s="16" t="n">
        <v>13074.36</v>
      </c>
      <c r="H32" s="17" t="n">
        <v>0.3784185238784371</v>
      </c>
      <c r="I32" s="16" t="n">
        <v>2159.38</v>
      </c>
      <c r="J32" s="16" t="n">
        <v>386.1</v>
      </c>
      <c r="K32" s="16" t="n">
        <v>0</v>
      </c>
      <c r="L32" s="16" t="n">
        <v>0</v>
      </c>
      <c r="M32" s="16" t="n">
        <v>0</v>
      </c>
      <c r="N32" s="16" t="n">
        <v>10528.88</v>
      </c>
      <c r="O32" s="17" t="n">
        <v>0.33449</v>
      </c>
      <c r="P32" s="18" t="n">
        <v>12</v>
      </c>
      <c r="Q32" s="18" t="n">
        <v>2</v>
      </c>
      <c r="R32" s="16" t="n">
        <v>11556.5</v>
      </c>
      <c r="S32" s="14" t="inlineStr">
        <is>
          <t>NAVEL TEMPRANA sem 4 y +</t>
        </is>
      </c>
      <c r="T32" s="14" t="inlineStr">
        <is>
          <t>CITRICOS</t>
        </is>
      </c>
      <c r="U32" s="19">
        <f>IFERROR(166.386*I32/F32,0)</f>
        <v/>
      </c>
      <c r="V32" s="19">
        <f>IFERROR(166.386*M32/F32,0)</f>
        <v/>
      </c>
      <c r="W32" s="19">
        <f>IFERROR(166.386*L32/F32,0)</f>
        <v/>
      </c>
    </row>
    <row r="33">
      <c r="A33" s="14" t="n">
        <v>2200</v>
      </c>
      <c r="B33" s="14" t="inlineStr">
        <is>
          <t>NAVEL TEMPRANA sem 4 y +</t>
        </is>
      </c>
      <c r="C33" s="15" t="n">
        <v>1252</v>
      </c>
      <c r="D33" s="14" t="inlineStr">
        <is>
          <t>CRESPO RINCON,PURIFICACION</t>
        </is>
      </c>
      <c r="E33" s="14" t="inlineStr">
        <is>
          <t>NAVELINA</t>
        </is>
      </c>
      <c r="F33" s="15" t="n">
        <v>53345</v>
      </c>
      <c r="G33" s="16" t="n">
        <v>21417.03</v>
      </c>
      <c r="H33" s="17" t="n">
        <v>0.4014814884244072</v>
      </c>
      <c r="I33" s="16" t="n">
        <v>3571.23</v>
      </c>
      <c r="J33" s="16" t="n">
        <v>742</v>
      </c>
      <c r="K33" s="16" t="n">
        <v>0</v>
      </c>
      <c r="L33" s="16" t="n">
        <v>0</v>
      </c>
      <c r="M33" s="16" t="n">
        <v>810.63</v>
      </c>
      <c r="N33" s="16" t="n">
        <v>17914.43</v>
      </c>
      <c r="O33" s="17" t="n">
        <v>0.3686</v>
      </c>
      <c r="P33" s="18" t="n">
        <v>12</v>
      </c>
      <c r="Q33" s="18" t="n">
        <v>2</v>
      </c>
      <c r="R33" s="16" t="n">
        <v>19662.88</v>
      </c>
      <c r="S33" s="14" t="inlineStr">
        <is>
          <t>NAVEL TEMPRANA sem 4 y +</t>
        </is>
      </c>
      <c r="T33" s="14" t="inlineStr">
        <is>
          <t>CITRICOS</t>
        </is>
      </c>
      <c r="U33" s="19">
        <f>IFERROR(166.386*I33/F33,0)</f>
        <v/>
      </c>
      <c r="V33" s="19">
        <f>IFERROR(166.386*M33/F33,0)</f>
        <v/>
      </c>
      <c r="W33" s="19">
        <f>IFERROR(166.386*L33/F33,0)</f>
        <v/>
      </c>
    </row>
    <row r="34">
      <c r="A34" s="14" t="n">
        <v>2200</v>
      </c>
      <c r="B34" s="14" t="inlineStr">
        <is>
          <t>NAVEL TEMPRANA sem 4 y +</t>
        </is>
      </c>
      <c r="C34" s="15" t="n">
        <v>1272</v>
      </c>
      <c r="D34" s="14" t="inlineStr">
        <is>
          <t>HERMANOS GONZALEZ ROLDAN,S.C.</t>
        </is>
      </c>
      <c r="E34" s="14" t="inlineStr">
        <is>
          <t>NAVELINA</t>
        </is>
      </c>
      <c r="F34" s="15" t="n">
        <v>9620</v>
      </c>
      <c r="G34" s="16" t="n">
        <v>3920.97</v>
      </c>
      <c r="H34" s="17" t="n">
        <v>0.4075852390852391</v>
      </c>
      <c r="I34" s="16" t="n">
        <v>601.25</v>
      </c>
      <c r="J34" s="16" t="n">
        <v>176.81</v>
      </c>
      <c r="K34" s="16" t="n">
        <v>0</v>
      </c>
      <c r="L34" s="16" t="n">
        <v>0</v>
      </c>
      <c r="M34" s="16" t="n">
        <v>152.46</v>
      </c>
      <c r="N34" s="16" t="n">
        <v>3295.37</v>
      </c>
      <c r="O34" s="17" t="n">
        <v>0.37599</v>
      </c>
      <c r="P34" s="18" t="n">
        <v>12</v>
      </c>
      <c r="Q34" s="18" t="n">
        <v>2</v>
      </c>
      <c r="R34" s="16" t="n">
        <v>3617</v>
      </c>
      <c r="S34" s="14" t="inlineStr">
        <is>
          <t>NAVEL TEMPRANA sem 4 y +</t>
        </is>
      </c>
      <c r="T34" s="14" t="inlineStr">
        <is>
          <t>CITRICOS</t>
        </is>
      </c>
      <c r="U34" s="19">
        <f>IFERROR(166.386*I34/F34,0)</f>
        <v/>
      </c>
      <c r="V34" s="19">
        <f>IFERROR(166.386*M34/F34,0)</f>
        <v/>
      </c>
      <c r="W34" s="19">
        <f>IFERROR(166.386*L34/F34,0)</f>
        <v/>
      </c>
    </row>
    <row r="35">
      <c r="A35" s="14" t="n">
        <v>2200</v>
      </c>
      <c r="B35" s="14" t="inlineStr">
        <is>
          <t>NAVEL TEMPRANA sem 4 y +</t>
        </is>
      </c>
      <c r="C35" s="15" t="n">
        <v>1272</v>
      </c>
      <c r="D35" s="14" t="inlineStr">
        <is>
          <t>HERMANOS GONZALEZ ROLDAN,S.C.</t>
        </is>
      </c>
      <c r="E35" s="14" t="inlineStr">
        <is>
          <t>NEWHALL</t>
        </is>
      </c>
      <c r="F35" s="15" t="n">
        <v>8154</v>
      </c>
      <c r="G35" s="16" t="n">
        <v>3379.99</v>
      </c>
      <c r="H35" s="17" t="n">
        <v>0.4145192543536914</v>
      </c>
      <c r="I35" s="16" t="n">
        <v>509.62</v>
      </c>
      <c r="J35" s="16" t="n">
        <v>149.86</v>
      </c>
      <c r="K35" s="16" t="n">
        <v>0</v>
      </c>
      <c r="L35" s="16" t="n">
        <v>0</v>
      </c>
      <c r="M35" s="16" t="n">
        <v>124.96</v>
      </c>
      <c r="N35" s="16" t="n">
        <v>2845.47</v>
      </c>
      <c r="O35" s="17" t="n">
        <v>0.38303</v>
      </c>
      <c r="P35" s="18" t="n">
        <v>12</v>
      </c>
      <c r="Q35" s="18" t="n">
        <v>2</v>
      </c>
      <c r="R35" s="16" t="n">
        <v>3123.19</v>
      </c>
      <c r="S35" s="14" t="inlineStr">
        <is>
          <t>NAVEL TEMPRANA sem 4 y +</t>
        </is>
      </c>
      <c r="T35" s="14" t="inlineStr">
        <is>
          <t>CITRICOS</t>
        </is>
      </c>
      <c r="U35" s="19">
        <f>IFERROR(166.386*I35/F35,0)</f>
        <v/>
      </c>
      <c r="V35" s="19">
        <f>IFERROR(166.386*M35/F35,0)</f>
        <v/>
      </c>
      <c r="W35" s="19">
        <f>IFERROR(166.386*L35/F35,0)</f>
        <v/>
      </c>
    </row>
    <row r="36">
      <c r="A36" s="14" t="n">
        <v>2200</v>
      </c>
      <c r="B36" s="14" t="inlineStr">
        <is>
          <t>NAVEL TEMPRANA sem 4 y +</t>
        </is>
      </c>
      <c r="C36" s="15" t="n">
        <v>1278</v>
      </c>
      <c r="D36" s="14" t="inlineStr">
        <is>
          <t>CALDERO PATO,ANGELES</t>
        </is>
      </c>
      <c r="E36" s="14" t="inlineStr">
        <is>
          <t>NAVELINA</t>
        </is>
      </c>
      <c r="F36" s="15" t="n">
        <v>34012</v>
      </c>
      <c r="G36" s="16" t="n">
        <v>13328.56</v>
      </c>
      <c r="H36" s="17" t="n">
        <v>0.3918781606491826</v>
      </c>
      <c r="I36" s="16" t="n">
        <v>2125.75</v>
      </c>
      <c r="J36" s="16" t="n">
        <v>358.38</v>
      </c>
      <c r="K36" s="16" t="n">
        <v>0</v>
      </c>
      <c r="L36" s="16" t="n">
        <v>0</v>
      </c>
      <c r="M36" s="16" t="n">
        <v>0</v>
      </c>
      <c r="N36" s="16" t="n">
        <v>10844.43</v>
      </c>
      <c r="O36" s="17" t="n">
        <v>0.34996</v>
      </c>
      <c r="P36" s="18" t="n">
        <v>12</v>
      </c>
      <c r="Q36" s="18" t="n">
        <v>2</v>
      </c>
      <c r="R36" s="16" t="n">
        <v>11902.85</v>
      </c>
      <c r="S36" s="14" t="inlineStr">
        <is>
          <t>NAVEL TEMPRANA sem 4 y +</t>
        </is>
      </c>
      <c r="T36" s="14" t="inlineStr">
        <is>
          <t>CITRICOS</t>
        </is>
      </c>
      <c r="U36" s="19">
        <f>IFERROR(166.386*I36/F36,0)</f>
        <v/>
      </c>
      <c r="V36" s="19">
        <f>IFERROR(166.386*M36/F36,0)</f>
        <v/>
      </c>
      <c r="W36" s="19">
        <f>IFERROR(166.386*L36/F36,0)</f>
        <v/>
      </c>
    </row>
    <row r="37">
      <c r="A37" s="14" t="n">
        <v>2200</v>
      </c>
      <c r="B37" s="14" t="inlineStr">
        <is>
          <t>NAVEL TEMPRANA sem 4 y +</t>
        </is>
      </c>
      <c r="C37" s="15" t="n">
        <v>1301</v>
      </c>
      <c r="D37" s="14" t="inlineStr">
        <is>
          <t>BEREÑO REY,ENCARNACION</t>
        </is>
      </c>
      <c r="E37" s="14" t="inlineStr">
        <is>
          <t>NAVELINA</t>
        </is>
      </c>
      <c r="F37" s="15" t="n">
        <v>20289</v>
      </c>
      <c r="G37" s="16" t="n">
        <v>7434.25</v>
      </c>
      <c r="H37" s="17" t="n">
        <v>0.3664177633200256</v>
      </c>
      <c r="I37" s="16" t="n">
        <v>1268.07</v>
      </c>
      <c r="J37" s="16" t="n">
        <v>186.87</v>
      </c>
      <c r="K37" s="16" t="n">
        <v>0</v>
      </c>
      <c r="L37" s="16" t="n">
        <v>0</v>
      </c>
      <c r="M37" s="16" t="n">
        <v>0</v>
      </c>
      <c r="N37" s="16" t="n">
        <v>5979.31</v>
      </c>
      <c r="O37" s="17" t="n">
        <v>0.32347</v>
      </c>
      <c r="P37" s="18" t="n">
        <v>12</v>
      </c>
      <c r="Q37" s="18" t="n">
        <v>2</v>
      </c>
      <c r="R37" s="16" t="n">
        <v>6562.89</v>
      </c>
      <c r="S37" s="14" t="inlineStr">
        <is>
          <t>NAVEL TEMPRANA sem 4 y +</t>
        </is>
      </c>
      <c r="T37" s="14" t="inlineStr">
        <is>
          <t>CITRICOS</t>
        </is>
      </c>
      <c r="U37" s="19">
        <f>IFERROR(166.386*I37/F37,0)</f>
        <v/>
      </c>
      <c r="V37" s="19">
        <f>IFERROR(166.386*M37/F37,0)</f>
        <v/>
      </c>
      <c r="W37" s="19">
        <f>IFERROR(166.386*L37/F37,0)</f>
        <v/>
      </c>
    </row>
    <row r="38">
      <c r="A38" s="14" t="n">
        <v>2200</v>
      </c>
      <c r="B38" s="14" t="inlineStr">
        <is>
          <t>NAVEL TEMPRANA sem 4 y +</t>
        </is>
      </c>
      <c r="C38" s="15" t="n">
        <v>1309</v>
      </c>
      <c r="D38" s="14" t="inlineStr">
        <is>
          <t>CID MALDONADO,RAMON</t>
        </is>
      </c>
      <c r="E38" s="14" t="inlineStr">
        <is>
          <t>NAVELINA</t>
        </is>
      </c>
      <c r="F38" s="15" t="n">
        <v>6163</v>
      </c>
      <c r="G38" s="16" t="n">
        <v>2353.17</v>
      </c>
      <c r="H38" s="17" t="n">
        <v>0.3818221645302612</v>
      </c>
      <c r="I38" s="16" t="n">
        <v>385.19</v>
      </c>
      <c r="J38" s="16" t="n">
        <v>171.6</v>
      </c>
      <c r="K38" s="16" t="n">
        <v>0</v>
      </c>
      <c r="L38" s="16" t="n">
        <v>0</v>
      </c>
      <c r="M38" s="16" t="n">
        <v>0</v>
      </c>
      <c r="N38" s="16" t="n">
        <v>1796.38</v>
      </c>
      <c r="O38" s="17" t="n">
        <v>0.31993</v>
      </c>
      <c r="P38" s="18" t="n">
        <v>12</v>
      </c>
      <c r="Q38" s="18" t="n">
        <v>2</v>
      </c>
      <c r="R38" s="16" t="n">
        <v>1971.71</v>
      </c>
      <c r="S38" s="14" t="inlineStr">
        <is>
          <t>NAVEL TEMPRANA sem 4 y +</t>
        </is>
      </c>
      <c r="T38" s="14" t="inlineStr">
        <is>
          <t>CITRICOS</t>
        </is>
      </c>
      <c r="U38" s="19">
        <f>IFERROR(166.386*I38/F38,0)</f>
        <v/>
      </c>
      <c r="V38" s="19">
        <f>IFERROR(166.386*M38/F38,0)</f>
        <v/>
      </c>
      <c r="W38" s="19">
        <f>IFERROR(166.386*L38/F38,0)</f>
        <v/>
      </c>
    </row>
    <row r="39">
      <c r="A39" s="14" t="n">
        <v>2200</v>
      </c>
      <c r="B39" s="14" t="inlineStr">
        <is>
          <t>NAVEL TEMPRANA sem 4 y +</t>
        </is>
      </c>
      <c r="C39" s="15" t="n">
        <v>1316</v>
      </c>
      <c r="D39" s="14" t="inlineStr">
        <is>
          <t>JIMENA GARCIA,JUAN MANUEL</t>
        </is>
      </c>
      <c r="E39" s="14" t="inlineStr">
        <is>
          <t>WASHINGTON</t>
        </is>
      </c>
      <c r="F39" s="15" t="n">
        <v>27837</v>
      </c>
      <c r="G39" s="16" t="n">
        <v>9664.860000000001</v>
      </c>
      <c r="H39" s="17" t="n">
        <v>0.3471947408125876</v>
      </c>
      <c r="I39" s="16" t="n">
        <v>1735.57</v>
      </c>
      <c r="J39" s="16" t="n">
        <v>187.14</v>
      </c>
      <c r="K39" s="16" t="n">
        <v>0</v>
      </c>
      <c r="L39" s="16" t="n">
        <v>0</v>
      </c>
      <c r="M39" s="16" t="n">
        <v>0</v>
      </c>
      <c r="N39" s="16" t="n">
        <v>7742.15</v>
      </c>
      <c r="O39" s="17" t="n">
        <v>0.30527</v>
      </c>
      <c r="P39" s="18" t="n">
        <v>12</v>
      </c>
      <c r="Q39" s="18" t="n">
        <v>2</v>
      </c>
      <c r="R39" s="16" t="n">
        <v>8497.780000000001</v>
      </c>
      <c r="S39" s="14" t="inlineStr">
        <is>
          <t>NAVEL TEMPRANA sem 4 y +</t>
        </is>
      </c>
      <c r="T39" s="14" t="inlineStr">
        <is>
          <t>CITRICOS</t>
        </is>
      </c>
      <c r="U39" s="19">
        <f>IFERROR(166.386*I39/F39,0)</f>
        <v/>
      </c>
      <c r="V39" s="19">
        <f>IFERROR(166.386*M39/F39,0)</f>
        <v/>
      </c>
      <c r="W39" s="19">
        <f>IFERROR(166.386*L39/F39,0)</f>
        <v/>
      </c>
    </row>
    <row r="40">
      <c r="A40" s="14" t="n">
        <v>2200</v>
      </c>
      <c r="B40" s="14" t="inlineStr">
        <is>
          <t>NAVEL TEMPRANA sem 4 y +</t>
        </is>
      </c>
      <c r="C40" s="15" t="n">
        <v>1395</v>
      </c>
      <c r="D40" s="14" t="inlineStr">
        <is>
          <t>AGRICOLA HERMANOS BUIZA S.C.</t>
        </is>
      </c>
      <c r="E40" s="14" t="inlineStr">
        <is>
          <t>NAVELINA</t>
        </is>
      </c>
      <c r="F40" s="15" t="n">
        <v>41794</v>
      </c>
      <c r="G40" s="16" t="n">
        <v>14595.62</v>
      </c>
      <c r="H40" s="17" t="n">
        <v>0.349227640331148</v>
      </c>
      <c r="I40" s="16" t="n">
        <v>2611.88</v>
      </c>
      <c r="J40" s="16" t="n">
        <v>157.91</v>
      </c>
      <c r="K40" s="16" t="n">
        <v>0</v>
      </c>
      <c r="L40" s="16" t="n">
        <v>463.91</v>
      </c>
      <c r="M40" s="16" t="n">
        <v>617.49</v>
      </c>
      <c r="N40" s="16" t="n">
        <v>12907.23</v>
      </c>
      <c r="O40" s="17" t="n">
        <v>0.33897</v>
      </c>
      <c r="P40" s="18" t="n">
        <v>12</v>
      </c>
      <c r="Q40" s="18" t="n">
        <v>2</v>
      </c>
      <c r="R40" s="16" t="n">
        <v>14166.98</v>
      </c>
      <c r="S40" s="14" t="inlineStr">
        <is>
          <t>NAVEL TEMPRANA sem 4 y +</t>
        </is>
      </c>
      <c r="T40" s="14" t="inlineStr">
        <is>
          <t>CITRICOS</t>
        </is>
      </c>
      <c r="U40" s="19">
        <f>IFERROR(166.386*I40/F40,0)</f>
        <v/>
      </c>
      <c r="V40" s="19">
        <f>IFERROR(166.386*M40/F40,0)</f>
        <v/>
      </c>
      <c r="W40" s="19">
        <f>IFERROR(166.386*L40/F40,0)</f>
        <v/>
      </c>
    </row>
    <row r="41">
      <c r="A41" s="14" t="n">
        <v>2200</v>
      </c>
      <c r="B41" s="14" t="inlineStr">
        <is>
          <t>NAVEL TEMPRANA sem 4 y +</t>
        </is>
      </c>
      <c r="C41" s="15" t="n">
        <v>1411</v>
      </c>
      <c r="D41" s="14" t="inlineStr">
        <is>
          <t>HERMANOS PEÑA GRIÑAN S.C.</t>
        </is>
      </c>
      <c r="E41" s="14" t="inlineStr">
        <is>
          <t>NAVELINA</t>
        </is>
      </c>
      <c r="F41" s="15" t="n">
        <v>125183</v>
      </c>
      <c r="G41" s="16" t="n">
        <v>44900.8</v>
      </c>
      <c r="H41" s="17" t="n">
        <v>0.3586812905905754</v>
      </c>
      <c r="I41" s="16" t="n">
        <v>7819.56</v>
      </c>
      <c r="J41" s="16" t="n">
        <v>1039.22</v>
      </c>
      <c r="K41" s="16" t="n">
        <v>0</v>
      </c>
      <c r="L41" s="16" t="n">
        <v>0</v>
      </c>
      <c r="M41" s="16" t="n">
        <v>0</v>
      </c>
      <c r="N41" s="16" t="n">
        <v>36042.02</v>
      </c>
      <c r="O41" s="17" t="n">
        <v>0.31602</v>
      </c>
      <c r="P41" s="18" t="n">
        <v>12</v>
      </c>
      <c r="Q41" s="18" t="n">
        <v>2</v>
      </c>
      <c r="R41" s="16" t="n">
        <v>39559.72</v>
      </c>
      <c r="S41" s="14" t="inlineStr">
        <is>
          <t>NAVEL TEMPRANA sem 4 y +</t>
        </is>
      </c>
      <c r="T41" s="14" t="inlineStr">
        <is>
          <t>CITRICOS</t>
        </is>
      </c>
      <c r="U41" s="19">
        <f>IFERROR(166.386*I41/F41,0)</f>
        <v/>
      </c>
      <c r="V41" s="19">
        <f>IFERROR(166.386*M41/F41,0)</f>
        <v/>
      </c>
      <c r="W41" s="19">
        <f>IFERROR(166.386*L41/F41,0)</f>
        <v/>
      </c>
    </row>
    <row r="42">
      <c r="A42" s="14" t="n">
        <v>2200</v>
      </c>
      <c r="B42" s="14" t="inlineStr">
        <is>
          <t>NAVEL TEMPRANA sem 4 y +</t>
        </is>
      </c>
      <c r="C42" s="15" t="n">
        <v>1411</v>
      </c>
      <c r="D42" s="14" t="inlineStr">
        <is>
          <t>HERMANOS PEÑA GRIÑAN S.C.</t>
        </is>
      </c>
      <c r="E42" s="14" t="inlineStr">
        <is>
          <t>WASHINGTON</t>
        </is>
      </c>
      <c r="F42" s="15" t="n">
        <v>8599</v>
      </c>
      <c r="G42" s="16" t="n">
        <v>3024.89</v>
      </c>
      <c r="H42" s="17" t="n">
        <v>0.351772299104547</v>
      </c>
      <c r="I42" s="16" t="n">
        <v>537.4400000000001</v>
      </c>
      <c r="J42" s="16" t="n">
        <v>71.39</v>
      </c>
      <c r="K42" s="16" t="n">
        <v>0</v>
      </c>
      <c r="L42" s="16" t="n">
        <v>0</v>
      </c>
      <c r="M42" s="16" t="n">
        <v>0</v>
      </c>
      <c r="N42" s="16" t="n">
        <v>2416.06</v>
      </c>
      <c r="O42" s="17" t="n">
        <v>0.30839</v>
      </c>
      <c r="P42" s="18" t="n">
        <v>12</v>
      </c>
      <c r="Q42" s="18" t="n">
        <v>2</v>
      </c>
      <c r="R42" s="16" t="n">
        <v>2651.87</v>
      </c>
      <c r="S42" s="14" t="inlineStr">
        <is>
          <t>NAVEL TEMPRANA sem 4 y +</t>
        </is>
      </c>
      <c r="T42" s="14" t="inlineStr">
        <is>
          <t>CITRICOS</t>
        </is>
      </c>
      <c r="U42" s="19">
        <f>IFERROR(166.386*I42/F42,0)</f>
        <v/>
      </c>
      <c r="V42" s="19">
        <f>IFERROR(166.386*M42/F42,0)</f>
        <v/>
      </c>
      <c r="W42" s="19">
        <f>IFERROR(166.386*L42/F42,0)</f>
        <v/>
      </c>
    </row>
    <row r="43">
      <c r="A43" s="14" t="n">
        <v>2200</v>
      </c>
      <c r="B43" s="14" t="inlineStr">
        <is>
          <t>NAVEL TEMPRANA sem 4 y +</t>
        </is>
      </c>
      <c r="C43" s="15" t="n">
        <v>1416</v>
      </c>
      <c r="D43" s="14" t="inlineStr">
        <is>
          <t>BUIZA SANCHEZ,TERESA</t>
        </is>
      </c>
      <c r="E43" s="14" t="inlineStr">
        <is>
          <t>NAVELINA</t>
        </is>
      </c>
      <c r="F43" s="15" t="n">
        <v>9420</v>
      </c>
      <c r="G43" s="16" t="n">
        <v>3664.39</v>
      </c>
      <c r="H43" s="17" t="n">
        <v>0.3890010615711252</v>
      </c>
      <c r="I43" s="16" t="n">
        <v>588.75</v>
      </c>
      <c r="J43" s="16" t="n">
        <v>206.7</v>
      </c>
      <c r="K43" s="16" t="n">
        <v>0</v>
      </c>
      <c r="L43" s="16" t="n">
        <v>0</v>
      </c>
      <c r="M43" s="16" t="n">
        <v>0</v>
      </c>
      <c r="N43" s="16" t="n">
        <v>2868.94</v>
      </c>
      <c r="O43" s="17" t="n">
        <v>0.33428</v>
      </c>
      <c r="P43" s="18" t="n">
        <v>12</v>
      </c>
      <c r="Q43" s="18" t="n">
        <v>2</v>
      </c>
      <c r="R43" s="16" t="n">
        <v>3148.95</v>
      </c>
      <c r="S43" s="14" t="inlineStr">
        <is>
          <t>NAVEL TEMPRANA sem 4 y +</t>
        </is>
      </c>
      <c r="T43" s="14" t="inlineStr">
        <is>
          <t>CITRICOS</t>
        </is>
      </c>
      <c r="U43" s="19">
        <f>IFERROR(166.386*I43/F43,0)</f>
        <v/>
      </c>
      <c r="V43" s="19">
        <f>IFERROR(166.386*M43/F43,0)</f>
        <v/>
      </c>
      <c r="W43" s="19">
        <f>IFERROR(166.386*L43/F43,0)</f>
        <v/>
      </c>
    </row>
    <row r="44">
      <c r="A44" s="14" t="n">
        <v>2200</v>
      </c>
      <c r="B44" s="14" t="inlineStr">
        <is>
          <t>NAVEL TEMPRANA sem 4 y +</t>
        </is>
      </c>
      <c r="C44" s="15" t="n">
        <v>1419</v>
      </c>
      <c r="D44" s="14" t="inlineStr">
        <is>
          <t>MORAL GARCIA,JOSE ANTONIO</t>
        </is>
      </c>
      <c r="E44" s="14" t="inlineStr">
        <is>
          <t>NAVELINA</t>
        </is>
      </c>
      <c r="F44" s="15" t="n">
        <v>5030</v>
      </c>
      <c r="G44" s="16" t="n">
        <v>2181.41</v>
      </c>
      <c r="H44" s="17" t="n">
        <v>0.4336799204771372</v>
      </c>
      <c r="I44" s="16" t="n">
        <v>314.38</v>
      </c>
      <c r="J44" s="16" t="n">
        <v>31.32</v>
      </c>
      <c r="K44" s="16" t="n">
        <v>0</v>
      </c>
      <c r="L44" s="16" t="n">
        <v>55.83</v>
      </c>
      <c r="M44" s="16" t="n">
        <v>0</v>
      </c>
      <c r="N44" s="16" t="n">
        <v>1891.54</v>
      </c>
      <c r="O44" s="17" t="n">
        <v>0.41275</v>
      </c>
      <c r="P44" s="18" t="n">
        <v>12</v>
      </c>
      <c r="Q44" s="18" t="n">
        <v>2</v>
      </c>
      <c r="R44" s="16" t="n">
        <v>2076.15</v>
      </c>
      <c r="S44" s="14" t="inlineStr">
        <is>
          <t>NAVEL TEMPRANA sem 4 y +</t>
        </is>
      </c>
      <c r="T44" s="14" t="inlineStr">
        <is>
          <t>CITRICOS</t>
        </is>
      </c>
      <c r="U44" s="19">
        <f>IFERROR(166.386*I44/F44,0)</f>
        <v/>
      </c>
      <c r="V44" s="19">
        <f>IFERROR(166.386*M44/F44,0)</f>
        <v/>
      </c>
      <c r="W44" s="19">
        <f>IFERROR(166.386*L44/F44,0)</f>
        <v/>
      </c>
    </row>
    <row r="45">
      <c r="A45" s="14" t="n">
        <v>2200</v>
      </c>
      <c r="B45" s="14" t="inlineStr">
        <is>
          <t>NAVEL TEMPRANA sem 4 y +</t>
        </is>
      </c>
      <c r="C45" s="15" t="n">
        <v>1443</v>
      </c>
      <c r="D45" s="14" t="inlineStr">
        <is>
          <t>TOMENO SUAREZ,ALBERTO</t>
        </is>
      </c>
      <c r="E45" s="14" t="inlineStr">
        <is>
          <t>NAVELINA</t>
        </is>
      </c>
      <c r="F45" s="15" t="n">
        <v>55540</v>
      </c>
      <c r="G45" s="16" t="n">
        <v>21453.28</v>
      </c>
      <c r="H45" s="17" t="n">
        <v>0.3862671948145481</v>
      </c>
      <c r="I45" s="16" t="n">
        <v>0</v>
      </c>
      <c r="J45" s="16" t="n">
        <v>343.44</v>
      </c>
      <c r="K45" s="16" t="n">
        <v>0</v>
      </c>
      <c r="L45" s="16" t="n">
        <v>0</v>
      </c>
      <c r="M45" s="16" t="n">
        <v>731.41</v>
      </c>
      <c r="N45" s="16" t="n">
        <v>21841.25</v>
      </c>
      <c r="O45" s="17" t="n">
        <v>0.43163</v>
      </c>
      <c r="P45" s="18" t="n">
        <v>12</v>
      </c>
      <c r="Q45" s="18" t="n">
        <v>2</v>
      </c>
      <c r="R45" s="16" t="n">
        <v>23972.96</v>
      </c>
      <c r="S45" s="14" t="inlineStr">
        <is>
          <t>NAVEL TEMPRANA sem 4 y +</t>
        </is>
      </c>
      <c r="T45" s="14" t="inlineStr">
        <is>
          <t>CITRICOS</t>
        </is>
      </c>
      <c r="U45" s="19">
        <f>IFERROR(166.386*I45/F45,0)</f>
        <v/>
      </c>
      <c r="V45" s="19">
        <f>IFERROR(166.386*M45/F45,0)</f>
        <v/>
      </c>
      <c r="W45" s="19">
        <f>IFERROR(166.386*L45/F45,0)</f>
        <v/>
      </c>
    </row>
    <row r="46">
      <c r="A46" s="14" t="n">
        <v>2200</v>
      </c>
      <c r="B46" s="14" t="inlineStr">
        <is>
          <t>NAVEL TEMPRANA sem 4 y +</t>
        </is>
      </c>
      <c r="C46" s="15" t="n">
        <v>1445</v>
      </c>
      <c r="D46" s="14" t="inlineStr">
        <is>
          <t>REAL GARCIA,MIGUEL</t>
        </is>
      </c>
      <c r="E46" s="14" t="inlineStr">
        <is>
          <t>NAVELINA</t>
        </is>
      </c>
      <c r="F46" s="15" t="n">
        <v>21082</v>
      </c>
      <c r="G46" s="16" t="n">
        <v>8333.67</v>
      </c>
      <c r="H46" s="17" t="n">
        <v>0.3952978844511906</v>
      </c>
      <c r="I46" s="16" t="n">
        <v>1317.63</v>
      </c>
      <c r="J46" s="16" t="n">
        <v>194.63</v>
      </c>
      <c r="K46" s="16" t="n">
        <v>0</v>
      </c>
      <c r="L46" s="16" t="n">
        <v>0</v>
      </c>
      <c r="M46" s="16" t="n">
        <v>333.46</v>
      </c>
      <c r="N46" s="16" t="n">
        <v>7154.87</v>
      </c>
      <c r="O46" s="17" t="n">
        <v>0.37251</v>
      </c>
      <c r="P46" s="18" t="n">
        <v>12</v>
      </c>
      <c r="Q46" s="18" t="n">
        <v>2</v>
      </c>
      <c r="R46" s="16" t="n">
        <v>7853.19</v>
      </c>
      <c r="S46" s="14" t="inlineStr">
        <is>
          <t>NAVEL TEMPRANA sem 4 y +</t>
        </is>
      </c>
      <c r="T46" s="14" t="inlineStr">
        <is>
          <t>CITRICOS</t>
        </is>
      </c>
      <c r="U46" s="19">
        <f>IFERROR(166.386*I46/F46,0)</f>
        <v/>
      </c>
      <c r="V46" s="19">
        <f>IFERROR(166.386*M46/F46,0)</f>
        <v/>
      </c>
      <c r="W46" s="19">
        <f>IFERROR(166.386*L46/F46,0)</f>
        <v/>
      </c>
    </row>
    <row r="47">
      <c r="A47" s="14" t="n">
        <v>2200</v>
      </c>
      <c r="B47" s="14" t="inlineStr">
        <is>
          <t>NAVEL TEMPRANA sem 4 y +</t>
        </is>
      </c>
      <c r="C47" s="15" t="n">
        <v>1456</v>
      </c>
      <c r="D47" s="14" t="inlineStr">
        <is>
          <t>BARRERA RECUERO,MATIAS</t>
        </is>
      </c>
      <c r="E47" s="14" t="inlineStr">
        <is>
          <t>NAVELINA</t>
        </is>
      </c>
      <c r="F47" s="15" t="n">
        <v>750</v>
      </c>
      <c r="G47" s="16" t="n">
        <v>306.66</v>
      </c>
      <c r="H47" s="17" t="n">
        <v>0.40888</v>
      </c>
      <c r="I47" s="16" t="n">
        <v>0</v>
      </c>
      <c r="J47" s="16" t="n">
        <v>7.13</v>
      </c>
      <c r="K47" s="16" t="n">
        <v>0</v>
      </c>
      <c r="L47" s="16" t="n">
        <v>8.33</v>
      </c>
      <c r="M47" s="16" t="n">
        <v>11.48</v>
      </c>
      <c r="N47" s="16" t="n">
        <v>319.34</v>
      </c>
      <c r="O47" s="17" t="n">
        <v>0.46735</v>
      </c>
      <c r="P47" s="18" t="n">
        <v>12</v>
      </c>
      <c r="Q47" s="18" t="n">
        <v>2</v>
      </c>
      <c r="R47" s="16" t="n">
        <v>350.51</v>
      </c>
      <c r="S47" s="14" t="inlineStr">
        <is>
          <t>NAVEL TEMPRANA sem 4 y +</t>
        </is>
      </c>
      <c r="T47" s="14" t="inlineStr">
        <is>
          <t>CITRICOS</t>
        </is>
      </c>
      <c r="U47" s="19">
        <f>IFERROR(166.386*I47/F47,0)</f>
        <v/>
      </c>
      <c r="V47" s="19">
        <f>IFERROR(166.386*M47/F47,0)</f>
        <v/>
      </c>
      <c r="W47" s="19">
        <f>IFERROR(166.386*L47/F47,0)</f>
        <v/>
      </c>
    </row>
    <row r="48">
      <c r="A48" s="14" t="n">
        <v>2200</v>
      </c>
      <c r="B48" s="14" t="inlineStr">
        <is>
          <t>NAVEL TEMPRANA sem 4 y +</t>
        </is>
      </c>
      <c r="C48" s="15" t="n">
        <v>1488</v>
      </c>
      <c r="D48" s="14" t="inlineStr">
        <is>
          <t>MIÑANA JARDON,Mª DOLORES</t>
        </is>
      </c>
      <c r="E48" s="14" t="inlineStr">
        <is>
          <t>NEWHALL</t>
        </is>
      </c>
      <c r="F48" s="15" t="n">
        <v>18525</v>
      </c>
      <c r="G48" s="16" t="n">
        <v>7458.2</v>
      </c>
      <c r="H48" s="17" t="n">
        <v>0.4026018893387314</v>
      </c>
      <c r="I48" s="16" t="n">
        <v>1157.81</v>
      </c>
      <c r="J48" s="16" t="n">
        <v>189.15</v>
      </c>
      <c r="K48" s="16" t="n">
        <v>0</v>
      </c>
      <c r="L48" s="16" t="n">
        <v>0</v>
      </c>
      <c r="M48" s="16" t="n">
        <v>0</v>
      </c>
      <c r="N48" s="16" t="n">
        <v>6111.24</v>
      </c>
      <c r="O48" s="17" t="n">
        <v>0.36209</v>
      </c>
      <c r="P48" s="18" t="n">
        <v>12</v>
      </c>
      <c r="Q48" s="18" t="n">
        <v>2</v>
      </c>
      <c r="R48" s="16" t="n">
        <v>6707.7</v>
      </c>
      <c r="S48" s="14" t="inlineStr">
        <is>
          <t>NAVEL TEMPRANA sem 4 y +</t>
        </is>
      </c>
      <c r="T48" s="14" t="inlineStr">
        <is>
          <t>CITRICOS</t>
        </is>
      </c>
      <c r="U48" s="19">
        <f>IFERROR(166.386*I48/F48,0)</f>
        <v/>
      </c>
      <c r="V48" s="19">
        <f>IFERROR(166.386*M48/F48,0)</f>
        <v/>
      </c>
      <c r="W48" s="19">
        <f>IFERROR(166.386*L48/F48,0)</f>
        <v/>
      </c>
    </row>
    <row r="49">
      <c r="A49" s="14" t="n">
        <v>2200</v>
      </c>
      <c r="B49" s="14" t="inlineStr">
        <is>
          <t>NAVEL TEMPRANA sem 4 y +</t>
        </is>
      </c>
      <c r="C49" s="15" t="n">
        <v>1491</v>
      </c>
      <c r="D49" s="14" t="inlineStr">
        <is>
          <t>JIMENEZ LORENTE,SONIA</t>
        </is>
      </c>
      <c r="E49" s="14" t="inlineStr">
        <is>
          <t>NAVELINA</t>
        </is>
      </c>
      <c r="F49" s="15" t="n">
        <v>53850</v>
      </c>
      <c r="G49" s="16" t="n">
        <v>20838.83</v>
      </c>
      <c r="H49" s="17" t="n">
        <v>0.3869792014856082</v>
      </c>
      <c r="I49" s="16" t="n">
        <v>3365.63</v>
      </c>
      <c r="J49" s="16" t="n">
        <v>345.88</v>
      </c>
      <c r="K49" s="16" t="n">
        <v>0</v>
      </c>
      <c r="L49" s="16" t="n">
        <v>0</v>
      </c>
      <c r="M49" s="16" t="n">
        <v>834.6900000000001</v>
      </c>
      <c r="N49" s="16" t="n">
        <v>17962.01</v>
      </c>
      <c r="O49" s="17" t="n">
        <v>0.36611</v>
      </c>
      <c r="P49" s="18" t="n">
        <v>12</v>
      </c>
      <c r="Q49" s="18" t="n">
        <v>2</v>
      </c>
      <c r="R49" s="16" t="n">
        <v>19715.1</v>
      </c>
      <c r="S49" s="14" t="inlineStr">
        <is>
          <t>NAVEL TEMPRANA sem 4 y +</t>
        </is>
      </c>
      <c r="T49" s="14" t="inlineStr">
        <is>
          <t>CITRICOS</t>
        </is>
      </c>
      <c r="U49" s="19">
        <f>IFERROR(166.386*I49/F49,0)</f>
        <v/>
      </c>
      <c r="V49" s="19">
        <f>IFERROR(166.386*M49/F49,0)</f>
        <v/>
      </c>
      <c r="W49" s="19">
        <f>IFERROR(166.386*L49/F49,0)</f>
        <v/>
      </c>
    </row>
    <row r="50">
      <c r="A50" s="14" t="n">
        <v>2200</v>
      </c>
      <c r="B50" s="14" t="inlineStr">
        <is>
          <t>NAVEL TEMPRANA sem 4 y +</t>
        </is>
      </c>
      <c r="C50" s="15" t="n">
        <v>1499</v>
      </c>
      <c r="D50" s="14" t="inlineStr">
        <is>
          <t>PERALTA MARQUEZ,ISABEL</t>
        </is>
      </c>
      <c r="E50" s="14" t="inlineStr">
        <is>
          <t>NAVELINA</t>
        </is>
      </c>
      <c r="F50" s="15" t="n">
        <v>64306</v>
      </c>
      <c r="G50" s="16" t="n">
        <v>24587.02</v>
      </c>
      <c r="H50" s="17" t="n">
        <v>0.382344104749168</v>
      </c>
      <c r="I50" s="16" t="n">
        <v>4005.13</v>
      </c>
      <c r="J50" s="16" t="n">
        <v>406.51</v>
      </c>
      <c r="K50" s="16" t="n">
        <v>0</v>
      </c>
      <c r="L50" s="16" t="n">
        <v>0</v>
      </c>
      <c r="M50" s="16" t="n">
        <v>1023.79</v>
      </c>
      <c r="N50" s="16" t="n">
        <v>21199.17</v>
      </c>
      <c r="O50" s="17" t="n">
        <v>0.36184</v>
      </c>
      <c r="P50" s="18" t="n">
        <v>12</v>
      </c>
      <c r="Q50" s="18" t="n">
        <v>2</v>
      </c>
      <c r="R50" s="16" t="n">
        <v>23268.21</v>
      </c>
      <c r="S50" s="14" t="inlineStr">
        <is>
          <t>NAVEL TEMPRANA sem 4 y +</t>
        </is>
      </c>
      <c r="T50" s="14" t="inlineStr">
        <is>
          <t>CITRICOS</t>
        </is>
      </c>
      <c r="U50" s="19">
        <f>IFERROR(166.386*I50/F50,0)</f>
        <v/>
      </c>
      <c r="V50" s="19">
        <f>IFERROR(166.386*M50/F50,0)</f>
        <v/>
      </c>
      <c r="W50" s="19">
        <f>IFERROR(166.386*L50/F50,0)</f>
        <v/>
      </c>
    </row>
    <row r="51">
      <c r="A51" s="14" t="n">
        <v>2200</v>
      </c>
      <c r="B51" s="14" t="inlineStr">
        <is>
          <t>NAVEL TEMPRANA sem 4 y +</t>
        </is>
      </c>
      <c r="C51" s="15" t="n">
        <v>1518</v>
      </c>
      <c r="D51" s="14" t="inlineStr">
        <is>
          <t>CALZADO ARGüELLES,MARIA</t>
        </is>
      </c>
      <c r="E51" s="14" t="inlineStr">
        <is>
          <t>NAVELINA</t>
        </is>
      </c>
      <c r="F51" s="15" t="n">
        <v>33031</v>
      </c>
      <c r="G51" s="16" t="n">
        <v>13171.66</v>
      </c>
      <c r="H51" s="17" t="n">
        <v>0.3987666131815567</v>
      </c>
      <c r="I51" s="16" t="n">
        <v>2064.44</v>
      </c>
      <c r="J51" s="16" t="n">
        <v>285.45</v>
      </c>
      <c r="K51" s="16" t="n">
        <v>0</v>
      </c>
      <c r="L51" s="16" t="n">
        <v>0</v>
      </c>
      <c r="M51" s="16" t="n">
        <v>468.29</v>
      </c>
      <c r="N51" s="16" t="n">
        <v>11290.06</v>
      </c>
      <c r="O51" s="17" t="n">
        <v>0.37516</v>
      </c>
      <c r="P51" s="18" t="n">
        <v>12</v>
      </c>
      <c r="Q51" s="18" t="n">
        <v>2</v>
      </c>
      <c r="R51" s="16" t="n">
        <v>12391.97</v>
      </c>
      <c r="S51" s="14" t="inlineStr">
        <is>
          <t>NAVEL TEMPRANA sem 4 y +</t>
        </is>
      </c>
      <c r="T51" s="14" t="inlineStr">
        <is>
          <t>CITRICOS</t>
        </is>
      </c>
      <c r="U51" s="19">
        <f>IFERROR(166.386*I51/F51,0)</f>
        <v/>
      </c>
      <c r="V51" s="19">
        <f>IFERROR(166.386*M51/F51,0)</f>
        <v/>
      </c>
      <c r="W51" s="19">
        <f>IFERROR(166.386*L51/F51,0)</f>
        <v/>
      </c>
    </row>
    <row r="52">
      <c r="A52" s="14" t="n">
        <v>2200</v>
      </c>
      <c r="B52" s="14" t="inlineStr">
        <is>
          <t>NAVEL TEMPRANA sem 4 y +</t>
        </is>
      </c>
      <c r="C52" s="15" t="n">
        <v>1520</v>
      </c>
      <c r="D52" s="14" t="inlineStr">
        <is>
          <t>LOPEZ COCA, MANUEL</t>
        </is>
      </c>
      <c r="E52" s="14" t="inlineStr">
        <is>
          <t>NAVELINA</t>
        </is>
      </c>
      <c r="F52" s="15" t="n">
        <v>64860</v>
      </c>
      <c r="G52" s="16" t="n">
        <v>26659.73</v>
      </c>
      <c r="H52" s="17" t="n">
        <v>0.4110349984582177</v>
      </c>
      <c r="I52" s="16" t="n">
        <v>4053.76</v>
      </c>
      <c r="J52" s="16" t="n">
        <v>411.45</v>
      </c>
      <c r="K52" s="16" t="n">
        <v>0</v>
      </c>
      <c r="L52" s="16" t="n">
        <v>0</v>
      </c>
      <c r="M52" s="16" t="n">
        <v>0</v>
      </c>
      <c r="N52" s="16" t="n">
        <v>22194.52</v>
      </c>
      <c r="O52" s="17" t="n">
        <v>0.37559</v>
      </c>
      <c r="P52" s="18" t="n">
        <v>12</v>
      </c>
      <c r="Q52" s="18" t="n">
        <v>2</v>
      </c>
      <c r="R52" s="16" t="n">
        <v>24360.71</v>
      </c>
      <c r="S52" s="14" t="inlineStr">
        <is>
          <t>NAVEL TEMPRANA sem 4 y +</t>
        </is>
      </c>
      <c r="T52" s="14" t="inlineStr">
        <is>
          <t>CITRICOS</t>
        </is>
      </c>
      <c r="U52" s="19">
        <f>IFERROR(166.386*I52/F52,0)</f>
        <v/>
      </c>
      <c r="V52" s="19">
        <f>IFERROR(166.386*M52/F52,0)</f>
        <v/>
      </c>
      <c r="W52" s="19">
        <f>IFERROR(166.386*L52/F52,0)</f>
        <v/>
      </c>
    </row>
    <row r="53">
      <c r="A53" s="14" t="n">
        <v>2200</v>
      </c>
      <c r="B53" s="14" t="inlineStr">
        <is>
          <t>NAVEL TEMPRANA sem 4 y +</t>
        </is>
      </c>
      <c r="C53" s="15" t="n">
        <v>1521</v>
      </c>
      <c r="D53" s="14" t="inlineStr">
        <is>
          <t>NUÑEZ MENDOZA, GONZALO</t>
        </is>
      </c>
      <c r="E53" s="14" t="inlineStr">
        <is>
          <t>NAVELINA</t>
        </is>
      </c>
      <c r="F53" s="15" t="n">
        <v>71750</v>
      </c>
      <c r="G53" s="16" t="n">
        <v>29513.97</v>
      </c>
      <c r="H53" s="17" t="n">
        <v>0.4113445296167247</v>
      </c>
      <c r="I53" s="16" t="n">
        <v>4484.38</v>
      </c>
      <c r="J53" s="16" t="n">
        <v>606.45</v>
      </c>
      <c r="K53" s="16" t="n">
        <v>0</v>
      </c>
      <c r="L53" s="16" t="n">
        <v>0</v>
      </c>
      <c r="M53" s="16" t="n">
        <v>1119.05</v>
      </c>
      <c r="N53" s="16" t="n">
        <v>25542.19</v>
      </c>
      <c r="O53" s="17" t="n">
        <v>0.39073</v>
      </c>
      <c r="P53" s="18" t="n">
        <v>12</v>
      </c>
      <c r="Q53" s="18" t="n">
        <v>2</v>
      </c>
      <c r="R53" s="16" t="n">
        <v>28035.11</v>
      </c>
      <c r="S53" s="14" t="inlineStr">
        <is>
          <t>NAVEL TEMPRANA sem 4 y +</t>
        </is>
      </c>
      <c r="T53" s="14" t="inlineStr">
        <is>
          <t>CITRICOS</t>
        </is>
      </c>
      <c r="U53" s="19">
        <f>IFERROR(166.386*I53/F53,0)</f>
        <v/>
      </c>
      <c r="V53" s="19">
        <f>IFERROR(166.386*M53/F53,0)</f>
        <v/>
      </c>
      <c r="W53" s="19">
        <f>IFERROR(166.386*L53/F53,0)</f>
        <v/>
      </c>
    </row>
    <row r="54">
      <c r="A54" s="14" t="n">
        <v>2200</v>
      </c>
      <c r="B54" s="14" t="inlineStr">
        <is>
          <t>NAVEL TEMPRANA sem 4 y +</t>
        </is>
      </c>
      <c r="C54" s="15" t="n">
        <v>1525</v>
      </c>
      <c r="D54" s="14" t="inlineStr">
        <is>
          <t>ECIJA BORREGO, DOLORES</t>
        </is>
      </c>
      <c r="E54" s="14" t="inlineStr">
        <is>
          <t>NAVELINA</t>
        </is>
      </c>
      <c r="F54" s="15" t="n">
        <v>57180</v>
      </c>
      <c r="G54" s="16" t="n">
        <v>20121.39</v>
      </c>
      <c r="H54" s="17" t="n">
        <v>0.351895592864638</v>
      </c>
      <c r="I54" s="16" t="n">
        <v>3573.75</v>
      </c>
      <c r="J54" s="16" t="n">
        <v>582.65</v>
      </c>
      <c r="K54" s="16" t="n">
        <v>0</v>
      </c>
      <c r="L54" s="16" t="n">
        <v>0</v>
      </c>
      <c r="M54" s="16" t="n">
        <v>0</v>
      </c>
      <c r="N54" s="16" t="n">
        <v>15964.99</v>
      </c>
      <c r="O54" s="17" t="n">
        <v>0.30646</v>
      </c>
      <c r="P54" s="18" t="n">
        <v>12</v>
      </c>
      <c r="Q54" s="18" t="n">
        <v>2</v>
      </c>
      <c r="R54" s="16" t="n">
        <v>17523.17</v>
      </c>
      <c r="S54" s="14" t="inlineStr">
        <is>
          <t>NAVEL TEMPRANA sem 4 y +</t>
        </is>
      </c>
      <c r="T54" s="14" t="inlineStr">
        <is>
          <t>CITRICOS</t>
        </is>
      </c>
      <c r="U54" s="19">
        <f>IFERROR(166.386*I54/F54,0)</f>
        <v/>
      </c>
      <c r="V54" s="19">
        <f>IFERROR(166.386*M54/F54,0)</f>
        <v/>
      </c>
      <c r="W54" s="19">
        <f>IFERROR(166.386*L54/F54,0)</f>
        <v/>
      </c>
    </row>
    <row r="55">
      <c r="A55" s="14" t="n">
        <v>2200</v>
      </c>
      <c r="B55" s="14" t="inlineStr">
        <is>
          <t>NAVEL TEMPRANA sem 4 y +</t>
        </is>
      </c>
      <c r="C55" s="15" t="n">
        <v>1527</v>
      </c>
      <c r="D55" s="14" t="inlineStr">
        <is>
          <t>MARQUEZ SOTILLO, ANTONIO</t>
        </is>
      </c>
      <c r="E55" s="14" t="inlineStr">
        <is>
          <t>NAVELINA</t>
        </is>
      </c>
      <c r="F55" s="15" t="n">
        <v>32263</v>
      </c>
      <c r="G55" s="16" t="n">
        <v>13433.74</v>
      </c>
      <c r="H55" s="17" t="n">
        <v>0.4163822335182717</v>
      </c>
      <c r="I55" s="16" t="n">
        <v>2016.44</v>
      </c>
      <c r="J55" s="16" t="n">
        <v>166.97</v>
      </c>
      <c r="K55" s="16" t="n">
        <v>0</v>
      </c>
      <c r="L55" s="16" t="n">
        <v>0</v>
      </c>
      <c r="M55" s="16" t="n">
        <v>0</v>
      </c>
      <c r="N55" s="16" t="n">
        <v>11250.33</v>
      </c>
      <c r="O55" s="17" t="n">
        <v>0.38274</v>
      </c>
      <c r="P55" s="18" t="n">
        <v>12</v>
      </c>
      <c r="Q55" s="18" t="n">
        <v>2</v>
      </c>
      <c r="R55" s="16" t="n">
        <v>12348.36</v>
      </c>
      <c r="S55" s="14" t="inlineStr">
        <is>
          <t>NAVEL TEMPRANA sem 4 y +</t>
        </is>
      </c>
      <c r="T55" s="14" t="inlineStr">
        <is>
          <t>CITRICOS</t>
        </is>
      </c>
      <c r="U55" s="19">
        <f>IFERROR(166.386*I55/F55,0)</f>
        <v/>
      </c>
      <c r="V55" s="19">
        <f>IFERROR(166.386*M55/F55,0)</f>
        <v/>
      </c>
      <c r="W55" s="19">
        <f>IFERROR(166.386*L55/F55,0)</f>
        <v/>
      </c>
    </row>
    <row r="56">
      <c r="A56" s="14" t="n">
        <v>2200</v>
      </c>
      <c r="B56" s="14" t="inlineStr">
        <is>
          <t>NAVEL TEMPRANA sem 4 y +</t>
        </is>
      </c>
      <c r="C56" s="15" t="n">
        <v>1529</v>
      </c>
      <c r="D56" s="14" t="inlineStr">
        <is>
          <t>RAMOS BRUGAROLAS, JOSE</t>
        </is>
      </c>
      <c r="E56" s="14" t="inlineStr">
        <is>
          <t>NAVELINA</t>
        </is>
      </c>
      <c r="F56" s="15" t="n">
        <v>94897</v>
      </c>
      <c r="G56" s="16" t="n">
        <v>37435.82</v>
      </c>
      <c r="H56" s="17" t="n">
        <v>0.3944889722541282</v>
      </c>
      <c r="I56" s="16" t="n">
        <v>6602.75</v>
      </c>
      <c r="J56" s="16" t="n">
        <v>627.3</v>
      </c>
      <c r="K56" s="16" t="n">
        <v>0</v>
      </c>
      <c r="L56" s="16" t="n">
        <v>0</v>
      </c>
      <c r="M56" s="16" t="n">
        <v>0</v>
      </c>
      <c r="N56" s="16" t="n">
        <v>30205.77</v>
      </c>
      <c r="O56" s="17" t="n">
        <v>0.34937</v>
      </c>
      <c r="P56" s="18" t="n">
        <v>12</v>
      </c>
      <c r="Q56" s="18" t="n">
        <v>2</v>
      </c>
      <c r="R56" s="16" t="n">
        <v>33153.85</v>
      </c>
      <c r="S56" s="14" t="inlineStr">
        <is>
          <t>NAVEL TEMPRANA sem 4 y +</t>
        </is>
      </c>
      <c r="T56" s="14" t="inlineStr">
        <is>
          <t>CITRICOS</t>
        </is>
      </c>
      <c r="U56" s="19">
        <f>IFERROR(166.386*I56/F56,0)</f>
        <v/>
      </c>
      <c r="V56" s="19">
        <f>IFERROR(166.386*M56/F56,0)</f>
        <v/>
      </c>
      <c r="W56" s="19">
        <f>IFERROR(166.386*L56/F56,0)</f>
        <v/>
      </c>
    </row>
    <row r="57">
      <c r="A57" s="14" t="n">
        <v>2200</v>
      </c>
      <c r="B57" s="14" t="inlineStr">
        <is>
          <t>NAVEL TEMPRANA sem 4 y +</t>
        </is>
      </c>
      <c r="C57" s="15" t="n">
        <v>1545</v>
      </c>
      <c r="D57" s="14" t="inlineStr">
        <is>
          <t>ARJONA LIÑAN, MANUEL</t>
        </is>
      </c>
      <c r="E57" s="14" t="inlineStr">
        <is>
          <t>NAVELINA</t>
        </is>
      </c>
      <c r="F57" s="15" t="n">
        <v>30850</v>
      </c>
      <c r="G57" s="16" t="n">
        <v>11452.99</v>
      </c>
      <c r="H57" s="17" t="n">
        <v>0.3712476499189627</v>
      </c>
      <c r="I57" s="16" t="n">
        <v>1928.13</v>
      </c>
      <c r="J57" s="16" t="n">
        <v>184.55</v>
      </c>
      <c r="K57" s="16" t="n">
        <v>0</v>
      </c>
      <c r="L57" s="16" t="n">
        <v>0</v>
      </c>
      <c r="M57" s="16" t="n">
        <v>0</v>
      </c>
      <c r="N57" s="16" t="n">
        <v>9340.309999999999</v>
      </c>
      <c r="O57" s="17" t="n">
        <v>0.33232</v>
      </c>
      <c r="P57" s="18" t="n">
        <v>12</v>
      </c>
      <c r="Q57" s="18" t="n">
        <v>2</v>
      </c>
      <c r="R57" s="16" t="n">
        <v>10251.92</v>
      </c>
      <c r="S57" s="14" t="inlineStr">
        <is>
          <t>NAVEL TEMPRANA sem 4 y +</t>
        </is>
      </c>
      <c r="T57" s="14" t="inlineStr">
        <is>
          <t>CITRICOS</t>
        </is>
      </c>
      <c r="U57" s="19">
        <f>IFERROR(166.386*I57/F57,0)</f>
        <v/>
      </c>
      <c r="V57" s="19">
        <f>IFERROR(166.386*M57/F57,0)</f>
        <v/>
      </c>
      <c r="W57" s="19">
        <f>IFERROR(166.386*L57/F57,0)</f>
        <v/>
      </c>
    </row>
    <row r="58">
      <c r="A58" s="14" t="n">
        <v>2200</v>
      </c>
      <c r="B58" s="14" t="inlineStr">
        <is>
          <t>NAVEL TEMPRANA sem 4 y +</t>
        </is>
      </c>
      <c r="C58" s="15" t="n">
        <v>1545</v>
      </c>
      <c r="D58" s="14" t="inlineStr">
        <is>
          <t>ARJONA LIÑAN, MANUEL</t>
        </is>
      </c>
      <c r="E58" s="14" t="inlineStr">
        <is>
          <t>NEWHALL</t>
        </is>
      </c>
      <c r="F58" s="15" t="n">
        <v>23260</v>
      </c>
      <c r="G58" s="16" t="n">
        <v>8579.559999999999</v>
      </c>
      <c r="H58" s="17" t="n">
        <v>0.3688546861564918</v>
      </c>
      <c r="I58" s="16" t="n">
        <v>1453.75</v>
      </c>
      <c r="J58" s="16" t="n">
        <v>139.15</v>
      </c>
      <c r="K58" s="16" t="n">
        <v>0</v>
      </c>
      <c r="L58" s="16" t="n">
        <v>0</v>
      </c>
      <c r="M58" s="16" t="n">
        <v>0</v>
      </c>
      <c r="N58" s="16" t="n">
        <v>6986.66</v>
      </c>
      <c r="O58" s="17" t="n">
        <v>0.32969</v>
      </c>
      <c r="P58" s="18" t="n">
        <v>12</v>
      </c>
      <c r="Q58" s="18" t="n">
        <v>2</v>
      </c>
      <c r="R58" s="16" t="n">
        <v>7668.56</v>
      </c>
      <c r="S58" s="14" t="inlineStr">
        <is>
          <t>NAVEL TEMPRANA sem 4 y +</t>
        </is>
      </c>
      <c r="T58" s="14" t="inlineStr">
        <is>
          <t>CITRICOS</t>
        </is>
      </c>
      <c r="U58" s="19">
        <f>IFERROR(166.386*I58/F58,0)</f>
        <v/>
      </c>
      <c r="V58" s="19">
        <f>IFERROR(166.386*M58/F58,0)</f>
        <v/>
      </c>
      <c r="W58" s="19">
        <f>IFERROR(166.386*L58/F58,0)</f>
        <v/>
      </c>
    </row>
    <row r="59">
      <c r="A59" s="14" t="n">
        <v>2200</v>
      </c>
      <c r="B59" s="14" t="inlineStr">
        <is>
          <t>NAVEL TEMPRANA sem 4 y +</t>
        </is>
      </c>
      <c r="C59" s="15" t="n">
        <v>1546</v>
      </c>
      <c r="D59" s="14" t="inlineStr">
        <is>
          <t>GARCIA PELEGRIN, MANUEL</t>
        </is>
      </c>
      <c r="E59" s="14" t="inlineStr">
        <is>
          <t>NAVELINA</t>
        </is>
      </c>
      <c r="F59" s="15" t="n">
        <v>8625</v>
      </c>
      <c r="G59" s="16" t="n">
        <v>3100.91</v>
      </c>
      <c r="H59" s="17" t="n">
        <v>0.3595257971014493</v>
      </c>
      <c r="I59" s="16" t="n">
        <v>380.31</v>
      </c>
      <c r="J59" s="16" t="n">
        <v>61.87</v>
      </c>
      <c r="K59" s="16" t="n">
        <v>0</v>
      </c>
      <c r="L59" s="16" t="n">
        <v>28.19</v>
      </c>
      <c r="M59" s="16" t="n">
        <v>0</v>
      </c>
      <c r="N59" s="16" t="n">
        <v>2686.92</v>
      </c>
      <c r="O59" s="17" t="n">
        <v>0.34193</v>
      </c>
      <c r="P59" s="18" t="n">
        <v>12</v>
      </c>
      <c r="Q59" s="18" t="n">
        <v>2</v>
      </c>
      <c r="R59" s="16" t="n">
        <v>2949.16</v>
      </c>
      <c r="S59" s="14" t="inlineStr">
        <is>
          <t>NAVEL TEMPRANA sem 4 y +</t>
        </is>
      </c>
      <c r="T59" s="14" t="inlineStr">
        <is>
          <t>CITRICOS</t>
        </is>
      </c>
      <c r="U59" s="19">
        <f>IFERROR(166.386*I59/F59,0)</f>
        <v/>
      </c>
      <c r="V59" s="19">
        <f>IFERROR(166.386*M59/F59,0)</f>
        <v/>
      </c>
      <c r="W59" s="19">
        <f>IFERROR(166.386*L59/F59,0)</f>
        <v/>
      </c>
    </row>
    <row r="60">
      <c r="A60" s="14" t="n">
        <v>2200</v>
      </c>
      <c r="B60" s="14" t="inlineStr">
        <is>
          <t>NAVEL TEMPRANA sem 4 y +</t>
        </is>
      </c>
      <c r="C60" s="15" t="n">
        <v>1548</v>
      </c>
      <c r="D60" s="14" t="inlineStr">
        <is>
          <t>CLAR TALENS, CARMEN</t>
        </is>
      </c>
      <c r="E60" s="14" t="inlineStr">
        <is>
          <t>NAVELINA</t>
        </is>
      </c>
      <c r="F60" s="15" t="n">
        <v>26187</v>
      </c>
      <c r="G60" s="16" t="n">
        <v>10035.89</v>
      </c>
      <c r="H60" s="17" t="n">
        <v>0.3832393935922404</v>
      </c>
      <c r="I60" s="16" t="n">
        <v>1636.69</v>
      </c>
      <c r="J60" s="16" t="n">
        <v>195</v>
      </c>
      <c r="K60" s="16" t="n">
        <v>0</v>
      </c>
      <c r="L60" s="16" t="n">
        <v>0</v>
      </c>
      <c r="M60" s="16" t="n">
        <v>0</v>
      </c>
      <c r="N60" s="16" t="n">
        <v>8204.200000000001</v>
      </c>
      <c r="O60" s="17" t="n">
        <v>0.34387</v>
      </c>
      <c r="P60" s="18" t="n">
        <v>12</v>
      </c>
      <c r="Q60" s="18" t="n">
        <v>2</v>
      </c>
      <c r="R60" s="16" t="n">
        <v>9004.93</v>
      </c>
      <c r="S60" s="14" t="inlineStr">
        <is>
          <t>NAVEL TEMPRANA sem 4 y +</t>
        </is>
      </c>
      <c r="T60" s="14" t="inlineStr">
        <is>
          <t>CITRICOS</t>
        </is>
      </c>
      <c r="U60" s="19">
        <f>IFERROR(166.386*I60/F60,0)</f>
        <v/>
      </c>
      <c r="V60" s="19">
        <f>IFERROR(166.386*M60/F60,0)</f>
        <v/>
      </c>
      <c r="W60" s="19">
        <f>IFERROR(166.386*L60/F60,0)</f>
        <v/>
      </c>
    </row>
    <row r="61">
      <c r="A61" s="14" t="n">
        <v>2200</v>
      </c>
      <c r="B61" s="14" t="inlineStr">
        <is>
          <t>NAVEL TEMPRANA sem 4 y +</t>
        </is>
      </c>
      <c r="C61" s="15" t="n">
        <v>1572</v>
      </c>
      <c r="D61" s="14" t="inlineStr">
        <is>
          <t>ELENA ALTUR, JOSE ENRIQUE</t>
        </is>
      </c>
      <c r="E61" s="14" t="inlineStr">
        <is>
          <t>NAVELINA</t>
        </is>
      </c>
      <c r="F61" s="15" t="n">
        <v>40621</v>
      </c>
      <c r="G61" s="16" t="n">
        <v>15711.02</v>
      </c>
      <c r="H61" s="17" t="n">
        <v>0.3867708820560793</v>
      </c>
      <c r="I61" s="16" t="n">
        <v>2538.82</v>
      </c>
      <c r="J61" s="16" t="n">
        <v>0</v>
      </c>
      <c r="K61" s="16" t="n">
        <v>0</v>
      </c>
      <c r="L61" s="16" t="n">
        <v>0</v>
      </c>
      <c r="M61" s="16" t="n">
        <v>0</v>
      </c>
      <c r="N61" s="16" t="n">
        <v>13172.2</v>
      </c>
      <c r="O61" s="17" t="n">
        <v>0.35592</v>
      </c>
      <c r="P61" s="18" t="n">
        <v>12</v>
      </c>
      <c r="Q61" s="18" t="n">
        <v>2</v>
      </c>
      <c r="R61" s="16" t="n">
        <v>14457.81</v>
      </c>
      <c r="S61" s="14" t="inlineStr">
        <is>
          <t>NAVEL TEMPRANA sem 4 y +</t>
        </is>
      </c>
      <c r="T61" s="14" t="inlineStr">
        <is>
          <t>CITRICOS</t>
        </is>
      </c>
      <c r="U61" s="19">
        <f>IFERROR(166.386*I61/F61,0)</f>
        <v/>
      </c>
      <c r="V61" s="19">
        <f>IFERROR(166.386*M61/F61,0)</f>
        <v/>
      </c>
      <c r="W61" s="19">
        <f>IFERROR(166.386*L61/F61,0)</f>
        <v/>
      </c>
    </row>
    <row r="62">
      <c r="A62" s="14" t="n">
        <v>2200</v>
      </c>
      <c r="B62" s="14" t="inlineStr">
        <is>
          <t>NAVEL TEMPRANA sem 4 y +</t>
        </is>
      </c>
      <c r="C62" s="15" t="n">
        <v>1573</v>
      </c>
      <c r="D62" s="14" t="inlineStr">
        <is>
          <t>HNOS. JIMENEZ ARIZA C.B.</t>
        </is>
      </c>
      <c r="E62" s="14" t="inlineStr">
        <is>
          <t>NAVELINA</t>
        </is>
      </c>
      <c r="F62" s="15" t="n">
        <v>5058</v>
      </c>
      <c r="G62" s="16" t="n">
        <v>1880.85</v>
      </c>
      <c r="H62" s="17" t="n">
        <v>0.3718564650059312</v>
      </c>
      <c r="I62" s="16" t="n">
        <v>316.13</v>
      </c>
      <c r="J62" s="16" t="n">
        <v>0</v>
      </c>
      <c r="K62" s="16" t="n">
        <v>0</v>
      </c>
      <c r="L62" s="16" t="n">
        <v>0</v>
      </c>
      <c r="M62" s="16" t="n">
        <v>0</v>
      </c>
      <c r="N62" s="16" t="n">
        <v>1564.72</v>
      </c>
      <c r="O62" s="17" t="n">
        <v>0.33955</v>
      </c>
      <c r="P62" s="18" t="n">
        <v>12</v>
      </c>
      <c r="Q62" s="18" t="n">
        <v>2</v>
      </c>
      <c r="R62" s="16" t="n">
        <v>1717.44</v>
      </c>
      <c r="S62" s="14" t="inlineStr">
        <is>
          <t>NAVEL TEMPRANA sem 4 y +</t>
        </is>
      </c>
      <c r="T62" s="14" t="inlineStr">
        <is>
          <t>CITRICOS</t>
        </is>
      </c>
      <c r="U62" s="19">
        <f>IFERROR(166.386*I62/F62,0)</f>
        <v/>
      </c>
      <c r="V62" s="19">
        <f>IFERROR(166.386*M62/F62,0)</f>
        <v/>
      </c>
      <c r="W62" s="19">
        <f>IFERROR(166.386*L62/F62,0)</f>
        <v/>
      </c>
    </row>
    <row r="63">
      <c r="A63" s="14" t="n">
        <v>2200</v>
      </c>
      <c r="B63" s="14" t="inlineStr">
        <is>
          <t>NAVEL TEMPRANA sem 4 y +</t>
        </is>
      </c>
      <c r="C63" s="15" t="n">
        <v>1578</v>
      </c>
      <c r="D63" s="14" t="inlineStr">
        <is>
          <t>GARCIA CARRASCO, Mª ANGELES</t>
        </is>
      </c>
      <c r="E63" s="14" t="inlineStr">
        <is>
          <t>NAVELINA</t>
        </is>
      </c>
      <c r="F63" s="15" t="n">
        <v>7125</v>
      </c>
      <c r="G63" s="16" t="n">
        <v>2190.46</v>
      </c>
      <c r="H63" s="17" t="n">
        <v>0.3074329824561404</v>
      </c>
      <c r="I63" s="16" t="n">
        <v>445.32</v>
      </c>
      <c r="J63" s="16" t="n">
        <v>66.53</v>
      </c>
      <c r="K63" s="16" t="n">
        <v>89.5400175</v>
      </c>
      <c r="L63" s="16" t="n">
        <v>0</v>
      </c>
      <c r="M63" s="16" t="n">
        <v>0</v>
      </c>
      <c r="N63" s="16" t="n">
        <v>1768.15</v>
      </c>
      <c r="O63" s="17" t="n">
        <v>0.27238</v>
      </c>
      <c r="P63" s="18" t="n">
        <v>12</v>
      </c>
      <c r="Q63" s="18" t="n">
        <v>2</v>
      </c>
      <c r="R63" s="16" t="n">
        <v>1940.72</v>
      </c>
      <c r="S63" s="14" t="inlineStr">
        <is>
          <t>NAVEL TEMPRANA sem 4 y +</t>
        </is>
      </c>
      <c r="T63" s="14" t="inlineStr">
        <is>
          <t>CITRICOS</t>
        </is>
      </c>
      <c r="U63" s="19">
        <f>IFERROR(166.386*I63/F63,0)</f>
        <v/>
      </c>
      <c r="V63" s="19">
        <f>IFERROR(166.386*M63/F63,0)</f>
        <v/>
      </c>
      <c r="W63" s="19">
        <f>IFERROR(166.386*L63/F63,0)</f>
        <v/>
      </c>
    </row>
    <row r="64">
      <c r="A64" s="14" t="n">
        <v>2200</v>
      </c>
      <c r="B64" s="14" t="inlineStr">
        <is>
          <t>NAVEL TEMPRANA sem 4 y +</t>
        </is>
      </c>
      <c r="C64" s="15" t="n">
        <v>1588</v>
      </c>
      <c r="D64" s="14" t="inlineStr">
        <is>
          <t>RAMOS GARCIA DE TEJADA, ALVARO</t>
        </is>
      </c>
      <c r="E64" s="14" t="inlineStr">
        <is>
          <t>NAVELINA</t>
        </is>
      </c>
      <c r="F64" s="15" t="n">
        <v>37531</v>
      </c>
      <c r="G64" s="16" t="n">
        <v>13958.17</v>
      </c>
      <c r="H64" s="17" t="n">
        <v>0.3719104207188724</v>
      </c>
      <c r="I64" s="16" t="n">
        <v>2636.51</v>
      </c>
      <c r="J64" s="16" t="n">
        <v>215.05</v>
      </c>
      <c r="K64" s="16" t="n">
        <v>0</v>
      </c>
      <c r="L64" s="16" t="n">
        <v>0</v>
      </c>
      <c r="M64" s="16" t="n">
        <v>0</v>
      </c>
      <c r="N64" s="16" t="n">
        <v>11106.61</v>
      </c>
      <c r="O64" s="17" t="n">
        <v>0.32481</v>
      </c>
      <c r="P64" s="18" t="n">
        <v>12</v>
      </c>
      <c r="Q64" s="18" t="n">
        <v>2</v>
      </c>
      <c r="R64" s="16" t="n">
        <v>12190.62</v>
      </c>
      <c r="S64" s="14" t="inlineStr">
        <is>
          <t>NAVEL TEMPRANA sem 4 y +</t>
        </is>
      </c>
      <c r="T64" s="14" t="inlineStr">
        <is>
          <t>CITRICOS</t>
        </is>
      </c>
      <c r="U64" s="19">
        <f>IFERROR(166.386*I64/F64,0)</f>
        <v/>
      </c>
      <c r="V64" s="19">
        <f>IFERROR(166.386*M64/F64,0)</f>
        <v/>
      </c>
      <c r="W64" s="19">
        <f>IFERROR(166.386*L64/F64,0)</f>
        <v/>
      </c>
    </row>
    <row r="65">
      <c r="A65" s="14" t="n">
        <v>2200</v>
      </c>
      <c r="B65" s="14" t="inlineStr">
        <is>
          <t>NAVEL TEMPRANA sem 4 y +</t>
        </is>
      </c>
      <c r="C65" s="15" t="n">
        <v>1592</v>
      </c>
      <c r="D65" s="14" t="inlineStr">
        <is>
          <t>SANTIAGO ESCABIA, JUAN</t>
        </is>
      </c>
      <c r="E65" s="14" t="inlineStr">
        <is>
          <t>NAVELINA</t>
        </is>
      </c>
      <c r="F65" s="15" t="n">
        <v>7460</v>
      </c>
      <c r="G65" s="16" t="n">
        <v>2736.29</v>
      </c>
      <c r="H65" s="17" t="n">
        <v>0.3667949061662198</v>
      </c>
      <c r="I65" s="16" t="n">
        <v>466.25</v>
      </c>
      <c r="J65" s="16" t="n">
        <v>106.43</v>
      </c>
      <c r="K65" s="16" t="n">
        <v>0</v>
      </c>
      <c r="L65" s="16" t="n">
        <v>0</v>
      </c>
      <c r="M65" s="16" t="n">
        <v>0</v>
      </c>
      <c r="N65" s="16" t="n">
        <v>2163.61</v>
      </c>
      <c r="O65" s="17" t="n">
        <v>0.31834</v>
      </c>
      <c r="P65" s="18" t="n">
        <v>12</v>
      </c>
      <c r="Q65" s="18" t="n">
        <v>2</v>
      </c>
      <c r="R65" s="16" t="n">
        <v>2374.78</v>
      </c>
      <c r="S65" s="14" t="inlineStr">
        <is>
          <t>NAVEL TEMPRANA sem 4 y +</t>
        </is>
      </c>
      <c r="T65" s="14" t="inlineStr">
        <is>
          <t>CITRICOS</t>
        </is>
      </c>
      <c r="U65" s="19">
        <f>IFERROR(166.386*I65/F65,0)</f>
        <v/>
      </c>
      <c r="V65" s="19">
        <f>IFERROR(166.386*M65/F65,0)</f>
        <v/>
      </c>
      <c r="W65" s="19">
        <f>IFERROR(166.386*L65/F65,0)</f>
        <v/>
      </c>
    </row>
    <row r="66">
      <c r="A66" s="14" t="n">
        <v>2200</v>
      </c>
      <c r="B66" s="14" t="inlineStr">
        <is>
          <t>NAVEL TEMPRANA sem 4 y +</t>
        </is>
      </c>
      <c r="C66" s="15" t="n">
        <v>1595</v>
      </c>
      <c r="D66" s="14" t="inlineStr">
        <is>
          <t>PEREZ JIMENEZ, MIGUEL</t>
        </is>
      </c>
      <c r="E66" s="14" t="inlineStr">
        <is>
          <t>NAVELINA</t>
        </is>
      </c>
      <c r="F66" s="15" t="n">
        <v>7851</v>
      </c>
      <c r="G66" s="16" t="n">
        <v>3066.15</v>
      </c>
      <c r="H66" s="17" t="n">
        <v>0.3905426060374474</v>
      </c>
      <c r="I66" s="16" t="n">
        <v>490.69</v>
      </c>
      <c r="J66" s="16" t="n">
        <v>0</v>
      </c>
      <c r="K66" s="16" t="n">
        <v>0</v>
      </c>
      <c r="L66" s="16" t="n">
        <v>0</v>
      </c>
      <c r="M66" s="16" t="n">
        <v>0</v>
      </c>
      <c r="N66" s="16" t="n">
        <v>2575.46</v>
      </c>
      <c r="O66" s="17" t="n">
        <v>0.36006</v>
      </c>
      <c r="P66" s="18" t="n">
        <v>12</v>
      </c>
      <c r="Q66" s="18" t="n">
        <v>2</v>
      </c>
      <c r="R66" s="16" t="n">
        <v>2826.82</v>
      </c>
      <c r="S66" s="14" t="inlineStr">
        <is>
          <t>NAVEL TEMPRANA sem 4 y +</t>
        </is>
      </c>
      <c r="T66" s="14" t="inlineStr">
        <is>
          <t>CITRICOS</t>
        </is>
      </c>
      <c r="U66" s="19">
        <f>IFERROR(166.386*I66/F66,0)</f>
        <v/>
      </c>
      <c r="V66" s="19">
        <f>IFERROR(166.386*M66/F66,0)</f>
        <v/>
      </c>
      <c r="W66" s="19">
        <f>IFERROR(166.386*L66/F66,0)</f>
        <v/>
      </c>
    </row>
    <row r="67">
      <c r="A67" s="14" t="n">
        <v>2200</v>
      </c>
      <c r="B67" s="14" t="inlineStr">
        <is>
          <t>NAVEL TEMPRANA sem 4 y +</t>
        </is>
      </c>
      <c r="C67" s="15" t="n">
        <v>1598</v>
      </c>
      <c r="D67" s="14" t="inlineStr">
        <is>
          <t>PEREZ JIMENEZ, JUAN</t>
        </is>
      </c>
      <c r="E67" s="14" t="inlineStr">
        <is>
          <t>NAVELINA</t>
        </is>
      </c>
      <c r="F67" s="15" t="n">
        <v>2620</v>
      </c>
      <c r="G67" s="16" t="n">
        <v>1050.03</v>
      </c>
      <c r="H67" s="17" t="n">
        <v>0.4007748091603053</v>
      </c>
      <c r="I67" s="16" t="n">
        <v>163.75</v>
      </c>
      <c r="J67" s="16" t="n">
        <v>0</v>
      </c>
      <c r="K67" s="16" t="n">
        <v>0</v>
      </c>
      <c r="L67" s="16" t="n">
        <v>0</v>
      </c>
      <c r="M67" s="16" t="n">
        <v>0</v>
      </c>
      <c r="N67" s="16" t="n">
        <v>886.28</v>
      </c>
      <c r="O67" s="17" t="n">
        <v>0.37129</v>
      </c>
      <c r="P67" s="18" t="n">
        <v>12</v>
      </c>
      <c r="Q67" s="18" t="n">
        <v>2</v>
      </c>
      <c r="R67" s="16" t="n">
        <v>972.78</v>
      </c>
      <c r="S67" s="14" t="inlineStr">
        <is>
          <t>NAVEL TEMPRANA sem 4 y +</t>
        </is>
      </c>
      <c r="T67" s="14" t="inlineStr">
        <is>
          <t>CITRICOS</t>
        </is>
      </c>
      <c r="U67" s="19">
        <f>IFERROR(166.386*I67/F67,0)</f>
        <v/>
      </c>
      <c r="V67" s="19">
        <f>IFERROR(166.386*M67/F67,0)</f>
        <v/>
      </c>
      <c r="W67" s="19">
        <f>IFERROR(166.386*L67/F67,0)</f>
        <v/>
      </c>
    </row>
    <row r="68">
      <c r="A68" s="14" t="n">
        <v>2200</v>
      </c>
      <c r="B68" s="14" t="inlineStr">
        <is>
          <t>NAVEL TEMPRANA sem 4 y +</t>
        </is>
      </c>
      <c r="C68" s="15" t="n">
        <v>1607</v>
      </c>
      <c r="D68" s="14" t="inlineStr">
        <is>
          <t>FUNEZ RANDO, MARIA</t>
        </is>
      </c>
      <c r="E68" s="14" t="inlineStr">
        <is>
          <t>NAVELINA</t>
        </is>
      </c>
      <c r="F68" s="15" t="n">
        <v>3960</v>
      </c>
      <c r="G68" s="16" t="n">
        <v>1656.75</v>
      </c>
      <c r="H68" s="17" t="n">
        <v>0.4183712121212121</v>
      </c>
      <c r="I68" s="16" t="n">
        <v>247.5</v>
      </c>
      <c r="J68" s="16" t="n">
        <v>54.6</v>
      </c>
      <c r="K68" s="16" t="n">
        <v>0</v>
      </c>
      <c r="L68" s="16" t="n">
        <v>0</v>
      </c>
      <c r="M68" s="16" t="n">
        <v>0</v>
      </c>
      <c r="N68" s="16" t="n">
        <v>1354.65</v>
      </c>
      <c r="O68" s="17" t="n">
        <v>0.37547</v>
      </c>
      <c r="P68" s="18" t="n">
        <v>12</v>
      </c>
      <c r="Q68" s="18" t="n">
        <v>2</v>
      </c>
      <c r="R68" s="16" t="n">
        <v>1486.86</v>
      </c>
      <c r="S68" s="14" t="inlineStr">
        <is>
          <t>NAVEL TEMPRANA sem 4 y +</t>
        </is>
      </c>
      <c r="T68" s="14" t="inlineStr">
        <is>
          <t>CITRICOS</t>
        </is>
      </c>
      <c r="U68" s="19">
        <f>IFERROR(166.386*I68/F68,0)</f>
        <v/>
      </c>
      <c r="V68" s="19">
        <f>IFERROR(166.386*M68/F68,0)</f>
        <v/>
      </c>
      <c r="W68" s="19">
        <f>IFERROR(166.386*L68/F68,0)</f>
        <v/>
      </c>
    </row>
    <row r="69">
      <c r="A69" s="14" t="n">
        <v>2200</v>
      </c>
      <c r="B69" s="14" t="inlineStr">
        <is>
          <t>NAVEL TEMPRANA sem 4 y +</t>
        </is>
      </c>
      <c r="C69" s="15" t="n">
        <v>1608</v>
      </c>
      <c r="D69" s="14" t="inlineStr">
        <is>
          <t>ALVAREZ CUEVAS, MANUEL</t>
        </is>
      </c>
      <c r="E69" s="14" t="inlineStr">
        <is>
          <t>NAVELINA</t>
        </is>
      </c>
      <c r="F69" s="15" t="n">
        <v>23080</v>
      </c>
      <c r="G69" s="16" t="n">
        <v>9668</v>
      </c>
      <c r="H69" s="17" t="n">
        <v>0.4188908145580589</v>
      </c>
      <c r="I69" s="16" t="n">
        <v>1442.5</v>
      </c>
      <c r="J69" s="16" t="n">
        <v>0</v>
      </c>
      <c r="K69" s="16" t="n">
        <v>0</v>
      </c>
      <c r="L69" s="16" t="n">
        <v>0</v>
      </c>
      <c r="M69" s="16" t="n">
        <v>348.19</v>
      </c>
      <c r="N69" s="16" t="n">
        <v>8573.690000000001</v>
      </c>
      <c r="O69" s="17" t="n">
        <v>0.40773</v>
      </c>
      <c r="P69" s="18" t="n">
        <v>12</v>
      </c>
      <c r="Q69" s="18" t="n">
        <v>2</v>
      </c>
      <c r="R69" s="16" t="n">
        <v>9410.48</v>
      </c>
      <c r="S69" s="14" t="inlineStr">
        <is>
          <t>NAVEL TEMPRANA sem 4 y +</t>
        </is>
      </c>
      <c r="T69" s="14" t="inlineStr">
        <is>
          <t>CITRICOS</t>
        </is>
      </c>
      <c r="U69" s="19">
        <f>IFERROR(166.386*I69/F69,0)</f>
        <v/>
      </c>
      <c r="V69" s="19">
        <f>IFERROR(166.386*M69/F69,0)</f>
        <v/>
      </c>
      <c r="W69" s="19">
        <f>IFERROR(166.386*L69/F69,0)</f>
        <v/>
      </c>
    </row>
    <row r="70">
      <c r="A70" s="14" t="n">
        <v>2200</v>
      </c>
      <c r="B70" s="14" t="inlineStr">
        <is>
          <t>NAVEL TEMPRANA sem 4 y +</t>
        </is>
      </c>
      <c r="C70" s="15" t="n">
        <v>1610</v>
      </c>
      <c r="D70" s="14" t="inlineStr">
        <is>
          <t>JARAMAGO SANCHEZ, ELVIRA</t>
        </is>
      </c>
      <c r="E70" s="14" t="inlineStr">
        <is>
          <t>NAVELINA</t>
        </is>
      </c>
      <c r="F70" s="15" t="n">
        <v>22750</v>
      </c>
      <c r="G70" s="16" t="n">
        <v>8701.969999999999</v>
      </c>
      <c r="H70" s="17" t="n">
        <v>0.3825041758241758</v>
      </c>
      <c r="I70" s="16" t="n">
        <v>1421.88</v>
      </c>
      <c r="J70" s="16" t="n">
        <v>0</v>
      </c>
      <c r="K70" s="16" t="n">
        <v>0</v>
      </c>
      <c r="L70" s="16" t="n">
        <v>0</v>
      </c>
      <c r="M70" s="16" t="n">
        <v>0</v>
      </c>
      <c r="N70" s="16" t="n">
        <v>7280.09</v>
      </c>
      <c r="O70" s="17" t="n">
        <v>0.35124</v>
      </c>
      <c r="P70" s="18" t="n">
        <v>12</v>
      </c>
      <c r="Q70" s="18" t="n">
        <v>2</v>
      </c>
      <c r="R70" s="16" t="n">
        <v>7990.63</v>
      </c>
      <c r="S70" s="14" t="inlineStr">
        <is>
          <t>NAVEL TEMPRANA sem 4 y +</t>
        </is>
      </c>
      <c r="T70" s="14" t="inlineStr">
        <is>
          <t>CITRICOS</t>
        </is>
      </c>
      <c r="U70" s="19">
        <f>IFERROR(166.386*I70/F70,0)</f>
        <v/>
      </c>
      <c r="V70" s="19">
        <f>IFERROR(166.386*M70/F70,0)</f>
        <v/>
      </c>
      <c r="W70" s="19">
        <f>IFERROR(166.386*L70/F70,0)</f>
        <v/>
      </c>
    </row>
    <row r="71">
      <c r="A71" s="14" t="n">
        <v>2200</v>
      </c>
      <c r="B71" s="14" t="inlineStr">
        <is>
          <t>NAVEL TEMPRANA sem 4 y +</t>
        </is>
      </c>
      <c r="C71" s="15" t="n">
        <v>1613</v>
      </c>
      <c r="D71" s="14" t="inlineStr">
        <is>
          <t>MARTIN RUIZ, DOMINGO</t>
        </is>
      </c>
      <c r="E71" s="14" t="inlineStr">
        <is>
          <t>NAVELINA</t>
        </is>
      </c>
      <c r="F71" s="15" t="n">
        <v>16552</v>
      </c>
      <c r="G71" s="16" t="n">
        <v>5672.66</v>
      </c>
      <c r="H71" s="17" t="n">
        <v>0.3427174963750604</v>
      </c>
      <c r="I71" s="16" t="n">
        <v>1034.5</v>
      </c>
      <c r="J71" s="16" t="n">
        <v>0</v>
      </c>
      <c r="K71" s="16" t="n">
        <v>0</v>
      </c>
      <c r="L71" s="16" t="n">
        <v>0</v>
      </c>
      <c r="M71" s="16" t="n">
        <v>0</v>
      </c>
      <c r="N71" s="16" t="n">
        <v>4638.16</v>
      </c>
      <c r="O71" s="17" t="n">
        <v>0.30757</v>
      </c>
      <c r="P71" s="18" t="n">
        <v>12</v>
      </c>
      <c r="Q71" s="18" t="n">
        <v>2</v>
      </c>
      <c r="R71" s="16" t="n">
        <v>5090.84</v>
      </c>
      <c r="S71" s="14" t="inlineStr">
        <is>
          <t>NAVEL TEMPRANA sem 4 y +</t>
        </is>
      </c>
      <c r="T71" s="14" t="inlineStr">
        <is>
          <t>CITRICOS</t>
        </is>
      </c>
      <c r="U71" s="19">
        <f>IFERROR(166.386*I71/F71,0)</f>
        <v/>
      </c>
      <c r="V71" s="19">
        <f>IFERROR(166.386*M71/F71,0)</f>
        <v/>
      </c>
      <c r="W71" s="19">
        <f>IFERROR(166.386*L71/F71,0)</f>
        <v/>
      </c>
    </row>
    <row r="72">
      <c r="A72" s="14" t="n">
        <v>2200</v>
      </c>
      <c r="B72" s="14" t="inlineStr">
        <is>
          <t>NAVEL TEMPRANA sem 4 y +</t>
        </is>
      </c>
      <c r="C72" s="15" t="n">
        <v>1614</v>
      </c>
      <c r="D72" s="14" t="inlineStr">
        <is>
          <t>MARIN SERRANO 2025 S.C.</t>
        </is>
      </c>
      <c r="E72" s="14" t="inlineStr">
        <is>
          <t>NAVELINA</t>
        </is>
      </c>
      <c r="F72" s="15" t="n">
        <v>189112</v>
      </c>
      <c r="G72" s="16" t="n">
        <v>68285.69</v>
      </c>
      <c r="H72" s="17" t="n">
        <v>0.3610859702187064</v>
      </c>
      <c r="I72" s="16" t="n">
        <v>11819.51</v>
      </c>
      <c r="J72" s="16" t="n">
        <v>362.34</v>
      </c>
      <c r="K72" s="16" t="n">
        <v>0</v>
      </c>
      <c r="L72" s="16" t="n">
        <v>0</v>
      </c>
      <c r="M72" s="16" t="n">
        <v>0</v>
      </c>
      <c r="N72" s="16" t="n">
        <v>56103.84</v>
      </c>
      <c r="O72" s="17" t="n">
        <v>0.32562</v>
      </c>
      <c r="P72" s="18" t="n">
        <v>12</v>
      </c>
      <c r="Q72" s="18" t="n">
        <v>2</v>
      </c>
      <c r="R72" s="16" t="n">
        <v>61579.57</v>
      </c>
      <c r="S72" s="14" t="inlineStr">
        <is>
          <t>NAVEL TEMPRANA sem 4 y +</t>
        </is>
      </c>
      <c r="T72" s="14" t="inlineStr">
        <is>
          <t>CITRICOS</t>
        </is>
      </c>
      <c r="U72" s="19">
        <f>IFERROR(166.386*I72/F72,0)</f>
        <v/>
      </c>
      <c r="V72" s="19">
        <f>IFERROR(166.386*M72/F72,0)</f>
        <v/>
      </c>
      <c r="W72" s="19">
        <f>IFERROR(166.386*L72/F72,0)</f>
        <v/>
      </c>
    </row>
    <row r="73">
      <c r="A73" s="14" t="n">
        <v>2200</v>
      </c>
      <c r="B73" s="14" t="inlineStr">
        <is>
          <t>NAVEL TEMPRANA sem 4 y +</t>
        </is>
      </c>
      <c r="C73" s="15" t="n">
        <v>1617</v>
      </c>
      <c r="D73" s="14" t="inlineStr">
        <is>
          <t>MARZAL LLOP, Mª LUISA</t>
        </is>
      </c>
      <c r="E73" s="14" t="inlineStr">
        <is>
          <t>NAVELINA</t>
        </is>
      </c>
      <c r="F73" s="15" t="n">
        <v>84567</v>
      </c>
      <c r="G73" s="16" t="n">
        <v>31761.49</v>
      </c>
      <c r="H73" s="17" t="n">
        <v>0.3755778258658815</v>
      </c>
      <c r="I73" s="16" t="n">
        <v>5285.44</v>
      </c>
      <c r="J73" s="16" t="n">
        <v>777.95</v>
      </c>
      <c r="K73" s="16" t="n">
        <v>0</v>
      </c>
      <c r="L73" s="16" t="n">
        <v>0</v>
      </c>
      <c r="M73" s="16" t="n">
        <v>0</v>
      </c>
      <c r="N73" s="16" t="n">
        <v>25698.1</v>
      </c>
      <c r="O73" s="17" t="n">
        <v>0.33354</v>
      </c>
      <c r="P73" s="18" t="n">
        <v>12</v>
      </c>
      <c r="Q73" s="18" t="n">
        <v>2</v>
      </c>
      <c r="R73" s="16" t="n">
        <v>28206.23</v>
      </c>
      <c r="S73" s="14" t="inlineStr">
        <is>
          <t>NAVEL TEMPRANA sem 4 y +</t>
        </is>
      </c>
      <c r="T73" s="14" t="inlineStr">
        <is>
          <t>CITRICOS</t>
        </is>
      </c>
      <c r="U73" s="19">
        <f>IFERROR(166.386*I73/F73,0)</f>
        <v/>
      </c>
      <c r="V73" s="19">
        <f>IFERROR(166.386*M73/F73,0)</f>
        <v/>
      </c>
      <c r="W73" s="19">
        <f>IFERROR(166.386*L73/F73,0)</f>
        <v/>
      </c>
    </row>
    <row r="74">
      <c r="A74" s="14" t="n">
        <v>2200</v>
      </c>
      <c r="B74" s="14" t="inlineStr">
        <is>
          <t>NAVEL TEMPRANA sem 4 y +</t>
        </is>
      </c>
      <c r="C74" s="15" t="n">
        <v>1623</v>
      </c>
      <c r="D74" s="14" t="inlineStr">
        <is>
          <t>GALLEGO BARRERA, GUILLERMO</t>
        </is>
      </c>
      <c r="E74" s="14" t="inlineStr">
        <is>
          <t>NAVELINA</t>
        </is>
      </c>
      <c r="F74" s="15" t="n">
        <v>112745</v>
      </c>
      <c r="G74" s="16" t="n">
        <v>40007.76</v>
      </c>
      <c r="H74" s="17" t="n">
        <v>0.354851745088474</v>
      </c>
      <c r="I74" s="16" t="n">
        <v>8127.94</v>
      </c>
      <c r="J74" s="16" t="n">
        <v>205.76</v>
      </c>
      <c r="K74" s="16" t="n">
        <v>0</v>
      </c>
      <c r="L74" s="16" t="n">
        <v>0</v>
      </c>
      <c r="M74" s="16" t="n">
        <v>0</v>
      </c>
      <c r="N74" s="16" t="n">
        <v>31674.06</v>
      </c>
      <c r="O74" s="17" t="n">
        <v>0.30835</v>
      </c>
      <c r="P74" s="18" t="n">
        <v>12</v>
      </c>
      <c r="Q74" s="18" t="n">
        <v>2</v>
      </c>
      <c r="R74" s="16" t="n">
        <v>34765.45</v>
      </c>
      <c r="S74" s="14" t="inlineStr">
        <is>
          <t>NAVEL TEMPRANA sem 4 y +</t>
        </is>
      </c>
      <c r="T74" s="14" t="inlineStr">
        <is>
          <t>CITRICOS</t>
        </is>
      </c>
      <c r="U74" s="19">
        <f>IFERROR(166.386*I74/F74,0)</f>
        <v/>
      </c>
      <c r="V74" s="19">
        <f>IFERROR(166.386*M74/F74,0)</f>
        <v/>
      </c>
      <c r="W74" s="19">
        <f>IFERROR(166.386*L74/F74,0)</f>
        <v/>
      </c>
    </row>
    <row r="75">
      <c r="A75" s="14" t="n">
        <v>2202</v>
      </c>
      <c r="B75" s="14" t="inlineStr">
        <is>
          <t>NAVEL TEMPRANA sem ultim</t>
        </is>
      </c>
      <c r="C75" s="15" t="n">
        <v>1429</v>
      </c>
      <c r="D75" s="14" t="inlineStr">
        <is>
          <t>MARTINEZ LOPEZ DE ROZAS,JUAN</t>
        </is>
      </c>
      <c r="E75" s="14" t="inlineStr">
        <is>
          <t>NAVELATE</t>
        </is>
      </c>
      <c r="F75" s="15" t="n">
        <v>21754</v>
      </c>
      <c r="G75" s="16" t="n">
        <v>7836.68</v>
      </c>
      <c r="H75" s="17" t="n">
        <v>0.3602408752413349</v>
      </c>
      <c r="I75" s="16" t="n">
        <v>1359.63</v>
      </c>
      <c r="J75" s="16" t="n">
        <v>215.73</v>
      </c>
      <c r="K75" s="16" t="n">
        <v>0</v>
      </c>
      <c r="L75" s="16" t="n">
        <v>0</v>
      </c>
      <c r="M75" s="16" t="n">
        <v>305.95</v>
      </c>
      <c r="N75" s="16" t="n">
        <v>6567.27</v>
      </c>
      <c r="O75" s="17" t="n">
        <v>0.33135</v>
      </c>
      <c r="P75" s="18" t="n">
        <v>12</v>
      </c>
      <c r="Q75" s="18" t="n">
        <v>2</v>
      </c>
      <c r="R75" s="16" t="n">
        <v>7208.24</v>
      </c>
      <c r="S75" s="14" t="inlineStr">
        <is>
          <t>NAVEL TEMPRANA sem ultim</t>
        </is>
      </c>
      <c r="T75" s="14" t="inlineStr">
        <is>
          <t>CITRICOS</t>
        </is>
      </c>
      <c r="U75" s="19">
        <f>IFERROR(166.386*I75/F75,0)</f>
        <v/>
      </c>
      <c r="V75" s="19">
        <f>IFERROR(166.386*M75/F75,0)</f>
        <v/>
      </c>
      <c r="W75" s="19">
        <f>IFERROR(166.386*L75/F75,0)</f>
        <v/>
      </c>
    </row>
    <row r="76">
      <c r="A76" s="14" t="n">
        <v>2203</v>
      </c>
      <c r="B76" s="14" t="inlineStr">
        <is>
          <t>BLANCA TEMPRANA sem2</t>
        </is>
      </c>
      <c r="C76" s="15" t="n">
        <v>1177</v>
      </c>
      <c r="D76" s="14" t="inlineStr">
        <is>
          <t>SANCHEZ SIERRA,JUAN ANTONIO</t>
        </is>
      </c>
      <c r="E76" s="14" t="inlineStr">
        <is>
          <t>SALUSTIANA</t>
        </is>
      </c>
      <c r="F76" s="15" t="n">
        <v>16564</v>
      </c>
      <c r="G76" s="16" t="n">
        <v>6359.95</v>
      </c>
      <c r="H76" s="17" t="n">
        <v>0.3839622071963294</v>
      </c>
      <c r="I76" s="16" t="n">
        <v>1192.61</v>
      </c>
      <c r="J76" s="16" t="n">
        <v>115.05</v>
      </c>
      <c r="K76" s="16" t="n">
        <v>0</v>
      </c>
      <c r="L76" s="16" t="n">
        <v>0</v>
      </c>
      <c r="M76" s="16" t="n">
        <v>0</v>
      </c>
      <c r="N76" s="16" t="n">
        <v>5052.29</v>
      </c>
      <c r="O76" s="17" t="n">
        <v>0.33479</v>
      </c>
      <c r="P76" s="18" t="n">
        <v>12</v>
      </c>
      <c r="Q76" s="18" t="n">
        <v>2</v>
      </c>
      <c r="R76" s="16" t="n">
        <v>5545.39</v>
      </c>
      <c r="S76" s="14" t="inlineStr">
        <is>
          <t>BLANCA TEMPRANA sem2</t>
        </is>
      </c>
      <c r="T76" s="14" t="inlineStr">
        <is>
          <t>CITRICOS</t>
        </is>
      </c>
      <c r="U76" s="19">
        <f>IFERROR(166.386*I76/F76,0)</f>
        <v/>
      </c>
      <c r="V76" s="19">
        <f>IFERROR(166.386*M76/F76,0)</f>
        <v/>
      </c>
      <c r="W76" s="19">
        <f>IFERROR(166.386*L76/F76,0)</f>
        <v/>
      </c>
    </row>
    <row r="77">
      <c r="A77" s="14" t="n">
        <v>2203</v>
      </c>
      <c r="B77" s="14" t="inlineStr">
        <is>
          <t>BLANCA TEMPRANA sem2</t>
        </is>
      </c>
      <c r="C77" s="15" t="n">
        <v>1384</v>
      </c>
      <c r="D77" s="14" t="inlineStr">
        <is>
          <t>RIEGO MARTIN,ANA BELEN</t>
        </is>
      </c>
      <c r="E77" s="14" t="inlineStr">
        <is>
          <t>SALUSTIANA</t>
        </is>
      </c>
      <c r="F77" s="15" t="n">
        <v>103352</v>
      </c>
      <c r="G77" s="16" t="n">
        <v>36064.89</v>
      </c>
      <c r="H77" s="17" t="n">
        <v>0.3489520280207447</v>
      </c>
      <c r="I77" s="16" t="n">
        <v>7440.77</v>
      </c>
      <c r="J77" s="16" t="n">
        <v>1148.16</v>
      </c>
      <c r="K77" s="16" t="n">
        <v>0</v>
      </c>
      <c r="L77" s="16" t="n">
        <v>0</v>
      </c>
      <c r="M77" s="16" t="n">
        <v>1361.18</v>
      </c>
      <c r="N77" s="16" t="n">
        <v>28837.14</v>
      </c>
      <c r="O77" s="17" t="n">
        <v>0.30625</v>
      </c>
      <c r="P77" s="18" t="n">
        <v>12</v>
      </c>
      <c r="Q77" s="18" t="n">
        <v>2</v>
      </c>
      <c r="R77" s="16" t="n">
        <v>31651.64</v>
      </c>
      <c r="S77" s="14" t="inlineStr">
        <is>
          <t>BLANCA TEMPRANA sem2</t>
        </is>
      </c>
      <c r="T77" s="14" t="inlineStr">
        <is>
          <t>CITRICOS</t>
        </is>
      </c>
      <c r="U77" s="19">
        <f>IFERROR(166.386*I77/F77,0)</f>
        <v/>
      </c>
      <c r="V77" s="19">
        <f>IFERROR(166.386*M77/F77,0)</f>
        <v/>
      </c>
      <c r="W77" s="19">
        <f>IFERROR(166.386*L77/F77,0)</f>
        <v/>
      </c>
    </row>
    <row r="78">
      <c r="A78" s="14" t="n">
        <v>2203</v>
      </c>
      <c r="B78" s="14" t="inlineStr">
        <is>
          <t>BLANCA TEMPRANA sem2</t>
        </is>
      </c>
      <c r="C78" s="15" t="n">
        <v>1585</v>
      </c>
      <c r="D78" s="14" t="inlineStr">
        <is>
          <t>CESPEDES AGUILAR, PATRICIA</t>
        </is>
      </c>
      <c r="E78" s="14" t="inlineStr">
        <is>
          <t>SALUSTIANA</t>
        </is>
      </c>
      <c r="F78" s="15" t="n">
        <v>30440</v>
      </c>
      <c r="G78" s="16" t="n">
        <v>10750.64</v>
      </c>
      <c r="H78" s="17" t="n">
        <v>0.3531747700394218</v>
      </c>
      <c r="I78" s="16" t="n">
        <v>2191.68</v>
      </c>
      <c r="J78" s="16" t="n">
        <v>204.88</v>
      </c>
      <c r="K78" s="16" t="n">
        <v>0</v>
      </c>
      <c r="L78" s="16" t="n">
        <v>0</v>
      </c>
      <c r="M78" s="16" t="n">
        <v>406.69</v>
      </c>
      <c r="N78" s="16" t="n">
        <v>8760.77</v>
      </c>
      <c r="O78" s="17" t="n">
        <v>0.31589</v>
      </c>
      <c r="P78" s="18" t="n">
        <v>12</v>
      </c>
      <c r="Q78" s="18" t="n">
        <v>2</v>
      </c>
      <c r="R78" s="16" t="n">
        <v>9615.82</v>
      </c>
      <c r="S78" s="14" t="inlineStr">
        <is>
          <t>BLANCA TEMPRANA sem2</t>
        </is>
      </c>
      <c r="T78" s="14" t="inlineStr">
        <is>
          <t>CITRICOS</t>
        </is>
      </c>
      <c r="U78" s="19">
        <f>IFERROR(166.386*I78/F78,0)</f>
        <v/>
      </c>
      <c r="V78" s="19">
        <f>IFERROR(166.386*M78/F78,0)</f>
        <v/>
      </c>
      <c r="W78" s="19">
        <f>IFERROR(166.386*L78/F78,0)</f>
        <v/>
      </c>
    </row>
    <row r="79">
      <c r="A79" s="14" t="n">
        <v>2203</v>
      </c>
      <c r="B79" s="14" t="inlineStr">
        <is>
          <t>BLANCA TEMPRANA sem2</t>
        </is>
      </c>
      <c r="C79" s="15" t="n">
        <v>1614</v>
      </c>
      <c r="D79" s="14" t="inlineStr">
        <is>
          <t>MARIN SERRANO 2025 S.C.</t>
        </is>
      </c>
      <c r="E79" s="14" t="inlineStr">
        <is>
          <t>SALUSTIANA</t>
        </is>
      </c>
      <c r="F79" s="15" t="n">
        <v>128509</v>
      </c>
      <c r="G79" s="16" t="n">
        <v>46228.99</v>
      </c>
      <c r="H79" s="17" t="n">
        <v>0.3597334817016707</v>
      </c>
      <c r="I79" s="16" t="n">
        <v>9252.65</v>
      </c>
      <c r="J79" s="16" t="n">
        <v>246.23</v>
      </c>
      <c r="K79" s="16" t="n">
        <v>0</v>
      </c>
      <c r="L79" s="16" t="n">
        <v>0</v>
      </c>
      <c r="M79" s="16" t="n">
        <v>0</v>
      </c>
      <c r="N79" s="16" t="n">
        <v>36730.11</v>
      </c>
      <c r="O79" s="17" t="n">
        <v>0.31371</v>
      </c>
      <c r="P79" s="18" t="n">
        <v>12</v>
      </c>
      <c r="Q79" s="18" t="n">
        <v>2</v>
      </c>
      <c r="R79" s="16" t="n">
        <v>40314.97</v>
      </c>
      <c r="S79" s="14" t="inlineStr">
        <is>
          <t>BLANCA TEMPRANA sem2</t>
        </is>
      </c>
      <c r="T79" s="14" t="inlineStr">
        <is>
          <t>CITRICOS</t>
        </is>
      </c>
      <c r="U79" s="19">
        <f>IFERROR(166.386*I79/F79,0)</f>
        <v/>
      </c>
      <c r="V79" s="19">
        <f>IFERROR(166.386*M79/F79,0)</f>
        <v/>
      </c>
      <c r="W79" s="19">
        <f>IFERROR(166.386*L79/F79,0)</f>
        <v/>
      </c>
    </row>
    <row r="80">
      <c r="A80" s="14" t="n">
        <v>2204</v>
      </c>
      <c r="B80" s="14" t="inlineStr">
        <is>
          <t>NAVEL TARDIA</t>
        </is>
      </c>
      <c r="C80" s="15" t="n">
        <v>798</v>
      </c>
      <c r="D80" s="14" t="inlineStr">
        <is>
          <t>PAREJA PAREJA,ISABEL</t>
        </is>
      </c>
      <c r="E80" s="14" t="inlineStr">
        <is>
          <t>LANE LATE</t>
        </is>
      </c>
      <c r="F80" s="15" t="n">
        <v>120686</v>
      </c>
      <c r="G80" s="16" t="n">
        <v>40982.17</v>
      </c>
      <c r="H80" s="17" t="n">
        <v>0.3395768357555972</v>
      </c>
      <c r="I80" s="16" t="n">
        <v>7542.88</v>
      </c>
      <c r="J80" s="16" t="n">
        <v>785.79</v>
      </c>
      <c r="K80" s="16" t="n">
        <v>0</v>
      </c>
      <c r="L80" s="16" t="n">
        <v>0</v>
      </c>
      <c r="M80" s="16" t="n">
        <v>1442.47</v>
      </c>
      <c r="N80" s="16" t="n">
        <v>34095.97</v>
      </c>
      <c r="O80" s="17" t="n">
        <v>0.31009</v>
      </c>
      <c r="P80" s="18" t="n">
        <v>12</v>
      </c>
      <c r="Q80" s="18" t="n">
        <v>2</v>
      </c>
      <c r="R80" s="16" t="n">
        <v>37423.74</v>
      </c>
      <c r="S80" s="14" t="inlineStr">
        <is>
          <t>NAVEL TARDIA</t>
        </is>
      </c>
      <c r="T80" s="14" t="inlineStr">
        <is>
          <t>CITRICOS</t>
        </is>
      </c>
      <c r="U80" s="19">
        <f>IFERROR(166.386*I80/F80,0)</f>
        <v/>
      </c>
      <c r="V80" s="19">
        <f>IFERROR(166.386*M80/F80,0)</f>
        <v/>
      </c>
      <c r="W80" s="19">
        <f>IFERROR(166.386*L80/F80,0)</f>
        <v/>
      </c>
    </row>
    <row r="81">
      <c r="A81" s="14" t="n">
        <v>2204</v>
      </c>
      <c r="B81" s="14" t="inlineStr">
        <is>
          <t>NAVEL TARDIA</t>
        </is>
      </c>
      <c r="C81" s="15" t="n">
        <v>818</v>
      </c>
      <c r="D81" s="14" t="inlineStr">
        <is>
          <t>CARBONELL MEMBRILLA,RAFAEL</t>
        </is>
      </c>
      <c r="E81" s="14" t="inlineStr">
        <is>
          <t>LANE LATE</t>
        </is>
      </c>
      <c r="F81" s="15" t="n">
        <v>50060</v>
      </c>
      <c r="G81" s="16" t="n">
        <v>22980.65</v>
      </c>
      <c r="H81" s="17" t="n">
        <v>0.4590621254494606</v>
      </c>
      <c r="I81" s="16" t="n">
        <v>3128.75</v>
      </c>
      <c r="J81" s="16" t="n">
        <v>209.85</v>
      </c>
      <c r="K81" s="16" t="n">
        <v>0</v>
      </c>
      <c r="L81" s="16" t="n">
        <v>555.67</v>
      </c>
      <c r="M81" s="16" t="n">
        <v>0</v>
      </c>
      <c r="N81" s="16" t="n">
        <v>20197.72</v>
      </c>
      <c r="O81" s="17" t="n">
        <v>0.44285</v>
      </c>
      <c r="P81" s="18" t="n">
        <v>12</v>
      </c>
      <c r="Q81" s="18" t="n">
        <v>2</v>
      </c>
      <c r="R81" s="16" t="n">
        <v>22169.02</v>
      </c>
      <c r="S81" s="14" t="inlineStr">
        <is>
          <t>NAVEL TARDIA</t>
        </is>
      </c>
      <c r="T81" s="14" t="inlineStr">
        <is>
          <t>CITRICOS</t>
        </is>
      </c>
      <c r="U81" s="19">
        <f>IFERROR(166.386*I81/F81,0)</f>
        <v/>
      </c>
      <c r="V81" s="19">
        <f>IFERROR(166.386*M81/F81,0)</f>
        <v/>
      </c>
      <c r="W81" s="19">
        <f>IFERROR(166.386*L81/F81,0)</f>
        <v/>
      </c>
    </row>
    <row r="82">
      <c r="A82" s="14" t="n">
        <v>2204</v>
      </c>
      <c r="B82" s="14" t="inlineStr">
        <is>
          <t>NAVEL TARDIA</t>
        </is>
      </c>
      <c r="C82" s="15" t="n">
        <v>904</v>
      </c>
      <c r="D82" s="14" t="inlineStr">
        <is>
          <t>FERNANDEZ MELENDEZ,ANGEL</t>
        </is>
      </c>
      <c r="E82" s="14" t="inlineStr">
        <is>
          <t>LANE LATE</t>
        </is>
      </c>
      <c r="F82" s="15" t="n">
        <v>55601</v>
      </c>
      <c r="G82" s="16" t="n">
        <v>22702.33</v>
      </c>
      <c r="H82" s="17" t="n">
        <v>0.4083079441017248</v>
      </c>
      <c r="I82" s="16" t="n">
        <v>3475.07</v>
      </c>
      <c r="J82" s="16" t="n">
        <v>331.85</v>
      </c>
      <c r="K82" s="16" t="n">
        <v>0</v>
      </c>
      <c r="L82" s="16" t="n">
        <v>0</v>
      </c>
      <c r="M82" s="16" t="n">
        <v>0</v>
      </c>
      <c r="N82" s="16" t="n">
        <v>18895.41</v>
      </c>
      <c r="O82" s="17" t="n">
        <v>0.37301</v>
      </c>
      <c r="P82" s="18" t="n">
        <v>12</v>
      </c>
      <c r="Q82" s="18" t="n">
        <v>2</v>
      </c>
      <c r="R82" s="16" t="n">
        <v>20739.6</v>
      </c>
      <c r="S82" s="14" t="inlineStr">
        <is>
          <t>NAVEL TARDIA</t>
        </is>
      </c>
      <c r="T82" s="14" t="inlineStr">
        <is>
          <t>CITRICOS</t>
        </is>
      </c>
      <c r="U82" s="19">
        <f>IFERROR(166.386*I82/F82,0)</f>
        <v/>
      </c>
      <c r="V82" s="19">
        <f>IFERROR(166.386*M82/F82,0)</f>
        <v/>
      </c>
      <c r="W82" s="19">
        <f>IFERROR(166.386*L82/F82,0)</f>
        <v/>
      </c>
    </row>
    <row r="83">
      <c r="A83" s="14" t="n">
        <v>2204</v>
      </c>
      <c r="B83" s="14" t="inlineStr">
        <is>
          <t>NAVEL TARDIA</t>
        </is>
      </c>
      <c r="C83" s="15" t="n">
        <v>937</v>
      </c>
      <c r="D83" s="14" t="inlineStr">
        <is>
          <t>GALVEZ MACIAS,FRANCISCO</t>
        </is>
      </c>
      <c r="E83" s="14" t="inlineStr">
        <is>
          <t>LANE LATE</t>
        </is>
      </c>
      <c r="F83" s="15" t="n">
        <v>10940</v>
      </c>
      <c r="G83" s="16" t="n">
        <v>4738.88</v>
      </c>
      <c r="H83" s="17" t="n">
        <v>0.4331700182815357</v>
      </c>
      <c r="I83" s="16" t="n">
        <v>683.75</v>
      </c>
      <c r="J83" s="16" t="n">
        <v>89.41</v>
      </c>
      <c r="K83" s="16" t="n">
        <v>0</v>
      </c>
      <c r="L83" s="16" t="n">
        <v>0</v>
      </c>
      <c r="M83" s="16" t="n">
        <v>156.7</v>
      </c>
      <c r="N83" s="16" t="n">
        <v>4122.42</v>
      </c>
      <c r="O83" s="17" t="n">
        <v>0.4136</v>
      </c>
      <c r="P83" s="18" t="n">
        <v>12</v>
      </c>
      <c r="Q83" s="18" t="n">
        <v>2</v>
      </c>
      <c r="R83" s="16" t="n">
        <v>4524.77</v>
      </c>
      <c r="S83" s="14" t="inlineStr">
        <is>
          <t>NAVEL TARDIA</t>
        </is>
      </c>
      <c r="T83" s="14" t="inlineStr">
        <is>
          <t>CITRICOS</t>
        </is>
      </c>
      <c r="U83" s="19">
        <f>IFERROR(166.386*I83/F83,0)</f>
        <v/>
      </c>
      <c r="V83" s="19">
        <f>IFERROR(166.386*M83/F83,0)</f>
        <v/>
      </c>
      <c r="W83" s="19">
        <f>IFERROR(166.386*L83/F83,0)</f>
        <v/>
      </c>
    </row>
    <row r="84">
      <c r="A84" s="14" t="n">
        <v>2204</v>
      </c>
      <c r="B84" s="14" t="inlineStr">
        <is>
          <t>NAVEL TARDIA</t>
        </is>
      </c>
      <c r="C84" s="15" t="n">
        <v>994</v>
      </c>
      <c r="D84" s="14" t="inlineStr">
        <is>
          <t>MARTINEZ PASADAS,FRANCISCO JAVIER</t>
        </is>
      </c>
      <c r="E84" s="14" t="inlineStr">
        <is>
          <t>BARNFIELD</t>
        </is>
      </c>
      <c r="F84" s="15" t="n">
        <v>16740</v>
      </c>
      <c r="G84" s="16" t="n">
        <v>7537.3</v>
      </c>
      <c r="H84" s="17" t="n">
        <v>0.4502568697729988</v>
      </c>
      <c r="I84" s="16" t="n">
        <v>1046.25</v>
      </c>
      <c r="J84" s="16" t="n">
        <v>161.34</v>
      </c>
      <c r="K84" s="16" t="n">
        <v>0</v>
      </c>
      <c r="L84" s="16" t="n">
        <v>0</v>
      </c>
      <c r="M84" s="16" t="n">
        <v>0</v>
      </c>
      <c r="N84" s="16" t="n">
        <v>6329.71</v>
      </c>
      <c r="O84" s="17" t="n">
        <v>0.41502</v>
      </c>
      <c r="P84" s="18" t="n">
        <v>12</v>
      </c>
      <c r="Q84" s="18" t="n">
        <v>2</v>
      </c>
      <c r="R84" s="16" t="n">
        <v>6947.49</v>
      </c>
      <c r="S84" s="14" t="inlineStr">
        <is>
          <t>NAVEL TARDIA</t>
        </is>
      </c>
      <c r="T84" s="14" t="inlineStr">
        <is>
          <t>CITRICOS</t>
        </is>
      </c>
      <c r="U84" s="19">
        <f>IFERROR(166.386*I84/F84,0)</f>
        <v/>
      </c>
      <c r="V84" s="19">
        <f>IFERROR(166.386*M84/F84,0)</f>
        <v/>
      </c>
      <c r="W84" s="19">
        <f>IFERROR(166.386*L84/F84,0)</f>
        <v/>
      </c>
    </row>
    <row r="85">
      <c r="A85" s="14" t="n">
        <v>2204</v>
      </c>
      <c r="B85" s="14" t="inlineStr">
        <is>
          <t>NAVEL TARDIA</t>
        </is>
      </c>
      <c r="C85" s="15" t="n">
        <v>1133</v>
      </c>
      <c r="D85" s="14" t="inlineStr">
        <is>
          <t>MAYFE S.C.</t>
        </is>
      </c>
      <c r="E85" s="14" t="inlineStr">
        <is>
          <t>CHISLETT SUMER</t>
        </is>
      </c>
      <c r="F85" s="15" t="n">
        <v>9180</v>
      </c>
      <c r="G85" s="16" t="n">
        <v>4226.8</v>
      </c>
      <c r="H85" s="17" t="n">
        <v>0.4604357298474945</v>
      </c>
      <c r="I85" s="16" t="n">
        <v>573.75</v>
      </c>
      <c r="J85" s="16" t="n">
        <v>87.20999999999999</v>
      </c>
      <c r="K85" s="16" t="n">
        <v>0</v>
      </c>
      <c r="L85" s="16" t="n">
        <v>0</v>
      </c>
      <c r="M85" s="16" t="n">
        <v>0</v>
      </c>
      <c r="N85" s="16" t="n">
        <v>3565.84</v>
      </c>
      <c r="O85" s="17" t="n">
        <v>0.42635</v>
      </c>
      <c r="P85" s="18" t="n">
        <v>12</v>
      </c>
      <c r="Q85" s="18" t="n">
        <v>2</v>
      </c>
      <c r="R85" s="16" t="n">
        <v>3913.87</v>
      </c>
      <c r="S85" s="14" t="inlineStr">
        <is>
          <t>NAVEL TARDIA</t>
        </is>
      </c>
      <c r="T85" s="14" t="inlineStr">
        <is>
          <t>CITRICOS</t>
        </is>
      </c>
      <c r="U85" s="19">
        <f>IFERROR(166.386*I85/F85,0)</f>
        <v/>
      </c>
      <c r="V85" s="19">
        <f>IFERROR(166.386*M85/F85,0)</f>
        <v/>
      </c>
      <c r="W85" s="19">
        <f>IFERROR(166.386*L85/F85,0)</f>
        <v/>
      </c>
    </row>
    <row r="86">
      <c r="A86" s="14" t="n">
        <v>2204</v>
      </c>
      <c r="B86" s="14" t="inlineStr">
        <is>
          <t>NAVEL TARDIA</t>
        </is>
      </c>
      <c r="C86" s="15" t="n">
        <v>1133</v>
      </c>
      <c r="D86" s="14" t="inlineStr">
        <is>
          <t>MAYFE S.C.</t>
        </is>
      </c>
      <c r="E86" s="14" t="inlineStr">
        <is>
          <t>LANE LATE</t>
        </is>
      </c>
      <c r="F86" s="15" t="n">
        <v>93690</v>
      </c>
      <c r="G86" s="16" t="n">
        <v>40641.11</v>
      </c>
      <c r="H86" s="17" t="n">
        <v>0.4337827943216992</v>
      </c>
      <c r="I86" s="16" t="n">
        <v>5855.62</v>
      </c>
      <c r="J86" s="16" t="n">
        <v>890.08</v>
      </c>
      <c r="K86" s="16" t="n">
        <v>0</v>
      </c>
      <c r="L86" s="16" t="n">
        <v>0</v>
      </c>
      <c r="M86" s="16" t="n">
        <v>0</v>
      </c>
      <c r="N86" s="16" t="n">
        <v>33895.41</v>
      </c>
      <c r="O86" s="17" t="n">
        <v>0.39709</v>
      </c>
      <c r="P86" s="18" t="n">
        <v>12</v>
      </c>
      <c r="Q86" s="18" t="n">
        <v>2</v>
      </c>
      <c r="R86" s="16" t="n">
        <v>37203.6</v>
      </c>
      <c r="S86" s="14" t="inlineStr">
        <is>
          <t>NAVEL TARDIA</t>
        </is>
      </c>
      <c r="T86" s="14" t="inlineStr">
        <is>
          <t>CITRICOS</t>
        </is>
      </c>
      <c r="U86" s="19">
        <f>IFERROR(166.386*I86/F86,0)</f>
        <v/>
      </c>
      <c r="V86" s="19">
        <f>IFERROR(166.386*M86/F86,0)</f>
        <v/>
      </c>
      <c r="W86" s="19">
        <f>IFERROR(166.386*L86/F86,0)</f>
        <v/>
      </c>
    </row>
    <row r="87">
      <c r="A87" s="14" t="n">
        <v>2204</v>
      </c>
      <c r="B87" s="14" t="inlineStr">
        <is>
          <t>NAVEL TARDIA</t>
        </is>
      </c>
      <c r="C87" s="15" t="n">
        <v>1205</v>
      </c>
      <c r="D87" s="14" t="inlineStr">
        <is>
          <t>OLIVER JIMENEZ,MARIA MERCEDES</t>
        </is>
      </c>
      <c r="E87" s="14" t="inlineStr">
        <is>
          <t>LANE LATE</t>
        </is>
      </c>
      <c r="F87" s="15" t="n">
        <v>42167</v>
      </c>
      <c r="G87" s="16" t="n">
        <v>17437.46</v>
      </c>
      <c r="H87" s="17" t="n">
        <v>0.4135333317523182</v>
      </c>
      <c r="I87" s="16" t="n">
        <v>2635.44</v>
      </c>
      <c r="J87" s="16" t="n">
        <v>350.94</v>
      </c>
      <c r="K87" s="16" t="n">
        <v>0</v>
      </c>
      <c r="L87" s="16" t="n">
        <v>0</v>
      </c>
      <c r="M87" s="16" t="n">
        <v>0</v>
      </c>
      <c r="N87" s="16" t="n">
        <v>14451.08</v>
      </c>
      <c r="O87" s="17" t="n">
        <v>0.37616</v>
      </c>
      <c r="P87" s="18" t="n">
        <v>12</v>
      </c>
      <c r="Q87" s="18" t="n">
        <v>2</v>
      </c>
      <c r="R87" s="16" t="n">
        <v>15861.51</v>
      </c>
      <c r="S87" s="14" t="inlineStr">
        <is>
          <t>NAVEL TARDIA</t>
        </is>
      </c>
      <c r="T87" s="14" t="inlineStr">
        <is>
          <t>CITRICOS</t>
        </is>
      </c>
      <c r="U87" s="19">
        <f>IFERROR(166.386*I87/F87,0)</f>
        <v/>
      </c>
      <c r="V87" s="19">
        <f>IFERROR(166.386*M87/F87,0)</f>
        <v/>
      </c>
      <c r="W87" s="19">
        <f>IFERROR(166.386*L87/F87,0)</f>
        <v/>
      </c>
    </row>
    <row r="88">
      <c r="A88" s="14" t="n">
        <v>2204</v>
      </c>
      <c r="B88" s="14" t="inlineStr">
        <is>
          <t>NAVEL TARDIA</t>
        </is>
      </c>
      <c r="C88" s="15" t="n">
        <v>1252</v>
      </c>
      <c r="D88" s="14" t="inlineStr">
        <is>
          <t>CRESPO RINCON,PURIFICACION</t>
        </is>
      </c>
      <c r="E88" s="14" t="inlineStr">
        <is>
          <t>CHISLETT SUMER</t>
        </is>
      </c>
      <c r="F88" s="15" t="n">
        <v>54615</v>
      </c>
      <c r="G88" s="16" t="n">
        <v>23894.72</v>
      </c>
      <c r="H88" s="17" t="n">
        <v>0.4375120388171748</v>
      </c>
      <c r="I88" s="16" t="n">
        <v>3413.44</v>
      </c>
      <c r="J88" s="16" t="n">
        <v>759.66</v>
      </c>
      <c r="K88" s="16" t="n">
        <v>0</v>
      </c>
      <c r="L88" s="16" t="n">
        <v>0</v>
      </c>
      <c r="M88" s="16" t="n">
        <v>741.79</v>
      </c>
      <c r="N88" s="16" t="n">
        <v>20463.41</v>
      </c>
      <c r="O88" s="17" t="n">
        <v>0.41125</v>
      </c>
      <c r="P88" s="18" t="n">
        <v>12</v>
      </c>
      <c r="Q88" s="18" t="n">
        <v>2</v>
      </c>
      <c r="R88" s="16" t="n">
        <v>22460.64</v>
      </c>
      <c r="S88" s="14" t="inlineStr">
        <is>
          <t>NAVEL TARDIA</t>
        </is>
      </c>
      <c r="T88" s="14" t="inlineStr">
        <is>
          <t>CITRICOS</t>
        </is>
      </c>
      <c r="U88" s="19">
        <f>IFERROR(166.386*I88/F88,0)</f>
        <v/>
      </c>
      <c r="V88" s="19">
        <f>IFERROR(166.386*M88/F88,0)</f>
        <v/>
      </c>
      <c r="W88" s="19">
        <f>IFERROR(166.386*L88/F88,0)</f>
        <v/>
      </c>
    </row>
    <row r="89">
      <c r="A89" s="14" t="n">
        <v>2204</v>
      </c>
      <c r="B89" s="14" t="inlineStr">
        <is>
          <t>NAVEL TARDIA</t>
        </is>
      </c>
      <c r="C89" s="15" t="n">
        <v>1255</v>
      </c>
      <c r="D89" s="14" t="inlineStr">
        <is>
          <t>CHAMIZO AGREDANO,JUAN</t>
        </is>
      </c>
      <c r="E89" s="14" t="inlineStr">
        <is>
          <t>LANE LATE</t>
        </is>
      </c>
      <c r="F89" s="15" t="n">
        <v>29107</v>
      </c>
      <c r="G89" s="16" t="n">
        <v>11354.13</v>
      </c>
      <c r="H89" s="17" t="n">
        <v>0.3900824543924142</v>
      </c>
      <c r="I89" s="16" t="n">
        <v>1819.18</v>
      </c>
      <c r="J89" s="16" t="n">
        <v>188.62</v>
      </c>
      <c r="K89" s="16" t="n">
        <v>0</v>
      </c>
      <c r="L89" s="16" t="n">
        <v>0</v>
      </c>
      <c r="M89" s="16" t="n">
        <v>385.21</v>
      </c>
      <c r="N89" s="16" t="n">
        <v>9731.540000000001</v>
      </c>
      <c r="O89" s="17" t="n">
        <v>0.36697</v>
      </c>
      <c r="P89" s="18" t="n">
        <v>12</v>
      </c>
      <c r="Q89" s="18" t="n">
        <v>2</v>
      </c>
      <c r="R89" s="16" t="n">
        <v>10681.34</v>
      </c>
      <c r="S89" s="14" t="inlineStr">
        <is>
          <t>NAVEL TARDIA</t>
        </is>
      </c>
      <c r="T89" s="14" t="inlineStr">
        <is>
          <t>CITRICOS</t>
        </is>
      </c>
      <c r="U89" s="19">
        <f>IFERROR(166.386*I89/F89,0)</f>
        <v/>
      </c>
      <c r="V89" s="19">
        <f>IFERROR(166.386*M89/F89,0)</f>
        <v/>
      </c>
      <c r="W89" s="19">
        <f>IFERROR(166.386*L89/F89,0)</f>
        <v/>
      </c>
    </row>
    <row r="90">
      <c r="A90" s="14" t="n">
        <v>2204</v>
      </c>
      <c r="B90" s="14" t="inlineStr">
        <is>
          <t>NAVEL TARDIA</t>
        </is>
      </c>
      <c r="C90" s="15" t="n">
        <v>1272</v>
      </c>
      <c r="D90" s="14" t="inlineStr">
        <is>
          <t>HERMANOS GONZALEZ ROLDAN,S.C.</t>
        </is>
      </c>
      <c r="E90" s="14" t="inlineStr">
        <is>
          <t>LANE LATE</t>
        </is>
      </c>
      <c r="F90" s="15" t="n">
        <v>201320</v>
      </c>
      <c r="G90" s="16" t="n">
        <v>87675.48</v>
      </c>
      <c r="H90" s="17" t="n">
        <v>0.4355030796741506</v>
      </c>
      <c r="I90" s="16" t="n">
        <v>12582.51</v>
      </c>
      <c r="J90" s="16" t="n">
        <v>3700.06</v>
      </c>
      <c r="K90" s="16" t="n">
        <v>0</v>
      </c>
      <c r="L90" s="16" t="n">
        <v>0</v>
      </c>
      <c r="M90" s="16" t="n">
        <v>2823</v>
      </c>
      <c r="N90" s="16" t="n">
        <v>74215.91</v>
      </c>
      <c r="O90" s="17" t="n">
        <v>0.40463</v>
      </c>
      <c r="P90" s="18" t="n">
        <v>12</v>
      </c>
      <c r="Q90" s="18" t="n">
        <v>2</v>
      </c>
      <c r="R90" s="16" t="n">
        <v>81459.38</v>
      </c>
      <c r="S90" s="14" t="inlineStr">
        <is>
          <t>NAVEL TARDIA</t>
        </is>
      </c>
      <c r="T90" s="14" t="inlineStr">
        <is>
          <t>CITRICOS</t>
        </is>
      </c>
      <c r="U90" s="19">
        <f>IFERROR(166.386*I90/F90,0)</f>
        <v/>
      </c>
      <c r="V90" s="19">
        <f>IFERROR(166.386*M90/F90,0)</f>
        <v/>
      </c>
      <c r="W90" s="19">
        <f>IFERROR(166.386*L90/F90,0)</f>
        <v/>
      </c>
    </row>
    <row r="91">
      <c r="A91" s="14" t="n">
        <v>2204</v>
      </c>
      <c r="B91" s="14" t="inlineStr">
        <is>
          <t>NAVEL TARDIA</t>
        </is>
      </c>
      <c r="C91" s="15" t="n">
        <v>1389</v>
      </c>
      <c r="D91" s="14" t="inlineStr">
        <is>
          <t>AGRICOLA HUERTA LA MEJORA S.C.</t>
        </is>
      </c>
      <c r="E91" s="14" t="inlineStr">
        <is>
          <t>LANE LATE</t>
        </is>
      </c>
      <c r="F91" s="15" t="n">
        <v>8160</v>
      </c>
      <c r="G91" s="16" t="n">
        <v>3564.26</v>
      </c>
      <c r="H91" s="17" t="n">
        <v>0.436796568627451</v>
      </c>
      <c r="I91" s="16" t="n">
        <v>510</v>
      </c>
      <c r="J91" s="16" t="n">
        <v>122.75</v>
      </c>
      <c r="K91" s="16" t="n">
        <v>0</v>
      </c>
      <c r="L91" s="16" t="n">
        <v>0</v>
      </c>
      <c r="M91" s="16" t="n">
        <v>121.84</v>
      </c>
      <c r="N91" s="16" t="n">
        <v>3053.35</v>
      </c>
      <c r="O91" s="17" t="n">
        <v>0.41071</v>
      </c>
      <c r="P91" s="18" t="n">
        <v>12</v>
      </c>
      <c r="Q91" s="18" t="n">
        <v>2</v>
      </c>
      <c r="R91" s="16" t="n">
        <v>3351.36</v>
      </c>
      <c r="S91" s="14" t="inlineStr">
        <is>
          <t>NAVEL TARDIA</t>
        </is>
      </c>
      <c r="T91" s="14" t="inlineStr">
        <is>
          <t>CITRICOS</t>
        </is>
      </c>
      <c r="U91" s="19">
        <f>IFERROR(166.386*I91/F91,0)</f>
        <v/>
      </c>
      <c r="V91" s="19">
        <f>IFERROR(166.386*M91/F91,0)</f>
        <v/>
      </c>
      <c r="W91" s="19">
        <f>IFERROR(166.386*L91/F91,0)</f>
        <v/>
      </c>
    </row>
    <row r="92">
      <c r="A92" s="14" t="n">
        <v>2204</v>
      </c>
      <c r="B92" s="14" t="inlineStr">
        <is>
          <t>NAVEL TARDIA</t>
        </is>
      </c>
      <c r="C92" s="15" t="n">
        <v>1415</v>
      </c>
      <c r="D92" s="14" t="inlineStr">
        <is>
          <t>TOMENO SUAREZ,FERNANDO</t>
        </is>
      </c>
      <c r="E92" s="14" t="inlineStr">
        <is>
          <t>BARNFIELD</t>
        </is>
      </c>
      <c r="F92" s="15" t="n">
        <v>85937</v>
      </c>
      <c r="G92" s="16" t="n">
        <v>37527.55</v>
      </c>
      <c r="H92" s="17" t="n">
        <v>0.4366867589047791</v>
      </c>
      <c r="I92" s="16" t="n">
        <v>0</v>
      </c>
      <c r="J92" s="16" t="n">
        <v>302.83</v>
      </c>
      <c r="K92" s="16" t="n">
        <v>0</v>
      </c>
      <c r="L92" s="16" t="n">
        <v>802.74</v>
      </c>
      <c r="M92" s="16" t="n">
        <v>1286.93</v>
      </c>
      <c r="N92" s="16" t="n">
        <v>39314.39</v>
      </c>
      <c r="O92" s="17" t="n">
        <v>0.50213</v>
      </c>
      <c r="P92" s="18" t="n">
        <v>12</v>
      </c>
      <c r="Q92" s="18" t="n">
        <v>2</v>
      </c>
      <c r="R92" s="16" t="n">
        <v>43151.47</v>
      </c>
      <c r="S92" s="14" t="inlineStr">
        <is>
          <t>NAVEL TARDIA</t>
        </is>
      </c>
      <c r="T92" s="14" t="inlineStr">
        <is>
          <t>CITRICOS</t>
        </is>
      </c>
      <c r="U92" s="19">
        <f>IFERROR(166.386*I92/F92,0)</f>
        <v/>
      </c>
      <c r="V92" s="19">
        <f>IFERROR(166.386*M92/F92,0)</f>
        <v/>
      </c>
      <c r="W92" s="19">
        <f>IFERROR(166.386*L92/F92,0)</f>
        <v/>
      </c>
    </row>
    <row r="93">
      <c r="A93" s="14" t="n">
        <v>2204</v>
      </c>
      <c r="B93" s="14" t="inlineStr">
        <is>
          <t>NAVEL TARDIA</t>
        </is>
      </c>
      <c r="C93" s="15" t="n">
        <v>1415</v>
      </c>
      <c r="D93" s="14" t="inlineStr">
        <is>
          <t>TOMENO SUAREZ,FERNANDO</t>
        </is>
      </c>
      <c r="E93" s="14" t="inlineStr">
        <is>
          <t>LANE LATE</t>
        </is>
      </c>
      <c r="F93" s="15" t="n">
        <v>55963</v>
      </c>
      <c r="G93" s="16" t="n">
        <v>22633.06</v>
      </c>
      <c r="H93" s="17" t="n">
        <v>0.4044289977306434</v>
      </c>
      <c r="I93" s="16" t="n">
        <v>0</v>
      </c>
      <c r="J93" s="16" t="n">
        <v>197.21</v>
      </c>
      <c r="K93" s="16" t="n">
        <v>0</v>
      </c>
      <c r="L93" s="16" t="n">
        <v>621.1900000000001</v>
      </c>
      <c r="M93" s="16" t="n">
        <v>713.1</v>
      </c>
      <c r="N93" s="16" t="n">
        <v>23770.14</v>
      </c>
      <c r="O93" s="17" t="n">
        <v>0.4662</v>
      </c>
      <c r="P93" s="18" t="n">
        <v>12</v>
      </c>
      <c r="Q93" s="18" t="n">
        <v>2</v>
      </c>
      <c r="R93" s="16" t="n">
        <v>26090.11</v>
      </c>
      <c r="S93" s="14" t="inlineStr">
        <is>
          <t>NAVEL TARDIA</t>
        </is>
      </c>
      <c r="T93" s="14" t="inlineStr">
        <is>
          <t>CITRICOS</t>
        </is>
      </c>
      <c r="U93" s="19">
        <f>IFERROR(166.386*I93/F93,0)</f>
        <v/>
      </c>
      <c r="V93" s="19">
        <f>IFERROR(166.386*M93/F93,0)</f>
        <v/>
      </c>
      <c r="W93" s="19">
        <f>IFERROR(166.386*L93/F93,0)</f>
        <v/>
      </c>
    </row>
    <row r="94">
      <c r="A94" s="14" t="n">
        <v>2204</v>
      </c>
      <c r="B94" s="14" t="inlineStr">
        <is>
          <t>NAVEL TARDIA</t>
        </is>
      </c>
      <c r="C94" s="15" t="n">
        <v>1445</v>
      </c>
      <c r="D94" s="14" t="inlineStr">
        <is>
          <t>REAL GARCIA,MIGUEL</t>
        </is>
      </c>
      <c r="E94" s="14" t="inlineStr">
        <is>
          <t>LANE LATE</t>
        </is>
      </c>
      <c r="F94" s="15" t="n">
        <v>29291</v>
      </c>
      <c r="G94" s="16" t="n">
        <v>10624.45</v>
      </c>
      <c r="H94" s="17" t="n">
        <v>0.3627206309105186</v>
      </c>
      <c r="I94" s="16" t="n">
        <v>1830.69</v>
      </c>
      <c r="J94" s="16" t="n">
        <v>270.42</v>
      </c>
      <c r="K94" s="16" t="n">
        <v>0</v>
      </c>
      <c r="L94" s="16" t="n">
        <v>0</v>
      </c>
      <c r="M94" s="16" t="n">
        <v>341.32</v>
      </c>
      <c r="N94" s="16" t="n">
        <v>8864.66</v>
      </c>
      <c r="O94" s="17" t="n">
        <v>0.33218</v>
      </c>
      <c r="P94" s="18" t="n">
        <v>12</v>
      </c>
      <c r="Q94" s="18" t="n">
        <v>2</v>
      </c>
      <c r="R94" s="16" t="n">
        <v>9729.85</v>
      </c>
      <c r="S94" s="14" t="inlineStr">
        <is>
          <t>NAVEL TARDIA</t>
        </is>
      </c>
      <c r="T94" s="14" t="inlineStr">
        <is>
          <t>CITRICOS</t>
        </is>
      </c>
      <c r="U94" s="19">
        <f>IFERROR(166.386*I94/F94,0)</f>
        <v/>
      </c>
      <c r="V94" s="19">
        <f>IFERROR(166.386*M94/F94,0)</f>
        <v/>
      </c>
      <c r="W94" s="19">
        <f>IFERROR(166.386*L94/F94,0)</f>
        <v/>
      </c>
    </row>
    <row r="95">
      <c r="A95" s="14" t="n">
        <v>2204</v>
      </c>
      <c r="B95" s="14" t="inlineStr">
        <is>
          <t>NAVEL TARDIA</t>
        </is>
      </c>
      <c r="C95" s="15" t="n">
        <v>1466</v>
      </c>
      <c r="D95" s="14" t="inlineStr">
        <is>
          <t>AGRONUÑEZ S.C.</t>
        </is>
      </c>
      <c r="E95" s="14" t="inlineStr">
        <is>
          <t>LANE LATE</t>
        </is>
      </c>
      <c r="F95" s="15" t="n">
        <v>1790</v>
      </c>
      <c r="G95" s="16" t="n">
        <v>877.6799999999999</v>
      </c>
      <c r="H95" s="17" t="n">
        <v>0.4903240223463687</v>
      </c>
      <c r="I95" s="16" t="n">
        <v>0</v>
      </c>
      <c r="J95" s="16" t="n">
        <v>19.95</v>
      </c>
      <c r="K95" s="16" t="n">
        <v>0</v>
      </c>
      <c r="L95" s="16" t="n">
        <v>19.87</v>
      </c>
      <c r="M95" s="16" t="n">
        <v>0</v>
      </c>
      <c r="N95" s="16" t="n">
        <v>877.6</v>
      </c>
      <c r="O95" s="17" t="n">
        <v>0.53813</v>
      </c>
      <c r="P95" s="18" t="n">
        <v>12</v>
      </c>
      <c r="Q95" s="18" t="n">
        <v>2</v>
      </c>
      <c r="R95" s="16" t="n">
        <v>963.25</v>
      </c>
      <c r="S95" s="14" t="inlineStr">
        <is>
          <t>NAVEL TARDIA</t>
        </is>
      </c>
      <c r="T95" s="14" t="inlineStr">
        <is>
          <t>CITRICOS</t>
        </is>
      </c>
      <c r="U95" s="19">
        <f>IFERROR(166.386*I95/F95,0)</f>
        <v/>
      </c>
      <c r="V95" s="19">
        <f>IFERROR(166.386*M95/F95,0)</f>
        <v/>
      </c>
      <c r="W95" s="19">
        <f>IFERROR(166.386*L95/F95,0)</f>
        <v/>
      </c>
    </row>
    <row r="96">
      <c r="A96" s="14" t="n">
        <v>2204</v>
      </c>
      <c r="B96" s="14" t="inlineStr">
        <is>
          <t>NAVEL TARDIA</t>
        </is>
      </c>
      <c r="C96" s="15" t="n">
        <v>1491</v>
      </c>
      <c r="D96" s="14" t="inlineStr">
        <is>
          <t>JIMENEZ LORENTE,SONIA</t>
        </is>
      </c>
      <c r="E96" s="14" t="inlineStr">
        <is>
          <t>LANE LATE</t>
        </is>
      </c>
      <c r="F96" s="15" t="n">
        <v>34222</v>
      </c>
      <c r="G96" s="16" t="n">
        <v>15073.27</v>
      </c>
      <c r="H96" s="17" t="n">
        <v>0.4404555549062007</v>
      </c>
      <c r="I96" s="16" t="n">
        <v>2138.88</v>
      </c>
      <c r="J96" s="16" t="n">
        <v>219.81</v>
      </c>
      <c r="K96" s="16" t="n">
        <v>0</v>
      </c>
      <c r="L96" s="16" t="n">
        <v>0</v>
      </c>
      <c r="M96" s="16" t="n">
        <v>537.5599999999999</v>
      </c>
      <c r="N96" s="16" t="n">
        <v>13252.14</v>
      </c>
      <c r="O96" s="17" t="n">
        <v>0.42504</v>
      </c>
      <c r="P96" s="18" t="n">
        <v>12</v>
      </c>
      <c r="Q96" s="18" t="n">
        <v>2</v>
      </c>
      <c r="R96" s="16" t="n">
        <v>14545.55</v>
      </c>
      <c r="S96" s="14" t="inlineStr">
        <is>
          <t>NAVEL TARDIA</t>
        </is>
      </c>
      <c r="T96" s="14" t="inlineStr">
        <is>
          <t>CITRICOS</t>
        </is>
      </c>
      <c r="U96" s="19">
        <f>IFERROR(166.386*I96/F96,0)</f>
        <v/>
      </c>
      <c r="V96" s="19">
        <f>IFERROR(166.386*M96/F96,0)</f>
        <v/>
      </c>
      <c r="W96" s="19">
        <f>IFERROR(166.386*L96/F96,0)</f>
        <v/>
      </c>
    </row>
    <row r="97">
      <c r="A97" s="14" t="n">
        <v>2204</v>
      </c>
      <c r="B97" s="14" t="inlineStr">
        <is>
          <t>NAVEL TARDIA</t>
        </is>
      </c>
      <c r="C97" s="15" t="n">
        <v>1500</v>
      </c>
      <c r="D97" s="14" t="inlineStr">
        <is>
          <t>JIMENEZ MALDONADO, PEDRO</t>
        </is>
      </c>
      <c r="E97" s="14" t="inlineStr">
        <is>
          <t>CHISLETT SUMER</t>
        </is>
      </c>
      <c r="F97" s="15" t="n">
        <v>59837</v>
      </c>
      <c r="G97" s="16" t="n">
        <v>27031.27</v>
      </c>
      <c r="H97" s="17" t="n">
        <v>0.4517484165315774</v>
      </c>
      <c r="I97" s="16" t="n">
        <v>3739.81</v>
      </c>
      <c r="J97" s="16" t="n">
        <v>209.57</v>
      </c>
      <c r="K97" s="16" t="n">
        <v>0</v>
      </c>
      <c r="L97" s="16" t="n">
        <v>0</v>
      </c>
      <c r="M97" s="16" t="n">
        <v>0</v>
      </c>
      <c r="N97" s="16" t="n">
        <v>23081.89</v>
      </c>
      <c r="O97" s="17" t="n">
        <v>0.42339</v>
      </c>
      <c r="P97" s="18" t="n">
        <v>12</v>
      </c>
      <c r="Q97" s="18" t="n">
        <v>2</v>
      </c>
      <c r="R97" s="16" t="n">
        <v>25334.68</v>
      </c>
      <c r="S97" s="14" t="inlineStr">
        <is>
          <t>NAVEL TARDIA</t>
        </is>
      </c>
      <c r="T97" s="14" t="inlineStr">
        <is>
          <t>CITRICOS</t>
        </is>
      </c>
      <c r="U97" s="19">
        <f>IFERROR(166.386*I97/F97,0)</f>
        <v/>
      </c>
      <c r="V97" s="19">
        <f>IFERROR(166.386*M97/F97,0)</f>
        <v/>
      </c>
      <c r="W97" s="19">
        <f>IFERROR(166.386*L97/F97,0)</f>
        <v/>
      </c>
    </row>
    <row r="98">
      <c r="A98" s="14" t="n">
        <v>2204</v>
      </c>
      <c r="B98" s="14" t="inlineStr">
        <is>
          <t>NAVEL TARDIA</t>
        </is>
      </c>
      <c r="C98" s="15" t="n">
        <v>1523</v>
      </c>
      <c r="D98" s="14" t="inlineStr">
        <is>
          <t>RODRIGUEZ MEJÍAS, JOSE ANTONIO</t>
        </is>
      </c>
      <c r="E98" s="14" t="inlineStr">
        <is>
          <t>CHISLETT SUMER</t>
        </is>
      </c>
      <c r="F98" s="15" t="n">
        <v>6780</v>
      </c>
      <c r="G98" s="16" t="n">
        <v>2766.41</v>
      </c>
      <c r="H98" s="17" t="n">
        <v>0.4080250737463127</v>
      </c>
      <c r="I98" s="16" t="n">
        <v>423.75</v>
      </c>
      <c r="J98" s="16" t="n">
        <v>49.26</v>
      </c>
      <c r="K98" s="16" t="n">
        <v>0</v>
      </c>
      <c r="L98" s="16" t="n">
        <v>75.26000000000001</v>
      </c>
      <c r="M98" s="16" t="n">
        <v>84.66</v>
      </c>
      <c r="N98" s="16" t="n">
        <v>2453.32</v>
      </c>
      <c r="O98" s="17" t="n">
        <v>0.39716</v>
      </c>
      <c r="P98" s="18" t="n">
        <v>12</v>
      </c>
      <c r="Q98" s="18" t="n">
        <v>2</v>
      </c>
      <c r="R98" s="16" t="n">
        <v>2692.76</v>
      </c>
      <c r="S98" s="14" t="inlineStr">
        <is>
          <t>NAVEL TARDIA</t>
        </is>
      </c>
      <c r="T98" s="14" t="inlineStr">
        <is>
          <t>CITRICOS</t>
        </is>
      </c>
      <c r="U98" s="19">
        <f>IFERROR(166.386*I98/F98,0)</f>
        <v/>
      </c>
      <c r="V98" s="19">
        <f>IFERROR(166.386*M98/F98,0)</f>
        <v/>
      </c>
      <c r="W98" s="19">
        <f>IFERROR(166.386*L98/F98,0)</f>
        <v/>
      </c>
    </row>
    <row r="99">
      <c r="A99" s="14" t="n">
        <v>2204</v>
      </c>
      <c r="B99" s="14" t="inlineStr">
        <is>
          <t>NAVEL TARDIA</t>
        </is>
      </c>
      <c r="C99" s="15" t="n">
        <v>1523</v>
      </c>
      <c r="D99" s="14" t="inlineStr">
        <is>
          <t>RODRIGUEZ MEJÍAS, JOSE ANTONIO</t>
        </is>
      </c>
      <c r="E99" s="14" t="inlineStr">
        <is>
          <t>LANE LATE</t>
        </is>
      </c>
      <c r="F99" s="15" t="n">
        <v>1850</v>
      </c>
      <c r="G99" s="16" t="n">
        <v>837.08</v>
      </c>
      <c r="H99" s="17" t="n">
        <v>0.4524756756756756</v>
      </c>
      <c r="I99" s="16" t="n">
        <v>115.63</v>
      </c>
      <c r="J99" s="16" t="n">
        <v>13.44</v>
      </c>
      <c r="K99" s="16" t="n">
        <v>0</v>
      </c>
      <c r="L99" s="16" t="n">
        <v>9.66</v>
      </c>
      <c r="M99" s="16" t="n">
        <v>26.91</v>
      </c>
      <c r="N99" s="16" t="n">
        <v>744.58</v>
      </c>
      <c r="O99" s="17" t="n">
        <v>0.44176</v>
      </c>
      <c r="P99" s="18" t="n">
        <v>12</v>
      </c>
      <c r="Q99" s="18" t="n">
        <v>2</v>
      </c>
      <c r="R99" s="16" t="n">
        <v>817.25</v>
      </c>
      <c r="S99" s="14" t="inlineStr">
        <is>
          <t>NAVEL TARDIA</t>
        </is>
      </c>
      <c r="T99" s="14" t="inlineStr">
        <is>
          <t>CITRICOS</t>
        </is>
      </c>
      <c r="U99" s="19">
        <f>IFERROR(166.386*I99/F99,0)</f>
        <v/>
      </c>
      <c r="V99" s="19">
        <f>IFERROR(166.386*M99/F99,0)</f>
        <v/>
      </c>
      <c r="W99" s="19">
        <f>IFERROR(166.386*L99/F99,0)</f>
        <v/>
      </c>
    </row>
    <row r="100">
      <c r="A100" s="14" t="n">
        <v>2204</v>
      </c>
      <c r="B100" s="14" t="inlineStr">
        <is>
          <t>NAVEL TARDIA</t>
        </is>
      </c>
      <c r="C100" s="15" t="n">
        <v>1528</v>
      </c>
      <c r="D100" s="14" t="inlineStr">
        <is>
          <t>RAMOS BRUGAROLAS, IGNACIO</t>
        </is>
      </c>
      <c r="E100" s="14" t="inlineStr">
        <is>
          <t>CHISLETT SUMER</t>
        </is>
      </c>
      <c r="F100" s="15" t="n">
        <v>92358</v>
      </c>
      <c r="G100" s="16" t="n">
        <v>41919.39</v>
      </c>
      <c r="H100" s="17" t="n">
        <v>0.4538793607483921</v>
      </c>
      <c r="I100" s="16" t="n">
        <v>6714.86</v>
      </c>
      <c r="J100" s="16" t="n">
        <v>776.76</v>
      </c>
      <c r="K100" s="16" t="n">
        <v>0</v>
      </c>
      <c r="L100" s="16" t="n">
        <v>0</v>
      </c>
      <c r="M100" s="16" t="n">
        <v>0</v>
      </c>
      <c r="N100" s="16" t="n">
        <v>34427.77</v>
      </c>
      <c r="O100" s="17" t="n">
        <v>0.40915</v>
      </c>
      <c r="P100" s="18" t="n">
        <v>12</v>
      </c>
      <c r="Q100" s="18" t="n">
        <v>2</v>
      </c>
      <c r="R100" s="16" t="n">
        <v>37787.92</v>
      </c>
      <c r="S100" s="14" t="inlineStr">
        <is>
          <t>NAVEL TARDIA</t>
        </is>
      </c>
      <c r="T100" s="14" t="inlineStr">
        <is>
          <t>CITRICOS</t>
        </is>
      </c>
      <c r="U100" s="19">
        <f>IFERROR(166.386*I100/F100,0)</f>
        <v/>
      </c>
      <c r="V100" s="19">
        <f>IFERROR(166.386*M100/F100,0)</f>
        <v/>
      </c>
      <c r="W100" s="19">
        <f>IFERROR(166.386*L100/F100,0)</f>
        <v/>
      </c>
    </row>
    <row r="101">
      <c r="A101" s="14" t="n">
        <v>2204</v>
      </c>
      <c r="B101" s="14" t="inlineStr">
        <is>
          <t>NAVEL TARDIA</t>
        </is>
      </c>
      <c r="C101" s="15" t="n">
        <v>1528</v>
      </c>
      <c r="D101" s="14" t="inlineStr">
        <is>
          <t>RAMOS BRUGAROLAS, IGNACIO</t>
        </is>
      </c>
      <c r="E101" s="14" t="inlineStr">
        <is>
          <t>LANE LATE</t>
        </is>
      </c>
      <c r="F101" s="15" t="n">
        <v>165083</v>
      </c>
      <c r="G101" s="16" t="n">
        <v>69528.67999999999</v>
      </c>
      <c r="H101" s="17" t="n">
        <v>0.421174076070825</v>
      </c>
      <c r="I101" s="16" t="n">
        <v>12381.23</v>
      </c>
      <c r="J101" s="16" t="n">
        <v>1388.41</v>
      </c>
      <c r="K101" s="16" t="n">
        <v>0</v>
      </c>
      <c r="L101" s="16" t="n">
        <v>0</v>
      </c>
      <c r="M101" s="16" t="n">
        <v>0</v>
      </c>
      <c r="N101" s="16" t="n">
        <v>55759.04</v>
      </c>
      <c r="O101" s="17" t="n">
        <v>0.37073</v>
      </c>
      <c r="P101" s="18" t="n">
        <v>12</v>
      </c>
      <c r="Q101" s="18" t="n">
        <v>2</v>
      </c>
      <c r="R101" s="16" t="n">
        <v>61201.12</v>
      </c>
      <c r="S101" s="14" t="inlineStr">
        <is>
          <t>NAVEL TARDIA</t>
        </is>
      </c>
      <c r="T101" s="14" t="inlineStr">
        <is>
          <t>CITRICOS</t>
        </is>
      </c>
      <c r="U101" s="19">
        <f>IFERROR(166.386*I101/F101,0)</f>
        <v/>
      </c>
      <c r="V101" s="19">
        <f>IFERROR(166.386*M101/F101,0)</f>
        <v/>
      </c>
      <c r="W101" s="19">
        <f>IFERROR(166.386*L101/F101,0)</f>
        <v/>
      </c>
    </row>
    <row r="102">
      <c r="A102" s="14" t="n">
        <v>2204</v>
      </c>
      <c r="B102" s="14" t="inlineStr">
        <is>
          <t>NAVEL TARDIA</t>
        </is>
      </c>
      <c r="C102" s="15" t="n">
        <v>1529</v>
      </c>
      <c r="D102" s="14" t="inlineStr">
        <is>
          <t>RAMOS BRUGAROLAS, JOSE</t>
        </is>
      </c>
      <c r="E102" s="14" t="inlineStr">
        <is>
          <t>LANE LATE</t>
        </is>
      </c>
      <c r="F102" s="15" t="n">
        <v>97082</v>
      </c>
      <c r="G102" s="16" t="n">
        <v>41812.17</v>
      </c>
      <c r="H102" s="17" t="n">
        <v>0.4306892111822995</v>
      </c>
      <c r="I102" s="16" t="n">
        <v>7281.16</v>
      </c>
      <c r="J102" s="16" t="n">
        <v>641.74</v>
      </c>
      <c r="K102" s="16" t="n">
        <v>0</v>
      </c>
      <c r="L102" s="16" t="n">
        <v>0</v>
      </c>
      <c r="M102" s="16" t="n">
        <v>0</v>
      </c>
      <c r="N102" s="16" t="n">
        <v>33889.27</v>
      </c>
      <c r="O102" s="17" t="n">
        <v>0.38315</v>
      </c>
      <c r="P102" s="18" t="n">
        <v>12</v>
      </c>
      <c r="Q102" s="18" t="n">
        <v>2</v>
      </c>
      <c r="R102" s="16" t="n">
        <v>37196.86</v>
      </c>
      <c r="S102" s="14" t="inlineStr">
        <is>
          <t>NAVEL TARDIA</t>
        </is>
      </c>
      <c r="T102" s="14" t="inlineStr">
        <is>
          <t>CITRICOS</t>
        </is>
      </c>
      <c r="U102" s="19">
        <f>IFERROR(166.386*I102/F102,0)</f>
        <v/>
      </c>
      <c r="V102" s="19">
        <f>IFERROR(166.386*M102/F102,0)</f>
        <v/>
      </c>
      <c r="W102" s="19">
        <f>IFERROR(166.386*L102/F102,0)</f>
        <v/>
      </c>
    </row>
    <row r="103">
      <c r="A103" s="14" t="n">
        <v>2204</v>
      </c>
      <c r="B103" s="14" t="inlineStr">
        <is>
          <t>NAVEL TARDIA</t>
        </is>
      </c>
      <c r="C103" s="15" t="n">
        <v>1534</v>
      </c>
      <c r="D103" s="14" t="inlineStr">
        <is>
          <t>RAMOS BRUGAROLAS, JOSE RAMON</t>
        </is>
      </c>
      <c r="E103" s="14" t="inlineStr">
        <is>
          <t>LANE LATE</t>
        </is>
      </c>
      <c r="F103" s="15" t="n">
        <v>95355</v>
      </c>
      <c r="G103" s="16" t="n">
        <v>41314.11</v>
      </c>
      <c r="H103" s="17" t="n">
        <v>0.433266320591474</v>
      </c>
      <c r="I103" s="16" t="n">
        <v>5959.69</v>
      </c>
      <c r="J103" s="16" t="n">
        <v>878.33</v>
      </c>
      <c r="K103" s="16" t="n">
        <v>0</v>
      </c>
      <c r="L103" s="16" t="n">
        <v>0</v>
      </c>
      <c r="M103" s="16" t="n">
        <v>0</v>
      </c>
      <c r="N103" s="16" t="n">
        <v>34476.09</v>
      </c>
      <c r="O103" s="17" t="n">
        <v>0.39684</v>
      </c>
      <c r="P103" s="18" t="n">
        <v>12</v>
      </c>
      <c r="Q103" s="18" t="n">
        <v>2</v>
      </c>
      <c r="R103" s="16" t="n">
        <v>37840.96</v>
      </c>
      <c r="S103" s="14" t="inlineStr">
        <is>
          <t>NAVEL TARDIA</t>
        </is>
      </c>
      <c r="T103" s="14" t="inlineStr">
        <is>
          <t>CITRICOS</t>
        </is>
      </c>
      <c r="U103" s="19">
        <f>IFERROR(166.386*I103/F103,0)</f>
        <v/>
      </c>
      <c r="V103" s="19">
        <f>IFERROR(166.386*M103/F103,0)</f>
        <v/>
      </c>
      <c r="W103" s="19">
        <f>IFERROR(166.386*L103/F103,0)</f>
        <v/>
      </c>
    </row>
    <row r="104">
      <c r="A104" s="14" t="n">
        <v>2204</v>
      </c>
      <c r="B104" s="14" t="inlineStr">
        <is>
          <t>NAVEL TARDIA</t>
        </is>
      </c>
      <c r="C104" s="15" t="n">
        <v>1550</v>
      </c>
      <c r="D104" s="14" t="inlineStr">
        <is>
          <t>CADORTAN S.L.</t>
        </is>
      </c>
      <c r="E104" s="14" t="inlineStr">
        <is>
          <t>LANE LATE</t>
        </is>
      </c>
      <c r="F104" s="15" t="n">
        <v>760</v>
      </c>
      <c r="G104" s="16" t="n">
        <v>293.79</v>
      </c>
      <c r="H104" s="17" t="n">
        <v>0.3865657894736842</v>
      </c>
      <c r="I104" s="16" t="n">
        <v>0</v>
      </c>
      <c r="J104" s="16" t="n">
        <v>6.72</v>
      </c>
      <c r="K104" s="16" t="n">
        <v>0</v>
      </c>
      <c r="L104" s="16" t="n">
        <v>8.44</v>
      </c>
      <c r="M104" s="16" t="n">
        <v>8.92</v>
      </c>
      <c r="N104" s="16" t="n">
        <v>304.43</v>
      </c>
      <c r="O104" s="17" t="n">
        <v>0.41659</v>
      </c>
      <c r="P104" s="18" t="n">
        <v>4</v>
      </c>
      <c r="Q104" s="18" t="n">
        <v>0</v>
      </c>
      <c r="R104" s="16" t="n">
        <v>316.61</v>
      </c>
      <c r="S104" s="14" t="inlineStr">
        <is>
          <t>NAVEL TARDIA</t>
        </is>
      </c>
      <c r="T104" s="14" t="inlineStr">
        <is>
          <t>CITRICOS</t>
        </is>
      </c>
      <c r="U104" s="19">
        <f>IFERROR(166.386*I104/F104,0)</f>
        <v/>
      </c>
      <c r="V104" s="19">
        <f>IFERROR(166.386*M104/F104,0)</f>
        <v/>
      </c>
      <c r="W104" s="19">
        <f>IFERROR(166.386*L104/F104,0)</f>
        <v/>
      </c>
    </row>
    <row r="105">
      <c r="A105" s="14" t="n">
        <v>2204</v>
      </c>
      <c r="B105" s="14" t="inlineStr">
        <is>
          <t>NAVEL TARDIA</t>
        </is>
      </c>
      <c r="C105" s="15" t="n">
        <v>1583</v>
      </c>
      <c r="D105" s="14" t="inlineStr">
        <is>
          <t>MARTIN RUEDA, INMACULADA</t>
        </is>
      </c>
      <c r="E105" s="14" t="inlineStr">
        <is>
          <t>LANE LATE</t>
        </is>
      </c>
      <c r="F105" s="15" t="n">
        <v>65856</v>
      </c>
      <c r="G105" s="16" t="n">
        <v>30301.11</v>
      </c>
      <c r="H105" s="17" t="n">
        <v>0.4601116071428571</v>
      </c>
      <c r="I105" s="16" t="n">
        <v>4116.01</v>
      </c>
      <c r="J105" s="16" t="n">
        <v>561.6</v>
      </c>
      <c r="K105" s="16" t="n">
        <v>0</v>
      </c>
      <c r="L105" s="16" t="n">
        <v>0</v>
      </c>
      <c r="M105" s="16" t="n">
        <v>0</v>
      </c>
      <c r="N105" s="16" t="n">
        <v>25623.5</v>
      </c>
      <c r="O105" s="17" t="n">
        <v>0.42706</v>
      </c>
      <c r="P105" s="18" t="n">
        <v>12</v>
      </c>
      <c r="Q105" s="18" t="n">
        <v>2</v>
      </c>
      <c r="R105" s="16" t="n">
        <v>28124.35</v>
      </c>
      <c r="S105" s="14" t="inlineStr">
        <is>
          <t>NAVEL TARDIA</t>
        </is>
      </c>
      <c r="T105" s="14" t="inlineStr">
        <is>
          <t>CITRICOS</t>
        </is>
      </c>
      <c r="U105" s="19">
        <f>IFERROR(166.386*I105/F105,0)</f>
        <v/>
      </c>
      <c r="V105" s="19">
        <f>IFERROR(166.386*M105/F105,0)</f>
        <v/>
      </c>
      <c r="W105" s="19">
        <f>IFERROR(166.386*L105/F105,0)</f>
        <v/>
      </c>
    </row>
    <row r="106">
      <c r="A106" s="14" t="n">
        <v>2204</v>
      </c>
      <c r="B106" s="14" t="inlineStr">
        <is>
          <t>NAVEL TARDIA</t>
        </is>
      </c>
      <c r="C106" s="15" t="n">
        <v>1591</v>
      </c>
      <c r="D106" s="14" t="inlineStr">
        <is>
          <t>JIMENEZ MALDONADO, EUGENIA</t>
        </is>
      </c>
      <c r="E106" s="14" t="inlineStr">
        <is>
          <t>LANE LATE</t>
        </is>
      </c>
      <c r="F106" s="15" t="n">
        <v>8160</v>
      </c>
      <c r="G106" s="16" t="n">
        <v>3134.48</v>
      </c>
      <c r="H106" s="17" t="n">
        <v>0.3841274509803921</v>
      </c>
      <c r="I106" s="16" t="n">
        <v>510</v>
      </c>
      <c r="J106" s="16" t="n">
        <v>1150.5</v>
      </c>
      <c r="K106" s="16" t="n">
        <v>0</v>
      </c>
      <c r="L106" s="16" t="n">
        <v>0</v>
      </c>
      <c r="M106" s="16" t="n">
        <v>0</v>
      </c>
      <c r="N106" s="16" t="n">
        <v>1473.98</v>
      </c>
      <c r="O106" s="17" t="n">
        <v>0.19826</v>
      </c>
      <c r="P106" s="18" t="n">
        <v>12</v>
      </c>
      <c r="Q106" s="18" t="n">
        <v>2</v>
      </c>
      <c r="R106" s="16" t="n">
        <v>1617.84</v>
      </c>
      <c r="S106" s="14" t="inlineStr">
        <is>
          <t>NAVEL TARDIA</t>
        </is>
      </c>
      <c r="T106" s="14" t="inlineStr">
        <is>
          <t>CITRICOS</t>
        </is>
      </c>
      <c r="U106" s="19">
        <f>IFERROR(166.386*I106/F106,0)</f>
        <v/>
      </c>
      <c r="V106" s="19">
        <f>IFERROR(166.386*M106/F106,0)</f>
        <v/>
      </c>
      <c r="W106" s="19">
        <f>IFERROR(166.386*L106/F106,0)</f>
        <v/>
      </c>
    </row>
    <row r="107">
      <c r="A107" s="14" t="n">
        <v>2204</v>
      </c>
      <c r="B107" s="14" t="inlineStr">
        <is>
          <t>NAVEL TARDIA</t>
        </is>
      </c>
      <c r="C107" s="15" t="n">
        <v>1597</v>
      </c>
      <c r="D107" s="14" t="inlineStr">
        <is>
          <t>CARBALLO SIRIA, ANTONIO JOSE</t>
        </is>
      </c>
      <c r="E107" s="14" t="inlineStr">
        <is>
          <t>LANE LATE</t>
        </is>
      </c>
      <c r="F107" s="15" t="n">
        <v>46685</v>
      </c>
      <c r="G107" s="16" t="n">
        <v>18809.24</v>
      </c>
      <c r="H107" s="17" t="n">
        <v>0.4028968619470922</v>
      </c>
      <c r="I107" s="16" t="n">
        <v>2917.82</v>
      </c>
      <c r="J107" s="16" t="n">
        <v>428.36</v>
      </c>
      <c r="K107" s="16" t="n">
        <v>0</v>
      </c>
      <c r="L107" s="16" t="n">
        <v>0</v>
      </c>
      <c r="M107" s="16" t="n">
        <v>0</v>
      </c>
      <c r="N107" s="16" t="n">
        <v>15463.06</v>
      </c>
      <c r="O107" s="17" t="n">
        <v>0.36355</v>
      </c>
      <c r="P107" s="18" t="n">
        <v>12</v>
      </c>
      <c r="Q107" s="18" t="n">
        <v>2</v>
      </c>
      <c r="R107" s="16" t="n">
        <v>16972.25</v>
      </c>
      <c r="S107" s="14" t="inlineStr">
        <is>
          <t>NAVEL TARDIA</t>
        </is>
      </c>
      <c r="T107" s="14" t="inlineStr">
        <is>
          <t>CITRICOS</t>
        </is>
      </c>
      <c r="U107" s="19">
        <f>IFERROR(166.386*I107/F107,0)</f>
        <v/>
      </c>
      <c r="V107" s="19">
        <f>IFERROR(166.386*M107/F107,0)</f>
        <v/>
      </c>
      <c r="W107" s="19">
        <f>IFERROR(166.386*L107/F107,0)</f>
        <v/>
      </c>
    </row>
    <row r="108">
      <c r="A108" s="14" t="n">
        <v>2204</v>
      </c>
      <c r="B108" s="14" t="inlineStr">
        <is>
          <t>NAVEL TARDIA</t>
        </is>
      </c>
      <c r="C108" s="15" t="n">
        <v>1610</v>
      </c>
      <c r="D108" s="14" t="inlineStr">
        <is>
          <t>JARAMAGO SANCHEZ, ELVIRA</t>
        </is>
      </c>
      <c r="E108" s="14" t="inlineStr">
        <is>
          <t>LANE LATE</t>
        </is>
      </c>
      <c r="F108" s="15" t="n">
        <v>31360</v>
      </c>
      <c r="G108" s="16" t="n">
        <v>11565.92</v>
      </c>
      <c r="H108" s="17" t="n">
        <v>0.3688112244897959</v>
      </c>
      <c r="I108" s="16" t="n">
        <v>1960</v>
      </c>
      <c r="J108" s="16" t="n">
        <v>0</v>
      </c>
      <c r="K108" s="16" t="n">
        <v>0</v>
      </c>
      <c r="L108" s="16" t="n">
        <v>0</v>
      </c>
      <c r="M108" s="16" t="n">
        <v>0</v>
      </c>
      <c r="N108" s="16" t="n">
        <v>9605.92</v>
      </c>
      <c r="O108" s="17" t="n">
        <v>0.33621</v>
      </c>
      <c r="P108" s="18" t="n">
        <v>12</v>
      </c>
      <c r="Q108" s="18" t="n">
        <v>2</v>
      </c>
      <c r="R108" s="16" t="n">
        <v>10543.46</v>
      </c>
      <c r="S108" s="14" t="inlineStr">
        <is>
          <t>NAVEL TARDIA</t>
        </is>
      </c>
      <c r="T108" s="14" t="inlineStr">
        <is>
          <t>CITRICOS</t>
        </is>
      </c>
      <c r="U108" s="19">
        <f>IFERROR(166.386*I108/F108,0)</f>
        <v/>
      </c>
      <c r="V108" s="19">
        <f>IFERROR(166.386*M108/F108,0)</f>
        <v/>
      </c>
      <c r="W108" s="19">
        <f>IFERROR(166.386*L108/F108,0)</f>
        <v/>
      </c>
    </row>
    <row r="109">
      <c r="A109" s="14" t="n">
        <v>2204</v>
      </c>
      <c r="B109" s="14" t="inlineStr">
        <is>
          <t>NAVEL TARDIA</t>
        </is>
      </c>
      <c r="C109" s="15" t="n">
        <v>1614</v>
      </c>
      <c r="D109" s="14" t="inlineStr">
        <is>
          <t>MARIN SERRANO 2025 S.C.</t>
        </is>
      </c>
      <c r="E109" s="14" t="inlineStr">
        <is>
          <t>CHISLETT SUMER</t>
        </is>
      </c>
      <c r="F109" s="15" t="n">
        <v>12140</v>
      </c>
      <c r="G109" s="16" t="n">
        <v>5141.2</v>
      </c>
      <c r="H109" s="17" t="n">
        <v>0.4234925864909391</v>
      </c>
      <c r="I109" s="16" t="n">
        <v>758.75</v>
      </c>
      <c r="J109" s="16" t="n">
        <v>23.26</v>
      </c>
      <c r="K109" s="16" t="n">
        <v>0</v>
      </c>
      <c r="L109" s="16" t="n">
        <v>0</v>
      </c>
      <c r="M109" s="16" t="n">
        <v>0</v>
      </c>
      <c r="N109" s="16" t="n">
        <v>4359.19</v>
      </c>
      <c r="O109" s="17" t="n">
        <v>0.39412</v>
      </c>
      <c r="P109" s="18" t="n">
        <v>12</v>
      </c>
      <c r="Q109" s="18" t="n">
        <v>2</v>
      </c>
      <c r="R109" s="16" t="n">
        <v>4784.65</v>
      </c>
      <c r="S109" s="14" t="inlineStr">
        <is>
          <t>NAVEL TARDIA</t>
        </is>
      </c>
      <c r="T109" s="14" t="inlineStr">
        <is>
          <t>CITRICOS</t>
        </is>
      </c>
      <c r="U109" s="19">
        <f>IFERROR(166.386*I109/F109,0)</f>
        <v/>
      </c>
      <c r="V109" s="19">
        <f>IFERROR(166.386*M109/F109,0)</f>
        <v/>
      </c>
      <c r="W109" s="19">
        <f>IFERROR(166.386*L109/F109,0)</f>
        <v/>
      </c>
    </row>
    <row r="110">
      <c r="A110" s="14" t="n">
        <v>2204</v>
      </c>
      <c r="B110" s="14" t="inlineStr">
        <is>
          <t>NAVEL TARDIA</t>
        </is>
      </c>
      <c r="C110" s="15" t="n">
        <v>1614</v>
      </c>
      <c r="D110" s="14" t="inlineStr">
        <is>
          <t>MARIN SERRANO 2025 S.C.</t>
        </is>
      </c>
      <c r="E110" s="14" t="inlineStr">
        <is>
          <t>NAVEL POWEL</t>
        </is>
      </c>
      <c r="F110" s="15" t="n">
        <v>29750</v>
      </c>
      <c r="G110" s="16" t="n">
        <v>12598.9</v>
      </c>
      <c r="H110" s="17" t="n">
        <v>0.4234924369747899</v>
      </c>
      <c r="I110" s="16" t="n">
        <v>1859.38</v>
      </c>
      <c r="J110" s="16" t="n">
        <v>57</v>
      </c>
      <c r="K110" s="16" t="n">
        <v>0</v>
      </c>
      <c r="L110" s="16" t="n">
        <v>0</v>
      </c>
      <c r="M110" s="16" t="n">
        <v>0</v>
      </c>
      <c r="N110" s="16" t="n">
        <v>10682.52</v>
      </c>
      <c r="O110" s="17" t="n">
        <v>0.39412</v>
      </c>
      <c r="P110" s="18" t="n">
        <v>12</v>
      </c>
      <c r="Q110" s="18" t="n">
        <v>2</v>
      </c>
      <c r="R110" s="16" t="n">
        <v>11725.13</v>
      </c>
      <c r="S110" s="14" t="inlineStr">
        <is>
          <t>NAVEL TARDIA</t>
        </is>
      </c>
      <c r="T110" s="14" t="inlineStr">
        <is>
          <t>CITRICOS</t>
        </is>
      </c>
      <c r="U110" s="19">
        <f>IFERROR(166.386*I110/F110,0)</f>
        <v/>
      </c>
      <c r="V110" s="19">
        <f>IFERROR(166.386*M110/F110,0)</f>
        <v/>
      </c>
      <c r="W110" s="19">
        <f>IFERROR(166.386*L110/F110,0)</f>
        <v/>
      </c>
    </row>
    <row r="111">
      <c r="A111" s="14" t="n">
        <v>2204</v>
      </c>
      <c r="B111" s="14" t="inlineStr">
        <is>
          <t>NAVEL TARDIA</t>
        </is>
      </c>
      <c r="C111" s="15" t="n">
        <v>1627</v>
      </c>
      <c r="D111" s="14" t="inlineStr">
        <is>
          <t>FRUTAS ANDALUZAS DE SEVILLA S.L.</t>
        </is>
      </c>
      <c r="E111" s="14" t="inlineStr">
        <is>
          <t>LANE LATE</t>
        </is>
      </c>
      <c r="F111" s="15" t="n">
        <v>85493</v>
      </c>
      <c r="G111" s="16" t="n">
        <v>32897.9</v>
      </c>
      <c r="H111" s="17" t="n">
        <v>0.3848022645128841</v>
      </c>
      <c r="I111" s="16" t="n">
        <v>0</v>
      </c>
      <c r="J111" s="16" t="n">
        <v>864.51</v>
      </c>
      <c r="K111" s="16" t="n">
        <v>0</v>
      </c>
      <c r="L111" s="16" t="n">
        <v>948.97</v>
      </c>
      <c r="M111" s="16" t="n">
        <v>1033.89</v>
      </c>
      <c r="N111" s="16" t="n">
        <v>34016.25</v>
      </c>
      <c r="O111" s="17" t="n">
        <v>0.43672</v>
      </c>
      <c r="P111" s="18" t="n">
        <v>12</v>
      </c>
      <c r="Q111" s="18" t="n">
        <v>2</v>
      </c>
      <c r="R111" s="16" t="n">
        <v>37336.24</v>
      </c>
      <c r="S111" s="14" t="inlineStr">
        <is>
          <t>NAVEL TARDIA</t>
        </is>
      </c>
      <c r="T111" s="14" t="inlineStr">
        <is>
          <t>CITRICOS</t>
        </is>
      </c>
      <c r="U111" s="19">
        <f>IFERROR(166.386*I111/F111,0)</f>
        <v/>
      </c>
      <c r="V111" s="19">
        <f>IFERROR(166.386*M111/F111,0)</f>
        <v/>
      </c>
      <c r="W111" s="19">
        <f>IFERROR(166.386*L111/F111,0)</f>
        <v/>
      </c>
    </row>
    <row r="112">
      <c r="A112" s="14" t="n">
        <v>2205</v>
      </c>
      <c r="B112" s="14" t="inlineStr">
        <is>
          <t>BLANCA TARDIA</t>
        </is>
      </c>
      <c r="C112" s="15" t="n">
        <v>909</v>
      </c>
      <c r="D112" s="14" t="inlineStr">
        <is>
          <t>LEON PINEDA,ROSARIO</t>
        </is>
      </c>
      <c r="E112" s="14" t="inlineStr">
        <is>
          <t>BARBERINA</t>
        </is>
      </c>
      <c r="F112" s="15" t="n">
        <v>19840</v>
      </c>
      <c r="G112" s="16" t="n">
        <v>8232.51</v>
      </c>
      <c r="H112" s="17" t="n">
        <v>0.414945060483871</v>
      </c>
      <c r="I112" s="16" t="n">
        <v>1240</v>
      </c>
      <c r="J112" s="16" t="n">
        <v>425.55</v>
      </c>
      <c r="K112" s="16" t="n">
        <v>0</v>
      </c>
      <c r="L112" s="16" t="n">
        <v>0</v>
      </c>
      <c r="M112" s="16" t="n">
        <v>0</v>
      </c>
      <c r="N112" s="16" t="n">
        <v>6566.96</v>
      </c>
      <c r="O112" s="17" t="n">
        <v>0.3633</v>
      </c>
      <c r="P112" s="18" t="n">
        <v>12</v>
      </c>
      <c r="Q112" s="18" t="n">
        <v>2</v>
      </c>
      <c r="R112" s="16" t="n">
        <v>7207.9</v>
      </c>
      <c r="S112" s="14" t="inlineStr">
        <is>
          <t>BLANCA TARDIA</t>
        </is>
      </c>
      <c r="T112" s="14" t="inlineStr">
        <is>
          <t>CITRICOS</t>
        </is>
      </c>
      <c r="U112" s="19">
        <f>IFERROR(166.386*I112/F112,0)</f>
        <v/>
      </c>
      <c r="V112" s="19">
        <f>IFERROR(166.386*M112/F112,0)</f>
        <v/>
      </c>
      <c r="W112" s="19">
        <f>IFERROR(166.386*L112/F112,0)</f>
        <v/>
      </c>
    </row>
    <row r="113">
      <c r="A113" s="14" t="n">
        <v>2205</v>
      </c>
      <c r="B113" s="14" t="inlineStr">
        <is>
          <t>BLANCA TARDIA</t>
        </is>
      </c>
      <c r="C113" s="15" t="n">
        <v>1072</v>
      </c>
      <c r="D113" s="14" t="inlineStr">
        <is>
          <t>GARCIA DELGADO,JUAN MANUEL</t>
        </is>
      </c>
      <c r="E113" s="14" t="inlineStr">
        <is>
          <t>VALENCIA DELTA</t>
        </is>
      </c>
      <c r="F113" s="15" t="n">
        <v>103842</v>
      </c>
      <c r="G113" s="16" t="n">
        <v>38912.19</v>
      </c>
      <c r="H113" s="17" t="n">
        <v>0.3747249667764488</v>
      </c>
      <c r="I113" s="16" t="n">
        <v>7476.64</v>
      </c>
      <c r="J113" s="16" t="n">
        <v>1546.86</v>
      </c>
      <c r="K113" s="16" t="n">
        <v>0</v>
      </c>
      <c r="L113" s="16" t="n">
        <v>0</v>
      </c>
      <c r="M113" s="16" t="n">
        <v>0</v>
      </c>
      <c r="N113" s="16" t="n">
        <v>29888.69</v>
      </c>
      <c r="O113" s="17" t="n">
        <v>0.31592</v>
      </c>
      <c r="P113" s="18" t="n">
        <v>12</v>
      </c>
      <c r="Q113" s="18" t="n">
        <v>2</v>
      </c>
      <c r="R113" s="16" t="n">
        <v>32805.83</v>
      </c>
      <c r="S113" s="14" t="inlineStr">
        <is>
          <t>BLANCA TARDIA</t>
        </is>
      </c>
      <c r="T113" s="14" t="inlineStr">
        <is>
          <t>CITRICOS</t>
        </is>
      </c>
      <c r="U113" s="19">
        <f>IFERROR(166.386*I113/F113,0)</f>
        <v/>
      </c>
      <c r="V113" s="19">
        <f>IFERROR(166.386*M113/F113,0)</f>
        <v/>
      </c>
      <c r="W113" s="19">
        <f>IFERROR(166.386*L113/F113,0)</f>
        <v/>
      </c>
    </row>
    <row r="114">
      <c r="A114" s="14" t="n">
        <v>2205</v>
      </c>
      <c r="B114" s="14" t="inlineStr">
        <is>
          <t>BLANCA TARDIA</t>
        </is>
      </c>
      <c r="C114" s="15" t="n">
        <v>1426</v>
      </c>
      <c r="D114" s="14" t="inlineStr">
        <is>
          <t>MONTERO MERAT,JUAN MANUEL</t>
        </is>
      </c>
      <c r="E114" s="14" t="inlineStr">
        <is>
          <t>VALENCIA DELTA</t>
        </is>
      </c>
      <c r="F114" s="15" t="n">
        <v>41864</v>
      </c>
      <c r="G114" s="16" t="n">
        <v>15440.26</v>
      </c>
      <c r="H114" s="17" t="n">
        <v>0.368819510796866</v>
      </c>
      <c r="I114" s="16" t="n">
        <v>3014.21</v>
      </c>
      <c r="J114" s="16" t="n">
        <v>268.63</v>
      </c>
      <c r="K114" s="16" t="n">
        <v>0</v>
      </c>
      <c r="L114" s="16" t="n">
        <v>0</v>
      </c>
      <c r="M114" s="16" t="n">
        <v>0</v>
      </c>
      <c r="N114" s="16" t="n">
        <v>12157.42</v>
      </c>
      <c r="O114" s="17" t="n">
        <v>0.31875</v>
      </c>
      <c r="P114" s="18" t="n">
        <v>12</v>
      </c>
      <c r="Q114" s="18" t="n">
        <v>2</v>
      </c>
      <c r="R114" s="16" t="n">
        <v>13343.98</v>
      </c>
      <c r="S114" s="14" t="inlineStr">
        <is>
          <t>BLANCA TARDIA</t>
        </is>
      </c>
      <c r="T114" s="14" t="inlineStr">
        <is>
          <t>CITRICOS</t>
        </is>
      </c>
      <c r="U114" s="19">
        <f>IFERROR(166.386*I114/F114,0)</f>
        <v/>
      </c>
      <c r="V114" s="19">
        <f>IFERROR(166.386*M114/F114,0)</f>
        <v/>
      </c>
      <c r="W114" s="19">
        <f>IFERROR(166.386*L114/F114,0)</f>
        <v/>
      </c>
    </row>
    <row r="115">
      <c r="A115" s="14" t="n">
        <v>2205</v>
      </c>
      <c r="B115" s="14" t="inlineStr">
        <is>
          <t>BLANCA TARDIA</t>
        </is>
      </c>
      <c r="C115" s="15" t="n">
        <v>1491</v>
      </c>
      <c r="D115" s="14" t="inlineStr">
        <is>
          <t>JIMENEZ LORENTE,SONIA</t>
        </is>
      </c>
      <c r="E115" s="14" t="inlineStr">
        <is>
          <t>VALENCIA DELTA</t>
        </is>
      </c>
      <c r="F115" s="15" t="n">
        <v>30223</v>
      </c>
      <c r="G115" s="16" t="n">
        <v>12011.2</v>
      </c>
      <c r="H115" s="17" t="n">
        <v>0.3974191840651159</v>
      </c>
      <c r="I115" s="16" t="n">
        <v>2176.06</v>
      </c>
      <c r="J115" s="16" t="n">
        <v>194.12</v>
      </c>
      <c r="K115" s="16" t="n">
        <v>0</v>
      </c>
      <c r="L115" s="16" t="n">
        <v>0</v>
      </c>
      <c r="M115" s="16" t="n">
        <v>471.74</v>
      </c>
      <c r="N115" s="16" t="n">
        <v>10112.76</v>
      </c>
      <c r="O115" s="17" t="n">
        <v>0.36726</v>
      </c>
      <c r="P115" s="18" t="n">
        <v>12</v>
      </c>
      <c r="Q115" s="18" t="n">
        <v>2</v>
      </c>
      <c r="R115" s="16" t="n">
        <v>11099.77</v>
      </c>
      <c r="S115" s="14" t="inlineStr">
        <is>
          <t>BLANCA TARDIA</t>
        </is>
      </c>
      <c r="T115" s="14" t="inlineStr">
        <is>
          <t>CITRICOS</t>
        </is>
      </c>
      <c r="U115" s="19">
        <f>IFERROR(166.386*I115/F115,0)</f>
        <v/>
      </c>
      <c r="V115" s="19">
        <f>IFERROR(166.386*M115/F115,0)</f>
        <v/>
      </c>
      <c r="W115" s="19">
        <f>IFERROR(166.386*L115/F115,0)</f>
        <v/>
      </c>
    </row>
    <row r="116">
      <c r="A116" s="14" t="n">
        <v>2205</v>
      </c>
      <c r="B116" s="14" t="inlineStr">
        <is>
          <t>BLANCA TARDIA</t>
        </is>
      </c>
      <c r="C116" s="15" t="n">
        <v>1528</v>
      </c>
      <c r="D116" s="14" t="inlineStr">
        <is>
          <t>RAMOS BRUGAROLAS, IGNACIO</t>
        </is>
      </c>
      <c r="E116" s="14" t="inlineStr">
        <is>
          <t>VALENCIA LATE</t>
        </is>
      </c>
      <c r="F116" s="15" t="n">
        <v>222487</v>
      </c>
      <c r="G116" s="16" t="n">
        <v>86642.3</v>
      </c>
      <c r="H116" s="17" t="n">
        <v>0.3894263485057554</v>
      </c>
      <c r="I116" s="16" t="n">
        <v>17344.27</v>
      </c>
      <c r="J116" s="16" t="n">
        <v>1871.19</v>
      </c>
      <c r="K116" s="16" t="n">
        <v>0</v>
      </c>
      <c r="L116" s="16" t="n">
        <v>0</v>
      </c>
      <c r="M116" s="16" t="n">
        <v>0</v>
      </c>
      <c r="N116" s="16" t="n">
        <v>67426.84</v>
      </c>
      <c r="O116" s="17" t="n">
        <v>0.33264</v>
      </c>
      <c r="P116" s="18" t="n">
        <v>12</v>
      </c>
      <c r="Q116" s="18" t="n">
        <v>2</v>
      </c>
      <c r="R116" s="16" t="n">
        <v>74007.7</v>
      </c>
      <c r="S116" s="14" t="inlineStr">
        <is>
          <t>BLANCA TARDIA</t>
        </is>
      </c>
      <c r="T116" s="14" t="inlineStr">
        <is>
          <t>CITRICOS</t>
        </is>
      </c>
      <c r="U116" s="19">
        <f>IFERROR(166.386*I116/F116,0)</f>
        <v/>
      </c>
      <c r="V116" s="19">
        <f>IFERROR(166.386*M116/F116,0)</f>
        <v/>
      </c>
      <c r="W116" s="19">
        <f>IFERROR(166.386*L116/F116,0)</f>
        <v/>
      </c>
    </row>
    <row r="117">
      <c r="A117" s="14" t="n">
        <v>2205</v>
      </c>
      <c r="B117" s="14" t="inlineStr">
        <is>
          <t>BLANCA TARDIA</t>
        </is>
      </c>
      <c r="C117" s="15" t="n">
        <v>1534</v>
      </c>
      <c r="D117" s="14" t="inlineStr">
        <is>
          <t>RAMOS BRUGAROLAS, JOSE RAMON</t>
        </is>
      </c>
      <c r="E117" s="14" t="inlineStr">
        <is>
          <t>VALENCIA LATE</t>
        </is>
      </c>
      <c r="F117" s="15" t="n">
        <v>108512</v>
      </c>
      <c r="G117" s="16" t="n">
        <v>43353.96</v>
      </c>
      <c r="H117" s="17" t="n">
        <v>0.3995314803892657</v>
      </c>
      <c r="I117" s="16" t="n">
        <v>7812.86</v>
      </c>
      <c r="J117" s="16" t="n">
        <v>999.52</v>
      </c>
      <c r="K117" s="16" t="n">
        <v>0</v>
      </c>
      <c r="L117" s="16" t="n">
        <v>0</v>
      </c>
      <c r="M117" s="16" t="n">
        <v>0</v>
      </c>
      <c r="N117" s="16" t="n">
        <v>34541.58</v>
      </c>
      <c r="O117" s="17" t="n">
        <v>0.34939</v>
      </c>
      <c r="P117" s="18" t="n">
        <v>12</v>
      </c>
      <c r="Q117" s="18" t="n">
        <v>2</v>
      </c>
      <c r="R117" s="16" t="n">
        <v>37912.84</v>
      </c>
      <c r="S117" s="14" t="inlineStr">
        <is>
          <t>BLANCA TARDIA</t>
        </is>
      </c>
      <c r="T117" s="14" t="inlineStr">
        <is>
          <t>CITRICOS</t>
        </is>
      </c>
      <c r="U117" s="19">
        <f>IFERROR(166.386*I117/F117,0)</f>
        <v/>
      </c>
      <c r="V117" s="19">
        <f>IFERROR(166.386*M117/F117,0)</f>
        <v/>
      </c>
      <c r="W117" s="19">
        <f>IFERROR(166.386*L117/F117,0)</f>
        <v/>
      </c>
    </row>
    <row r="118">
      <c r="A118" s="14" t="n">
        <v>2205</v>
      </c>
      <c r="B118" s="14" t="inlineStr">
        <is>
          <t>BLANCA TARDIA</t>
        </is>
      </c>
      <c r="C118" s="15" t="n">
        <v>1592</v>
      </c>
      <c r="D118" s="14" t="inlineStr">
        <is>
          <t>SANTIAGO ESCABIA, JUAN</t>
        </is>
      </c>
      <c r="E118" s="14" t="inlineStr">
        <is>
          <t>BARBERINA</t>
        </is>
      </c>
      <c r="F118" s="15" t="n">
        <v>50210</v>
      </c>
      <c r="G118" s="16" t="n">
        <v>20165.77</v>
      </c>
      <c r="H118" s="17" t="n">
        <v>0.4016285600477992</v>
      </c>
      <c r="I118" s="16" t="n">
        <v>3138.13</v>
      </c>
      <c r="J118" s="16" t="n">
        <v>716.3099999999999</v>
      </c>
      <c r="K118" s="16" t="n">
        <v>0</v>
      </c>
      <c r="L118" s="16" t="n">
        <v>0</v>
      </c>
      <c r="M118" s="16" t="n">
        <v>0</v>
      </c>
      <c r="N118" s="16" t="n">
        <v>16311.33</v>
      </c>
      <c r="O118" s="17" t="n">
        <v>0.35657</v>
      </c>
      <c r="P118" s="18" t="n">
        <v>12</v>
      </c>
      <c r="Q118" s="18" t="n">
        <v>2</v>
      </c>
      <c r="R118" s="16" t="n">
        <v>17903.32</v>
      </c>
      <c r="S118" s="14" t="inlineStr">
        <is>
          <t>BLANCA TARDIA</t>
        </is>
      </c>
      <c r="T118" s="14" t="inlineStr">
        <is>
          <t>CITRICOS</t>
        </is>
      </c>
      <c r="U118" s="19">
        <f>IFERROR(166.386*I118/F118,0)</f>
        <v/>
      </c>
      <c r="V118" s="19">
        <f>IFERROR(166.386*M118/F118,0)</f>
        <v/>
      </c>
      <c r="W118" s="19">
        <f>IFERROR(166.386*L118/F118,0)</f>
        <v/>
      </c>
    </row>
    <row r="119">
      <c r="A119" s="14" t="n">
        <v>2205</v>
      </c>
      <c r="B119" s="14" t="inlineStr">
        <is>
          <t>BLANCA TARDIA</t>
        </is>
      </c>
      <c r="C119" s="15" t="n">
        <v>1594</v>
      </c>
      <c r="D119" s="14" t="inlineStr">
        <is>
          <t>CANO MANZANARES, ISABEL MARIA</t>
        </is>
      </c>
      <c r="E119" s="14" t="inlineStr">
        <is>
          <t>BARBERINA</t>
        </is>
      </c>
      <c r="F119" s="15" t="n">
        <v>71644</v>
      </c>
      <c r="G119" s="16" t="n">
        <v>32142.48</v>
      </c>
      <c r="H119" s="17" t="n">
        <v>0.4486416168834794</v>
      </c>
      <c r="I119" s="16" t="n">
        <v>4477.75</v>
      </c>
      <c r="J119" s="16" t="n">
        <v>455.73</v>
      </c>
      <c r="K119" s="16" t="n">
        <v>0</v>
      </c>
      <c r="L119" s="16" t="n">
        <v>795.25</v>
      </c>
      <c r="M119" s="16" t="n">
        <v>1203.75</v>
      </c>
      <c r="N119" s="16" t="n">
        <v>29208</v>
      </c>
      <c r="O119" s="17" t="n">
        <v>0.44747</v>
      </c>
      <c r="P119" s="18" t="n">
        <v>12</v>
      </c>
      <c r="Q119" s="18" t="n">
        <v>2</v>
      </c>
      <c r="R119" s="16" t="n">
        <v>32058.7</v>
      </c>
      <c r="S119" s="14" t="inlineStr">
        <is>
          <t>BLANCA TARDIA</t>
        </is>
      </c>
      <c r="T119" s="14" t="inlineStr">
        <is>
          <t>CITRICOS</t>
        </is>
      </c>
      <c r="U119" s="19">
        <f>IFERROR(166.386*I119/F119,0)</f>
        <v/>
      </c>
      <c r="V119" s="19">
        <f>IFERROR(166.386*M119/F119,0)</f>
        <v/>
      </c>
      <c r="W119" s="19">
        <f>IFERROR(166.386*L119/F119,0)</f>
        <v/>
      </c>
    </row>
    <row r="120">
      <c r="A120" s="14" t="n">
        <v>2205</v>
      </c>
      <c r="B120" s="14" t="inlineStr">
        <is>
          <t>BLANCA TARDIA</t>
        </is>
      </c>
      <c r="C120" s="15" t="n">
        <v>1596</v>
      </c>
      <c r="D120" s="14" t="inlineStr">
        <is>
          <t>RUEDA GARCIA, Mª MERCEDES</t>
        </is>
      </c>
      <c r="E120" s="14" t="inlineStr">
        <is>
          <t>VALENCIA DELTA</t>
        </is>
      </c>
      <c r="F120" s="15" t="n">
        <v>50698</v>
      </c>
      <c r="G120" s="16" t="n">
        <v>19424.03</v>
      </c>
      <c r="H120" s="17" t="n">
        <v>0.3831320762160243</v>
      </c>
      <c r="I120" s="16" t="n">
        <v>3650.26</v>
      </c>
      <c r="J120" s="16" t="n">
        <v>798.29</v>
      </c>
      <c r="K120" s="16" t="n">
        <v>0</v>
      </c>
      <c r="L120" s="16" t="n">
        <v>0</v>
      </c>
      <c r="M120" s="16" t="n">
        <v>785.38</v>
      </c>
      <c r="N120" s="16" t="n">
        <v>15760.86</v>
      </c>
      <c r="O120" s="17" t="n">
        <v>0.34122</v>
      </c>
      <c r="P120" s="18" t="n">
        <v>12</v>
      </c>
      <c r="Q120" s="18" t="n">
        <v>2</v>
      </c>
      <c r="R120" s="16" t="n">
        <v>17299.12</v>
      </c>
      <c r="S120" s="14" t="inlineStr">
        <is>
          <t>BLANCA TARDIA</t>
        </is>
      </c>
      <c r="T120" s="14" t="inlineStr">
        <is>
          <t>CITRICOS</t>
        </is>
      </c>
      <c r="U120" s="19">
        <f>IFERROR(166.386*I120/F120,0)</f>
        <v/>
      </c>
      <c r="V120" s="19">
        <f>IFERROR(166.386*M120/F120,0)</f>
        <v/>
      </c>
      <c r="W120" s="19">
        <f>IFERROR(166.386*L120/F120,0)</f>
        <v/>
      </c>
    </row>
    <row r="121">
      <c r="A121" s="14" t="n">
        <v>2205</v>
      </c>
      <c r="B121" s="14" t="inlineStr">
        <is>
          <t>BLANCA TARDIA</t>
        </is>
      </c>
      <c r="C121" s="15" t="n">
        <v>1609</v>
      </c>
      <c r="D121" s="14" t="inlineStr">
        <is>
          <t>GARCIA BARRAGAN, ROCIO</t>
        </is>
      </c>
      <c r="E121" s="14" t="inlineStr">
        <is>
          <t>BARBERINA</t>
        </is>
      </c>
      <c r="F121" s="15" t="n">
        <v>12800</v>
      </c>
      <c r="G121" s="16" t="n">
        <v>5218.71</v>
      </c>
      <c r="H121" s="17" t="n">
        <v>0.40771171875</v>
      </c>
      <c r="I121" s="16" t="n">
        <v>800</v>
      </c>
      <c r="J121" s="16" t="n">
        <v>374.4</v>
      </c>
      <c r="K121" s="16" t="n">
        <v>0</v>
      </c>
      <c r="L121" s="16" t="n">
        <v>0</v>
      </c>
      <c r="M121" s="16" t="n">
        <v>0</v>
      </c>
      <c r="N121" s="16" t="n">
        <v>4044.31</v>
      </c>
      <c r="O121" s="17" t="n">
        <v>0.3468</v>
      </c>
      <c r="P121" s="18" t="n">
        <v>12</v>
      </c>
      <c r="Q121" s="18" t="n">
        <v>2</v>
      </c>
      <c r="R121" s="16" t="n">
        <v>4439.03</v>
      </c>
      <c r="S121" s="14" t="inlineStr">
        <is>
          <t>BLANCA TARDIA</t>
        </is>
      </c>
      <c r="T121" s="14" t="inlineStr">
        <is>
          <t>CITRICOS</t>
        </is>
      </c>
      <c r="U121" s="19">
        <f>IFERROR(166.386*I121/F121,0)</f>
        <v/>
      </c>
      <c r="V121" s="19">
        <f>IFERROR(166.386*M121/F121,0)</f>
        <v/>
      </c>
      <c r="W121" s="19">
        <f>IFERROR(166.386*L121/F121,0)</f>
        <v/>
      </c>
    </row>
    <row r="122">
      <c r="A122" s="14" t="n">
        <v>2205</v>
      </c>
      <c r="B122" s="14" t="inlineStr">
        <is>
          <t>BLANCA TARDIA</t>
        </is>
      </c>
      <c r="C122" s="15" t="n">
        <v>1614</v>
      </c>
      <c r="D122" s="14" t="inlineStr">
        <is>
          <t>MARIN SERRANO 2025 S.C.</t>
        </is>
      </c>
      <c r="E122" s="14" t="inlineStr">
        <is>
          <t>VALENCIA LATE</t>
        </is>
      </c>
      <c r="F122" s="15" t="n">
        <v>104697</v>
      </c>
      <c r="G122" s="16" t="n">
        <v>38245.41</v>
      </c>
      <c r="H122" s="17" t="n">
        <v>0.3652961402905527</v>
      </c>
      <c r="I122" s="16" t="n">
        <v>7538.18</v>
      </c>
      <c r="J122" s="16" t="n">
        <v>200.6</v>
      </c>
      <c r="K122" s="16" t="n">
        <v>0</v>
      </c>
      <c r="L122" s="16" t="n">
        <v>0</v>
      </c>
      <c r="M122" s="16" t="n">
        <v>0</v>
      </c>
      <c r="N122" s="16" t="n">
        <v>30506.63</v>
      </c>
      <c r="O122" s="17" t="n">
        <v>0.31982</v>
      </c>
      <c r="P122" s="18" t="n">
        <v>12</v>
      </c>
      <c r="Q122" s="18" t="n">
        <v>2</v>
      </c>
      <c r="R122" s="16" t="n">
        <v>33484.08</v>
      </c>
      <c r="S122" s="14" t="inlineStr">
        <is>
          <t>BLANCA TARDIA</t>
        </is>
      </c>
      <c r="T122" s="14" t="inlineStr">
        <is>
          <t>CITRICOS</t>
        </is>
      </c>
      <c r="U122" s="19">
        <f>IFERROR(166.386*I122/F122,0)</f>
        <v/>
      </c>
      <c r="V122" s="19">
        <f>IFERROR(166.386*M122/F122,0)</f>
        <v/>
      </c>
      <c r="W122" s="19">
        <f>IFERROR(166.386*L122/F122,0)</f>
        <v/>
      </c>
    </row>
    <row r="123">
      <c r="A123" s="14" t="n">
        <v>2205</v>
      </c>
      <c r="B123" s="14" t="inlineStr">
        <is>
          <t>BLANCA TARDIA</t>
        </is>
      </c>
      <c r="C123" s="15" t="n">
        <v>1615</v>
      </c>
      <c r="D123" s="14" t="inlineStr">
        <is>
          <t>RURAL PRIME S.L.</t>
        </is>
      </c>
      <c r="E123" s="14" t="inlineStr">
        <is>
          <t>VALENCIA DELTA</t>
        </is>
      </c>
      <c r="F123" s="15" t="n">
        <v>115118</v>
      </c>
      <c r="G123" s="16" t="n">
        <v>45137.21</v>
      </c>
      <c r="H123" s="17" t="n">
        <v>0.3920951545370837</v>
      </c>
      <c r="I123" s="16" t="n">
        <v>8288.49</v>
      </c>
      <c r="J123" s="16" t="n">
        <v>0</v>
      </c>
      <c r="K123" s="16" t="n">
        <v>0</v>
      </c>
      <c r="L123" s="16" t="n">
        <v>0</v>
      </c>
      <c r="M123" s="16" t="n">
        <v>0</v>
      </c>
      <c r="N123" s="16" t="n">
        <v>36848.72</v>
      </c>
      <c r="O123" s="17" t="n">
        <v>0.3329</v>
      </c>
      <c r="P123" s="18" t="n">
        <v>4</v>
      </c>
      <c r="Q123" s="18" t="n">
        <v>0</v>
      </c>
      <c r="R123" s="16" t="n">
        <v>38322.67</v>
      </c>
      <c r="S123" s="14" t="inlineStr">
        <is>
          <t>BLANCA TARDIA</t>
        </is>
      </c>
      <c r="T123" s="14" t="inlineStr">
        <is>
          <t>CITRICOS</t>
        </is>
      </c>
      <c r="U123" s="19">
        <f>IFERROR(166.386*I123/F123,0)</f>
        <v/>
      </c>
      <c r="V123" s="19">
        <f>IFERROR(166.386*M123/F123,0)</f>
        <v/>
      </c>
      <c r="W123" s="19">
        <f>IFERROR(166.386*L123/F123,0)</f>
        <v/>
      </c>
    </row>
    <row r="124">
      <c r="A124" s="14" t="n">
        <v>2206</v>
      </c>
      <c r="B124" s="14" t="inlineStr">
        <is>
          <t>BLANCA TEMPRANA sem 3</t>
        </is>
      </c>
      <c r="C124" s="15" t="n">
        <v>1384</v>
      </c>
      <c r="D124" s="14" t="inlineStr">
        <is>
          <t>RIEGO MARTIN,ANA BELEN</t>
        </is>
      </c>
      <c r="E124" s="14" t="inlineStr">
        <is>
          <t>SALUSTIANA</t>
        </is>
      </c>
      <c r="F124" s="15" t="n">
        <v>11620</v>
      </c>
      <c r="G124" s="16" t="n">
        <v>4276.53</v>
      </c>
      <c r="H124" s="17" t="n">
        <v>0.3680318416523236</v>
      </c>
      <c r="I124" s="16" t="n">
        <v>836.64</v>
      </c>
      <c r="J124" s="16" t="n">
        <v>129.09</v>
      </c>
      <c r="K124" s="16" t="n">
        <v>0</v>
      </c>
      <c r="L124" s="16" t="n">
        <v>0</v>
      </c>
      <c r="M124" s="16" t="n">
        <v>170.39</v>
      </c>
      <c r="N124" s="16" t="n">
        <v>3481.19</v>
      </c>
      <c r="O124" s="17" t="n">
        <v>0.32883</v>
      </c>
      <c r="P124" s="18" t="n">
        <v>12</v>
      </c>
      <c r="Q124" s="18" t="n">
        <v>2</v>
      </c>
      <c r="R124" s="16" t="n">
        <v>3820.95</v>
      </c>
      <c r="S124" s="14" t="inlineStr">
        <is>
          <t>BLANCA TEMPRANA sem 3</t>
        </is>
      </c>
      <c r="T124" s="14" t="inlineStr">
        <is>
          <t>CITRICOS</t>
        </is>
      </c>
      <c r="U124" s="19">
        <f>IFERROR(166.386*I124/F124,0)</f>
        <v/>
      </c>
      <c r="V124" s="19">
        <f>IFERROR(166.386*M124/F124,0)</f>
        <v/>
      </c>
      <c r="W124" s="19">
        <f>IFERROR(166.386*L124/F124,0)</f>
        <v/>
      </c>
    </row>
    <row r="125">
      <c r="A125" s="14" t="n">
        <v>2206</v>
      </c>
      <c r="B125" s="14" t="inlineStr">
        <is>
          <t>BLANCA TEMPRANA sem 3</t>
        </is>
      </c>
      <c r="C125" s="15" t="n">
        <v>1411</v>
      </c>
      <c r="D125" s="14" t="inlineStr">
        <is>
          <t>HERMANOS PEÑA GRIÑAN S.C.</t>
        </is>
      </c>
      <c r="E125" s="14" t="inlineStr">
        <is>
          <t>SALUSTIANA</t>
        </is>
      </c>
      <c r="F125" s="15" t="n">
        <v>12774</v>
      </c>
      <c r="G125" s="16" t="n">
        <v>4784.24</v>
      </c>
      <c r="H125" s="17" t="n">
        <v>0.3745295130734304</v>
      </c>
      <c r="I125" s="16" t="n">
        <v>919.73</v>
      </c>
      <c r="J125" s="16" t="n">
        <v>106.04</v>
      </c>
      <c r="K125" s="16" t="n">
        <v>0</v>
      </c>
      <c r="L125" s="16" t="n">
        <v>0</v>
      </c>
      <c r="M125" s="16" t="n">
        <v>0</v>
      </c>
      <c r="N125" s="16" t="n">
        <v>3758.47</v>
      </c>
      <c r="O125" s="17" t="n">
        <v>0.32295</v>
      </c>
      <c r="P125" s="18" t="n">
        <v>12</v>
      </c>
      <c r="Q125" s="18" t="n">
        <v>2</v>
      </c>
      <c r="R125" s="16" t="n">
        <v>4125.3</v>
      </c>
      <c r="S125" s="14" t="inlineStr">
        <is>
          <t>BLANCA TEMPRANA sem 3</t>
        </is>
      </c>
      <c r="T125" s="14" t="inlineStr">
        <is>
          <t>CITRICOS</t>
        </is>
      </c>
      <c r="U125" s="19">
        <f>IFERROR(166.386*I125/F125,0)</f>
        <v/>
      </c>
      <c r="V125" s="19">
        <f>IFERROR(166.386*M125/F125,0)</f>
        <v/>
      </c>
      <c r="W125" s="19">
        <f>IFERROR(166.386*L125/F125,0)</f>
        <v/>
      </c>
    </row>
    <row r="126">
      <c r="A126" s="14" t="n">
        <v>2206</v>
      </c>
      <c r="B126" s="14" t="inlineStr">
        <is>
          <t>BLANCA TEMPRANA sem 3</t>
        </is>
      </c>
      <c r="C126" s="15" t="n">
        <v>1540</v>
      </c>
      <c r="D126" s="14" t="inlineStr">
        <is>
          <t>AGRICOLA SANCHEZ CUENCA S.C.</t>
        </is>
      </c>
      <c r="E126" s="14" t="inlineStr">
        <is>
          <t>SALUSTIANA</t>
        </is>
      </c>
      <c r="F126" s="15" t="n">
        <v>23480</v>
      </c>
      <c r="G126" s="16" t="n">
        <v>8167.78</v>
      </c>
      <c r="H126" s="17" t="n">
        <v>0.3478611584327087</v>
      </c>
      <c r="I126" s="16" t="n">
        <v>1690.56</v>
      </c>
      <c r="J126" s="16" t="n">
        <v>121.57</v>
      </c>
      <c r="K126" s="16" t="n">
        <v>0</v>
      </c>
      <c r="L126" s="16" t="n">
        <v>0</v>
      </c>
      <c r="M126" s="16" t="n">
        <v>316.02</v>
      </c>
      <c r="N126" s="16" t="n">
        <v>6671.67</v>
      </c>
      <c r="O126" s="17" t="n">
        <v>0.31187</v>
      </c>
      <c r="P126" s="18" t="n">
        <v>12</v>
      </c>
      <c r="Q126" s="18" t="n">
        <v>2</v>
      </c>
      <c r="R126" s="16" t="n">
        <v>7322.82</v>
      </c>
      <c r="S126" s="14" t="inlineStr">
        <is>
          <t>BLANCA TEMPRANA sem 3</t>
        </is>
      </c>
      <c r="T126" s="14" t="inlineStr">
        <is>
          <t>CITRICOS</t>
        </is>
      </c>
      <c r="U126" s="19">
        <f>IFERROR(166.386*I126/F126,0)</f>
        <v/>
      </c>
      <c r="V126" s="19">
        <f>IFERROR(166.386*M126/F126,0)</f>
        <v/>
      </c>
      <c r="W126" s="19">
        <f>IFERROR(166.386*L126/F126,0)</f>
        <v/>
      </c>
    </row>
    <row r="127">
      <c r="A127" s="14" t="n">
        <v>2206</v>
      </c>
      <c r="B127" s="14" t="inlineStr">
        <is>
          <t>BLANCA TEMPRANA sem 3</t>
        </is>
      </c>
      <c r="C127" s="15" t="n">
        <v>1570</v>
      </c>
      <c r="D127" s="14" t="inlineStr">
        <is>
          <t>FAMILIA LOPEZ CASTILLO S.C.</t>
        </is>
      </c>
      <c r="E127" s="14" t="inlineStr">
        <is>
          <t>SALUSTIANA</t>
        </is>
      </c>
      <c r="F127" s="15" t="n">
        <v>21640</v>
      </c>
      <c r="G127" s="16" t="n">
        <v>7291.68</v>
      </c>
      <c r="H127" s="17" t="n">
        <v>0.3369537892791127</v>
      </c>
      <c r="I127" s="16" t="n">
        <v>1558.08</v>
      </c>
      <c r="J127" s="16" t="n">
        <v>294.45</v>
      </c>
      <c r="K127" s="16" t="n">
        <v>0</v>
      </c>
      <c r="L127" s="16" t="n">
        <v>0</v>
      </c>
      <c r="M127" s="16" t="n">
        <v>0</v>
      </c>
      <c r="N127" s="16" t="n">
        <v>5439.15</v>
      </c>
      <c r="O127" s="17" t="n">
        <v>0.27588</v>
      </c>
      <c r="P127" s="18" t="n">
        <v>12</v>
      </c>
      <c r="Q127" s="18" t="n">
        <v>2</v>
      </c>
      <c r="R127" s="16" t="n">
        <v>5970.01</v>
      </c>
      <c r="S127" s="14" t="inlineStr">
        <is>
          <t>BLANCA TEMPRANA sem 3</t>
        </is>
      </c>
      <c r="T127" s="14" t="inlineStr">
        <is>
          <t>CITRICOS</t>
        </is>
      </c>
      <c r="U127" s="19">
        <f>IFERROR(166.386*I127/F127,0)</f>
        <v/>
      </c>
      <c r="V127" s="19">
        <f>IFERROR(166.386*M127/F127,0)</f>
        <v/>
      </c>
      <c r="W127" s="19">
        <f>IFERROR(166.386*L127/F127,0)</f>
        <v/>
      </c>
    </row>
    <row r="128">
      <c r="A128" s="14" t="n">
        <v>2206</v>
      </c>
      <c r="B128" s="14" t="inlineStr">
        <is>
          <t>BLANCA TEMPRANA sem 3</t>
        </is>
      </c>
      <c r="C128" s="15" t="n">
        <v>1582</v>
      </c>
      <c r="D128" s="14" t="inlineStr">
        <is>
          <t>IGEÑO SANCHEZ, JOSE CARLOS</t>
        </is>
      </c>
      <c r="E128" s="14" t="inlineStr">
        <is>
          <t>SALUSTIANA</t>
        </is>
      </c>
      <c r="F128" s="15" t="n">
        <v>24020</v>
      </c>
      <c r="G128" s="16" t="n">
        <v>9095.450000000001</v>
      </c>
      <c r="H128" s="17" t="n">
        <v>0.3786615320566195</v>
      </c>
      <c r="I128" s="16" t="n">
        <v>1729.44</v>
      </c>
      <c r="J128" s="16" t="n">
        <v>114.84</v>
      </c>
      <c r="K128" s="16" t="n">
        <v>0</v>
      </c>
      <c r="L128" s="16" t="n">
        <v>266.62</v>
      </c>
      <c r="M128" s="16" t="n">
        <v>374.29</v>
      </c>
      <c r="N128" s="16" t="n">
        <v>7892.08</v>
      </c>
      <c r="O128" s="17" t="n">
        <v>0.36063</v>
      </c>
      <c r="P128" s="18" t="n">
        <v>12</v>
      </c>
      <c r="Q128" s="18" t="n">
        <v>2</v>
      </c>
      <c r="R128" s="16" t="n">
        <v>8662.35</v>
      </c>
      <c r="S128" s="14" t="inlineStr">
        <is>
          <t>BLANCA TEMPRANA sem 3</t>
        </is>
      </c>
      <c r="T128" s="14" t="inlineStr">
        <is>
          <t>CITRICOS</t>
        </is>
      </c>
      <c r="U128" s="19">
        <f>IFERROR(166.386*I128/F128,0)</f>
        <v/>
      </c>
      <c r="V128" s="19">
        <f>IFERROR(166.386*M128/F128,0)</f>
        <v/>
      </c>
      <c r="W128" s="19">
        <f>IFERROR(166.386*L128/F128,0)</f>
        <v/>
      </c>
    </row>
    <row r="129">
      <c r="A129" s="14" t="n">
        <v>2206</v>
      </c>
      <c r="B129" s="14" t="inlineStr">
        <is>
          <t>BLANCA TEMPRANA sem 3</t>
        </is>
      </c>
      <c r="C129" s="15" t="n">
        <v>1585</v>
      </c>
      <c r="D129" s="14" t="inlineStr">
        <is>
          <t>CESPEDES AGUILAR, PATRICIA</t>
        </is>
      </c>
      <c r="E129" s="14" t="inlineStr">
        <is>
          <t>SALUSTIANA</t>
        </is>
      </c>
      <c r="F129" s="15" t="n">
        <v>21133</v>
      </c>
      <c r="G129" s="16" t="n">
        <v>7130.43</v>
      </c>
      <c r="H129" s="17" t="n">
        <v>0.3374073723560309</v>
      </c>
      <c r="I129" s="16" t="n">
        <v>1521.58</v>
      </c>
      <c r="J129" s="16" t="n">
        <v>142.24</v>
      </c>
      <c r="K129" s="16" t="n">
        <v>0</v>
      </c>
      <c r="L129" s="16" t="n">
        <v>0</v>
      </c>
      <c r="M129" s="16" t="n">
        <v>276.57</v>
      </c>
      <c r="N129" s="16" t="n">
        <v>5743.18</v>
      </c>
      <c r="O129" s="17" t="n">
        <v>0.29829</v>
      </c>
      <c r="P129" s="18" t="n">
        <v>12</v>
      </c>
      <c r="Q129" s="18" t="n">
        <v>2</v>
      </c>
      <c r="R129" s="16" t="n">
        <v>6303.71</v>
      </c>
      <c r="S129" s="14" t="inlineStr">
        <is>
          <t>BLANCA TEMPRANA sem 3</t>
        </is>
      </c>
      <c r="T129" s="14" t="inlineStr">
        <is>
          <t>CITRICOS</t>
        </is>
      </c>
      <c r="U129" s="19">
        <f>IFERROR(166.386*I129/F129,0)</f>
        <v/>
      </c>
      <c r="V129" s="19">
        <f>IFERROR(166.386*M129/F129,0)</f>
        <v/>
      </c>
      <c r="W129" s="19">
        <f>IFERROR(166.386*L129/F129,0)</f>
        <v/>
      </c>
    </row>
    <row r="130">
      <c r="A130" s="14" t="n">
        <v>2207</v>
      </c>
      <c r="B130" s="14" t="inlineStr">
        <is>
          <t>BLANCA TEMPRANA sem 4 y +</t>
        </is>
      </c>
      <c r="C130" s="15" t="n">
        <v>869</v>
      </c>
      <c r="D130" s="14" t="inlineStr">
        <is>
          <t>IGEÑO LUQUE,JOSE</t>
        </is>
      </c>
      <c r="E130" s="14" t="inlineStr">
        <is>
          <t>SALUSTIANA</t>
        </is>
      </c>
      <c r="F130" s="15" t="n">
        <v>34508</v>
      </c>
      <c r="G130" s="16" t="n">
        <v>13200.56</v>
      </c>
      <c r="H130" s="17" t="n">
        <v>0.3825362234844094</v>
      </c>
      <c r="I130" s="16" t="n">
        <v>2476.51</v>
      </c>
      <c r="J130" s="16" t="n">
        <v>179.4</v>
      </c>
      <c r="K130" s="16" t="n">
        <v>0</v>
      </c>
      <c r="L130" s="16" t="n">
        <v>383.04</v>
      </c>
      <c r="M130" s="16" t="n">
        <v>0</v>
      </c>
      <c r="N130" s="16" t="n">
        <v>10927.69</v>
      </c>
      <c r="O130" s="17" t="n">
        <v>0.34758</v>
      </c>
      <c r="P130" s="18" t="n">
        <v>12</v>
      </c>
      <c r="Q130" s="18" t="n">
        <v>2</v>
      </c>
      <c r="R130" s="16" t="n">
        <v>11994.23</v>
      </c>
      <c r="S130" s="14" t="inlineStr">
        <is>
          <t>BLANCA TEMPRANA sem 4 y +</t>
        </is>
      </c>
      <c r="T130" s="14" t="inlineStr">
        <is>
          <t>CITRICOS</t>
        </is>
      </c>
      <c r="U130" s="19">
        <f>IFERROR(166.386*I130/F130,0)</f>
        <v/>
      </c>
      <c r="V130" s="19">
        <f>IFERROR(166.386*M130/F130,0)</f>
        <v/>
      </c>
      <c r="W130" s="19">
        <f>IFERROR(166.386*L130/F130,0)</f>
        <v/>
      </c>
    </row>
    <row r="131">
      <c r="A131" s="14" t="n">
        <v>2207</v>
      </c>
      <c r="B131" s="14" t="inlineStr">
        <is>
          <t>BLANCA TEMPRANA sem 4 y +</t>
        </is>
      </c>
      <c r="C131" s="15" t="n">
        <v>883</v>
      </c>
      <c r="D131" s="14" t="inlineStr">
        <is>
          <t>TORO SANCHEZ,TERESA</t>
        </is>
      </c>
      <c r="E131" s="14" t="inlineStr">
        <is>
          <t>SALUSTIANA</t>
        </is>
      </c>
      <c r="F131" s="15" t="n">
        <v>140757</v>
      </c>
      <c r="G131" s="16" t="n">
        <v>50393.77</v>
      </c>
      <c r="H131" s="17" t="n">
        <v>0.3580196366788153</v>
      </c>
      <c r="I131" s="16" t="n">
        <v>10134.51</v>
      </c>
      <c r="J131" s="16" t="n">
        <v>1036.55</v>
      </c>
      <c r="K131" s="16" t="n">
        <v>0</v>
      </c>
      <c r="L131" s="16" t="n">
        <v>0</v>
      </c>
      <c r="M131" s="16" t="n">
        <v>2116.51</v>
      </c>
      <c r="N131" s="16" t="n">
        <v>41339.22</v>
      </c>
      <c r="O131" s="17" t="n">
        <v>0.32236</v>
      </c>
      <c r="P131" s="18" t="n">
        <v>12</v>
      </c>
      <c r="Q131" s="18" t="n">
        <v>2</v>
      </c>
      <c r="R131" s="16" t="n">
        <v>45373.93</v>
      </c>
      <c r="S131" s="14" t="inlineStr">
        <is>
          <t>BLANCA TEMPRANA sem 4 y +</t>
        </is>
      </c>
      <c r="T131" s="14" t="inlineStr">
        <is>
          <t>CITRICOS</t>
        </is>
      </c>
      <c r="U131" s="19">
        <f>IFERROR(166.386*I131/F131,0)</f>
        <v/>
      </c>
      <c r="V131" s="19">
        <f>IFERROR(166.386*M131/F131,0)</f>
        <v/>
      </c>
      <c r="W131" s="19">
        <f>IFERROR(166.386*L131/F131,0)</f>
        <v/>
      </c>
    </row>
    <row r="132">
      <c r="A132" s="14" t="n">
        <v>2207</v>
      </c>
      <c r="B132" s="14" t="inlineStr">
        <is>
          <t>BLANCA TEMPRANA sem 4 y +</t>
        </is>
      </c>
      <c r="C132" s="15" t="n">
        <v>937</v>
      </c>
      <c r="D132" s="14" t="inlineStr">
        <is>
          <t>GALVEZ MACIAS,FRANCISCO</t>
        </is>
      </c>
      <c r="E132" s="14" t="inlineStr">
        <is>
          <t>SALUSTIANA</t>
        </is>
      </c>
      <c r="F132" s="15" t="n">
        <v>211701</v>
      </c>
      <c r="G132" s="16" t="n">
        <v>71010.71000000001</v>
      </c>
      <c r="H132" s="17" t="n">
        <v>0.3354292610804862</v>
      </c>
      <c r="I132" s="16" t="n">
        <v>13504.39</v>
      </c>
      <c r="J132" s="16" t="n">
        <v>1730.23</v>
      </c>
      <c r="K132" s="16" t="n">
        <v>0</v>
      </c>
      <c r="L132" s="16" t="n">
        <v>0</v>
      </c>
      <c r="M132" s="16" t="n">
        <v>2836.23</v>
      </c>
      <c r="N132" s="16" t="n">
        <v>58612.32</v>
      </c>
      <c r="O132" s="17" t="n">
        <v>0.30389</v>
      </c>
      <c r="P132" s="18" t="n">
        <v>12</v>
      </c>
      <c r="Q132" s="18" t="n">
        <v>2</v>
      </c>
      <c r="R132" s="16" t="n">
        <v>64332.88</v>
      </c>
      <c r="S132" s="14" t="inlineStr">
        <is>
          <t>BLANCA TEMPRANA sem 4 y +</t>
        </is>
      </c>
      <c r="T132" s="14" t="inlineStr">
        <is>
          <t>CITRICOS</t>
        </is>
      </c>
      <c r="U132" s="19">
        <f>IFERROR(166.386*I132/F132,0)</f>
        <v/>
      </c>
      <c r="V132" s="19">
        <f>IFERROR(166.386*M132/F132,0)</f>
        <v/>
      </c>
      <c r="W132" s="19">
        <f>IFERROR(166.386*L132/F132,0)</f>
        <v/>
      </c>
    </row>
    <row r="133">
      <c r="A133" s="14" t="n">
        <v>2207</v>
      </c>
      <c r="B133" s="14" t="inlineStr">
        <is>
          <t>BLANCA TEMPRANA sem 4 y +</t>
        </is>
      </c>
      <c r="C133" s="15" t="n">
        <v>1072</v>
      </c>
      <c r="D133" s="14" t="inlineStr">
        <is>
          <t>GARCIA DELGADO,JUAN MANUEL</t>
        </is>
      </c>
      <c r="E133" s="14" t="inlineStr">
        <is>
          <t>SALUSTIANA</t>
        </is>
      </c>
      <c r="F133" s="15" t="n">
        <v>11898</v>
      </c>
      <c r="G133" s="16" t="n">
        <v>4208.14</v>
      </c>
      <c r="H133" s="17" t="n">
        <v>0.3536846528828375</v>
      </c>
      <c r="I133" s="16" t="n">
        <v>856.66</v>
      </c>
      <c r="J133" s="16" t="n">
        <v>177.24</v>
      </c>
      <c r="K133" s="16" t="n">
        <v>0</v>
      </c>
      <c r="L133" s="16" t="n">
        <v>0</v>
      </c>
      <c r="M133" s="16" t="n">
        <v>0</v>
      </c>
      <c r="N133" s="16" t="n">
        <v>3174.24</v>
      </c>
      <c r="O133" s="17" t="n">
        <v>0.29283</v>
      </c>
      <c r="P133" s="18" t="n">
        <v>12</v>
      </c>
      <c r="Q133" s="18" t="n">
        <v>2</v>
      </c>
      <c r="R133" s="16" t="n">
        <v>3484.05</v>
      </c>
      <c r="S133" s="14" t="inlineStr">
        <is>
          <t>BLANCA TEMPRANA sem 4 y +</t>
        </is>
      </c>
      <c r="T133" s="14" t="inlineStr">
        <is>
          <t>CITRICOS</t>
        </is>
      </c>
      <c r="U133" s="19">
        <f>IFERROR(166.386*I133/F133,0)</f>
        <v/>
      </c>
      <c r="V133" s="19">
        <f>IFERROR(166.386*M133/F133,0)</f>
        <v/>
      </c>
      <c r="W133" s="19">
        <f>IFERROR(166.386*L133/F133,0)</f>
        <v/>
      </c>
    </row>
    <row r="134">
      <c r="A134" s="14" t="n">
        <v>2207</v>
      </c>
      <c r="B134" s="14" t="inlineStr">
        <is>
          <t>BLANCA TEMPRANA sem 4 y +</t>
        </is>
      </c>
      <c r="C134" s="15" t="n">
        <v>1128</v>
      </c>
      <c r="D134" s="14" t="inlineStr">
        <is>
          <t>CARRILLO PEÑALVER,JOSE</t>
        </is>
      </c>
      <c r="E134" s="14" t="inlineStr">
        <is>
          <t>SALUSTIANA</t>
        </is>
      </c>
      <c r="F134" s="15" t="n">
        <v>20913</v>
      </c>
      <c r="G134" s="16" t="n">
        <v>8189</v>
      </c>
      <c r="H134" s="17" t="n">
        <v>0.3915746186582508</v>
      </c>
      <c r="I134" s="16" t="n">
        <v>0</v>
      </c>
      <c r="J134" s="16" t="n">
        <v>368.9</v>
      </c>
      <c r="K134" s="16" t="n">
        <v>0</v>
      </c>
      <c r="L134" s="16" t="n">
        <v>194.67</v>
      </c>
      <c r="M134" s="16" t="n">
        <v>0</v>
      </c>
      <c r="N134" s="16" t="n">
        <v>8014.77</v>
      </c>
      <c r="O134" s="17" t="n">
        <v>0.42065</v>
      </c>
      <c r="P134" s="18" t="n">
        <v>12</v>
      </c>
      <c r="Q134" s="18" t="n">
        <v>2</v>
      </c>
      <c r="R134" s="16" t="n">
        <v>8797.01</v>
      </c>
      <c r="S134" s="14" t="inlineStr">
        <is>
          <t>BLANCA TEMPRANA sem 4 y +</t>
        </is>
      </c>
      <c r="T134" s="14" t="inlineStr">
        <is>
          <t>CITRICOS</t>
        </is>
      </c>
      <c r="U134" s="19">
        <f>IFERROR(166.386*I134/F134,0)</f>
        <v/>
      </c>
      <c r="V134" s="19">
        <f>IFERROR(166.386*M134/F134,0)</f>
        <v/>
      </c>
      <c r="W134" s="19">
        <f>IFERROR(166.386*L134/F134,0)</f>
        <v/>
      </c>
    </row>
    <row r="135">
      <c r="A135" s="14" t="n">
        <v>2207</v>
      </c>
      <c r="B135" s="14" t="inlineStr">
        <is>
          <t>BLANCA TEMPRANA sem 4 y +</t>
        </is>
      </c>
      <c r="C135" s="15" t="n">
        <v>1133</v>
      </c>
      <c r="D135" s="14" t="inlineStr">
        <is>
          <t>MAYFE S.C.</t>
        </is>
      </c>
      <c r="E135" s="14" t="inlineStr">
        <is>
          <t>SALUSTIANA</t>
        </is>
      </c>
      <c r="F135" s="15" t="n">
        <v>69429</v>
      </c>
      <c r="G135" s="16" t="n">
        <v>23375.98</v>
      </c>
      <c r="H135" s="17" t="n">
        <v>0.3366889916317389</v>
      </c>
      <c r="I135" s="16" t="n">
        <v>4998.89</v>
      </c>
      <c r="J135" s="16" t="n">
        <v>659.6</v>
      </c>
      <c r="K135" s="16" t="n">
        <v>0</v>
      </c>
      <c r="L135" s="16" t="n">
        <v>0</v>
      </c>
      <c r="M135" s="16" t="n">
        <v>0</v>
      </c>
      <c r="N135" s="16" t="n">
        <v>17717.49</v>
      </c>
      <c r="O135" s="17" t="n">
        <v>0.2801</v>
      </c>
      <c r="P135" s="18" t="n">
        <v>12</v>
      </c>
      <c r="Q135" s="18" t="n">
        <v>2</v>
      </c>
      <c r="R135" s="16" t="n">
        <v>19446.72</v>
      </c>
      <c r="S135" s="14" t="inlineStr">
        <is>
          <t>BLANCA TEMPRANA sem 4 y +</t>
        </is>
      </c>
      <c r="T135" s="14" t="inlineStr">
        <is>
          <t>CITRICOS</t>
        </is>
      </c>
      <c r="U135" s="19">
        <f>IFERROR(166.386*I135/F135,0)</f>
        <v/>
      </c>
      <c r="V135" s="19">
        <f>IFERROR(166.386*M135/F135,0)</f>
        <v/>
      </c>
      <c r="W135" s="19">
        <f>IFERROR(166.386*L135/F135,0)</f>
        <v/>
      </c>
    </row>
    <row r="136">
      <c r="A136" s="14" t="n">
        <v>2207</v>
      </c>
      <c r="B136" s="14" t="inlineStr">
        <is>
          <t>BLANCA TEMPRANA sem 4 y +</t>
        </is>
      </c>
      <c r="C136" s="15" t="n">
        <v>1178</v>
      </c>
      <c r="D136" s="14" t="inlineStr">
        <is>
          <t>CALZADO GARCIA,FRANCISCO JAVIER</t>
        </is>
      </c>
      <c r="E136" s="14" t="inlineStr">
        <is>
          <t>SALUSTIANA</t>
        </is>
      </c>
      <c r="F136" s="15" t="n">
        <v>73741</v>
      </c>
      <c r="G136" s="16" t="n">
        <v>27580.1</v>
      </c>
      <c r="H136" s="17" t="n">
        <v>0.3740130999037171</v>
      </c>
      <c r="I136" s="16" t="n">
        <v>5309.36</v>
      </c>
      <c r="J136" s="16" t="n">
        <v>908.01</v>
      </c>
      <c r="K136" s="16" t="n">
        <v>0</v>
      </c>
      <c r="L136" s="16" t="n">
        <v>0</v>
      </c>
      <c r="M136" s="16" t="n">
        <v>1175.79</v>
      </c>
      <c r="N136" s="16" t="n">
        <v>22538.52</v>
      </c>
      <c r="O136" s="17" t="n">
        <v>0.33548</v>
      </c>
      <c r="P136" s="18" t="n">
        <v>12</v>
      </c>
      <c r="Q136" s="18" t="n">
        <v>2</v>
      </c>
      <c r="R136" s="16" t="n">
        <v>24738.28</v>
      </c>
      <c r="S136" s="14" t="inlineStr">
        <is>
          <t>BLANCA TEMPRANA sem 4 y +</t>
        </is>
      </c>
      <c r="T136" s="14" t="inlineStr">
        <is>
          <t>CITRICOS</t>
        </is>
      </c>
      <c r="U136" s="19">
        <f>IFERROR(166.386*I136/F136,0)</f>
        <v/>
      </c>
      <c r="V136" s="19">
        <f>IFERROR(166.386*M136/F136,0)</f>
        <v/>
      </c>
      <c r="W136" s="19">
        <f>IFERROR(166.386*L136/F136,0)</f>
        <v/>
      </c>
    </row>
    <row r="137">
      <c r="A137" s="14" t="n">
        <v>2207</v>
      </c>
      <c r="B137" s="14" t="inlineStr">
        <is>
          <t>BLANCA TEMPRANA sem 4 y +</t>
        </is>
      </c>
      <c r="C137" s="15" t="n">
        <v>1202</v>
      </c>
      <c r="D137" s="14" t="inlineStr">
        <is>
          <t>FUENTES HINOJOSA,MANUEL</t>
        </is>
      </c>
      <c r="E137" s="14" t="inlineStr">
        <is>
          <t>SALUSTIANA</t>
        </is>
      </c>
      <c r="F137" s="15" t="n">
        <v>30834</v>
      </c>
      <c r="G137" s="16" t="n">
        <v>11947.03</v>
      </c>
      <c r="H137" s="17" t="n">
        <v>0.3874628656677693</v>
      </c>
      <c r="I137" s="16" t="n">
        <v>2220.05</v>
      </c>
      <c r="J137" s="16" t="n">
        <v>457.66</v>
      </c>
      <c r="K137" s="16" t="n">
        <v>0</v>
      </c>
      <c r="L137" s="16" t="n">
        <v>0</v>
      </c>
      <c r="M137" s="16" t="n">
        <v>0</v>
      </c>
      <c r="N137" s="16" t="n">
        <v>9269.32</v>
      </c>
      <c r="O137" s="17" t="n">
        <v>0.32996</v>
      </c>
      <c r="P137" s="18" t="n">
        <v>12</v>
      </c>
      <c r="Q137" s="18" t="n">
        <v>2</v>
      </c>
      <c r="R137" s="16" t="n">
        <v>10174.01</v>
      </c>
      <c r="S137" s="14" t="inlineStr">
        <is>
          <t>BLANCA TEMPRANA sem 4 y +</t>
        </is>
      </c>
      <c r="T137" s="14" t="inlineStr">
        <is>
          <t>CITRICOS</t>
        </is>
      </c>
      <c r="U137" s="19">
        <f>IFERROR(166.386*I137/F137,0)</f>
        <v/>
      </c>
      <c r="V137" s="19">
        <f>IFERROR(166.386*M137/F137,0)</f>
        <v/>
      </c>
      <c r="W137" s="19">
        <f>IFERROR(166.386*L137/F137,0)</f>
        <v/>
      </c>
    </row>
    <row r="138">
      <c r="A138" s="14" t="n">
        <v>2207</v>
      </c>
      <c r="B138" s="14" t="inlineStr">
        <is>
          <t>BLANCA TEMPRANA sem 4 y +</t>
        </is>
      </c>
      <c r="C138" s="15" t="n">
        <v>1219</v>
      </c>
      <c r="D138" s="14" t="inlineStr">
        <is>
          <t>LORA BUIZA,GREGORIO</t>
        </is>
      </c>
      <c r="E138" s="14" t="inlineStr">
        <is>
          <t>SALUSTIANA</t>
        </is>
      </c>
      <c r="F138" s="15" t="n">
        <v>3679</v>
      </c>
      <c r="G138" s="16" t="n">
        <v>1259.38</v>
      </c>
      <c r="H138" s="17" t="n">
        <v>0.3423158466974721</v>
      </c>
      <c r="I138" s="16" t="n">
        <v>264.89</v>
      </c>
      <c r="J138" s="16" t="n">
        <v>27.62</v>
      </c>
      <c r="K138" s="16" t="n">
        <v>0</v>
      </c>
      <c r="L138" s="16" t="n">
        <v>0</v>
      </c>
      <c r="M138" s="16" t="n">
        <v>0</v>
      </c>
      <c r="N138" s="16" t="n">
        <v>966.87</v>
      </c>
      <c r="O138" s="17" t="n">
        <v>0.28846</v>
      </c>
      <c r="P138" s="18" t="n">
        <v>12</v>
      </c>
      <c r="Q138" s="18" t="n">
        <v>2</v>
      </c>
      <c r="R138" s="16" t="n">
        <v>1061.24</v>
      </c>
      <c r="S138" s="14" t="inlineStr">
        <is>
          <t>BLANCA TEMPRANA sem 4 y +</t>
        </is>
      </c>
      <c r="T138" s="14" t="inlineStr">
        <is>
          <t>CITRICOS</t>
        </is>
      </c>
      <c r="U138" s="19">
        <f>IFERROR(166.386*I138/F138,0)</f>
        <v/>
      </c>
      <c r="V138" s="19">
        <f>IFERROR(166.386*M138/F138,0)</f>
        <v/>
      </c>
      <c r="W138" s="19">
        <f>IFERROR(166.386*L138/F138,0)</f>
        <v/>
      </c>
    </row>
    <row r="139">
      <c r="A139" s="14" t="n">
        <v>2207</v>
      </c>
      <c r="B139" s="14" t="inlineStr">
        <is>
          <t>BLANCA TEMPRANA sem 4 y +</t>
        </is>
      </c>
      <c r="C139" s="15" t="n">
        <v>1251</v>
      </c>
      <c r="D139" s="14" t="inlineStr">
        <is>
          <t>DURAN ALMENARA,ANGELES</t>
        </is>
      </c>
      <c r="E139" s="14" t="inlineStr">
        <is>
          <t>SALUSTIANA</t>
        </is>
      </c>
      <c r="F139" s="15" t="n">
        <v>38737</v>
      </c>
      <c r="G139" s="16" t="n">
        <v>13484.29</v>
      </c>
      <c r="H139" s="17" t="n">
        <v>0.3480984588378037</v>
      </c>
      <c r="I139" s="16" t="n">
        <v>2789.06</v>
      </c>
      <c r="J139" s="16" t="n">
        <v>176.61</v>
      </c>
      <c r="K139" s="16" t="n">
        <v>0</v>
      </c>
      <c r="L139" s="16" t="n">
        <v>0</v>
      </c>
      <c r="M139" s="16" t="n">
        <v>0</v>
      </c>
      <c r="N139" s="16" t="n">
        <v>10518.62</v>
      </c>
      <c r="O139" s="17" t="n">
        <v>0.29804</v>
      </c>
      <c r="P139" s="18" t="n">
        <v>12</v>
      </c>
      <c r="Q139" s="18" t="n">
        <v>2</v>
      </c>
      <c r="R139" s="16" t="n">
        <v>11545.24</v>
      </c>
      <c r="S139" s="14" t="inlineStr">
        <is>
          <t>BLANCA TEMPRANA sem 4 y +</t>
        </is>
      </c>
      <c r="T139" s="14" t="inlineStr">
        <is>
          <t>CITRICOS</t>
        </is>
      </c>
      <c r="U139" s="19">
        <f>IFERROR(166.386*I139/F139,0)</f>
        <v/>
      </c>
      <c r="V139" s="19">
        <f>IFERROR(166.386*M139/F139,0)</f>
        <v/>
      </c>
      <c r="W139" s="19">
        <f>IFERROR(166.386*L139/F139,0)</f>
        <v/>
      </c>
    </row>
    <row r="140">
      <c r="A140" s="14" t="n">
        <v>2207</v>
      </c>
      <c r="B140" s="14" t="inlineStr">
        <is>
          <t>BLANCA TEMPRANA sem 4 y +</t>
        </is>
      </c>
      <c r="C140" s="15" t="n">
        <v>1272</v>
      </c>
      <c r="D140" s="14" t="inlineStr">
        <is>
          <t>HERMANOS GONZALEZ ROLDAN,S.C.</t>
        </is>
      </c>
      <c r="E140" s="14" t="inlineStr">
        <is>
          <t>SALUSTIANA</t>
        </is>
      </c>
      <c r="F140" s="15" t="n">
        <v>74671</v>
      </c>
      <c r="G140" s="16" t="n">
        <v>23566.58</v>
      </c>
      <c r="H140" s="17" t="n">
        <v>0.3156055228937606</v>
      </c>
      <c r="I140" s="16" t="n">
        <v>5376.32</v>
      </c>
      <c r="J140" s="16" t="n">
        <v>1372.38</v>
      </c>
      <c r="K140" s="16" t="n">
        <v>328.139992067</v>
      </c>
      <c r="L140" s="16" t="n">
        <v>0</v>
      </c>
      <c r="M140" s="16" t="n">
        <v>921.38</v>
      </c>
      <c r="N140" s="16" t="n">
        <v>18067.4</v>
      </c>
      <c r="O140" s="17" t="n">
        <v>0.26558</v>
      </c>
      <c r="P140" s="18" t="n">
        <v>12</v>
      </c>
      <c r="Q140" s="18" t="n">
        <v>2</v>
      </c>
      <c r="R140" s="16" t="n">
        <v>19830.78</v>
      </c>
      <c r="S140" s="14" t="inlineStr">
        <is>
          <t>BLANCA TEMPRANA sem 4 y +</t>
        </is>
      </c>
      <c r="T140" s="14" t="inlineStr">
        <is>
          <t>CITRICOS</t>
        </is>
      </c>
      <c r="U140" s="19">
        <f>IFERROR(166.386*I140/F140,0)</f>
        <v/>
      </c>
      <c r="V140" s="19">
        <f>IFERROR(166.386*M140/F140,0)</f>
        <v/>
      </c>
      <c r="W140" s="19">
        <f>IFERROR(166.386*L140/F140,0)</f>
        <v/>
      </c>
    </row>
    <row r="141">
      <c r="A141" s="14" t="n">
        <v>2207</v>
      </c>
      <c r="B141" s="14" t="inlineStr">
        <is>
          <t>BLANCA TEMPRANA sem 4 y +</t>
        </is>
      </c>
      <c r="C141" s="15" t="n">
        <v>1316</v>
      </c>
      <c r="D141" s="14" t="inlineStr">
        <is>
          <t>JIMENA GARCIA,JUAN MANUEL</t>
        </is>
      </c>
      <c r="E141" s="14" t="inlineStr">
        <is>
          <t>SALUSTIANA</t>
        </is>
      </c>
      <c r="F141" s="15" t="n">
        <v>57732</v>
      </c>
      <c r="G141" s="16" t="n">
        <v>19428.84</v>
      </c>
      <c r="H141" s="17" t="n">
        <v>0.3365350239035543</v>
      </c>
      <c r="I141" s="16" t="n">
        <v>4156.7</v>
      </c>
      <c r="J141" s="16" t="n">
        <v>388.12</v>
      </c>
      <c r="K141" s="16" t="n">
        <v>0</v>
      </c>
      <c r="L141" s="16" t="n">
        <v>0</v>
      </c>
      <c r="M141" s="16" t="n">
        <v>0</v>
      </c>
      <c r="N141" s="16" t="n">
        <v>14884.02</v>
      </c>
      <c r="O141" s="17" t="n">
        <v>0.28297</v>
      </c>
      <c r="P141" s="18" t="n">
        <v>12</v>
      </c>
      <c r="Q141" s="18" t="n">
        <v>2</v>
      </c>
      <c r="R141" s="16" t="n">
        <v>16336.7</v>
      </c>
      <c r="S141" s="14" t="inlineStr">
        <is>
          <t>BLANCA TEMPRANA sem 4 y +</t>
        </is>
      </c>
      <c r="T141" s="14" t="inlineStr">
        <is>
          <t>CITRICOS</t>
        </is>
      </c>
      <c r="U141" s="19">
        <f>IFERROR(166.386*I141/F141,0)</f>
        <v/>
      </c>
      <c r="V141" s="19">
        <f>IFERROR(166.386*M141/F141,0)</f>
        <v/>
      </c>
      <c r="W141" s="19">
        <f>IFERROR(166.386*L141/F141,0)</f>
        <v/>
      </c>
    </row>
    <row r="142">
      <c r="A142" s="14" t="n">
        <v>2207</v>
      </c>
      <c r="B142" s="14" t="inlineStr">
        <is>
          <t>BLANCA TEMPRANA sem 4 y +</t>
        </is>
      </c>
      <c r="C142" s="15" t="n">
        <v>1350</v>
      </c>
      <c r="D142" s="14" t="inlineStr">
        <is>
          <t>FAMILIA GONZALEZ LACAL S.C.</t>
        </is>
      </c>
      <c r="E142" s="14" t="inlineStr">
        <is>
          <t>SALUSTIANA</t>
        </is>
      </c>
      <c r="F142" s="15" t="n">
        <v>24320</v>
      </c>
      <c r="G142" s="16" t="n">
        <v>8122.34</v>
      </c>
      <c r="H142" s="17" t="n">
        <v>0.3339777960526316</v>
      </c>
      <c r="I142" s="16" t="n">
        <v>1751.04</v>
      </c>
      <c r="J142" s="16" t="n">
        <v>339.66</v>
      </c>
      <c r="K142" s="16" t="n">
        <v>0</v>
      </c>
      <c r="L142" s="16" t="n">
        <v>0</v>
      </c>
      <c r="M142" s="16" t="n">
        <v>306.98</v>
      </c>
      <c r="N142" s="16" t="n">
        <v>6338.62</v>
      </c>
      <c r="O142" s="17" t="n">
        <v>0.28607</v>
      </c>
      <c r="P142" s="18" t="n">
        <v>12</v>
      </c>
      <c r="Q142" s="18" t="n">
        <v>2</v>
      </c>
      <c r="R142" s="16" t="n">
        <v>6957.27</v>
      </c>
      <c r="S142" s="14" t="inlineStr">
        <is>
          <t>BLANCA TEMPRANA sem 4 y +</t>
        </is>
      </c>
      <c r="T142" s="14" t="inlineStr">
        <is>
          <t>CITRICOS</t>
        </is>
      </c>
      <c r="U142" s="19">
        <f>IFERROR(166.386*I142/F142,0)</f>
        <v/>
      </c>
      <c r="V142" s="19">
        <f>IFERROR(166.386*M142/F142,0)</f>
        <v/>
      </c>
      <c r="W142" s="19">
        <f>IFERROR(166.386*L142/F142,0)</f>
        <v/>
      </c>
    </row>
    <row r="143">
      <c r="A143" s="14" t="n">
        <v>2207</v>
      </c>
      <c r="B143" s="14" t="inlineStr">
        <is>
          <t>BLANCA TEMPRANA sem 4 y +</t>
        </is>
      </c>
      <c r="C143" s="15" t="n">
        <v>1354</v>
      </c>
      <c r="D143" s="14" t="inlineStr">
        <is>
          <t>MARTIN PORTALES,ALFREDO</t>
        </is>
      </c>
      <c r="E143" s="14" t="inlineStr">
        <is>
          <t>SALUSTIANA</t>
        </is>
      </c>
      <c r="F143" s="15" t="n">
        <v>148012</v>
      </c>
      <c r="G143" s="16" t="n">
        <v>53301.47</v>
      </c>
      <c r="H143" s="17" t="n">
        <v>0.3601158689835959</v>
      </c>
      <c r="I143" s="16" t="n">
        <v>10656.87</v>
      </c>
      <c r="J143" s="16" t="n">
        <v>988.5599999999999</v>
      </c>
      <c r="K143" s="16" t="n">
        <v>0</v>
      </c>
      <c r="L143" s="16" t="n">
        <v>0</v>
      </c>
      <c r="M143" s="16" t="n">
        <v>0</v>
      </c>
      <c r="N143" s="16" t="n">
        <v>41656.04</v>
      </c>
      <c r="O143" s="17" t="n">
        <v>0.30891</v>
      </c>
      <c r="P143" s="18" t="n">
        <v>12</v>
      </c>
      <c r="Q143" s="18" t="n">
        <v>2</v>
      </c>
      <c r="R143" s="16" t="n">
        <v>45721.67</v>
      </c>
      <c r="S143" s="14" t="inlineStr">
        <is>
          <t>BLANCA TEMPRANA sem 4 y +</t>
        </is>
      </c>
      <c r="T143" s="14" t="inlineStr">
        <is>
          <t>CITRICOS</t>
        </is>
      </c>
      <c r="U143" s="19">
        <f>IFERROR(166.386*I143/F143,0)</f>
        <v/>
      </c>
      <c r="V143" s="19">
        <f>IFERROR(166.386*M143/F143,0)</f>
        <v/>
      </c>
      <c r="W143" s="19">
        <f>IFERROR(166.386*L143/F143,0)</f>
        <v/>
      </c>
    </row>
    <row r="144">
      <c r="A144" s="14" t="n">
        <v>2207</v>
      </c>
      <c r="B144" s="14" t="inlineStr">
        <is>
          <t>BLANCA TEMPRANA sem 4 y +</t>
        </is>
      </c>
      <c r="C144" s="15" t="n">
        <v>1355</v>
      </c>
      <c r="D144" s="14" t="inlineStr">
        <is>
          <t>CANO MANZANARES,JUAN ANTONIO</t>
        </is>
      </c>
      <c r="E144" s="14" t="inlineStr">
        <is>
          <t>SALUSTIANA</t>
        </is>
      </c>
      <c r="F144" s="15" t="n">
        <v>212858</v>
      </c>
      <c r="G144" s="16" t="n">
        <v>81403.11</v>
      </c>
      <c r="H144" s="17" t="n">
        <v>0.3824291781375377</v>
      </c>
      <c r="I144" s="16" t="n">
        <v>15356.78</v>
      </c>
      <c r="J144" s="16" t="n">
        <v>836.58</v>
      </c>
      <c r="K144" s="16" t="n">
        <v>0</v>
      </c>
      <c r="L144" s="16" t="n">
        <v>2094.37</v>
      </c>
      <c r="M144" s="16" t="n">
        <v>3410.06</v>
      </c>
      <c r="N144" s="16" t="n">
        <v>70714.17999999999</v>
      </c>
      <c r="O144" s="17" t="n">
        <v>0.36464</v>
      </c>
      <c r="P144" s="18" t="n">
        <v>12</v>
      </c>
      <c r="Q144" s="18" t="n">
        <v>2</v>
      </c>
      <c r="R144" s="16" t="n">
        <v>77615.88</v>
      </c>
      <c r="S144" s="14" t="inlineStr">
        <is>
          <t>BLANCA TEMPRANA sem 4 y +</t>
        </is>
      </c>
      <c r="T144" s="14" t="inlineStr">
        <is>
          <t>CITRICOS</t>
        </is>
      </c>
      <c r="U144" s="19">
        <f>IFERROR(166.386*I144/F144,0)</f>
        <v/>
      </c>
      <c r="V144" s="19">
        <f>IFERROR(166.386*M144/F144,0)</f>
        <v/>
      </c>
      <c r="W144" s="19">
        <f>IFERROR(166.386*L144/F144,0)</f>
        <v/>
      </c>
    </row>
    <row r="145">
      <c r="A145" s="14" t="n">
        <v>2207</v>
      </c>
      <c r="B145" s="14" t="inlineStr">
        <is>
          <t>BLANCA TEMPRANA sem 4 y +</t>
        </is>
      </c>
      <c r="C145" s="15" t="n">
        <v>1374</v>
      </c>
      <c r="D145" s="14" t="inlineStr">
        <is>
          <t>MORENO SANCHEZ,JOSE ANTONIO</t>
        </is>
      </c>
      <c r="E145" s="14" t="inlineStr">
        <is>
          <t>SALUSTIANA</t>
        </is>
      </c>
      <c r="F145" s="15" t="n">
        <v>51699</v>
      </c>
      <c r="G145" s="16" t="n">
        <v>19898.38</v>
      </c>
      <c r="H145" s="17" t="n">
        <v>0.384889069421072</v>
      </c>
      <c r="I145" s="16" t="n">
        <v>3722.33</v>
      </c>
      <c r="J145" s="16" t="n">
        <v>285.84</v>
      </c>
      <c r="K145" s="16" t="n">
        <v>0</v>
      </c>
      <c r="L145" s="16" t="n">
        <v>0</v>
      </c>
      <c r="M145" s="16" t="n">
        <v>0</v>
      </c>
      <c r="N145" s="16" t="n">
        <v>15890.21</v>
      </c>
      <c r="O145" s="17" t="n">
        <v>0.33736</v>
      </c>
      <c r="P145" s="18" t="n">
        <v>12</v>
      </c>
      <c r="Q145" s="18" t="n">
        <v>2</v>
      </c>
      <c r="R145" s="16" t="n">
        <v>17441.09</v>
      </c>
      <c r="S145" s="14" t="inlineStr">
        <is>
          <t>BLANCA TEMPRANA sem 4 y +</t>
        </is>
      </c>
      <c r="T145" s="14" t="inlineStr">
        <is>
          <t>CITRICOS</t>
        </is>
      </c>
      <c r="U145" s="19">
        <f>IFERROR(166.386*I145/F145,0)</f>
        <v/>
      </c>
      <c r="V145" s="19">
        <f>IFERROR(166.386*M145/F145,0)</f>
        <v/>
      </c>
      <c r="W145" s="19">
        <f>IFERROR(166.386*L145/F145,0)</f>
        <v/>
      </c>
    </row>
    <row r="146">
      <c r="A146" s="14" t="n">
        <v>2207</v>
      </c>
      <c r="B146" s="14" t="inlineStr">
        <is>
          <t>BLANCA TEMPRANA sem 4 y +</t>
        </is>
      </c>
      <c r="C146" s="15" t="n">
        <v>1389</v>
      </c>
      <c r="D146" s="14" t="inlineStr">
        <is>
          <t>AGRICOLA HUERTA LA MEJORA S.C.</t>
        </is>
      </c>
      <c r="E146" s="14" t="inlineStr">
        <is>
          <t>SALUSTIANA</t>
        </is>
      </c>
      <c r="F146" s="15" t="n">
        <v>47840</v>
      </c>
      <c r="G146" s="16" t="n">
        <v>18031.68</v>
      </c>
      <c r="H146" s="17" t="n">
        <v>0.3769163879598662</v>
      </c>
      <c r="I146" s="16" t="n">
        <v>3444.48</v>
      </c>
      <c r="J146" s="16" t="n">
        <v>719.65</v>
      </c>
      <c r="K146" s="16" t="n">
        <v>0</v>
      </c>
      <c r="L146" s="16" t="n">
        <v>0</v>
      </c>
      <c r="M146" s="16" t="n">
        <v>757.92</v>
      </c>
      <c r="N146" s="16" t="n">
        <v>14625.47</v>
      </c>
      <c r="O146" s="17" t="n">
        <v>0.33555</v>
      </c>
      <c r="P146" s="18" t="n">
        <v>12</v>
      </c>
      <c r="Q146" s="18" t="n">
        <v>2</v>
      </c>
      <c r="R146" s="16" t="n">
        <v>16052.92</v>
      </c>
      <c r="S146" s="14" t="inlineStr">
        <is>
          <t>BLANCA TEMPRANA sem 4 y +</t>
        </is>
      </c>
      <c r="T146" s="14" t="inlineStr">
        <is>
          <t>CITRICOS</t>
        </is>
      </c>
      <c r="U146" s="19">
        <f>IFERROR(166.386*I146/F146,0)</f>
        <v/>
      </c>
      <c r="V146" s="19">
        <f>IFERROR(166.386*M146/F146,0)</f>
        <v/>
      </c>
      <c r="W146" s="19">
        <f>IFERROR(166.386*L146/F146,0)</f>
        <v/>
      </c>
    </row>
    <row r="147">
      <c r="A147" s="14" t="n">
        <v>2207</v>
      </c>
      <c r="B147" s="14" t="inlineStr">
        <is>
          <t>BLANCA TEMPRANA sem 4 y +</t>
        </is>
      </c>
      <c r="C147" s="15" t="n">
        <v>1395</v>
      </c>
      <c r="D147" s="14" t="inlineStr">
        <is>
          <t>AGRICOLA HERMANOS BUIZA S.C.</t>
        </is>
      </c>
      <c r="E147" s="14" t="inlineStr">
        <is>
          <t>SALUSTIANA</t>
        </is>
      </c>
      <c r="F147" s="15" t="n">
        <v>22880</v>
      </c>
      <c r="G147" s="16" t="n">
        <v>7948.23</v>
      </c>
      <c r="H147" s="17" t="n">
        <v>0.3473876748251749</v>
      </c>
      <c r="I147" s="16" t="n">
        <v>1647.36</v>
      </c>
      <c r="J147" s="16" t="n">
        <v>86.45</v>
      </c>
      <c r="K147" s="16" t="n">
        <v>0</v>
      </c>
      <c r="L147" s="16" t="n">
        <v>114.55</v>
      </c>
      <c r="M147" s="16" t="n">
        <v>328.22</v>
      </c>
      <c r="N147" s="16" t="n">
        <v>6657.19</v>
      </c>
      <c r="O147" s="17" t="n">
        <v>0.31936</v>
      </c>
      <c r="P147" s="18" t="n">
        <v>12</v>
      </c>
      <c r="Q147" s="18" t="n">
        <v>2</v>
      </c>
      <c r="R147" s="16" t="n">
        <v>7306.93</v>
      </c>
      <c r="S147" s="14" t="inlineStr">
        <is>
          <t>BLANCA TEMPRANA sem 4 y +</t>
        </is>
      </c>
      <c r="T147" s="14" t="inlineStr">
        <is>
          <t>CITRICOS</t>
        </is>
      </c>
      <c r="U147" s="19">
        <f>IFERROR(166.386*I147/F147,0)</f>
        <v/>
      </c>
      <c r="V147" s="19">
        <f>IFERROR(166.386*M147/F147,0)</f>
        <v/>
      </c>
      <c r="W147" s="19">
        <f>IFERROR(166.386*L147/F147,0)</f>
        <v/>
      </c>
    </row>
    <row r="148">
      <c r="A148" s="14" t="n">
        <v>2207</v>
      </c>
      <c r="B148" s="14" t="inlineStr">
        <is>
          <t>BLANCA TEMPRANA sem 4 y +</t>
        </is>
      </c>
      <c r="C148" s="15" t="n">
        <v>1411</v>
      </c>
      <c r="D148" s="14" t="inlineStr">
        <is>
          <t>HERMANOS PEÑA GRIÑAN S.C.</t>
        </is>
      </c>
      <c r="E148" s="14" t="inlineStr">
        <is>
          <t>SALUSTIANA</t>
        </is>
      </c>
      <c r="F148" s="15" t="n">
        <v>66051</v>
      </c>
      <c r="G148" s="16" t="n">
        <v>24568.15</v>
      </c>
      <c r="H148" s="17" t="n">
        <v>0.3719572754386762</v>
      </c>
      <c r="I148" s="16" t="n">
        <v>4753.65</v>
      </c>
      <c r="J148" s="16" t="n">
        <v>548.33</v>
      </c>
      <c r="K148" s="16" t="n">
        <v>0</v>
      </c>
      <c r="L148" s="16" t="n">
        <v>0</v>
      </c>
      <c r="M148" s="16" t="n">
        <v>0</v>
      </c>
      <c r="N148" s="16" t="n">
        <v>19266.17</v>
      </c>
      <c r="O148" s="17" t="n">
        <v>0.32015</v>
      </c>
      <c r="P148" s="18" t="n">
        <v>12</v>
      </c>
      <c r="Q148" s="18" t="n">
        <v>2</v>
      </c>
      <c r="R148" s="16" t="n">
        <v>21146.55</v>
      </c>
      <c r="S148" s="14" t="inlineStr">
        <is>
          <t>BLANCA TEMPRANA sem 4 y +</t>
        </is>
      </c>
      <c r="T148" s="14" t="inlineStr">
        <is>
          <t>CITRICOS</t>
        </is>
      </c>
      <c r="U148" s="19">
        <f>IFERROR(166.386*I148/F148,0)</f>
        <v/>
      </c>
      <c r="V148" s="19">
        <f>IFERROR(166.386*M148/F148,0)</f>
        <v/>
      </c>
      <c r="W148" s="19">
        <f>IFERROR(166.386*L148/F148,0)</f>
        <v/>
      </c>
    </row>
    <row r="149">
      <c r="A149" s="14" t="n">
        <v>2207</v>
      </c>
      <c r="B149" s="14" t="inlineStr">
        <is>
          <t>BLANCA TEMPRANA sem 4 y +</t>
        </is>
      </c>
      <c r="C149" s="15" t="n">
        <v>1419</v>
      </c>
      <c r="D149" s="14" t="inlineStr">
        <is>
          <t>MORAL GARCIA,JOSE ANTONIO</t>
        </is>
      </c>
      <c r="E149" s="14" t="inlineStr">
        <is>
          <t>SALUSTIANA</t>
        </is>
      </c>
      <c r="F149" s="15" t="n">
        <v>22950</v>
      </c>
      <c r="G149" s="16" t="n">
        <v>7464.66</v>
      </c>
      <c r="H149" s="17" t="n">
        <v>0.3252575163398693</v>
      </c>
      <c r="I149" s="16" t="n">
        <v>1652.4</v>
      </c>
      <c r="J149" s="16" t="n">
        <v>142.89</v>
      </c>
      <c r="K149" s="16" t="n">
        <v>0</v>
      </c>
      <c r="L149" s="16" t="n">
        <v>114.44</v>
      </c>
      <c r="M149" s="16" t="n">
        <v>0</v>
      </c>
      <c r="N149" s="16" t="n">
        <v>5783.81</v>
      </c>
      <c r="O149" s="17" t="n">
        <v>0.27661</v>
      </c>
      <c r="P149" s="18" t="n">
        <v>12</v>
      </c>
      <c r="Q149" s="18" t="n">
        <v>2</v>
      </c>
      <c r="R149" s="16" t="n">
        <v>6348.31</v>
      </c>
      <c r="S149" s="14" t="inlineStr">
        <is>
          <t>BLANCA TEMPRANA sem 4 y +</t>
        </is>
      </c>
      <c r="T149" s="14" t="inlineStr">
        <is>
          <t>CITRICOS</t>
        </is>
      </c>
      <c r="U149" s="19">
        <f>IFERROR(166.386*I149/F149,0)</f>
        <v/>
      </c>
      <c r="V149" s="19">
        <f>IFERROR(166.386*M149/F149,0)</f>
        <v/>
      </c>
      <c r="W149" s="19">
        <f>IFERROR(166.386*L149/F149,0)</f>
        <v/>
      </c>
    </row>
    <row r="150">
      <c r="A150" s="14" t="n">
        <v>2207</v>
      </c>
      <c r="B150" s="14" t="inlineStr">
        <is>
          <t>BLANCA TEMPRANA sem 4 y +</t>
        </is>
      </c>
      <c r="C150" s="15" t="n">
        <v>1421</v>
      </c>
      <c r="D150" s="14" t="inlineStr">
        <is>
          <t>GARCIA GONZALEZ,ISIDORA</t>
        </is>
      </c>
      <c r="E150" s="14" t="inlineStr">
        <is>
          <t>SALUSTIANA</t>
        </is>
      </c>
      <c r="F150" s="15" t="n">
        <v>36875</v>
      </c>
      <c r="G150" s="16" t="n">
        <v>12343.35</v>
      </c>
      <c r="H150" s="17" t="n">
        <v>0.3347349152542373</v>
      </c>
      <c r="I150" s="16" t="n">
        <v>2655</v>
      </c>
      <c r="J150" s="16" t="n">
        <v>214.5</v>
      </c>
      <c r="K150" s="16" t="n">
        <v>0</v>
      </c>
      <c r="L150" s="16" t="n">
        <v>0</v>
      </c>
      <c r="M150" s="16" t="n">
        <v>0</v>
      </c>
      <c r="N150" s="16" t="n">
        <v>9473.85</v>
      </c>
      <c r="O150" s="17" t="n">
        <v>0.28199</v>
      </c>
      <c r="P150" s="18" t="n">
        <v>12</v>
      </c>
      <c r="Q150" s="18" t="n">
        <v>2</v>
      </c>
      <c r="R150" s="16" t="n">
        <v>10398.5</v>
      </c>
      <c r="S150" s="14" t="inlineStr">
        <is>
          <t>BLANCA TEMPRANA sem 4 y +</t>
        </is>
      </c>
      <c r="T150" s="14" t="inlineStr">
        <is>
          <t>CITRICOS</t>
        </is>
      </c>
      <c r="U150" s="19">
        <f>IFERROR(166.386*I150/F150,0)</f>
        <v/>
      </c>
      <c r="V150" s="19">
        <f>IFERROR(166.386*M150/F150,0)</f>
        <v/>
      </c>
      <c r="W150" s="19">
        <f>IFERROR(166.386*L150/F150,0)</f>
        <v/>
      </c>
    </row>
    <row r="151">
      <c r="A151" s="14" t="n">
        <v>2207</v>
      </c>
      <c r="B151" s="14" t="inlineStr">
        <is>
          <t>BLANCA TEMPRANA sem 4 y +</t>
        </is>
      </c>
      <c r="C151" s="15" t="n">
        <v>1443</v>
      </c>
      <c r="D151" s="14" t="inlineStr">
        <is>
          <t>TOMENO SUAREZ,ALBERTO</t>
        </is>
      </c>
      <c r="E151" s="14" t="inlineStr">
        <is>
          <t>SALUSTIANA</t>
        </is>
      </c>
      <c r="F151" s="15" t="n">
        <v>34222</v>
      </c>
      <c r="G151" s="16" t="n">
        <v>11662.25</v>
      </c>
      <c r="H151" s="17" t="n">
        <v>0.3407822453392554</v>
      </c>
      <c r="I151" s="16" t="n">
        <v>0</v>
      </c>
      <c r="J151" s="16" t="n">
        <v>211.61</v>
      </c>
      <c r="K151" s="16" t="n">
        <v>0</v>
      </c>
      <c r="L151" s="16" t="n">
        <v>124.94</v>
      </c>
      <c r="M151" s="16" t="n">
        <v>492.06</v>
      </c>
      <c r="N151" s="16" t="n">
        <v>12067.64</v>
      </c>
      <c r="O151" s="17" t="n">
        <v>0.38704</v>
      </c>
      <c r="P151" s="18" t="n">
        <v>12</v>
      </c>
      <c r="Q151" s="18" t="n">
        <v>2</v>
      </c>
      <c r="R151" s="16" t="n">
        <v>13245.44</v>
      </c>
      <c r="S151" s="14" t="inlineStr">
        <is>
          <t>BLANCA TEMPRANA sem 4 y +</t>
        </is>
      </c>
      <c r="T151" s="14" t="inlineStr">
        <is>
          <t>CITRICOS</t>
        </is>
      </c>
      <c r="U151" s="19">
        <f>IFERROR(166.386*I151/F151,0)</f>
        <v/>
      </c>
      <c r="V151" s="19">
        <f>IFERROR(166.386*M151/F151,0)</f>
        <v/>
      </c>
      <c r="W151" s="19">
        <f>IFERROR(166.386*L151/F151,0)</f>
        <v/>
      </c>
    </row>
    <row r="152">
      <c r="A152" s="14" t="n">
        <v>2207</v>
      </c>
      <c r="B152" s="14" t="inlineStr">
        <is>
          <t>BLANCA TEMPRANA sem 4 y +</t>
        </is>
      </c>
      <c r="C152" s="15" t="n">
        <v>1485</v>
      </c>
      <c r="D152" s="14" t="inlineStr">
        <is>
          <t>HNOS. CRESPO RUIZ S.C.</t>
        </is>
      </c>
      <c r="E152" s="14" t="inlineStr">
        <is>
          <t>SALUSTIANA</t>
        </is>
      </c>
      <c r="F152" s="15" t="n">
        <v>143835</v>
      </c>
      <c r="G152" s="16" t="n">
        <v>55407.6</v>
      </c>
      <c r="H152" s="17" t="n">
        <v>0.3852163937845448</v>
      </c>
      <c r="I152" s="16" t="n">
        <v>10356.12</v>
      </c>
      <c r="J152" s="16" t="n">
        <v>625.39</v>
      </c>
      <c r="K152" s="16" t="n">
        <v>0</v>
      </c>
      <c r="L152" s="16" t="n">
        <v>0</v>
      </c>
      <c r="M152" s="16" t="n">
        <v>0</v>
      </c>
      <c r="N152" s="16" t="n">
        <v>44426.09</v>
      </c>
      <c r="O152" s="17" t="n">
        <v>0.33901</v>
      </c>
      <c r="P152" s="18" t="n">
        <v>12</v>
      </c>
      <c r="Q152" s="18" t="n">
        <v>2</v>
      </c>
      <c r="R152" s="16" t="n">
        <v>48762.08</v>
      </c>
      <c r="S152" s="14" t="inlineStr">
        <is>
          <t>BLANCA TEMPRANA sem 4 y +</t>
        </is>
      </c>
      <c r="T152" s="14" t="inlineStr">
        <is>
          <t>CITRICOS</t>
        </is>
      </c>
      <c r="U152" s="19">
        <f>IFERROR(166.386*I152/F152,0)</f>
        <v/>
      </c>
      <c r="V152" s="19">
        <f>IFERROR(166.386*M152/F152,0)</f>
        <v/>
      </c>
      <c r="W152" s="19">
        <f>IFERROR(166.386*L152/F152,0)</f>
        <v/>
      </c>
    </row>
    <row r="153">
      <c r="A153" s="14" t="n">
        <v>2207</v>
      </c>
      <c r="B153" s="14" t="inlineStr">
        <is>
          <t>BLANCA TEMPRANA sem 4 y +</t>
        </is>
      </c>
      <c r="C153" s="15" t="n">
        <v>1512</v>
      </c>
      <c r="D153" s="14" t="inlineStr">
        <is>
          <t>HERNANDEZ MOLINA,ANTONIO</t>
        </is>
      </c>
      <c r="E153" s="14" t="inlineStr">
        <is>
          <t>SALUSTIANA</t>
        </is>
      </c>
      <c r="F153" s="15" t="n">
        <v>41174</v>
      </c>
      <c r="G153" s="16" t="n">
        <v>13467.72</v>
      </c>
      <c r="H153" s="17" t="n">
        <v>0.3270928255695342</v>
      </c>
      <c r="I153" s="16" t="n">
        <v>2964.53</v>
      </c>
      <c r="J153" s="16" t="n">
        <v>284.75</v>
      </c>
      <c r="K153" s="16" t="n">
        <v>0</v>
      </c>
      <c r="L153" s="16" t="n">
        <v>0</v>
      </c>
      <c r="M153" s="16" t="n">
        <v>0</v>
      </c>
      <c r="N153" s="16" t="n">
        <v>10218.44</v>
      </c>
      <c r="O153" s="17" t="n">
        <v>0.2724</v>
      </c>
      <c r="P153" s="18" t="n">
        <v>12</v>
      </c>
      <c r="Q153" s="18" t="n">
        <v>2</v>
      </c>
      <c r="R153" s="16" t="n">
        <v>11215.76</v>
      </c>
      <c r="S153" s="14" t="inlineStr">
        <is>
          <t>BLANCA TEMPRANA sem 4 y +</t>
        </is>
      </c>
      <c r="T153" s="14" t="inlineStr">
        <is>
          <t>CITRICOS</t>
        </is>
      </c>
      <c r="U153" s="19">
        <f>IFERROR(166.386*I153/F153,0)</f>
        <v/>
      </c>
      <c r="V153" s="19">
        <f>IFERROR(166.386*M153/F153,0)</f>
        <v/>
      </c>
      <c r="W153" s="19">
        <f>IFERROR(166.386*L153/F153,0)</f>
        <v/>
      </c>
    </row>
    <row r="154">
      <c r="A154" s="14" t="n">
        <v>2207</v>
      </c>
      <c r="B154" s="14" t="inlineStr">
        <is>
          <t>BLANCA TEMPRANA sem 4 y +</t>
        </is>
      </c>
      <c r="C154" s="15" t="n">
        <v>1523</v>
      </c>
      <c r="D154" s="14" t="inlineStr">
        <is>
          <t>RODRIGUEZ MEJÍAS, JOSE ANTONIO</t>
        </is>
      </c>
      <c r="E154" s="14" t="inlineStr">
        <is>
          <t>SALUSTIANA</t>
        </is>
      </c>
      <c r="F154" s="15" t="n">
        <v>243865</v>
      </c>
      <c r="G154" s="16" t="n">
        <v>91744.92</v>
      </c>
      <c r="H154" s="17" t="n">
        <v>0.3762119205298013</v>
      </c>
      <c r="I154" s="16" t="n">
        <v>17693.49</v>
      </c>
      <c r="J154" s="16" t="n">
        <v>1771.84</v>
      </c>
      <c r="K154" s="16" t="n">
        <v>0</v>
      </c>
      <c r="L154" s="16" t="n">
        <v>2247.92</v>
      </c>
      <c r="M154" s="16" t="n">
        <v>3868.67</v>
      </c>
      <c r="N154" s="16" t="n">
        <v>78396.17999999999</v>
      </c>
      <c r="O154" s="17" t="n">
        <v>0.35285</v>
      </c>
      <c r="P154" s="18" t="n">
        <v>12</v>
      </c>
      <c r="Q154" s="18" t="n">
        <v>2</v>
      </c>
      <c r="R154" s="16" t="n">
        <v>86047.64999999999</v>
      </c>
      <c r="S154" s="14" t="inlineStr">
        <is>
          <t>BLANCA TEMPRANA sem 4 y +</t>
        </is>
      </c>
      <c r="T154" s="14" t="inlineStr">
        <is>
          <t>CITRICOS</t>
        </is>
      </c>
      <c r="U154" s="19">
        <f>IFERROR(166.386*I154/F154,0)</f>
        <v/>
      </c>
      <c r="V154" s="19">
        <f>IFERROR(166.386*M154/F154,0)</f>
        <v/>
      </c>
      <c r="W154" s="19">
        <f>IFERROR(166.386*L154/F154,0)</f>
        <v/>
      </c>
    </row>
    <row r="155">
      <c r="A155" s="14" t="n">
        <v>2207</v>
      </c>
      <c r="B155" s="14" t="inlineStr">
        <is>
          <t>BLANCA TEMPRANA sem 4 y +</t>
        </is>
      </c>
      <c r="C155" s="15" t="n">
        <v>1529</v>
      </c>
      <c r="D155" s="14" t="inlineStr">
        <is>
          <t>RAMOS BRUGAROLAS, JOSE</t>
        </is>
      </c>
      <c r="E155" s="14" t="inlineStr">
        <is>
          <t>SALUSTIANA</t>
        </is>
      </c>
      <c r="F155" s="15" t="n">
        <v>40245</v>
      </c>
      <c r="G155" s="16" t="n">
        <v>15237.54</v>
      </c>
      <c r="H155" s="17" t="n">
        <v>0.3786194558330228</v>
      </c>
      <c r="I155" s="16" t="n">
        <v>3018.38</v>
      </c>
      <c r="J155" s="16" t="n">
        <v>266.03</v>
      </c>
      <c r="K155" s="16" t="n">
        <v>0</v>
      </c>
      <c r="L155" s="16" t="n">
        <v>0</v>
      </c>
      <c r="M155" s="16" t="n">
        <v>0</v>
      </c>
      <c r="N155" s="16" t="n">
        <v>11953.13</v>
      </c>
      <c r="O155" s="17" t="n">
        <v>0.326</v>
      </c>
      <c r="P155" s="18" t="n">
        <v>12</v>
      </c>
      <c r="Q155" s="18" t="n">
        <v>2</v>
      </c>
      <c r="R155" s="16" t="n">
        <v>13119.76</v>
      </c>
      <c r="S155" s="14" t="inlineStr">
        <is>
          <t>BLANCA TEMPRANA sem 4 y +</t>
        </is>
      </c>
      <c r="T155" s="14" t="inlineStr">
        <is>
          <t>CITRICOS</t>
        </is>
      </c>
      <c r="U155" s="19">
        <f>IFERROR(166.386*I155/F155,0)</f>
        <v/>
      </c>
      <c r="V155" s="19">
        <f>IFERROR(166.386*M155/F155,0)</f>
        <v/>
      </c>
      <c r="W155" s="19">
        <f>IFERROR(166.386*L155/F155,0)</f>
        <v/>
      </c>
    </row>
    <row r="156">
      <c r="A156" s="14" t="n">
        <v>2207</v>
      </c>
      <c r="B156" s="14" t="inlineStr">
        <is>
          <t>BLANCA TEMPRANA sem 4 y +</t>
        </is>
      </c>
      <c r="C156" s="15" t="n">
        <v>1540</v>
      </c>
      <c r="D156" s="14" t="inlineStr">
        <is>
          <t>AGRICOLA SANCHEZ CUENCA S.C.</t>
        </is>
      </c>
      <c r="E156" s="14" t="inlineStr">
        <is>
          <t>SALUSTIANA</t>
        </is>
      </c>
      <c r="F156" s="15" t="n">
        <v>200979</v>
      </c>
      <c r="G156" s="16" t="n">
        <v>74145.41</v>
      </c>
      <c r="H156" s="17" t="n">
        <v>0.3689211808198867</v>
      </c>
      <c r="I156" s="16" t="n">
        <v>14470.49</v>
      </c>
      <c r="J156" s="16" t="n">
        <v>1040.63</v>
      </c>
      <c r="K156" s="16" t="n">
        <v>0</v>
      </c>
      <c r="L156" s="16" t="n">
        <v>0</v>
      </c>
      <c r="M156" s="16" t="n">
        <v>3067.91</v>
      </c>
      <c r="N156" s="16" t="n">
        <v>61702.2</v>
      </c>
      <c r="O156" s="17" t="n">
        <v>0.33697</v>
      </c>
      <c r="P156" s="18" t="n">
        <v>12</v>
      </c>
      <c r="Q156" s="18" t="n">
        <v>2</v>
      </c>
      <c r="R156" s="16" t="n">
        <v>67724.33</v>
      </c>
      <c r="S156" s="14" t="inlineStr">
        <is>
          <t>BLANCA TEMPRANA sem 4 y +</t>
        </is>
      </c>
      <c r="T156" s="14" t="inlineStr">
        <is>
          <t>CITRICOS</t>
        </is>
      </c>
      <c r="U156" s="19">
        <f>IFERROR(166.386*I156/F156,0)</f>
        <v/>
      </c>
      <c r="V156" s="19">
        <f>IFERROR(166.386*M156/F156,0)</f>
        <v/>
      </c>
      <c r="W156" s="19">
        <f>IFERROR(166.386*L156/F156,0)</f>
        <v/>
      </c>
    </row>
    <row r="157">
      <c r="A157" s="14" t="n">
        <v>2207</v>
      </c>
      <c r="B157" s="14" t="inlineStr">
        <is>
          <t>BLANCA TEMPRANA sem 4 y +</t>
        </is>
      </c>
      <c r="C157" s="15" t="n">
        <v>1544</v>
      </c>
      <c r="D157" s="14" t="inlineStr">
        <is>
          <t>HARO ORDOÑO, ALVARO</t>
        </is>
      </c>
      <c r="E157" s="14" t="inlineStr">
        <is>
          <t>SALUSTIANA</t>
        </is>
      </c>
      <c r="F157" s="15" t="n">
        <v>30040</v>
      </c>
      <c r="G157" s="16" t="n">
        <v>10405.43</v>
      </c>
      <c r="H157" s="17" t="n">
        <v>0.3463858189081225</v>
      </c>
      <c r="I157" s="16" t="n">
        <v>2162.88</v>
      </c>
      <c r="J157" s="16" t="n">
        <v>169</v>
      </c>
      <c r="K157" s="16" t="n">
        <v>0</v>
      </c>
      <c r="L157" s="16" t="n">
        <v>0</v>
      </c>
      <c r="M157" s="16" t="n">
        <v>0</v>
      </c>
      <c r="N157" s="16" t="n">
        <v>8073.55</v>
      </c>
      <c r="O157" s="17" t="n">
        <v>0.29499</v>
      </c>
      <c r="P157" s="18" t="n">
        <v>12</v>
      </c>
      <c r="Q157" s="18" t="n">
        <v>2</v>
      </c>
      <c r="R157" s="16" t="n">
        <v>8861.530000000001</v>
      </c>
      <c r="S157" s="14" t="inlineStr">
        <is>
          <t>BLANCA TEMPRANA sem 4 y +</t>
        </is>
      </c>
      <c r="T157" s="14" t="inlineStr">
        <is>
          <t>CITRICOS</t>
        </is>
      </c>
      <c r="U157" s="19">
        <f>IFERROR(166.386*I157/F157,0)</f>
        <v/>
      </c>
      <c r="V157" s="19">
        <f>IFERROR(166.386*M157/F157,0)</f>
        <v/>
      </c>
      <c r="W157" s="19">
        <f>IFERROR(166.386*L157/F157,0)</f>
        <v/>
      </c>
    </row>
    <row r="158">
      <c r="A158" s="14" t="n">
        <v>2207</v>
      </c>
      <c r="B158" s="14" t="inlineStr">
        <is>
          <t>BLANCA TEMPRANA sem 4 y +</t>
        </is>
      </c>
      <c r="C158" s="15" t="n">
        <v>1564</v>
      </c>
      <c r="D158" s="14" t="inlineStr">
        <is>
          <t>VARELA MUÑOZ, ANTONIO</t>
        </is>
      </c>
      <c r="E158" s="14" t="inlineStr">
        <is>
          <t>SALUSTIANA</t>
        </is>
      </c>
      <c r="F158" s="15" t="n">
        <v>28013</v>
      </c>
      <c r="G158" s="16" t="n">
        <v>9831.85</v>
      </c>
      <c r="H158" s="17" t="n">
        <v>0.3509745475315033</v>
      </c>
      <c r="I158" s="16" t="n">
        <v>2016.94</v>
      </c>
      <c r="J158" s="16" t="n">
        <v>163.87</v>
      </c>
      <c r="K158" s="16" t="n">
        <v>0</v>
      </c>
      <c r="L158" s="16" t="n">
        <v>0</v>
      </c>
      <c r="M158" s="16" t="n">
        <v>0</v>
      </c>
      <c r="N158" s="16" t="n">
        <v>7651.04</v>
      </c>
      <c r="O158" s="17" t="n">
        <v>0.29978</v>
      </c>
      <c r="P158" s="18" t="n">
        <v>12</v>
      </c>
      <c r="Q158" s="18" t="n">
        <v>2</v>
      </c>
      <c r="R158" s="16" t="n">
        <v>8397.780000000001</v>
      </c>
      <c r="S158" s="14" t="inlineStr">
        <is>
          <t>BLANCA TEMPRANA sem 4 y +</t>
        </is>
      </c>
      <c r="T158" s="14" t="inlineStr">
        <is>
          <t>CITRICOS</t>
        </is>
      </c>
      <c r="U158" s="19">
        <f>IFERROR(166.386*I158/F158,0)</f>
        <v/>
      </c>
      <c r="V158" s="19">
        <f>IFERROR(166.386*M158/F158,0)</f>
        <v/>
      </c>
      <c r="W158" s="19">
        <f>IFERROR(166.386*L158/F158,0)</f>
        <v/>
      </c>
    </row>
    <row r="159">
      <c r="A159" s="14" t="n">
        <v>2207</v>
      </c>
      <c r="B159" s="14" t="inlineStr">
        <is>
          <t>BLANCA TEMPRANA sem 4 y +</t>
        </is>
      </c>
      <c r="C159" s="15" t="n">
        <v>1577</v>
      </c>
      <c r="D159" s="14" t="inlineStr">
        <is>
          <t>GOMEZ GUERRERO, MARIA MERCEDES</t>
        </is>
      </c>
      <c r="E159" s="14" t="inlineStr">
        <is>
          <t>SALUSTIANA</t>
        </is>
      </c>
      <c r="F159" s="15" t="n">
        <v>139693</v>
      </c>
      <c r="G159" s="16" t="n">
        <v>51769.2</v>
      </c>
      <c r="H159" s="17" t="n">
        <v>0.3705926567544544</v>
      </c>
      <c r="I159" s="16" t="n">
        <v>10057.89</v>
      </c>
      <c r="J159" s="16" t="n">
        <v>891.5599999999999</v>
      </c>
      <c r="K159" s="16" t="n">
        <v>0</v>
      </c>
      <c r="L159" s="16" t="n">
        <v>0</v>
      </c>
      <c r="M159" s="16" t="n">
        <v>2136.13</v>
      </c>
      <c r="N159" s="16" t="n">
        <v>42955.88</v>
      </c>
      <c r="O159" s="17" t="n">
        <v>0.33751</v>
      </c>
      <c r="P159" s="18" t="n">
        <v>12</v>
      </c>
      <c r="Q159" s="18" t="n">
        <v>2</v>
      </c>
      <c r="R159" s="16" t="n">
        <v>47148.37</v>
      </c>
      <c r="S159" s="14" t="inlineStr">
        <is>
          <t>BLANCA TEMPRANA sem 4 y +</t>
        </is>
      </c>
      <c r="T159" s="14" t="inlineStr">
        <is>
          <t>CITRICOS</t>
        </is>
      </c>
      <c r="U159" s="19">
        <f>IFERROR(166.386*I159/F159,0)</f>
        <v/>
      </c>
      <c r="V159" s="19">
        <f>IFERROR(166.386*M159/F159,0)</f>
        <v/>
      </c>
      <c r="W159" s="19">
        <f>IFERROR(166.386*L159/F159,0)</f>
        <v/>
      </c>
    </row>
    <row r="160">
      <c r="A160" s="14" t="n">
        <v>2207</v>
      </c>
      <c r="B160" s="14" t="inlineStr">
        <is>
          <t>BLANCA TEMPRANA sem 4 y +</t>
        </is>
      </c>
      <c r="C160" s="15" t="n">
        <v>1579</v>
      </c>
      <c r="D160" s="14" t="inlineStr">
        <is>
          <t>PEREZ JIMENEZ, ALFONSA</t>
        </is>
      </c>
      <c r="E160" s="14" t="inlineStr">
        <is>
          <t>SALUSTIANA</t>
        </is>
      </c>
      <c r="F160" s="15" t="n">
        <v>6077</v>
      </c>
      <c r="G160" s="16" t="n">
        <v>2053.81</v>
      </c>
      <c r="H160" s="17" t="n">
        <v>0.3379644561461247</v>
      </c>
      <c r="I160" s="16" t="n">
        <v>437.54</v>
      </c>
      <c r="J160" s="16" t="n">
        <v>0</v>
      </c>
      <c r="K160" s="16" t="n">
        <v>0</v>
      </c>
      <c r="L160" s="16" t="n">
        <v>0</v>
      </c>
      <c r="M160" s="16" t="n">
        <v>0</v>
      </c>
      <c r="N160" s="16" t="n">
        <v>1616.27</v>
      </c>
      <c r="O160" s="17" t="n">
        <v>0.29192</v>
      </c>
      <c r="P160" s="18" t="n">
        <v>12</v>
      </c>
      <c r="Q160" s="18" t="n">
        <v>2</v>
      </c>
      <c r="R160" s="16" t="n">
        <v>1774.02</v>
      </c>
      <c r="S160" s="14" t="inlineStr">
        <is>
          <t>BLANCA TEMPRANA sem 4 y +</t>
        </is>
      </c>
      <c r="T160" s="14" t="inlineStr">
        <is>
          <t>CITRICOS</t>
        </is>
      </c>
      <c r="U160" s="19">
        <f>IFERROR(166.386*I160/F160,0)</f>
        <v/>
      </c>
      <c r="V160" s="19">
        <f>IFERROR(166.386*M160/F160,0)</f>
        <v/>
      </c>
      <c r="W160" s="19">
        <f>IFERROR(166.386*L160/F160,0)</f>
        <v/>
      </c>
    </row>
    <row r="161">
      <c r="A161" s="14" t="n">
        <v>2207</v>
      </c>
      <c r="B161" s="14" t="inlineStr">
        <is>
          <t>BLANCA TEMPRANA sem 4 y +</t>
        </is>
      </c>
      <c r="C161" s="15" t="n">
        <v>1582</v>
      </c>
      <c r="D161" s="14" t="inlineStr">
        <is>
          <t>IGEÑO SANCHEZ, JOSE CARLOS</t>
        </is>
      </c>
      <c r="E161" s="14" t="inlineStr">
        <is>
          <t>SALUSTIANA</t>
        </is>
      </c>
      <c r="F161" s="15" t="n">
        <v>181394</v>
      </c>
      <c r="G161" s="16" t="n">
        <v>68624.89</v>
      </c>
      <c r="H161" s="17" t="n">
        <v>0.3783195144271586</v>
      </c>
      <c r="I161" s="16" t="n">
        <v>13018.17</v>
      </c>
      <c r="J161" s="16" t="n">
        <v>867.27</v>
      </c>
      <c r="K161" s="16" t="n">
        <v>0</v>
      </c>
      <c r="L161" s="16" t="n">
        <v>2013.47</v>
      </c>
      <c r="M161" s="16" t="n">
        <v>2778.46</v>
      </c>
      <c r="N161" s="16" t="n">
        <v>59531.38</v>
      </c>
      <c r="O161" s="17" t="n">
        <v>0.36022</v>
      </c>
      <c r="P161" s="18" t="n">
        <v>12</v>
      </c>
      <c r="Q161" s="18" t="n">
        <v>2</v>
      </c>
      <c r="R161" s="16" t="n">
        <v>65341.64</v>
      </c>
      <c r="S161" s="14" t="inlineStr">
        <is>
          <t>BLANCA TEMPRANA sem 4 y +</t>
        </is>
      </c>
      <c r="T161" s="14" t="inlineStr">
        <is>
          <t>CITRICOS</t>
        </is>
      </c>
      <c r="U161" s="19">
        <f>IFERROR(166.386*I161/F161,0)</f>
        <v/>
      </c>
      <c r="V161" s="19">
        <f>IFERROR(166.386*M161/F161,0)</f>
        <v/>
      </c>
      <c r="W161" s="19">
        <f>IFERROR(166.386*L161/F161,0)</f>
        <v/>
      </c>
    </row>
    <row r="162">
      <c r="A162" s="14" t="n">
        <v>2207</v>
      </c>
      <c r="B162" s="14" t="inlineStr">
        <is>
          <t>BLANCA TEMPRANA sem 4 y +</t>
        </is>
      </c>
      <c r="C162" s="15" t="n">
        <v>1585</v>
      </c>
      <c r="D162" s="14" t="inlineStr">
        <is>
          <t>CESPEDES AGUILAR, PATRICIA</t>
        </is>
      </c>
      <c r="E162" s="14" t="inlineStr">
        <is>
          <t>SALUSTIANA</t>
        </is>
      </c>
      <c r="F162" s="15" t="n">
        <v>141229</v>
      </c>
      <c r="G162" s="16" t="n">
        <v>52584.63</v>
      </c>
      <c r="H162" s="17" t="n">
        <v>0.3723359225088332</v>
      </c>
      <c r="I162" s="16" t="n">
        <v>10234.55</v>
      </c>
      <c r="J162" s="16" t="n">
        <v>950.5599999999999</v>
      </c>
      <c r="K162" s="16" t="n">
        <v>0</v>
      </c>
      <c r="L162" s="16" t="n">
        <v>0</v>
      </c>
      <c r="M162" s="16" t="n">
        <v>2175.48</v>
      </c>
      <c r="N162" s="16" t="n">
        <v>43575</v>
      </c>
      <c r="O162" s="17" t="n">
        <v>0.33866</v>
      </c>
      <c r="P162" s="18" t="n">
        <v>12</v>
      </c>
      <c r="Q162" s="18" t="n">
        <v>2</v>
      </c>
      <c r="R162" s="16" t="n">
        <v>47827.92</v>
      </c>
      <c r="S162" s="14" t="inlineStr">
        <is>
          <t>BLANCA TEMPRANA sem 4 y +</t>
        </is>
      </c>
      <c r="T162" s="14" t="inlineStr">
        <is>
          <t>CITRICOS</t>
        </is>
      </c>
      <c r="U162" s="19">
        <f>IFERROR(166.386*I162/F162,0)</f>
        <v/>
      </c>
      <c r="V162" s="19">
        <f>IFERROR(166.386*M162/F162,0)</f>
        <v/>
      </c>
      <c r="W162" s="19">
        <f>IFERROR(166.386*L162/F162,0)</f>
        <v/>
      </c>
    </row>
    <row r="163">
      <c r="A163" s="14" t="n">
        <v>2207</v>
      </c>
      <c r="B163" s="14" t="inlineStr">
        <is>
          <t>BLANCA TEMPRANA sem 4 y +</t>
        </is>
      </c>
      <c r="C163" s="15" t="n">
        <v>1597</v>
      </c>
      <c r="D163" s="14" t="inlineStr">
        <is>
          <t>CARBALLO SIRIA, ANTONIO JOSE</t>
        </is>
      </c>
      <c r="E163" s="14" t="inlineStr">
        <is>
          <t>SALUSTIANA</t>
        </is>
      </c>
      <c r="F163" s="15" t="n">
        <v>72085</v>
      </c>
      <c r="G163" s="16" t="n">
        <v>24202.59</v>
      </c>
      <c r="H163" s="17" t="n">
        <v>0.3357507109662204</v>
      </c>
      <c r="I163" s="16" t="n">
        <v>5190.12</v>
      </c>
      <c r="J163" s="16" t="n">
        <v>661.41</v>
      </c>
      <c r="K163" s="16" t="n">
        <v>0</v>
      </c>
      <c r="L163" s="16" t="n">
        <v>0</v>
      </c>
      <c r="M163" s="16" t="n">
        <v>0</v>
      </c>
      <c r="N163" s="16" t="n">
        <v>18351.06</v>
      </c>
      <c r="O163" s="17" t="n">
        <v>0.27942</v>
      </c>
      <c r="P163" s="18" t="n">
        <v>12</v>
      </c>
      <c r="Q163" s="18" t="n">
        <v>2</v>
      </c>
      <c r="R163" s="16" t="n">
        <v>20142.12</v>
      </c>
      <c r="S163" s="14" t="inlineStr">
        <is>
          <t>BLANCA TEMPRANA sem 4 y +</t>
        </is>
      </c>
      <c r="T163" s="14" t="inlineStr">
        <is>
          <t>CITRICOS</t>
        </is>
      </c>
      <c r="U163" s="19">
        <f>IFERROR(166.386*I163/F163,0)</f>
        <v/>
      </c>
      <c r="V163" s="19">
        <f>IFERROR(166.386*M163/F163,0)</f>
        <v/>
      </c>
      <c r="W163" s="19">
        <f>IFERROR(166.386*L163/F163,0)</f>
        <v/>
      </c>
    </row>
    <row r="164">
      <c r="A164" s="14" t="n">
        <v>2208</v>
      </c>
      <c r="B164" s="14" t="inlineStr">
        <is>
          <t>BLANCA TEMPRANA sem antep</t>
        </is>
      </c>
      <c r="C164" s="15" t="n">
        <v>466</v>
      </c>
      <c r="D164" s="14" t="inlineStr">
        <is>
          <t>CRUZ RUIZ,JESUS</t>
        </is>
      </c>
      <c r="E164" s="14" t="inlineStr">
        <is>
          <t>SALUSTIANA</t>
        </is>
      </c>
      <c r="F164" s="15" t="n">
        <v>76942</v>
      </c>
      <c r="G164" s="16" t="n">
        <v>26417.75</v>
      </c>
      <c r="H164" s="17" t="n">
        <v>0.3433462868134439</v>
      </c>
      <c r="I164" s="16" t="n">
        <v>4949.14</v>
      </c>
      <c r="J164" s="16" t="n">
        <v>479.1</v>
      </c>
      <c r="K164" s="16" t="n">
        <v>0</v>
      </c>
      <c r="L164" s="16" t="n">
        <v>0</v>
      </c>
      <c r="M164" s="16" t="n">
        <v>1068.14</v>
      </c>
      <c r="N164" s="16" t="n">
        <v>22057.65</v>
      </c>
      <c r="O164" s="17" t="n">
        <v>0.31466</v>
      </c>
      <c r="P164" s="18" t="n">
        <v>12</v>
      </c>
      <c r="Q164" s="18" t="n">
        <v>2</v>
      </c>
      <c r="R164" s="16" t="n">
        <v>24210.48</v>
      </c>
      <c r="S164" s="14" t="inlineStr">
        <is>
          <t>BLANCA TEMPRANA sem antep</t>
        </is>
      </c>
      <c r="T164" s="14" t="inlineStr">
        <is>
          <t>CITRICOS</t>
        </is>
      </c>
      <c r="U164" s="19">
        <f>IFERROR(166.386*I164/F164,0)</f>
        <v/>
      </c>
      <c r="V164" s="19">
        <f>IFERROR(166.386*M164/F164,0)</f>
        <v/>
      </c>
      <c r="W164" s="19">
        <f>IFERROR(166.386*L164/F164,0)</f>
        <v/>
      </c>
    </row>
    <row r="165">
      <c r="A165" s="14" t="n">
        <v>2208</v>
      </c>
      <c r="B165" s="14" t="inlineStr">
        <is>
          <t>BLANCA TEMPRANA sem antep</t>
        </is>
      </c>
      <c r="C165" s="15" t="n">
        <v>937</v>
      </c>
      <c r="D165" s="14" t="inlineStr">
        <is>
          <t>GALVEZ MACIAS,FRANCISCO</t>
        </is>
      </c>
      <c r="E165" s="14" t="inlineStr">
        <is>
          <t>SALUSTIANA</t>
        </is>
      </c>
      <c r="F165" s="15" t="n">
        <v>13436</v>
      </c>
      <c r="G165" s="16" t="n">
        <v>4104.41</v>
      </c>
      <c r="H165" s="17" t="n">
        <v>0.3054785650491217</v>
      </c>
      <c r="I165" s="16" t="n">
        <v>1010.72</v>
      </c>
      <c r="J165" s="16" t="n">
        <v>109.81</v>
      </c>
      <c r="K165" s="16" t="n">
        <v>195.10993348</v>
      </c>
      <c r="L165" s="16" t="n">
        <v>0</v>
      </c>
      <c r="M165" s="16" t="n">
        <v>155.03</v>
      </c>
      <c r="N165" s="16" t="n">
        <v>3334.02</v>
      </c>
      <c r="O165" s="17" t="n">
        <v>0.27236</v>
      </c>
      <c r="P165" s="18" t="n">
        <v>12</v>
      </c>
      <c r="Q165" s="18" t="n">
        <v>2</v>
      </c>
      <c r="R165" s="16" t="n">
        <v>3659.42</v>
      </c>
      <c r="S165" s="14" t="inlineStr">
        <is>
          <t>BLANCA TEMPRANA sem antep</t>
        </is>
      </c>
      <c r="T165" s="14" t="inlineStr">
        <is>
          <t>CITRICOS</t>
        </is>
      </c>
      <c r="U165" s="19">
        <f>IFERROR(166.386*I165/F165,0)</f>
        <v/>
      </c>
      <c r="V165" s="19">
        <f>IFERROR(166.386*M165/F165,0)</f>
        <v/>
      </c>
      <c r="W165" s="19">
        <f>IFERROR(166.386*L165/F165,0)</f>
        <v/>
      </c>
    </row>
    <row r="166">
      <c r="A166" s="14" t="n">
        <v>2208</v>
      </c>
      <c r="B166" s="14" t="inlineStr">
        <is>
          <t>BLANCA TEMPRANA sem antep</t>
        </is>
      </c>
      <c r="C166" s="15" t="n">
        <v>1117</v>
      </c>
      <c r="D166" s="14" t="inlineStr">
        <is>
          <t>COCA LAGUNA,FERMIN</t>
        </is>
      </c>
      <c r="E166" s="14" t="inlineStr">
        <is>
          <t>SALUSTIANA</t>
        </is>
      </c>
      <c r="F166" s="15" t="n">
        <v>14940</v>
      </c>
      <c r="G166" s="16" t="n">
        <v>4783.11</v>
      </c>
      <c r="H166" s="17" t="n">
        <v>0.3201546184738956</v>
      </c>
      <c r="I166" s="16" t="n">
        <v>1075.68</v>
      </c>
      <c r="J166" s="16" t="n">
        <v>187.2</v>
      </c>
      <c r="K166" s="16" t="n">
        <v>0</v>
      </c>
      <c r="L166" s="16" t="n">
        <v>0</v>
      </c>
      <c r="M166" s="16" t="n">
        <v>0</v>
      </c>
      <c r="N166" s="16" t="n">
        <v>3520.23</v>
      </c>
      <c r="O166" s="17" t="n">
        <v>0.24015</v>
      </c>
      <c r="P166" s="18" t="n">
        <v>4</v>
      </c>
      <c r="Q166" s="18" t="n">
        <v>2</v>
      </c>
      <c r="R166" s="16" t="n">
        <v>3587.82</v>
      </c>
      <c r="S166" s="14" t="inlineStr">
        <is>
          <t>BLANCA TEMPRANA sem antep</t>
        </is>
      </c>
      <c r="T166" s="14" t="inlineStr">
        <is>
          <t>CITRICOS</t>
        </is>
      </c>
      <c r="U166" s="19">
        <f>IFERROR(166.386*I166/F166,0)</f>
        <v/>
      </c>
      <c r="V166" s="19">
        <f>IFERROR(166.386*M166/F166,0)</f>
        <v/>
      </c>
      <c r="W166" s="19">
        <f>IFERROR(166.386*L166/F166,0)</f>
        <v/>
      </c>
    </row>
    <row r="167">
      <c r="A167" s="14" t="n">
        <v>2208</v>
      </c>
      <c r="B167" s="14" t="inlineStr">
        <is>
          <t>BLANCA TEMPRANA sem antep</t>
        </is>
      </c>
      <c r="C167" s="15" t="n">
        <v>1124</v>
      </c>
      <c r="D167" s="14" t="inlineStr">
        <is>
          <t>VARON RUIZ,ANTONIO</t>
        </is>
      </c>
      <c r="E167" s="14" t="inlineStr">
        <is>
          <t>SALUSTIANA</t>
        </is>
      </c>
      <c r="F167" s="15" t="n">
        <v>86017</v>
      </c>
      <c r="G167" s="16" t="n">
        <v>29929.92</v>
      </c>
      <c r="H167" s="17" t="n">
        <v>0.3479535440668705</v>
      </c>
      <c r="I167" s="16" t="n">
        <v>6193.22</v>
      </c>
      <c r="J167" s="16" t="n">
        <v>501.84</v>
      </c>
      <c r="K167" s="16" t="n">
        <v>0</v>
      </c>
      <c r="L167" s="16" t="n">
        <v>0</v>
      </c>
      <c r="M167" s="16" t="n">
        <v>1155.44</v>
      </c>
      <c r="N167" s="16" t="n">
        <v>24390.3</v>
      </c>
      <c r="O167" s="17" t="n">
        <v>0.31123</v>
      </c>
      <c r="P167" s="18" t="n">
        <v>12</v>
      </c>
      <c r="Q167" s="18" t="n">
        <v>2</v>
      </c>
      <c r="R167" s="16" t="n">
        <v>26770.79</v>
      </c>
      <c r="S167" s="14" t="inlineStr">
        <is>
          <t>BLANCA TEMPRANA sem antep</t>
        </is>
      </c>
      <c r="T167" s="14" t="inlineStr">
        <is>
          <t>CITRICOS</t>
        </is>
      </c>
      <c r="U167" s="19">
        <f>IFERROR(166.386*I167/F167,0)</f>
        <v/>
      </c>
      <c r="V167" s="19">
        <f>IFERROR(166.386*M167/F167,0)</f>
        <v/>
      </c>
      <c r="W167" s="19">
        <f>IFERROR(166.386*L167/F167,0)</f>
        <v/>
      </c>
    </row>
    <row r="168">
      <c r="A168" s="14" t="n">
        <v>2208</v>
      </c>
      <c r="B168" s="14" t="inlineStr">
        <is>
          <t>BLANCA TEMPRANA sem antep</t>
        </is>
      </c>
      <c r="C168" s="15" t="n">
        <v>1126</v>
      </c>
      <c r="D168" s="14" t="inlineStr">
        <is>
          <t>PAVON CARABALLO,ANA MARIA</t>
        </is>
      </c>
      <c r="E168" s="14" t="inlineStr">
        <is>
          <t>SALUSTIANA</t>
        </is>
      </c>
      <c r="F168" s="15" t="n">
        <v>70855</v>
      </c>
      <c r="G168" s="16" t="n">
        <v>25742.54</v>
      </c>
      <c r="H168" s="17" t="n">
        <v>0.363312963093642</v>
      </c>
      <c r="I168" s="16" t="n">
        <v>5101.55</v>
      </c>
      <c r="J168" s="16" t="n">
        <v>331.15</v>
      </c>
      <c r="K168" s="16" t="n">
        <v>0</v>
      </c>
      <c r="L168" s="16" t="n">
        <v>0</v>
      </c>
      <c r="M168" s="16" t="n">
        <v>0</v>
      </c>
      <c r="N168" s="16" t="n">
        <v>20309.84</v>
      </c>
      <c r="O168" s="17" t="n">
        <v>0.31462</v>
      </c>
      <c r="P168" s="18" t="n">
        <v>12</v>
      </c>
      <c r="Q168" s="18" t="n">
        <v>2</v>
      </c>
      <c r="R168" s="16" t="n">
        <v>22292.08</v>
      </c>
      <c r="S168" s="14" t="inlineStr">
        <is>
          <t>BLANCA TEMPRANA sem antep</t>
        </is>
      </c>
      <c r="T168" s="14" t="inlineStr">
        <is>
          <t>CITRICOS</t>
        </is>
      </c>
      <c r="U168" s="19">
        <f>IFERROR(166.386*I168/F168,0)</f>
        <v/>
      </c>
      <c r="V168" s="19">
        <f>IFERROR(166.386*M168/F168,0)</f>
        <v/>
      </c>
      <c r="W168" s="19">
        <f>IFERROR(166.386*L168/F168,0)</f>
        <v/>
      </c>
    </row>
    <row r="169">
      <c r="A169" s="14" t="n">
        <v>2208</v>
      </c>
      <c r="B169" s="14" t="inlineStr">
        <is>
          <t>BLANCA TEMPRANA sem antep</t>
        </is>
      </c>
      <c r="C169" s="15" t="n">
        <v>1128</v>
      </c>
      <c r="D169" s="14" t="inlineStr">
        <is>
          <t>CARRILLO PEÑALVER,JOSE</t>
        </is>
      </c>
      <c r="E169" s="14" t="inlineStr">
        <is>
          <t>SALUSTIANA</t>
        </is>
      </c>
      <c r="F169" s="15" t="n">
        <v>2185</v>
      </c>
      <c r="G169" s="16" t="n">
        <v>814.02</v>
      </c>
      <c r="H169" s="17" t="n">
        <v>0.3725491990846682</v>
      </c>
      <c r="I169" s="16" t="n">
        <v>0</v>
      </c>
      <c r="J169" s="16" t="n">
        <v>38.54</v>
      </c>
      <c r="K169" s="16" t="n">
        <v>0</v>
      </c>
      <c r="L169" s="16" t="n">
        <v>24.25</v>
      </c>
      <c r="M169" s="16" t="n">
        <v>0</v>
      </c>
      <c r="N169" s="16" t="n">
        <v>799.73</v>
      </c>
      <c r="O169" s="17" t="n">
        <v>0.40173</v>
      </c>
      <c r="P169" s="18" t="n">
        <v>12</v>
      </c>
      <c r="Q169" s="18" t="n">
        <v>2</v>
      </c>
      <c r="R169" s="16" t="n">
        <v>877.78</v>
      </c>
      <c r="S169" s="14" t="inlineStr">
        <is>
          <t>BLANCA TEMPRANA sem antep</t>
        </is>
      </c>
      <c r="T169" s="14" t="inlineStr">
        <is>
          <t>CITRICOS</t>
        </is>
      </c>
      <c r="U169" s="19">
        <f>IFERROR(166.386*I169/F169,0)</f>
        <v/>
      </c>
      <c r="V169" s="19">
        <f>IFERROR(166.386*M169/F169,0)</f>
        <v/>
      </c>
      <c r="W169" s="19">
        <f>IFERROR(166.386*L169/F169,0)</f>
        <v/>
      </c>
    </row>
    <row r="170">
      <c r="A170" s="14" t="n">
        <v>2208</v>
      </c>
      <c r="B170" s="14" t="inlineStr">
        <is>
          <t>BLANCA TEMPRANA sem antep</t>
        </is>
      </c>
      <c r="C170" s="15" t="n">
        <v>1283</v>
      </c>
      <c r="D170" s="14" t="inlineStr">
        <is>
          <t>MOLINA HIDALGO,ISABEL</t>
        </is>
      </c>
      <c r="E170" s="14" t="inlineStr">
        <is>
          <t>SALUSTIANA</t>
        </is>
      </c>
      <c r="F170" s="15" t="n">
        <v>31675</v>
      </c>
      <c r="G170" s="16" t="n">
        <v>8391.290000000001</v>
      </c>
      <c r="H170" s="17" t="n">
        <v>0.2649183898973954</v>
      </c>
      <c r="I170" s="16" t="n">
        <v>2280.61</v>
      </c>
      <c r="J170" s="16" t="n">
        <v>361.41</v>
      </c>
      <c r="K170" s="16" t="n">
        <v>1744.70999675</v>
      </c>
      <c r="L170" s="16" t="n">
        <v>0</v>
      </c>
      <c r="M170" s="16" t="n">
        <v>0</v>
      </c>
      <c r="N170" s="16" t="n">
        <v>7493.98</v>
      </c>
      <c r="O170" s="17" t="n">
        <v>0.25968</v>
      </c>
      <c r="P170" s="18" t="n">
        <v>12</v>
      </c>
      <c r="Q170" s="18" t="n">
        <v>2</v>
      </c>
      <c r="R170" s="16" t="n">
        <v>8225.389999999999</v>
      </c>
      <c r="S170" s="14" t="inlineStr">
        <is>
          <t>BLANCA TEMPRANA sem antep</t>
        </is>
      </c>
      <c r="T170" s="14" t="inlineStr">
        <is>
          <t>CITRICOS</t>
        </is>
      </c>
      <c r="U170" s="19">
        <f>IFERROR(166.386*I170/F170,0)</f>
        <v/>
      </c>
      <c r="V170" s="19">
        <f>IFERROR(166.386*M170/F170,0)</f>
        <v/>
      </c>
      <c r="W170" s="19">
        <f>IFERROR(166.386*L170/F170,0)</f>
        <v/>
      </c>
    </row>
    <row r="171">
      <c r="A171" s="14" t="n">
        <v>2208</v>
      </c>
      <c r="B171" s="14" t="inlineStr">
        <is>
          <t>BLANCA TEMPRANA sem antep</t>
        </is>
      </c>
      <c r="C171" s="15" t="n">
        <v>1487</v>
      </c>
      <c r="D171" s="14" t="inlineStr">
        <is>
          <t>BENITO ARIZA, MATIAS</t>
        </is>
      </c>
      <c r="E171" s="14" t="inlineStr">
        <is>
          <t>SALUSTIANA</t>
        </is>
      </c>
      <c r="F171" s="15" t="n">
        <v>64139</v>
      </c>
      <c r="G171" s="16" t="n">
        <v>21115.43</v>
      </c>
      <c r="H171" s="17" t="n">
        <v>0.3292135829994231</v>
      </c>
      <c r="I171" s="16" t="n">
        <v>4618.01</v>
      </c>
      <c r="J171" s="16" t="n">
        <v>482.15</v>
      </c>
      <c r="K171" s="16" t="n">
        <v>0</v>
      </c>
      <c r="L171" s="16" t="n">
        <v>0</v>
      </c>
      <c r="M171" s="16" t="n">
        <v>863.11</v>
      </c>
      <c r="N171" s="16" t="n">
        <v>16878.38</v>
      </c>
      <c r="O171" s="17" t="n">
        <v>0.28884</v>
      </c>
      <c r="P171" s="18" t="n">
        <v>12</v>
      </c>
      <c r="Q171" s="18" t="n">
        <v>2</v>
      </c>
      <c r="R171" s="16" t="n">
        <v>18525.71</v>
      </c>
      <c r="S171" s="14" t="inlineStr">
        <is>
          <t>BLANCA TEMPRANA sem antep</t>
        </is>
      </c>
      <c r="T171" s="14" t="inlineStr">
        <is>
          <t>CITRICOS</t>
        </is>
      </c>
      <c r="U171" s="19">
        <f>IFERROR(166.386*I171/F171,0)</f>
        <v/>
      </c>
      <c r="V171" s="19">
        <f>IFERROR(166.386*M171/F171,0)</f>
        <v/>
      </c>
      <c r="W171" s="19">
        <f>IFERROR(166.386*L171/F171,0)</f>
        <v/>
      </c>
    </row>
    <row r="172">
      <c r="A172" s="14" t="n">
        <v>2208</v>
      </c>
      <c r="B172" s="14" t="inlineStr">
        <is>
          <t>BLANCA TEMPRANA sem antep</t>
        </is>
      </c>
      <c r="C172" s="15" t="n">
        <v>1589</v>
      </c>
      <c r="D172" s="14" t="inlineStr">
        <is>
          <t>PRIOR PORTILLO, JUAN ANTONIO</t>
        </is>
      </c>
      <c r="E172" s="14" t="inlineStr">
        <is>
          <t>SALUSTIANA</t>
        </is>
      </c>
      <c r="F172" s="15" t="n">
        <v>12150</v>
      </c>
      <c r="G172" s="16" t="n">
        <v>3769.31</v>
      </c>
      <c r="H172" s="17" t="n">
        <v>0.3102312757201646</v>
      </c>
      <c r="I172" s="16" t="n">
        <v>874.8</v>
      </c>
      <c r="J172" s="16" t="n">
        <v>75.79000000000001</v>
      </c>
      <c r="K172" s="16" t="n">
        <v>118.6899966</v>
      </c>
      <c r="L172" s="16" t="n">
        <v>0</v>
      </c>
      <c r="M172" s="16" t="n">
        <v>136.38</v>
      </c>
      <c r="N172" s="16" t="n">
        <v>3073.79</v>
      </c>
      <c r="O172" s="17" t="n">
        <v>0.27768</v>
      </c>
      <c r="P172" s="18" t="n">
        <v>12</v>
      </c>
      <c r="Q172" s="18" t="n">
        <v>2</v>
      </c>
      <c r="R172" s="16" t="n">
        <v>3373.79</v>
      </c>
      <c r="S172" s="14" t="inlineStr">
        <is>
          <t>BLANCA TEMPRANA sem antep</t>
        </is>
      </c>
      <c r="T172" s="14" t="inlineStr">
        <is>
          <t>CITRICOS</t>
        </is>
      </c>
      <c r="U172" s="19">
        <f>IFERROR(166.386*I172/F172,0)</f>
        <v/>
      </c>
      <c r="V172" s="19">
        <f>IFERROR(166.386*M172/F172,0)</f>
        <v/>
      </c>
      <c r="W172" s="19">
        <f>IFERROR(166.386*L172/F172,0)</f>
        <v/>
      </c>
    </row>
    <row r="173">
      <c r="A173" s="14" t="n">
        <v>2208</v>
      </c>
      <c r="B173" s="14" t="inlineStr">
        <is>
          <t>BLANCA TEMPRANA sem antep</t>
        </is>
      </c>
      <c r="C173" s="15" t="n">
        <v>1624</v>
      </c>
      <c r="D173" s="14" t="inlineStr">
        <is>
          <t>SANCHEZ GUIL, JUAN JAVIER</t>
        </is>
      </c>
      <c r="E173" s="14" t="inlineStr">
        <is>
          <t>SALUSTIANA</t>
        </is>
      </c>
      <c r="F173" s="15" t="n">
        <v>36943</v>
      </c>
      <c r="G173" s="16" t="n">
        <v>10747.79</v>
      </c>
      <c r="H173" s="17" t="n">
        <v>0.2909289987277698</v>
      </c>
      <c r="I173" s="16" t="n">
        <v>2659.9</v>
      </c>
      <c r="J173" s="16" t="n">
        <v>311.96</v>
      </c>
      <c r="K173" s="16" t="n">
        <v>1073.969953</v>
      </c>
      <c r="L173" s="16" t="n">
        <v>0</v>
      </c>
      <c r="M173" s="16" t="n">
        <v>0</v>
      </c>
      <c r="N173" s="16" t="n">
        <v>8849.9</v>
      </c>
      <c r="O173" s="17" t="n">
        <v>0.26294</v>
      </c>
      <c r="P173" s="18" t="n">
        <v>12</v>
      </c>
      <c r="Q173" s="18" t="n">
        <v>2</v>
      </c>
      <c r="R173" s="16" t="n">
        <v>9713.65</v>
      </c>
      <c r="S173" s="14" t="inlineStr">
        <is>
          <t>BLANCA TEMPRANA sem antep</t>
        </is>
      </c>
      <c r="T173" s="14" t="inlineStr">
        <is>
          <t>CITRICOS</t>
        </is>
      </c>
      <c r="U173" s="19">
        <f>IFERROR(166.386*I173/F173,0)</f>
        <v/>
      </c>
      <c r="V173" s="19">
        <f>IFERROR(166.386*M173/F173,0)</f>
        <v/>
      </c>
      <c r="W173" s="19">
        <f>IFERROR(166.386*L173/F173,0)</f>
        <v/>
      </c>
    </row>
    <row r="174">
      <c r="A174" s="14" t="n">
        <v>2209</v>
      </c>
      <c r="B174" s="14" t="inlineStr">
        <is>
          <t>BLANCA TEMPRANA sem penult</t>
        </is>
      </c>
      <c r="C174" s="15" t="n">
        <v>1126</v>
      </c>
      <c r="D174" s="14" t="inlineStr">
        <is>
          <t>PAVON CARABALLO,ANA MARIA</t>
        </is>
      </c>
      <c r="E174" s="14" t="inlineStr">
        <is>
          <t>SALUSTIANA</t>
        </is>
      </c>
      <c r="F174" s="15" t="n">
        <v>41413</v>
      </c>
      <c r="G174" s="16" t="n">
        <v>14674.56</v>
      </c>
      <c r="H174" s="17" t="n">
        <v>0.3543467027261971</v>
      </c>
      <c r="I174" s="16" t="n">
        <v>2981.74</v>
      </c>
      <c r="J174" s="16" t="n">
        <v>193.55</v>
      </c>
      <c r="K174" s="16" t="n">
        <v>0</v>
      </c>
      <c r="L174" s="16" t="n">
        <v>0</v>
      </c>
      <c r="M174" s="16" t="n">
        <v>0</v>
      </c>
      <c r="N174" s="16" t="n">
        <v>11499.27</v>
      </c>
      <c r="O174" s="17" t="n">
        <v>0.30477</v>
      </c>
      <c r="P174" s="18" t="n">
        <v>12</v>
      </c>
      <c r="Q174" s="18" t="n">
        <v>2</v>
      </c>
      <c r="R174" s="16" t="n">
        <v>12621.6</v>
      </c>
      <c r="S174" s="14" t="inlineStr">
        <is>
          <t>BLANCA TEMPRANA sem penult</t>
        </is>
      </c>
      <c r="T174" s="14" t="inlineStr">
        <is>
          <t>CITRICOS</t>
        </is>
      </c>
      <c r="U174" s="19">
        <f>IFERROR(166.386*I174/F174,0)</f>
        <v/>
      </c>
      <c r="V174" s="19">
        <f>IFERROR(166.386*M174/F174,0)</f>
        <v/>
      </c>
      <c r="W174" s="19">
        <f>IFERROR(166.386*L174/F174,0)</f>
        <v/>
      </c>
    </row>
    <row r="175">
      <c r="A175" s="14" t="n">
        <v>2209</v>
      </c>
      <c r="B175" s="14" t="inlineStr">
        <is>
          <t>BLANCA TEMPRANA sem penult</t>
        </is>
      </c>
      <c r="C175" s="15" t="n">
        <v>1145</v>
      </c>
      <c r="D175" s="14" t="inlineStr">
        <is>
          <t>LEON RIOS,JUAN ANTONIO</t>
        </is>
      </c>
      <c r="E175" s="14" t="inlineStr">
        <is>
          <t>SALUSTIANA</t>
        </is>
      </c>
      <c r="F175" s="15" t="n">
        <v>43955</v>
      </c>
      <c r="G175" s="16" t="n">
        <v>14021.11</v>
      </c>
      <c r="H175" s="17" t="n">
        <v>0.3189878284609259</v>
      </c>
      <c r="I175" s="16" t="n">
        <v>3164.76</v>
      </c>
      <c r="J175" s="16" t="n">
        <v>542.1</v>
      </c>
      <c r="K175" s="16" t="n">
        <v>44.49002026</v>
      </c>
      <c r="L175" s="16" t="n">
        <v>0</v>
      </c>
      <c r="M175" s="16" t="n">
        <v>0</v>
      </c>
      <c r="N175" s="16" t="n">
        <v>10358.74</v>
      </c>
      <c r="O175" s="17" t="n">
        <v>0.25867</v>
      </c>
      <c r="P175" s="18" t="n">
        <v>12</v>
      </c>
      <c r="Q175" s="18" t="n">
        <v>2</v>
      </c>
      <c r="R175" s="16" t="n">
        <v>11369.75</v>
      </c>
      <c r="S175" s="14" t="inlineStr">
        <is>
          <t>BLANCA TEMPRANA sem penult</t>
        </is>
      </c>
      <c r="T175" s="14" t="inlineStr">
        <is>
          <t>CITRICOS</t>
        </is>
      </c>
      <c r="U175" s="19">
        <f>IFERROR(166.386*I175/F175,0)</f>
        <v/>
      </c>
      <c r="V175" s="19">
        <f>IFERROR(166.386*M175/F175,0)</f>
        <v/>
      </c>
      <c r="W175" s="19">
        <f>IFERROR(166.386*L175/F175,0)</f>
        <v/>
      </c>
    </row>
    <row r="176">
      <c r="A176" s="14" t="n">
        <v>2209</v>
      </c>
      <c r="B176" s="14" t="inlineStr">
        <is>
          <t>BLANCA TEMPRANA sem penult</t>
        </is>
      </c>
      <c r="C176" s="15" t="n">
        <v>1272</v>
      </c>
      <c r="D176" s="14" t="inlineStr">
        <is>
          <t>HERMANOS GONZALEZ ROLDAN,S.C.</t>
        </is>
      </c>
      <c r="E176" s="14" t="inlineStr">
        <is>
          <t>SALUSTIANA</t>
        </is>
      </c>
      <c r="F176" s="15" t="n">
        <v>42360</v>
      </c>
      <c r="G176" s="16" t="n">
        <v>12809.96</v>
      </c>
      <c r="H176" s="17" t="n">
        <v>0.3024069877242682</v>
      </c>
      <c r="I176" s="16" t="n">
        <v>3049.92</v>
      </c>
      <c r="J176" s="16" t="n">
        <v>778.53</v>
      </c>
      <c r="K176" s="16" t="n">
        <v>745.2399036</v>
      </c>
      <c r="L176" s="16" t="n">
        <v>0</v>
      </c>
      <c r="M176" s="16" t="n">
        <v>500.62</v>
      </c>
      <c r="N176" s="16" t="n">
        <v>10227.37</v>
      </c>
      <c r="O176" s="17" t="n">
        <v>0.265</v>
      </c>
      <c r="P176" s="18" t="n">
        <v>12</v>
      </c>
      <c r="Q176" s="18" t="n">
        <v>2</v>
      </c>
      <c r="R176" s="16" t="n">
        <v>11225.56</v>
      </c>
      <c r="S176" s="14" t="inlineStr">
        <is>
          <t>BLANCA TEMPRANA sem penult</t>
        </is>
      </c>
      <c r="T176" s="14" t="inlineStr">
        <is>
          <t>CITRICOS</t>
        </is>
      </c>
      <c r="U176" s="19">
        <f>IFERROR(166.386*I176/F176,0)</f>
        <v/>
      </c>
      <c r="V176" s="19">
        <f>IFERROR(166.386*M176/F176,0)</f>
        <v/>
      </c>
      <c r="W176" s="19">
        <f>IFERROR(166.386*L176/F176,0)</f>
        <v/>
      </c>
    </row>
    <row r="177">
      <c r="A177" s="14" t="n">
        <v>2209</v>
      </c>
      <c r="B177" s="14" t="inlineStr">
        <is>
          <t>BLANCA TEMPRANA sem penult</t>
        </is>
      </c>
      <c r="C177" s="15" t="n">
        <v>1395</v>
      </c>
      <c r="D177" s="14" t="inlineStr">
        <is>
          <t>AGRICOLA HERMANOS BUIZA S.C.</t>
        </is>
      </c>
      <c r="E177" s="14" t="inlineStr">
        <is>
          <t>SALUSTIANA</t>
        </is>
      </c>
      <c r="F177" s="15" t="n">
        <v>59680</v>
      </c>
      <c r="G177" s="16" t="n">
        <v>19804.97</v>
      </c>
      <c r="H177" s="17" t="n">
        <v>0.3318527144772118</v>
      </c>
      <c r="I177" s="16" t="n">
        <v>4296.96</v>
      </c>
      <c r="J177" s="16" t="n">
        <v>225.48</v>
      </c>
      <c r="K177" s="16" t="n">
        <v>0</v>
      </c>
      <c r="L177" s="16" t="n">
        <v>118.33</v>
      </c>
      <c r="M177" s="16" t="n">
        <v>792.1799999999999</v>
      </c>
      <c r="N177" s="16" t="n">
        <v>16193.04</v>
      </c>
      <c r="O177" s="17" t="n">
        <v>0.29781</v>
      </c>
      <c r="P177" s="18" t="n">
        <v>12</v>
      </c>
      <c r="Q177" s="18" t="n">
        <v>2</v>
      </c>
      <c r="R177" s="16" t="n">
        <v>17773.48</v>
      </c>
      <c r="S177" s="14" t="inlineStr">
        <is>
          <t>BLANCA TEMPRANA sem penult</t>
        </is>
      </c>
      <c r="T177" s="14" t="inlineStr">
        <is>
          <t>CITRICOS</t>
        </is>
      </c>
      <c r="U177" s="19">
        <f>IFERROR(166.386*I177/F177,0)</f>
        <v/>
      </c>
      <c r="V177" s="19">
        <f>IFERROR(166.386*M177/F177,0)</f>
        <v/>
      </c>
      <c r="W177" s="19">
        <f>IFERROR(166.386*L177/F177,0)</f>
        <v/>
      </c>
    </row>
    <row r="178">
      <c r="A178" s="14" t="n">
        <v>2209</v>
      </c>
      <c r="B178" s="14" t="inlineStr">
        <is>
          <t>BLANCA TEMPRANA sem penult</t>
        </is>
      </c>
      <c r="C178" s="15" t="n">
        <v>1419</v>
      </c>
      <c r="D178" s="14" t="inlineStr">
        <is>
          <t>MORAL GARCIA,JOSE ANTONIO</t>
        </is>
      </c>
      <c r="E178" s="14" t="inlineStr">
        <is>
          <t>SALUSTIANA</t>
        </is>
      </c>
      <c r="F178" s="15" t="n">
        <v>46846</v>
      </c>
      <c r="G178" s="16" t="n">
        <v>15034.84</v>
      </c>
      <c r="H178" s="17" t="n">
        <v>0.3209418093327072</v>
      </c>
      <c r="I178" s="16" t="n">
        <v>3372.91</v>
      </c>
      <c r="J178" s="16" t="n">
        <v>291.68</v>
      </c>
      <c r="K178" s="16" t="n">
        <v>0</v>
      </c>
      <c r="L178" s="16" t="n">
        <v>228.11</v>
      </c>
      <c r="M178" s="16" t="n">
        <v>0</v>
      </c>
      <c r="N178" s="16" t="n">
        <v>11598.36</v>
      </c>
      <c r="O178" s="17" t="n">
        <v>0.27175</v>
      </c>
      <c r="P178" s="18" t="n">
        <v>12</v>
      </c>
      <c r="Q178" s="18" t="n">
        <v>2</v>
      </c>
      <c r="R178" s="16" t="n">
        <v>12730.36</v>
      </c>
      <c r="S178" s="14" t="inlineStr">
        <is>
          <t>BLANCA TEMPRANA sem penult</t>
        </is>
      </c>
      <c r="T178" s="14" t="inlineStr">
        <is>
          <t>CITRICOS</t>
        </is>
      </c>
      <c r="U178" s="19">
        <f>IFERROR(166.386*I178/F178,0)</f>
        <v/>
      </c>
      <c r="V178" s="19">
        <f>IFERROR(166.386*M178/F178,0)</f>
        <v/>
      </c>
      <c r="W178" s="19">
        <f>IFERROR(166.386*L178/F178,0)</f>
        <v/>
      </c>
    </row>
    <row r="179">
      <c r="A179" s="14" t="n">
        <v>2209</v>
      </c>
      <c r="B179" s="14" t="inlineStr">
        <is>
          <t>BLANCA TEMPRANA sem penult</t>
        </is>
      </c>
      <c r="C179" s="15" t="n">
        <v>1529</v>
      </c>
      <c r="D179" s="14" t="inlineStr">
        <is>
          <t>RAMOS BRUGAROLAS, JOSE</t>
        </is>
      </c>
      <c r="E179" s="14" t="inlineStr">
        <is>
          <t>SALUSTIANA</t>
        </is>
      </c>
      <c r="F179" s="15" t="n">
        <v>2638</v>
      </c>
      <c r="G179" s="16" t="n">
        <v>994.61</v>
      </c>
      <c r="H179" s="17" t="n">
        <v>0.3770318423047763</v>
      </c>
      <c r="I179" s="16" t="n">
        <v>197.85</v>
      </c>
      <c r="J179" s="16" t="n">
        <v>17.44</v>
      </c>
      <c r="K179" s="16" t="n">
        <v>0</v>
      </c>
      <c r="L179" s="16" t="n">
        <v>0</v>
      </c>
      <c r="M179" s="16" t="n">
        <v>0</v>
      </c>
      <c r="N179" s="16" t="n">
        <v>779.3200000000001</v>
      </c>
      <c r="O179" s="17" t="n">
        <v>0.32425</v>
      </c>
      <c r="P179" s="18" t="n">
        <v>12</v>
      </c>
      <c r="Q179" s="18" t="n">
        <v>2</v>
      </c>
      <c r="R179" s="16" t="n">
        <v>855.38</v>
      </c>
      <c r="S179" s="14" t="inlineStr">
        <is>
          <t>BLANCA TEMPRANA sem penult</t>
        </is>
      </c>
      <c r="T179" s="14" t="inlineStr">
        <is>
          <t>CITRICOS</t>
        </is>
      </c>
      <c r="U179" s="19">
        <f>IFERROR(166.386*I179/F179,0)</f>
        <v/>
      </c>
      <c r="V179" s="19">
        <f>IFERROR(166.386*M179/F179,0)</f>
        <v/>
      </c>
      <c r="W179" s="19">
        <f>IFERROR(166.386*L179/F179,0)</f>
        <v/>
      </c>
    </row>
    <row r="180">
      <c r="A180" s="14" t="n">
        <v>2209</v>
      </c>
      <c r="B180" s="14" t="inlineStr">
        <is>
          <t>BLANCA TEMPRANA sem penult</t>
        </is>
      </c>
      <c r="C180" s="15" t="n">
        <v>1589</v>
      </c>
      <c r="D180" s="14" t="inlineStr">
        <is>
          <t>PRIOR PORTILLO, JUAN ANTONIO</t>
        </is>
      </c>
      <c r="E180" s="14" t="inlineStr">
        <is>
          <t>SALUSTIANA</t>
        </is>
      </c>
      <c r="F180" s="15" t="n">
        <v>38316</v>
      </c>
      <c r="G180" s="16" t="n">
        <v>12109.19</v>
      </c>
      <c r="H180" s="17" t="n">
        <v>0.3160348157427706</v>
      </c>
      <c r="I180" s="16" t="n">
        <v>2758.75</v>
      </c>
      <c r="J180" s="16" t="n">
        <v>239</v>
      </c>
      <c r="K180" s="16" t="n">
        <v>151.929990144</v>
      </c>
      <c r="L180" s="16" t="n">
        <v>0</v>
      </c>
      <c r="M180" s="16" t="n">
        <v>442.92</v>
      </c>
      <c r="N180" s="16" t="n">
        <v>9706.290000000001</v>
      </c>
      <c r="O180" s="17" t="n">
        <v>0.27805</v>
      </c>
      <c r="P180" s="18" t="n">
        <v>12</v>
      </c>
      <c r="Q180" s="18" t="n">
        <v>2</v>
      </c>
      <c r="R180" s="16" t="n">
        <v>10653.62</v>
      </c>
      <c r="S180" s="14" t="inlineStr">
        <is>
          <t>BLANCA TEMPRANA sem penult</t>
        </is>
      </c>
      <c r="T180" s="14" t="inlineStr">
        <is>
          <t>CITRICOS</t>
        </is>
      </c>
      <c r="U180" s="19">
        <f>IFERROR(166.386*I180/F180,0)</f>
        <v/>
      </c>
      <c r="V180" s="19">
        <f>IFERROR(166.386*M180/F180,0)</f>
        <v/>
      </c>
      <c r="W180" s="19">
        <f>IFERROR(166.386*L180/F180,0)</f>
        <v/>
      </c>
    </row>
    <row r="181">
      <c r="A181" s="14" t="n">
        <v>2211</v>
      </c>
      <c r="B181" s="14" t="inlineStr">
        <is>
          <t>BLANCA TEMPRANA sem ultim</t>
        </is>
      </c>
      <c r="C181" s="15" t="n">
        <v>1316</v>
      </c>
      <c r="D181" s="14" t="inlineStr">
        <is>
          <t>JIMENA GARCIA,JUAN MANUEL</t>
        </is>
      </c>
      <c r="E181" s="14" t="inlineStr">
        <is>
          <t>SALUSTIANA</t>
        </is>
      </c>
      <c r="F181" s="15" t="n">
        <v>6964</v>
      </c>
      <c r="G181" s="16" t="n">
        <v>2155.9</v>
      </c>
      <c r="H181" s="17" t="n">
        <v>0.3095778288340034</v>
      </c>
      <c r="I181" s="16" t="n">
        <v>435.25</v>
      </c>
      <c r="J181" s="16" t="n">
        <v>46.82</v>
      </c>
      <c r="K181" s="16" t="n">
        <v>72.57999187999999</v>
      </c>
      <c r="L181" s="16" t="n">
        <v>0</v>
      </c>
      <c r="M181" s="16" t="n">
        <v>0</v>
      </c>
      <c r="N181" s="16" t="n">
        <v>1746.41</v>
      </c>
      <c r="O181" s="17" t="n">
        <v>0.27525</v>
      </c>
      <c r="P181" s="18" t="n">
        <v>12</v>
      </c>
      <c r="Q181" s="18" t="n">
        <v>2</v>
      </c>
      <c r="R181" s="16" t="n">
        <v>1916.86</v>
      </c>
      <c r="S181" s="14" t="inlineStr">
        <is>
          <t>BLANCA TEMPRANA sem ultim</t>
        </is>
      </c>
      <c r="T181" s="14" t="inlineStr">
        <is>
          <t>CITRICOS</t>
        </is>
      </c>
      <c r="U181" s="19">
        <f>IFERROR(166.386*I181/F181,0)</f>
        <v/>
      </c>
      <c r="V181" s="19">
        <f>IFERROR(166.386*M181/F181,0)</f>
        <v/>
      </c>
      <c r="W181" s="19">
        <f>IFERROR(166.386*L181/F181,0)</f>
        <v/>
      </c>
    </row>
    <row r="182">
      <c r="A182" s="14" t="n">
        <v>2211</v>
      </c>
      <c r="B182" s="14" t="inlineStr">
        <is>
          <t>BLANCA TEMPRANA sem ultim</t>
        </is>
      </c>
      <c r="C182" s="15" t="n">
        <v>1395</v>
      </c>
      <c r="D182" s="14" t="inlineStr">
        <is>
          <t>AGRICOLA HERMANOS BUIZA S.C.</t>
        </is>
      </c>
      <c r="E182" s="14" t="inlineStr">
        <is>
          <t>SALUSTIANA</t>
        </is>
      </c>
      <c r="F182" s="15" t="n">
        <v>32175</v>
      </c>
      <c r="G182" s="16" t="n">
        <v>11485.91</v>
      </c>
      <c r="H182" s="17" t="n">
        <v>0.3569824397824398</v>
      </c>
      <c r="I182" s="16" t="n">
        <v>2316.6</v>
      </c>
      <c r="J182" s="16" t="n">
        <v>121.56</v>
      </c>
      <c r="K182" s="16" t="n">
        <v>0</v>
      </c>
      <c r="L182" s="16" t="n">
        <v>104.4</v>
      </c>
      <c r="M182" s="16" t="n">
        <v>482.78</v>
      </c>
      <c r="N182" s="16" t="n">
        <v>9634.93</v>
      </c>
      <c r="O182" s="17" t="n">
        <v>0.32868</v>
      </c>
      <c r="P182" s="18" t="n">
        <v>12</v>
      </c>
      <c r="Q182" s="18" t="n">
        <v>2</v>
      </c>
      <c r="R182" s="16" t="n">
        <v>10575.3</v>
      </c>
      <c r="S182" s="14" t="inlineStr">
        <is>
          <t>BLANCA TEMPRANA sem ultim</t>
        </is>
      </c>
      <c r="T182" s="14" t="inlineStr">
        <is>
          <t>CITRICOS</t>
        </is>
      </c>
      <c r="U182" s="19">
        <f>IFERROR(166.386*I182/F182,0)</f>
        <v/>
      </c>
      <c r="V182" s="19">
        <f>IFERROR(166.386*M182/F182,0)</f>
        <v/>
      </c>
      <c r="W182" s="19">
        <f>IFERROR(166.386*L182/F182,0)</f>
        <v/>
      </c>
    </row>
    <row r="183">
      <c r="A183" s="14" t="n">
        <v>2211</v>
      </c>
      <c r="B183" s="14" t="inlineStr">
        <is>
          <t>BLANCA TEMPRANA sem ultim</t>
        </is>
      </c>
      <c r="C183" s="15" t="n">
        <v>1419</v>
      </c>
      <c r="D183" s="14" t="inlineStr">
        <is>
          <t>MORAL GARCIA,JOSE ANTONIO</t>
        </is>
      </c>
      <c r="E183" s="14" t="inlineStr">
        <is>
          <t>SALUSTIANA</t>
        </is>
      </c>
      <c r="F183" s="15" t="n">
        <v>45125</v>
      </c>
      <c r="G183" s="16" t="n">
        <v>15097.56</v>
      </c>
      <c r="H183" s="17" t="n">
        <v>0.3345719667590027</v>
      </c>
      <c r="I183" s="16" t="n">
        <v>3249</v>
      </c>
      <c r="J183" s="16" t="n">
        <v>280.96</v>
      </c>
      <c r="K183" s="16" t="n">
        <v>0</v>
      </c>
      <c r="L183" s="16" t="n">
        <v>119.71</v>
      </c>
      <c r="M183" s="16" t="n">
        <v>0</v>
      </c>
      <c r="N183" s="16" t="n">
        <v>11687.31</v>
      </c>
      <c r="O183" s="17" t="n">
        <v>0.28428</v>
      </c>
      <c r="P183" s="18" t="n">
        <v>12</v>
      </c>
      <c r="Q183" s="18" t="n">
        <v>2</v>
      </c>
      <c r="R183" s="16" t="n">
        <v>12827.99</v>
      </c>
      <c r="S183" s="14" t="inlineStr">
        <is>
          <t>BLANCA TEMPRANA sem ultim</t>
        </is>
      </c>
      <c r="T183" s="14" t="inlineStr">
        <is>
          <t>CITRICOS</t>
        </is>
      </c>
      <c r="U183" s="19">
        <f>IFERROR(166.386*I183/F183,0)</f>
        <v/>
      </c>
      <c r="V183" s="19">
        <f>IFERROR(166.386*M183/F183,0)</f>
        <v/>
      </c>
      <c r="W183" s="19">
        <f>IFERROR(166.386*L183/F183,0)</f>
        <v/>
      </c>
    </row>
    <row r="184">
      <c r="A184" s="14" t="n">
        <v>2211</v>
      </c>
      <c r="B184" s="14" t="inlineStr">
        <is>
          <t>BLANCA TEMPRANA sem ultim</t>
        </is>
      </c>
      <c r="C184" s="15" t="n">
        <v>1561</v>
      </c>
      <c r="D184" s="14" t="inlineStr">
        <is>
          <t>SUAREZ SANCHEZ, Mª DEL PILAR</t>
        </is>
      </c>
      <c r="E184" s="14" t="inlineStr">
        <is>
          <t>SALUSTIANA</t>
        </is>
      </c>
      <c r="F184" s="15" t="n">
        <v>85225</v>
      </c>
      <c r="G184" s="16" t="n">
        <v>29866.88</v>
      </c>
      <c r="H184" s="17" t="n">
        <v>0.3504474039307715</v>
      </c>
      <c r="I184" s="16" t="n">
        <v>0</v>
      </c>
      <c r="J184" s="16" t="n">
        <v>692.9299999999999</v>
      </c>
      <c r="K184" s="16" t="n">
        <v>0</v>
      </c>
      <c r="L184" s="16" t="n">
        <v>557.6799999999999</v>
      </c>
      <c r="M184" s="16" t="n">
        <v>1171.5</v>
      </c>
      <c r="N184" s="16" t="n">
        <v>30903.13</v>
      </c>
      <c r="O184" s="17" t="n">
        <v>0.398</v>
      </c>
      <c r="P184" s="18" t="n">
        <v>12</v>
      </c>
      <c r="Q184" s="18" t="n">
        <v>2</v>
      </c>
      <c r="R184" s="16" t="n">
        <v>33919.28</v>
      </c>
      <c r="S184" s="14" t="inlineStr">
        <is>
          <t>BLANCA TEMPRANA sem ultim</t>
        </is>
      </c>
      <c r="T184" s="14" t="inlineStr">
        <is>
          <t>CITRICOS</t>
        </is>
      </c>
      <c r="U184" s="19">
        <f>IFERROR(166.386*I184/F184,0)</f>
        <v/>
      </c>
      <c r="V184" s="19">
        <f>IFERROR(166.386*M184/F184,0)</f>
        <v/>
      </c>
      <c r="W184" s="19">
        <f>IFERROR(166.386*L184/F184,0)</f>
        <v/>
      </c>
    </row>
    <row r="185">
      <c r="A185" s="14" t="n">
        <v>2212</v>
      </c>
      <c r="B185" s="14" t="inlineStr">
        <is>
          <t>BLANCA TEMPRANA sem1</t>
        </is>
      </c>
      <c r="C185" s="15" t="n">
        <v>1585</v>
      </c>
      <c r="D185" s="14" t="inlineStr">
        <is>
          <t>CESPEDES AGUILAR, PATRICIA</t>
        </is>
      </c>
      <c r="E185" s="14" t="inlineStr">
        <is>
          <t>SALUSTIANA</t>
        </is>
      </c>
      <c r="F185" s="15" t="n">
        <v>45284</v>
      </c>
      <c r="G185" s="16" t="n">
        <v>16739.31</v>
      </c>
      <c r="H185" s="17" t="n">
        <v>0.3696517533786768</v>
      </c>
      <c r="I185" s="16" t="n">
        <v>3260.45</v>
      </c>
      <c r="J185" s="16" t="n">
        <v>304.79</v>
      </c>
      <c r="K185" s="16" t="n">
        <v>0</v>
      </c>
      <c r="L185" s="16" t="n">
        <v>0</v>
      </c>
      <c r="M185" s="16" t="n">
        <v>619.46</v>
      </c>
      <c r="N185" s="16" t="n">
        <v>13793.53</v>
      </c>
      <c r="O185" s="17" t="n">
        <v>0.33433</v>
      </c>
      <c r="P185" s="18" t="n">
        <v>12</v>
      </c>
      <c r="Q185" s="18" t="n">
        <v>2</v>
      </c>
      <c r="R185" s="16" t="n">
        <v>15139.78</v>
      </c>
      <c r="S185" s="14" t="inlineStr">
        <is>
          <t>BLANCA TEMPRANA sem1</t>
        </is>
      </c>
      <c r="T185" s="14" t="inlineStr">
        <is>
          <t>CITRICOS</t>
        </is>
      </c>
      <c r="U185" s="19">
        <f>IFERROR(166.386*I185/F185,0)</f>
        <v/>
      </c>
      <c r="V185" s="19">
        <f>IFERROR(166.386*M185/F185,0)</f>
        <v/>
      </c>
      <c r="W185" s="19">
        <f>IFERROR(166.386*L185/F185,0)</f>
        <v/>
      </c>
    </row>
    <row r="186">
      <c r="A186" s="14" t="n">
        <v>2212</v>
      </c>
      <c r="B186" s="14" t="inlineStr">
        <is>
          <t>BLANCA TEMPRANA sem1</t>
        </is>
      </c>
      <c r="C186" s="15" t="n">
        <v>1614</v>
      </c>
      <c r="D186" s="14" t="inlineStr">
        <is>
          <t>MARIN SERRANO 2025 S.C.</t>
        </is>
      </c>
      <c r="E186" s="14" t="inlineStr">
        <is>
          <t>SALUSTIANA</t>
        </is>
      </c>
      <c r="F186" s="15" t="n">
        <v>120955</v>
      </c>
      <c r="G186" s="16" t="n">
        <v>43994.02</v>
      </c>
      <c r="H186" s="17" t="n">
        <v>0.3637222107395312</v>
      </c>
      <c r="I186" s="16" t="n">
        <v>8708.76</v>
      </c>
      <c r="J186" s="16" t="n">
        <v>231.75</v>
      </c>
      <c r="K186" s="16" t="n">
        <v>0</v>
      </c>
      <c r="L186" s="16" t="n">
        <v>0</v>
      </c>
      <c r="M186" s="16" t="n">
        <v>0</v>
      </c>
      <c r="N186" s="16" t="n">
        <v>35053.51</v>
      </c>
      <c r="O186" s="17" t="n">
        <v>0.31809</v>
      </c>
      <c r="P186" s="18" t="n">
        <v>12</v>
      </c>
      <c r="Q186" s="18" t="n">
        <v>2</v>
      </c>
      <c r="R186" s="16" t="n">
        <v>38474.73</v>
      </c>
      <c r="S186" s="14" t="inlineStr">
        <is>
          <t>BLANCA TEMPRANA sem1</t>
        </is>
      </c>
      <c r="T186" s="14" t="inlineStr">
        <is>
          <t>CITRICOS</t>
        </is>
      </c>
      <c r="U186" s="19">
        <f>IFERROR(166.386*I186/F186,0)</f>
        <v/>
      </c>
      <c r="V186" s="19">
        <f>IFERROR(166.386*M186/F186,0)</f>
        <v/>
      </c>
      <c r="W186" s="19">
        <f>IFERROR(166.386*L186/F186,0)</f>
        <v/>
      </c>
    </row>
    <row r="187">
      <c r="A187" s="14" t="n">
        <v>2326</v>
      </c>
      <c r="B187" s="14" t="inlineStr">
        <is>
          <t>Caracara</t>
        </is>
      </c>
      <c r="C187" s="15" t="n">
        <v>1528</v>
      </c>
      <c r="D187" s="14" t="inlineStr">
        <is>
          <t>RAMOS BRUGAROLAS, IGNACIO</t>
        </is>
      </c>
      <c r="E187" s="14" t="inlineStr">
        <is>
          <t>CARA CARA</t>
        </is>
      </c>
      <c r="F187" s="15" t="n">
        <v>14855</v>
      </c>
      <c r="G187" s="16" t="n">
        <v>4753.6</v>
      </c>
      <c r="H187" s="17" t="n">
        <v>0.32</v>
      </c>
      <c r="I187" s="16" t="n">
        <v>950.9400000000001</v>
      </c>
      <c r="J187" s="16" t="n">
        <v>124.94</v>
      </c>
      <c r="K187" s="16" t="n">
        <v>0</v>
      </c>
      <c r="L187" s="16" t="n">
        <v>0</v>
      </c>
      <c r="M187" s="16" t="n">
        <v>0</v>
      </c>
      <c r="N187" s="16" t="n">
        <v>3677.72</v>
      </c>
      <c r="O187" s="17" t="n">
        <v>0.27174</v>
      </c>
      <c r="P187" s="18" t="n">
        <v>12</v>
      </c>
      <c r="Q187" s="18" t="n">
        <v>2</v>
      </c>
      <c r="R187" s="16" t="n">
        <v>4036.67</v>
      </c>
      <c r="S187" s="14" t="inlineStr">
        <is>
          <t>Caracara</t>
        </is>
      </c>
      <c r="T187" s="14" t="inlineStr">
        <is>
          <t>CITRICOS</t>
        </is>
      </c>
      <c r="U187" s="19">
        <f>IFERROR(166.386*I187/F187,0)</f>
        <v/>
      </c>
      <c r="V187" s="19">
        <f>IFERROR(166.386*M187/F187,0)</f>
        <v/>
      </c>
      <c r="W187" s="19">
        <f>IFERROR(166.386*L187/F187,0)</f>
        <v/>
      </c>
    </row>
    <row r="188">
      <c r="A188" s="14" t="n">
        <v>2185</v>
      </c>
      <c r="B188" s="14" t="inlineStr">
        <is>
          <t>Tango Semana 5 NORMAL</t>
        </is>
      </c>
      <c r="C188" s="15" t="n">
        <v>1561</v>
      </c>
      <c r="D188" s="14" t="inlineStr">
        <is>
          <t>SUAREZ SANCHEZ, Mª DEL PILAR</t>
        </is>
      </c>
      <c r="E188" s="14" t="inlineStr">
        <is>
          <t>TANGO</t>
        </is>
      </c>
      <c r="F188" s="15" t="n">
        <v>105845</v>
      </c>
      <c r="G188" s="16" t="n">
        <v>87043.03999999999</v>
      </c>
      <c r="H188" s="17" t="n">
        <v>0.8223632670414285</v>
      </c>
      <c r="I188" s="16" t="n">
        <v>0</v>
      </c>
      <c r="J188" s="16" t="n">
        <v>860.59</v>
      </c>
      <c r="K188" s="16" t="n">
        <v>0</v>
      </c>
      <c r="L188" s="16" t="n">
        <v>0</v>
      </c>
      <c r="M188" s="16" t="n">
        <v>0</v>
      </c>
      <c r="N188" s="16" t="n">
        <v>86182.45</v>
      </c>
      <c r="O188" s="17" t="n">
        <v>0.8937</v>
      </c>
      <c r="P188" s="18" t="n">
        <v>12</v>
      </c>
      <c r="Q188" s="18" t="n">
        <v>2</v>
      </c>
      <c r="R188" s="16" t="n">
        <v>94593.86</v>
      </c>
      <c r="S188" s="14" t="inlineStr">
        <is>
          <t>Tango Semana 5 NORMAL</t>
        </is>
      </c>
      <c r="T188" s="14" t="inlineStr">
        <is>
          <t>DIRECTO</t>
        </is>
      </c>
      <c r="U188" s="19">
        <f>IFERROR(166.386*I188/F188,0)</f>
        <v/>
      </c>
      <c r="V188" s="19">
        <f>IFERROR(166.386*M188/F188,0)</f>
        <v/>
      </c>
      <c r="W188" s="19">
        <f>IFERROR(166.386*L188/F188,0)</f>
        <v/>
      </c>
    </row>
    <row r="189">
      <c r="A189" s="14" t="n">
        <v>2186</v>
      </c>
      <c r="B189" s="14" t="inlineStr">
        <is>
          <t>Tango Semana 6 NORMAL</t>
        </is>
      </c>
      <c r="C189" s="15" t="n">
        <v>1561</v>
      </c>
      <c r="D189" s="14" t="inlineStr">
        <is>
          <t>SUAREZ SANCHEZ, Mª DEL PILAR</t>
        </is>
      </c>
      <c r="E189" s="14" t="inlineStr">
        <is>
          <t>TANGO</t>
        </is>
      </c>
      <c r="F189" s="15" t="n">
        <v>20120</v>
      </c>
      <c r="G189" s="16" t="n">
        <v>16026.82</v>
      </c>
      <c r="H189" s="17" t="n">
        <v>0.7965616302186879</v>
      </c>
      <c r="I189" s="16" t="n">
        <v>0</v>
      </c>
      <c r="J189" s="16" t="n">
        <v>163.59</v>
      </c>
      <c r="K189" s="16" t="n">
        <v>0</v>
      </c>
      <c r="L189" s="16" t="n">
        <v>0</v>
      </c>
      <c r="M189" s="16" t="n">
        <v>0</v>
      </c>
      <c r="N189" s="16" t="n">
        <v>15863.23</v>
      </c>
      <c r="O189" s="17" t="n">
        <v>0.86538</v>
      </c>
      <c r="P189" s="18" t="n">
        <v>12</v>
      </c>
      <c r="Q189" s="18" t="n">
        <v>2</v>
      </c>
      <c r="R189" s="16" t="n">
        <v>17411.48</v>
      </c>
      <c r="S189" s="14" t="inlineStr">
        <is>
          <t>Tango Semana 6 NORMAL</t>
        </is>
      </c>
      <c r="T189" s="14" t="inlineStr">
        <is>
          <t>DIRECTO</t>
        </is>
      </c>
      <c r="U189" s="19">
        <f>IFERROR(166.386*I189/F189,0)</f>
        <v/>
      </c>
      <c r="V189" s="19">
        <f>IFERROR(166.386*M189/F189,0)</f>
        <v/>
      </c>
      <c r="W189" s="19">
        <f>IFERROR(166.386*L189/F189,0)</f>
        <v/>
      </c>
    </row>
    <row r="190">
      <c r="A190" s="14" t="n">
        <v>2267</v>
      </c>
      <c r="B190" s="14" t="inlineStr">
        <is>
          <t>Final ANGELES DURAN (1251) NAVELINA</t>
        </is>
      </c>
      <c r="C190" s="15" t="n">
        <v>1251</v>
      </c>
      <c r="D190" s="14" t="inlineStr">
        <is>
          <t>DURAN ALMENARA,ANGELES</t>
        </is>
      </c>
      <c r="E190" s="14" t="inlineStr">
        <is>
          <t>NAVELINA</t>
        </is>
      </c>
      <c r="F190" s="15" t="n">
        <v>51468</v>
      </c>
      <c r="G190" s="16" t="n">
        <v>19660.78</v>
      </c>
      <c r="H190" s="17" t="n">
        <v>0.3820000777181938</v>
      </c>
      <c r="I190" s="16" t="n">
        <v>0</v>
      </c>
      <c r="J190" s="16" t="n">
        <v>234.65</v>
      </c>
      <c r="K190" s="16" t="n">
        <v>0</v>
      </c>
      <c r="L190" s="16" t="n">
        <v>0</v>
      </c>
      <c r="M190" s="16" t="n">
        <v>0</v>
      </c>
      <c r="N190" s="16" t="n">
        <v>19426.13</v>
      </c>
      <c r="O190" s="17" t="n">
        <v>0.41428</v>
      </c>
      <c r="P190" s="18" t="n">
        <v>12</v>
      </c>
      <c r="Q190" s="18" t="n">
        <v>2</v>
      </c>
      <c r="R190" s="16" t="n">
        <v>21322.12</v>
      </c>
      <c r="S190" s="14" t="inlineStr">
        <is>
          <t>Final ANGELES DURAN (1251) NAVELINA</t>
        </is>
      </c>
      <c r="T190" s="14" t="inlineStr">
        <is>
          <t>DIRECTO</t>
        </is>
      </c>
      <c r="U190" s="19">
        <f>IFERROR(166.386*I190/F190,0)</f>
        <v/>
      </c>
      <c r="V190" s="19">
        <f>IFERROR(166.386*M190/F190,0)</f>
        <v/>
      </c>
      <c r="W190" s="19">
        <f>IFERROR(166.386*L190/F190,0)</f>
        <v/>
      </c>
    </row>
    <row r="191">
      <c r="A191" s="14" t="n">
        <v>2268</v>
      </c>
      <c r="B191" s="14" t="inlineStr">
        <is>
          <t>Final ALVARO HARO (1544) NAVELINA</t>
        </is>
      </c>
      <c r="C191" s="15" t="n">
        <v>1544</v>
      </c>
      <c r="D191" s="14" t="inlineStr">
        <is>
          <t>HARO ORDOÑO, ALVARO</t>
        </is>
      </c>
      <c r="E191" s="14" t="inlineStr">
        <is>
          <t>NAVELINA</t>
        </is>
      </c>
      <c r="F191" s="15" t="n">
        <v>13962</v>
      </c>
      <c r="G191" s="16" t="n">
        <v>5358.62</v>
      </c>
      <c r="H191" s="17" t="n">
        <v>0.3838003151410972</v>
      </c>
      <c r="I191" s="16" t="n">
        <v>0</v>
      </c>
      <c r="J191" s="16" t="n">
        <v>78.55</v>
      </c>
      <c r="K191" s="16" t="n">
        <v>0</v>
      </c>
      <c r="L191" s="16" t="n">
        <v>0</v>
      </c>
      <c r="M191" s="16" t="n">
        <v>0</v>
      </c>
      <c r="N191" s="16" t="n">
        <v>5280.07</v>
      </c>
      <c r="O191" s="17" t="n">
        <v>0.41508</v>
      </c>
      <c r="P191" s="18" t="n">
        <v>12</v>
      </c>
      <c r="Q191" s="18" t="n">
        <v>2</v>
      </c>
      <c r="R191" s="16" t="n">
        <v>5795.4</v>
      </c>
      <c r="S191" s="14" t="inlineStr">
        <is>
          <t>Final ALVARO HARO (1544) NAVELINA</t>
        </is>
      </c>
      <c r="T191" s="14" t="inlineStr">
        <is>
          <t>DIRECTO</t>
        </is>
      </c>
      <c r="U191" s="19">
        <f>IFERROR(166.386*I191/F191,0)</f>
        <v/>
      </c>
      <c r="V191" s="19">
        <f>IFERROR(166.386*M191/F191,0)</f>
        <v/>
      </c>
      <c r="W191" s="19">
        <f>IFERROR(166.386*L191/F191,0)</f>
        <v/>
      </c>
    </row>
    <row r="192">
      <c r="A192" s="14" t="n">
        <v>2269</v>
      </c>
      <c r="B192" s="14" t="inlineStr">
        <is>
          <t>Final JUAN MARTINEZ LOPEZ DE ROZAS (1429) NAVELINA</t>
        </is>
      </c>
      <c r="C192" s="15" t="n">
        <v>1429</v>
      </c>
      <c r="D192" s="14" t="inlineStr">
        <is>
          <t>MARTINEZ LOPEZ DE ROZAS,JUAN</t>
        </is>
      </c>
      <c r="E192" s="14" t="inlineStr">
        <is>
          <t>NAVELINA</t>
        </is>
      </c>
      <c r="F192" s="15" t="n">
        <v>76460</v>
      </c>
      <c r="G192" s="16" t="n">
        <v>28290.2</v>
      </c>
      <c r="H192" s="17" t="n">
        <v>0.37</v>
      </c>
      <c r="I192" s="16" t="n">
        <v>0</v>
      </c>
      <c r="J192" s="16" t="n">
        <v>758.24</v>
      </c>
      <c r="K192" s="16" t="n">
        <v>0</v>
      </c>
      <c r="L192" s="16" t="n">
        <v>0</v>
      </c>
      <c r="M192" s="16" t="n">
        <v>0</v>
      </c>
      <c r="N192" s="16" t="n">
        <v>27531.96</v>
      </c>
      <c r="O192" s="17" t="n">
        <v>0.39523</v>
      </c>
      <c r="P192" s="18" t="n">
        <v>12</v>
      </c>
      <c r="Q192" s="18" t="n">
        <v>2</v>
      </c>
      <c r="R192" s="16" t="n">
        <v>30219.08</v>
      </c>
      <c r="S192" s="14" t="inlineStr">
        <is>
          <t>Final JUAN MARTINEZ LOPEZ DE ROZAS (1429) NAVELINA</t>
        </is>
      </c>
      <c r="T192" s="14" t="inlineStr">
        <is>
          <t>DIRECTO</t>
        </is>
      </c>
      <c r="U192" s="19">
        <f>IFERROR(166.386*I192/F192,0)</f>
        <v/>
      </c>
      <c r="V192" s="19">
        <f>IFERROR(166.386*M192/F192,0)</f>
        <v/>
      </c>
      <c r="W192" s="19">
        <f>IFERROR(166.386*L192/F192,0)</f>
        <v/>
      </c>
    </row>
    <row r="193">
      <c r="A193" s="14" t="n">
        <v>2270</v>
      </c>
      <c r="B193" s="14" t="inlineStr">
        <is>
          <t>Final J. A. RODRIGUEZ MEJIAS (1523) FUKUMOTO</t>
        </is>
      </c>
      <c r="C193" s="15" t="n">
        <v>1523</v>
      </c>
      <c r="D193" s="14" t="inlineStr">
        <is>
          <t>RODRIGUEZ MEJÍAS, JOSE ANTONIO</t>
        </is>
      </c>
      <c r="E193" s="14" t="inlineStr">
        <is>
          <t>FUKUMOTO</t>
        </is>
      </c>
      <c r="F193" s="15" t="n">
        <v>60605</v>
      </c>
      <c r="G193" s="16" t="n">
        <v>21939.01</v>
      </c>
      <c r="H193" s="17" t="n">
        <v>0.362</v>
      </c>
      <c r="I193" s="16" t="n">
        <v>0</v>
      </c>
      <c r="J193" s="16" t="n">
        <v>440.33</v>
      </c>
      <c r="K193" s="16" t="n">
        <v>0</v>
      </c>
      <c r="L193" s="16" t="n">
        <v>0</v>
      </c>
      <c r="M193" s="16" t="n">
        <v>0</v>
      </c>
      <c r="N193" s="16" t="n">
        <v>21498.68</v>
      </c>
      <c r="O193" s="17" t="n">
        <v>0.38936</v>
      </c>
      <c r="P193" s="18" t="n">
        <v>12</v>
      </c>
      <c r="Q193" s="18" t="n">
        <v>2</v>
      </c>
      <c r="R193" s="16" t="n">
        <v>23596.95</v>
      </c>
      <c r="S193" s="14" t="inlineStr">
        <is>
          <t>Final J. A. RODRIGUEZ MEJIAS (1523) FUKUMOTO</t>
        </is>
      </c>
      <c r="T193" s="14" t="inlineStr">
        <is>
          <t>DIRECTO</t>
        </is>
      </c>
      <c r="U193" s="19">
        <f>IFERROR(166.386*I193/F193,0)</f>
        <v/>
      </c>
      <c r="V193" s="19">
        <f>IFERROR(166.386*M193/F193,0)</f>
        <v/>
      </c>
      <c r="W193" s="19">
        <f>IFERROR(166.386*L193/F193,0)</f>
        <v/>
      </c>
    </row>
    <row r="194">
      <c r="A194" s="14" t="n">
        <v>2271</v>
      </c>
      <c r="B194" s="14" t="inlineStr">
        <is>
          <t>Final J. A. RODRIGUEZ MEJIAS (1523) POMELOS</t>
        </is>
      </c>
      <c r="C194" s="15" t="n">
        <v>1523</v>
      </c>
      <c r="D194" s="14" t="inlineStr">
        <is>
          <t>RODRIGUEZ MEJÍAS, JOSE ANTONIO</t>
        </is>
      </c>
      <c r="E194" s="14" t="inlineStr">
        <is>
          <t>STAR RUBY</t>
        </is>
      </c>
      <c r="F194" s="15" t="n">
        <v>71633</v>
      </c>
      <c r="G194" s="16" t="n">
        <v>18963.33</v>
      </c>
      <c r="H194" s="17" t="n">
        <v>0.2647289657001661</v>
      </c>
      <c r="I194" s="16" t="n">
        <v>4222.58</v>
      </c>
      <c r="J194" s="16" t="n">
        <v>520.46</v>
      </c>
      <c r="K194" s="16" t="n">
        <v>4222.57982053</v>
      </c>
      <c r="L194" s="16" t="n">
        <v>0</v>
      </c>
      <c r="M194" s="16" t="n">
        <v>0</v>
      </c>
      <c r="N194" s="16" t="n">
        <v>18442.87</v>
      </c>
      <c r="O194" s="17" t="n">
        <v>0.28259</v>
      </c>
      <c r="P194" s="18" t="n">
        <v>12</v>
      </c>
      <c r="Q194" s="18" t="n">
        <v>2</v>
      </c>
      <c r="R194" s="16" t="n">
        <v>20242.89</v>
      </c>
      <c r="S194" s="14" t="inlineStr">
        <is>
          <t>Final J. A. RODRIGUEZ MEJIAS (1523) POMELOS</t>
        </is>
      </c>
      <c r="T194" s="14" t="inlineStr">
        <is>
          <t>DIRECTO</t>
        </is>
      </c>
      <c r="U194" s="19">
        <f>IFERROR(166.386*I194/F194,0)</f>
        <v/>
      </c>
      <c r="V194" s="19">
        <f>IFERROR(166.386*M194/F194,0)</f>
        <v/>
      </c>
      <c r="W194" s="19">
        <f>IFERROR(166.386*L194/F194,0)</f>
        <v/>
      </c>
    </row>
    <row r="195">
      <c r="A195" s="14" t="n">
        <v>2272</v>
      </c>
      <c r="B195" s="14" t="inlineStr">
        <is>
          <t>Final JUAN FRANCISCO BARRERA PERA (1463) NAVELINA</t>
        </is>
      </c>
      <c r="C195" s="15" t="n">
        <v>1463</v>
      </c>
      <c r="D195" s="14" t="inlineStr">
        <is>
          <t>BARRERA PERA,JUAN FRANCISCO</t>
        </is>
      </c>
      <c r="E195" s="14" t="inlineStr">
        <is>
          <t>NAVELINA</t>
        </is>
      </c>
      <c r="F195" s="15" t="n">
        <v>33020</v>
      </c>
      <c r="G195" s="16" t="n">
        <v>11623.04</v>
      </c>
      <c r="H195" s="17" t="n">
        <v>0.352</v>
      </c>
      <c r="I195" s="16" t="n">
        <v>0</v>
      </c>
      <c r="J195" s="16" t="n">
        <v>380.25</v>
      </c>
      <c r="K195" s="16" t="n">
        <v>0</v>
      </c>
      <c r="L195" s="16" t="n">
        <v>0</v>
      </c>
      <c r="M195" s="16" t="n">
        <v>0</v>
      </c>
      <c r="N195" s="16" t="n">
        <v>11242.79</v>
      </c>
      <c r="O195" s="17" t="n">
        <v>0.37372</v>
      </c>
      <c r="P195" s="18" t="n">
        <v>12</v>
      </c>
      <c r="Q195" s="18" t="n">
        <v>2</v>
      </c>
      <c r="R195" s="16" t="n">
        <v>12340.09</v>
      </c>
      <c r="S195" s="14" t="inlineStr">
        <is>
          <t>Final JUAN FRANCISCO BARRERA PERA (1463) NAVELINA</t>
        </is>
      </c>
      <c r="T195" s="14" t="inlineStr">
        <is>
          <t>DIRECTO</t>
        </is>
      </c>
      <c r="U195" s="19">
        <f>IFERROR(166.386*I195/F195,0)</f>
        <v/>
      </c>
      <c r="V195" s="19">
        <f>IFERROR(166.386*M195/F195,0)</f>
        <v/>
      </c>
      <c r="W195" s="19">
        <f>IFERROR(166.386*L195/F195,0)</f>
        <v/>
      </c>
    </row>
    <row r="196">
      <c r="A196" s="14" t="n">
        <v>2273</v>
      </c>
      <c r="B196" s="14" t="inlineStr">
        <is>
          <t>Final M&amp;M (1571) NAVELINA</t>
        </is>
      </c>
      <c r="C196" s="15" t="n">
        <v>1571</v>
      </c>
      <c r="D196" s="14" t="inlineStr">
        <is>
          <t>M&amp;M AXATI AGRO S.L.</t>
        </is>
      </c>
      <c r="E196" s="14" t="inlineStr">
        <is>
          <t>NAVELINA</t>
        </is>
      </c>
      <c r="F196" s="15" t="n">
        <v>67030</v>
      </c>
      <c r="G196" s="16" t="n">
        <v>25605.46</v>
      </c>
      <c r="H196" s="17" t="n">
        <v>0.382</v>
      </c>
      <c r="I196" s="16" t="n">
        <v>0</v>
      </c>
      <c r="J196" s="16" t="n">
        <v>766.35</v>
      </c>
      <c r="K196" s="16" t="n">
        <v>0</v>
      </c>
      <c r="L196" s="16" t="n">
        <v>0</v>
      </c>
      <c r="M196" s="16" t="n">
        <v>0</v>
      </c>
      <c r="N196" s="16" t="n">
        <v>24839.11</v>
      </c>
      <c r="O196" s="17" t="n">
        <v>0.38539</v>
      </c>
      <c r="P196" s="18" t="n">
        <v>4</v>
      </c>
      <c r="Q196" s="18" t="n">
        <v>0</v>
      </c>
      <c r="R196" s="16" t="n">
        <v>25832.67</v>
      </c>
      <c r="S196" s="14" t="inlineStr">
        <is>
          <t>Final M&amp;M (1571) NAVELINA</t>
        </is>
      </c>
      <c r="T196" s="14" t="inlineStr">
        <is>
          <t>DIRECTO</t>
        </is>
      </c>
      <c r="U196" s="19">
        <f>IFERROR(166.386*I196/F196,0)</f>
        <v/>
      </c>
      <c r="V196" s="19">
        <f>IFERROR(166.386*M196/F196,0)</f>
        <v/>
      </c>
      <c r="W196" s="19">
        <f>IFERROR(166.386*L196/F196,0)</f>
        <v/>
      </c>
    </row>
    <row r="197">
      <c r="A197" s="14" t="n">
        <v>2274</v>
      </c>
      <c r="B197" s="14" t="inlineStr">
        <is>
          <t>Final EXP. AGR. ARJONA Y CRESPO (1313) NAVELINA</t>
        </is>
      </c>
      <c r="C197" s="15" t="n">
        <v>1313</v>
      </c>
      <c r="D197" s="14" t="inlineStr">
        <is>
          <t>EXPLOT. AGRIC. ARJONA Y CRESPO,S.C.</t>
        </is>
      </c>
      <c r="E197" s="14" t="inlineStr">
        <is>
          <t>NAVELINA</t>
        </is>
      </c>
      <c r="F197" s="15" t="n">
        <v>154682</v>
      </c>
      <c r="G197" s="16" t="n">
        <v>51354.42</v>
      </c>
      <c r="H197" s="17" t="n">
        <v>0.3319999741404947</v>
      </c>
      <c r="I197" s="16" t="n">
        <v>0</v>
      </c>
      <c r="J197" s="16" t="n">
        <v>978.02</v>
      </c>
      <c r="K197" s="16" t="n">
        <v>0</v>
      </c>
      <c r="L197" s="16" t="n">
        <v>0</v>
      </c>
      <c r="M197" s="16" t="n">
        <v>0</v>
      </c>
      <c r="N197" s="16" t="n">
        <v>50376.4</v>
      </c>
      <c r="O197" s="17" t="n">
        <v>0.35746</v>
      </c>
      <c r="P197" s="18" t="n">
        <v>12</v>
      </c>
      <c r="Q197" s="18" t="n">
        <v>2</v>
      </c>
      <c r="R197" s="16" t="n">
        <v>55293.14</v>
      </c>
      <c r="S197" s="14" t="inlineStr">
        <is>
          <t>Final EXP. AGR. ARJONA Y CRESPO (1313) NAVELINA</t>
        </is>
      </c>
      <c r="T197" s="14" t="inlineStr">
        <is>
          <t>DIRECTO</t>
        </is>
      </c>
      <c r="U197" s="19">
        <f>IFERROR(166.386*I197/F197,0)</f>
        <v/>
      </c>
      <c r="V197" s="19">
        <f>IFERROR(166.386*M197/F197,0)</f>
        <v/>
      </c>
      <c r="W197" s="19">
        <f>IFERROR(166.386*L197/F197,0)</f>
        <v/>
      </c>
    </row>
    <row r="198">
      <c r="A198" s="14" t="n">
        <v>2275</v>
      </c>
      <c r="B198" s="14" t="inlineStr">
        <is>
          <t>Final MATIAS BARRERA (1456) NAVELINA</t>
        </is>
      </c>
      <c r="C198" s="15" t="n">
        <v>1456</v>
      </c>
      <c r="D198" s="14" t="inlineStr">
        <is>
          <t>BARRERA RECUERO,MATIAS</t>
        </is>
      </c>
      <c r="E198" s="14" t="inlineStr">
        <is>
          <t>NAVELINA</t>
        </is>
      </c>
      <c r="F198" s="15" t="n">
        <v>181742</v>
      </c>
      <c r="G198" s="16" t="n">
        <v>67971.50999999999</v>
      </c>
      <c r="H198" s="17" t="n">
        <v>0.3740000110046109</v>
      </c>
      <c r="I198" s="16" t="n">
        <v>0</v>
      </c>
      <c r="J198" s="16" t="n">
        <v>1728.37</v>
      </c>
      <c r="K198" s="16" t="n">
        <v>0</v>
      </c>
      <c r="L198" s="16" t="n">
        <v>0</v>
      </c>
      <c r="M198" s="16" t="n">
        <v>0</v>
      </c>
      <c r="N198" s="16" t="n">
        <v>66243.14</v>
      </c>
      <c r="O198" s="17" t="n">
        <v>0.40006</v>
      </c>
      <c r="P198" s="18" t="n">
        <v>12</v>
      </c>
      <c r="Q198" s="18" t="n">
        <v>2</v>
      </c>
      <c r="R198" s="16" t="n">
        <v>72708.47</v>
      </c>
      <c r="S198" s="14" t="inlineStr">
        <is>
          <t>Final MATIAS BARRERA (1456) NAVELINA</t>
        </is>
      </c>
      <c r="T198" s="14" t="inlineStr">
        <is>
          <t>DIRECTO</t>
        </is>
      </c>
      <c r="U198" s="19">
        <f>IFERROR(166.386*I198/F198,0)</f>
        <v/>
      </c>
      <c r="V198" s="19">
        <f>IFERROR(166.386*M198/F198,0)</f>
        <v/>
      </c>
      <c r="W198" s="19">
        <f>IFERROR(166.386*L198/F198,0)</f>
        <v/>
      </c>
    </row>
    <row r="199">
      <c r="A199" s="14" t="n">
        <v>2276</v>
      </c>
      <c r="B199" s="14" t="inlineStr">
        <is>
          <t>Final LUIS HINIESTA (1181) NAVELINA</t>
        </is>
      </c>
      <c r="C199" s="15" t="n">
        <v>1181</v>
      </c>
      <c r="D199" s="14" t="inlineStr">
        <is>
          <t>HINIESTA RIOS,LUIS</t>
        </is>
      </c>
      <c r="E199" s="14" t="inlineStr">
        <is>
          <t>NAVELINA</t>
        </is>
      </c>
      <c r="F199" s="15" t="n">
        <v>46220</v>
      </c>
      <c r="G199" s="16" t="n">
        <v>14420.64</v>
      </c>
      <c r="H199" s="17" t="n">
        <v>0.312</v>
      </c>
      <c r="I199" s="16" t="n">
        <v>0</v>
      </c>
      <c r="J199" s="16" t="n">
        <v>598.65</v>
      </c>
      <c r="K199" s="16" t="n">
        <v>0</v>
      </c>
      <c r="L199" s="16" t="n">
        <v>0</v>
      </c>
      <c r="M199" s="16" t="n">
        <v>0</v>
      </c>
      <c r="N199" s="16" t="n">
        <v>13821.99</v>
      </c>
      <c r="O199" s="17" t="n">
        <v>0.32823</v>
      </c>
      <c r="P199" s="18" t="n">
        <v>12</v>
      </c>
      <c r="Q199" s="18" t="n">
        <v>2</v>
      </c>
      <c r="R199" s="16" t="n">
        <v>15171.02</v>
      </c>
      <c r="S199" s="14" t="inlineStr">
        <is>
          <t>Final LUIS HINIESTA (1181) NAVELINA</t>
        </is>
      </c>
      <c r="T199" s="14" t="inlineStr">
        <is>
          <t>DIRECTO</t>
        </is>
      </c>
      <c r="U199" s="19">
        <f>IFERROR(166.386*I199/F199,0)</f>
        <v/>
      </c>
      <c r="V199" s="19">
        <f>IFERROR(166.386*M199/F199,0)</f>
        <v/>
      </c>
      <c r="W199" s="19">
        <f>IFERROR(166.386*L199/F199,0)</f>
        <v/>
      </c>
    </row>
    <row r="200">
      <c r="A200" s="14" t="n">
        <v>2277</v>
      </c>
      <c r="B200" s="14" t="inlineStr">
        <is>
          <t>Final ISABEL MOLINA HIDALGO (1283) NAVEL FOYOS</t>
        </is>
      </c>
      <c r="C200" s="15" t="n">
        <v>1283</v>
      </c>
      <c r="D200" s="14" t="inlineStr">
        <is>
          <t>MOLINA HIDALGO,ISABEL</t>
        </is>
      </c>
      <c r="E200" s="14" t="inlineStr">
        <is>
          <t>NAVEL FOYOS</t>
        </is>
      </c>
      <c r="F200" s="15" t="n">
        <v>170966</v>
      </c>
      <c r="G200" s="16" t="n">
        <v>68422.61</v>
      </c>
      <c r="H200" s="17" t="n">
        <v>0.4002117964975492</v>
      </c>
      <c r="I200" s="16" t="n">
        <v>0</v>
      </c>
      <c r="J200" s="16" t="n">
        <v>1950.74</v>
      </c>
      <c r="K200" s="16" t="n">
        <v>0</v>
      </c>
      <c r="L200" s="16" t="n">
        <v>0</v>
      </c>
      <c r="M200" s="16" t="n">
        <v>0</v>
      </c>
      <c r="N200" s="16" t="n">
        <v>66471.87</v>
      </c>
      <c r="O200" s="17" t="n">
        <v>0.42675</v>
      </c>
      <c r="P200" s="18" t="n">
        <v>12</v>
      </c>
      <c r="Q200" s="18" t="n">
        <v>2</v>
      </c>
      <c r="R200" s="16" t="n">
        <v>72959.52</v>
      </c>
      <c r="S200" s="14" t="inlineStr">
        <is>
          <t>Final ISABEL MOLINA HIDALGO (1283) NAVEL FOYOS</t>
        </is>
      </c>
      <c r="T200" s="14" t="inlineStr">
        <is>
          <t>DIRECTO</t>
        </is>
      </c>
      <c r="U200" s="19">
        <f>IFERROR(166.386*I200/F200,0)</f>
        <v/>
      </c>
      <c r="V200" s="19">
        <f>IFERROR(166.386*M200/F200,0)</f>
        <v/>
      </c>
      <c r="W200" s="19">
        <f>IFERROR(166.386*L200/F200,0)</f>
        <v/>
      </c>
    </row>
    <row r="201">
      <c r="A201" s="14" t="n">
        <v>2278</v>
      </c>
      <c r="B201" s="14" t="inlineStr">
        <is>
          <t>Final PEDRO JIMENEZ MALDONADO (1500) SALUSTIANAS</t>
        </is>
      </c>
      <c r="C201" s="15" t="n">
        <v>1500</v>
      </c>
      <c r="D201" s="14" t="inlineStr">
        <is>
          <t>JIMENEZ MALDONADO, PEDRO</t>
        </is>
      </c>
      <c r="E201" s="14" t="inlineStr">
        <is>
          <t>SALUSTIANA</t>
        </is>
      </c>
      <c r="F201" s="15" t="n">
        <v>109860</v>
      </c>
      <c r="G201" s="16" t="n">
        <v>34276.32</v>
      </c>
      <c r="H201" s="17" t="n">
        <v>0.312</v>
      </c>
      <c r="I201" s="16" t="n">
        <v>0</v>
      </c>
      <c r="J201" s="16" t="n">
        <v>384.77</v>
      </c>
      <c r="K201" s="16" t="n">
        <v>0</v>
      </c>
      <c r="L201" s="16" t="n">
        <v>0</v>
      </c>
      <c r="M201" s="16" t="n">
        <v>0</v>
      </c>
      <c r="N201" s="16" t="n">
        <v>33891.55</v>
      </c>
      <c r="O201" s="17" t="n">
        <v>0.33861</v>
      </c>
      <c r="P201" s="18" t="n">
        <v>12</v>
      </c>
      <c r="Q201" s="18" t="n">
        <v>2</v>
      </c>
      <c r="R201" s="16" t="n">
        <v>37199.37</v>
      </c>
      <c r="S201" s="14" t="inlineStr">
        <is>
          <t>Final PEDRO JIMENEZ MALDONADO (1500) SALUSTIANAS</t>
        </is>
      </c>
      <c r="T201" s="14" t="inlineStr">
        <is>
          <t>DIRECTO</t>
        </is>
      </c>
      <c r="U201" s="19">
        <f>IFERROR(166.386*I201/F201,0)</f>
        <v/>
      </c>
      <c r="V201" s="19">
        <f>IFERROR(166.386*M201/F201,0)</f>
        <v/>
      </c>
      <c r="W201" s="19">
        <f>IFERROR(166.386*L201/F201,0)</f>
        <v/>
      </c>
    </row>
    <row r="202">
      <c r="A202" s="14" t="n">
        <v>2279</v>
      </c>
      <c r="B202" s="14" t="inlineStr">
        <is>
          <t>Final YOLANDA CALZADO RUIZ (1516) NEW HALL</t>
        </is>
      </c>
      <c r="C202" s="15" t="n">
        <v>1516</v>
      </c>
      <c r="D202" s="14" t="inlineStr">
        <is>
          <t>CALZADO RUIZ, YOLANDA</t>
        </is>
      </c>
      <c r="E202" s="14" t="inlineStr">
        <is>
          <t>NEWHALL</t>
        </is>
      </c>
      <c r="F202" s="15" t="n">
        <v>83782</v>
      </c>
      <c r="G202" s="16" t="n">
        <v>26139.98</v>
      </c>
      <c r="H202" s="17" t="n">
        <v>0.3119999522570481</v>
      </c>
      <c r="I202" s="16" t="n">
        <v>0</v>
      </c>
      <c r="J202" s="16" t="n">
        <v>778.04</v>
      </c>
      <c r="K202" s="16" t="n">
        <v>0</v>
      </c>
      <c r="L202" s="16" t="n">
        <v>0</v>
      </c>
      <c r="M202" s="16" t="n">
        <v>0</v>
      </c>
      <c r="N202" s="16" t="n">
        <v>25361.94</v>
      </c>
      <c r="O202" s="17" t="n">
        <v>0.33226</v>
      </c>
      <c r="P202" s="18" t="n">
        <v>12</v>
      </c>
      <c r="Q202" s="18" t="n">
        <v>2</v>
      </c>
      <c r="R202" s="16" t="n">
        <v>27837.27</v>
      </c>
      <c r="S202" s="14" t="inlineStr">
        <is>
          <t>Final YOLANDA CALZADO RUIZ (1516) NEW HALL</t>
        </is>
      </c>
      <c r="T202" s="14" t="inlineStr">
        <is>
          <t>DIRECTO</t>
        </is>
      </c>
      <c r="U202" s="19">
        <f>IFERROR(166.386*I202/F202,0)</f>
        <v/>
      </c>
      <c r="V202" s="19">
        <f>IFERROR(166.386*M202/F202,0)</f>
        <v/>
      </c>
      <c r="W202" s="19">
        <f>IFERROR(166.386*L202/F202,0)</f>
        <v/>
      </c>
    </row>
    <row r="203">
      <c r="A203" s="14" t="n">
        <v>2280</v>
      </c>
      <c r="B203" s="14" t="inlineStr">
        <is>
          <t>Final RURAL PRIME (BERBABE) (1615) LANE LATE</t>
        </is>
      </c>
      <c r="C203" s="15" t="n">
        <v>1615</v>
      </c>
      <c r="D203" s="14" t="inlineStr">
        <is>
          <t>RURAL PRIME S.L.</t>
        </is>
      </c>
      <c r="E203" s="14" t="inlineStr">
        <is>
          <t>LANE LATE</t>
        </is>
      </c>
      <c r="F203" s="15" t="n">
        <v>144460</v>
      </c>
      <c r="G203" s="16" t="n">
        <v>61106.58</v>
      </c>
      <c r="H203" s="17" t="n">
        <v>0.423</v>
      </c>
      <c r="I203" s="16" t="n">
        <v>0</v>
      </c>
      <c r="J203" s="16" t="n">
        <v>0</v>
      </c>
      <c r="K203" s="16" t="n">
        <v>0</v>
      </c>
      <c r="L203" s="16" t="n">
        <v>0</v>
      </c>
      <c r="M203" s="16" t="n">
        <v>0</v>
      </c>
      <c r="N203" s="16" t="n">
        <v>61106.58</v>
      </c>
      <c r="O203" s="17" t="n">
        <v>0.43992</v>
      </c>
      <c r="P203" s="18" t="n">
        <v>4</v>
      </c>
      <c r="Q203" s="18" t="n">
        <v>0</v>
      </c>
      <c r="R203" s="16" t="n">
        <v>63550.84</v>
      </c>
      <c r="S203" s="14" t="inlineStr">
        <is>
          <t>Final RURAL PRIME (BERBABE) (1615) LANE LATE</t>
        </is>
      </c>
      <c r="T203" s="14" t="inlineStr">
        <is>
          <t>DIRECTO</t>
        </is>
      </c>
      <c r="U203" s="19">
        <f>IFERROR(166.386*I203/F203,0)</f>
        <v/>
      </c>
      <c r="V203" s="19">
        <f>IFERROR(166.386*M203/F203,0)</f>
        <v/>
      </c>
      <c r="W203" s="19">
        <f>IFERROR(166.386*L203/F203,0)</f>
        <v/>
      </c>
    </row>
    <row r="204">
      <c r="A204" s="14" t="n">
        <v>2282</v>
      </c>
      <c r="B204" s="14" t="inlineStr">
        <is>
          <t>Final MIGUEL ANGEL GUIL (1471) SALUSTIANAS</t>
        </is>
      </c>
      <c r="C204" s="15" t="n">
        <v>1471</v>
      </c>
      <c r="D204" s="14" t="inlineStr">
        <is>
          <t>GUIL GARCIA,MIGUEL ANGEL</t>
        </is>
      </c>
      <c r="E204" s="14" t="inlineStr">
        <is>
          <t>SALUSTIANA</t>
        </is>
      </c>
      <c r="F204" s="15" t="n">
        <v>22554</v>
      </c>
      <c r="G204" s="16" t="n">
        <v>6224.9</v>
      </c>
      <c r="H204" s="17" t="n">
        <v>0.2759998226478673</v>
      </c>
      <c r="I204" s="16" t="n">
        <v>0</v>
      </c>
      <c r="J204" s="16" t="n">
        <v>112.42</v>
      </c>
      <c r="K204" s="16" t="n">
        <v>0</v>
      </c>
      <c r="L204" s="16" t="n">
        <v>0</v>
      </c>
      <c r="M204" s="16" t="n">
        <v>0</v>
      </c>
      <c r="N204" s="16" t="n">
        <v>6112.48</v>
      </c>
      <c r="O204" s="17" t="n">
        <v>0.29747</v>
      </c>
      <c r="P204" s="18" t="n">
        <v>12</v>
      </c>
      <c r="Q204" s="18" t="n">
        <v>2</v>
      </c>
      <c r="R204" s="16" t="n">
        <v>6709.06</v>
      </c>
      <c r="S204" s="14" t="inlineStr">
        <is>
          <t>Final MIGUEL ANGEL GUIL (1471) SALUSTIANAS</t>
        </is>
      </c>
      <c r="T204" s="14" t="inlineStr">
        <is>
          <t>DIRECTO</t>
        </is>
      </c>
      <c r="U204" s="19">
        <f>IFERROR(166.386*I204/F204,0)</f>
        <v/>
      </c>
      <c r="V204" s="19">
        <f>IFERROR(166.386*M204/F204,0)</f>
        <v/>
      </c>
      <c r="W204" s="19">
        <f>IFERROR(166.386*L204/F204,0)</f>
        <v/>
      </c>
    </row>
    <row r="205">
      <c r="A205" s="14" t="n">
        <v>2283</v>
      </c>
      <c r="B205" s="14" t="inlineStr">
        <is>
          <t>Final JOSE MARIA GUIL (963) SALUSTIANAS</t>
        </is>
      </c>
      <c r="C205" s="15" t="n">
        <v>963</v>
      </c>
      <c r="D205" s="14" t="inlineStr">
        <is>
          <t>GUIL RUEDA,JOSE MARIA</t>
        </is>
      </c>
      <c r="E205" s="14" t="inlineStr">
        <is>
          <t>SALUSTIANA</t>
        </is>
      </c>
      <c r="F205" s="15" t="n">
        <v>28180</v>
      </c>
      <c r="G205" s="16" t="n">
        <v>7777.68</v>
      </c>
      <c r="H205" s="17" t="n">
        <v>0.276</v>
      </c>
      <c r="I205" s="16" t="n">
        <v>0</v>
      </c>
      <c r="J205" s="16" t="n">
        <v>0</v>
      </c>
      <c r="K205" s="16" t="n">
        <v>0</v>
      </c>
      <c r="L205" s="16" t="n">
        <v>0</v>
      </c>
      <c r="M205" s="16" t="n">
        <v>0</v>
      </c>
      <c r="N205" s="16" t="n">
        <v>7777.68</v>
      </c>
      <c r="O205" s="17" t="n">
        <v>0.30294</v>
      </c>
      <c r="P205" s="18" t="n">
        <v>12</v>
      </c>
      <c r="Q205" s="18" t="n">
        <v>2</v>
      </c>
      <c r="R205" s="16" t="n">
        <v>8536.780000000001</v>
      </c>
      <c r="S205" s="14" t="inlineStr">
        <is>
          <t>Final JOSE MARIA GUIL (963) SALUSTIANAS</t>
        </is>
      </c>
      <c r="T205" s="14" t="inlineStr">
        <is>
          <t>DIRECTO</t>
        </is>
      </c>
      <c r="U205" s="19">
        <f>IFERROR(166.386*I205/F205,0)</f>
        <v/>
      </c>
      <c r="V205" s="19">
        <f>IFERROR(166.386*M205/F205,0)</f>
        <v/>
      </c>
      <c r="W205" s="19">
        <f>IFERROR(166.386*L205/F205,0)</f>
        <v/>
      </c>
    </row>
    <row r="206">
      <c r="A206" s="14" t="n">
        <v>2285</v>
      </c>
      <c r="B206" s="14" t="inlineStr">
        <is>
          <t>Final HILARIO  GARCIA (453) NAVEL</t>
        </is>
      </c>
      <c r="C206" s="15" t="n">
        <v>453</v>
      </c>
      <c r="D206" s="14" t="inlineStr">
        <is>
          <t>GARCIA CORDON,HILARIO</t>
        </is>
      </c>
      <c r="E206" s="14" t="inlineStr">
        <is>
          <t>WASHINGTON</t>
        </is>
      </c>
      <c r="F206" s="15" t="n">
        <v>12947</v>
      </c>
      <c r="G206" s="16" t="n">
        <v>3651.05</v>
      </c>
      <c r="H206" s="17" t="n">
        <v>0.2819996910481193</v>
      </c>
      <c r="I206" s="16" t="n">
        <v>0</v>
      </c>
      <c r="J206" s="16" t="n">
        <v>99.55</v>
      </c>
      <c r="K206" s="16" t="n">
        <v>0</v>
      </c>
      <c r="L206" s="16" t="n">
        <v>0</v>
      </c>
      <c r="M206" s="16" t="n">
        <v>0</v>
      </c>
      <c r="N206" s="16" t="n">
        <v>3551.5</v>
      </c>
      <c r="O206" s="17" t="n">
        <v>0.30108</v>
      </c>
      <c r="P206" s="18" t="n">
        <v>12</v>
      </c>
      <c r="Q206" s="18" t="n">
        <v>2</v>
      </c>
      <c r="R206" s="16" t="n">
        <v>3898.13</v>
      </c>
      <c r="S206" s="14" t="inlineStr">
        <is>
          <t>Final HILARIO  GARCIA (453) NAVEL</t>
        </is>
      </c>
      <c r="T206" s="14" t="inlineStr">
        <is>
          <t>DIRECTO</t>
        </is>
      </c>
      <c r="U206" s="19">
        <f>IFERROR(166.386*I206/F206,0)</f>
        <v/>
      </c>
      <c r="V206" s="19">
        <f>IFERROR(166.386*M206/F206,0)</f>
        <v/>
      </c>
      <c r="W206" s="19">
        <f>IFERROR(166.386*L206/F206,0)</f>
        <v/>
      </c>
    </row>
    <row r="207">
      <c r="A207" s="14" t="n">
        <v>2288</v>
      </c>
      <c r="B207" s="14" t="inlineStr">
        <is>
          <t>Final RAFAEL GARCIA (1462) NAVEL</t>
        </is>
      </c>
      <c r="C207" s="15" t="n">
        <v>1462</v>
      </c>
      <c r="D207" s="14" t="inlineStr">
        <is>
          <t>GARCIA TORO,RAFAEL</t>
        </is>
      </c>
      <c r="E207" s="14" t="inlineStr">
        <is>
          <t>WASHINGTON</t>
        </is>
      </c>
      <c r="F207" s="15" t="n">
        <v>24906</v>
      </c>
      <c r="G207" s="16" t="n">
        <v>7023.49</v>
      </c>
      <c r="H207" s="17" t="n">
        <v>0.2819999196980647</v>
      </c>
      <c r="I207" s="16" t="n">
        <v>0</v>
      </c>
      <c r="J207" s="16" t="n">
        <v>272.22</v>
      </c>
      <c r="K207" s="16" t="n">
        <v>0</v>
      </c>
      <c r="L207" s="16" t="n">
        <v>0</v>
      </c>
      <c r="M207" s="16" t="n">
        <v>0</v>
      </c>
      <c r="N207" s="16" t="n">
        <v>6751.27</v>
      </c>
      <c r="O207" s="17" t="n">
        <v>0.29753</v>
      </c>
      <c r="P207" s="18" t="n">
        <v>12</v>
      </c>
      <c r="Q207" s="18" t="n">
        <v>2</v>
      </c>
      <c r="R207" s="16" t="n">
        <v>7410.19</v>
      </c>
      <c r="S207" s="14" t="inlineStr">
        <is>
          <t>Final RAFAEL GARCIA (1462) NAVEL</t>
        </is>
      </c>
      <c r="T207" s="14" t="inlineStr">
        <is>
          <t>DIRECTO</t>
        </is>
      </c>
      <c r="U207" s="19">
        <f>IFERROR(166.386*I207/F207,0)</f>
        <v/>
      </c>
      <c r="V207" s="19">
        <f>IFERROR(166.386*M207/F207,0)</f>
        <v/>
      </c>
      <c r="W207" s="19">
        <f>IFERROR(166.386*L207/F207,0)</f>
        <v/>
      </c>
    </row>
    <row r="208">
      <c r="A208" s="14" t="n">
        <v>2289</v>
      </c>
      <c r="B208" s="14" t="inlineStr">
        <is>
          <t>Final ALVARO HARO (1544) LANE LATE</t>
        </is>
      </c>
      <c r="C208" s="15" t="n">
        <v>1544</v>
      </c>
      <c r="D208" s="14" t="inlineStr">
        <is>
          <t>HARO ORDOÑO, ALVARO</t>
        </is>
      </c>
      <c r="E208" s="14" t="inlineStr">
        <is>
          <t>LANE LATE</t>
        </is>
      </c>
      <c r="F208" s="15" t="n">
        <v>21260</v>
      </c>
      <c r="G208" s="16" t="n">
        <v>8121.32</v>
      </c>
      <c r="H208" s="17" t="n">
        <v>0.382</v>
      </c>
      <c r="I208" s="16" t="n">
        <v>0</v>
      </c>
      <c r="J208" s="16" t="n">
        <v>119.6</v>
      </c>
      <c r="K208" s="16" t="n">
        <v>0</v>
      </c>
      <c r="L208" s="16" t="n">
        <v>0</v>
      </c>
      <c r="M208" s="16" t="n">
        <v>0</v>
      </c>
      <c r="N208" s="16" t="n">
        <v>8001.72</v>
      </c>
      <c r="O208" s="17" t="n">
        <v>0.41311</v>
      </c>
      <c r="P208" s="18" t="n">
        <v>12</v>
      </c>
      <c r="Q208" s="18" t="n">
        <v>2</v>
      </c>
      <c r="R208" s="16" t="n">
        <v>8782.690000000001</v>
      </c>
      <c r="S208" s="14" t="inlineStr">
        <is>
          <t>Final ALVARO HARO (1544) LANE LATE</t>
        </is>
      </c>
      <c r="T208" s="14" t="inlineStr">
        <is>
          <t>DIRECTO</t>
        </is>
      </c>
      <c r="U208" s="19">
        <f>IFERROR(166.386*I208/F208,0)</f>
        <v/>
      </c>
      <c r="V208" s="19">
        <f>IFERROR(166.386*M208/F208,0)</f>
        <v/>
      </c>
      <c r="W208" s="19">
        <f>IFERROR(166.386*L208/F208,0)</f>
        <v/>
      </c>
    </row>
    <row r="209">
      <c r="A209" s="14" t="n">
        <v>2290</v>
      </c>
      <c r="B209" s="14" t="inlineStr">
        <is>
          <t>Final HNOS GONZALEZ ROLDAN (1272) LANE LATE</t>
        </is>
      </c>
      <c r="C209" s="15" t="n">
        <v>1272</v>
      </c>
      <c r="D209" s="14" t="inlineStr">
        <is>
          <t>HERMANOS GONZALEZ ROLDAN,S.C.</t>
        </is>
      </c>
      <c r="E209" s="14" t="inlineStr">
        <is>
          <t>LANE LATE</t>
        </is>
      </c>
      <c r="F209" s="15" t="n">
        <v>258132</v>
      </c>
      <c r="G209" s="16" t="n">
        <v>105059.72</v>
      </c>
      <c r="H209" s="17" t="n">
        <v>0.4069999845040522</v>
      </c>
      <c r="I209" s="16" t="n">
        <v>0</v>
      </c>
      <c r="J209" s="16" t="n">
        <v>4744.21</v>
      </c>
      <c r="K209" s="16" t="n">
        <v>0</v>
      </c>
      <c r="L209" s="16" t="n">
        <v>0</v>
      </c>
      <c r="M209" s="16" t="n">
        <v>0</v>
      </c>
      <c r="N209" s="16" t="n">
        <v>100315.51</v>
      </c>
      <c r="O209" s="17" t="n">
        <v>0.42655</v>
      </c>
      <c r="P209" s="18" t="n">
        <v>12</v>
      </c>
      <c r="Q209" s="18" t="n">
        <v>2</v>
      </c>
      <c r="R209" s="16" t="n">
        <v>110106.3</v>
      </c>
      <c r="S209" s="14" t="inlineStr">
        <is>
          <t>Final HNOS GONZALEZ ROLDAN (1272) LANE LATE</t>
        </is>
      </c>
      <c r="T209" s="14" t="inlineStr">
        <is>
          <t>DIRECTO</t>
        </is>
      </c>
      <c r="U209" s="19">
        <f>IFERROR(166.386*I209/F209,0)</f>
        <v/>
      </c>
      <c r="V209" s="19">
        <f>IFERROR(166.386*M209/F209,0)</f>
        <v/>
      </c>
      <c r="W209" s="19">
        <f>IFERROR(166.386*L209/F209,0)</f>
        <v/>
      </c>
    </row>
    <row r="210">
      <c r="A210" s="14" t="n">
        <v>2291</v>
      </c>
      <c r="B210" s="14" t="inlineStr">
        <is>
          <t>Final CRISTINA CALZADO (1519) LANE LATE</t>
        </is>
      </c>
      <c r="C210" s="15" t="n">
        <v>1519</v>
      </c>
      <c r="D210" s="14" t="inlineStr">
        <is>
          <t>CALZADO ARGüELLES, CRISTINA SETEFILLA</t>
        </is>
      </c>
      <c r="E210" s="14" t="inlineStr">
        <is>
          <t>LANE LATE</t>
        </is>
      </c>
      <c r="F210" s="15" t="n">
        <v>62160</v>
      </c>
      <c r="G210" s="16" t="n">
        <v>26231.52</v>
      </c>
      <c r="H210" s="17" t="n">
        <v>0.422</v>
      </c>
      <c r="I210" s="16" t="n">
        <v>0</v>
      </c>
      <c r="J210" s="16" t="n">
        <v>641.55</v>
      </c>
      <c r="K210" s="16" t="n">
        <v>0</v>
      </c>
      <c r="L210" s="16" t="n">
        <v>0</v>
      </c>
      <c r="M210" s="16" t="n">
        <v>0</v>
      </c>
      <c r="N210" s="16" t="n">
        <v>25589.97</v>
      </c>
      <c r="O210" s="17" t="n">
        <v>0.45186</v>
      </c>
      <c r="P210" s="18" t="n">
        <v>12</v>
      </c>
      <c r="Q210" s="18" t="n">
        <v>2</v>
      </c>
      <c r="R210" s="16" t="n">
        <v>28087.55</v>
      </c>
      <c r="S210" s="14" t="inlineStr">
        <is>
          <t>Final CRISTINA CALZADO (1519) LANE LATE</t>
        </is>
      </c>
      <c r="T210" s="14" t="inlineStr">
        <is>
          <t>DIRECTO</t>
        </is>
      </c>
      <c r="U210" s="19">
        <f>IFERROR(166.386*I210/F210,0)</f>
        <v/>
      </c>
      <c r="V210" s="19">
        <f>IFERROR(166.386*M210/F210,0)</f>
        <v/>
      </c>
      <c r="W210" s="19">
        <f>IFERROR(166.386*L210/F210,0)</f>
        <v/>
      </c>
    </row>
    <row r="211">
      <c r="A211" s="14" t="n">
        <v>2292</v>
      </c>
      <c r="B211" s="14" t="inlineStr">
        <is>
          <t>Final MARIA CALZADO (1518) LANE LATE</t>
        </is>
      </c>
      <c r="C211" s="15" t="n">
        <v>1518</v>
      </c>
      <c r="D211" s="14" t="inlineStr">
        <is>
          <t>CALZADO ARGüELLES,MARIA</t>
        </is>
      </c>
      <c r="E211" s="14" t="inlineStr">
        <is>
          <t>LANE LATE</t>
        </is>
      </c>
      <c r="F211" s="15" t="n">
        <v>103140</v>
      </c>
      <c r="G211" s="16" t="n">
        <v>43525.08</v>
      </c>
      <c r="H211" s="17" t="n">
        <v>0.422</v>
      </c>
      <c r="I211" s="16" t="n">
        <v>0</v>
      </c>
      <c r="J211" s="16" t="n">
        <v>891.3099999999999</v>
      </c>
      <c r="K211" s="16" t="n">
        <v>0</v>
      </c>
      <c r="L211" s="16" t="n">
        <v>0</v>
      </c>
      <c r="M211" s="16" t="n">
        <v>0</v>
      </c>
      <c r="N211" s="16" t="n">
        <v>42633.77</v>
      </c>
      <c r="O211" s="17" t="n">
        <v>0.4537</v>
      </c>
      <c r="P211" s="18" t="n">
        <v>12</v>
      </c>
      <c r="Q211" s="18" t="n">
        <v>2</v>
      </c>
      <c r="R211" s="16" t="n">
        <v>46794.83</v>
      </c>
      <c r="S211" s="14" t="inlineStr">
        <is>
          <t>Final MARIA CALZADO (1518) LANE LATE</t>
        </is>
      </c>
      <c r="T211" s="14" t="inlineStr">
        <is>
          <t>DIRECTO</t>
        </is>
      </c>
      <c r="U211" s="19">
        <f>IFERROR(166.386*I211/F211,0)</f>
        <v/>
      </c>
      <c r="V211" s="19">
        <f>IFERROR(166.386*M211/F211,0)</f>
        <v/>
      </c>
      <c r="W211" s="19">
        <f>IFERROR(166.386*L211/F211,0)</f>
        <v/>
      </c>
    </row>
    <row r="212">
      <c r="A212" s="14" t="n">
        <v>2293</v>
      </c>
      <c r="B212" s="14" t="inlineStr">
        <is>
          <t>Final FRANCISCO GALVEZ (937) SALUSTIANAS</t>
        </is>
      </c>
      <c r="C212" s="15" t="n">
        <v>937</v>
      </c>
      <c r="D212" s="14" t="inlineStr">
        <is>
          <t>GALVEZ MACIAS,FRANCISCO</t>
        </is>
      </c>
      <c r="E212" s="14" t="inlineStr">
        <is>
          <t>SALUSTIANA</t>
        </is>
      </c>
      <c r="F212" s="15" t="n">
        <v>108389</v>
      </c>
      <c r="G212" s="16" t="n">
        <v>43680.77</v>
      </c>
      <c r="H212" s="17" t="n">
        <v>0.4030000276780854</v>
      </c>
      <c r="I212" s="16" t="n">
        <v>4151.52</v>
      </c>
      <c r="J212" s="16" t="n">
        <v>885.86</v>
      </c>
      <c r="K212" s="16" t="n">
        <v>0</v>
      </c>
      <c r="L212" s="16" t="n">
        <v>0</v>
      </c>
      <c r="M212" s="16" t="n">
        <v>0</v>
      </c>
      <c r="N212" s="16" t="n">
        <v>38643.39</v>
      </c>
      <c r="O212" s="17" t="n">
        <v>0.39132</v>
      </c>
      <c r="P212" s="18" t="n">
        <v>12</v>
      </c>
      <c r="Q212" s="18" t="n">
        <v>2</v>
      </c>
      <c r="R212" s="16" t="n">
        <v>42414.98</v>
      </c>
      <c r="S212" s="14" t="inlineStr">
        <is>
          <t>Final FRANCISCO GALVEZ (937) SALUSTIANAS</t>
        </is>
      </c>
      <c r="T212" s="14" t="inlineStr">
        <is>
          <t>DIRECTO</t>
        </is>
      </c>
      <c r="U212" s="19">
        <f>IFERROR(166.386*I212/F212,0)</f>
        <v/>
      </c>
      <c r="V212" s="19">
        <f>IFERROR(166.386*M212/F212,0)</f>
        <v/>
      </c>
      <c r="W212" s="19">
        <f>IFERROR(166.386*L212/F212,0)</f>
        <v/>
      </c>
    </row>
    <row r="213">
      <c r="A213" s="14" t="n">
        <v>2294</v>
      </c>
      <c r="B213" s="14" t="inlineStr">
        <is>
          <t>Final ESTIBEN HIDALGO (1602) SALUSTIANAS</t>
        </is>
      </c>
      <c r="C213" s="15" t="n">
        <v>1602</v>
      </c>
      <c r="D213" s="14" t="inlineStr">
        <is>
          <t>HIDALGO PEREZ, ESTIBEN</t>
        </is>
      </c>
      <c r="E213" s="14" t="inlineStr">
        <is>
          <t>SALUSTIANA</t>
        </is>
      </c>
      <c r="F213" s="15" t="n">
        <v>45074</v>
      </c>
      <c r="G213" s="16" t="n">
        <v>16046.34</v>
      </c>
      <c r="H213" s="17" t="n">
        <v>0.355999911257044</v>
      </c>
      <c r="I213" s="16" t="n">
        <v>3051.19</v>
      </c>
      <c r="J213" s="16" t="n">
        <v>282.75</v>
      </c>
      <c r="K213" s="16" t="n">
        <v>0</v>
      </c>
      <c r="L213" s="16" t="n">
        <v>0</v>
      </c>
      <c r="M213" s="16" t="n">
        <v>0</v>
      </c>
      <c r="N213" s="16" t="n">
        <v>12712.4</v>
      </c>
      <c r="O213" s="17" t="n">
        <v>0.30956</v>
      </c>
      <c r="P213" s="18" t="n">
        <v>12</v>
      </c>
      <c r="Q213" s="18" t="n">
        <v>2</v>
      </c>
      <c r="R213" s="16" t="n">
        <v>13953.13</v>
      </c>
      <c r="S213" s="14" t="inlineStr">
        <is>
          <t>Final ESTIBEN HIDALGO (1602) SALUSTIANAS</t>
        </is>
      </c>
      <c r="T213" s="14" t="inlineStr">
        <is>
          <t>DIRECTO</t>
        </is>
      </c>
      <c r="U213" s="19">
        <f>IFERROR(166.386*I213/F213,0)</f>
        <v/>
      </c>
      <c r="V213" s="19">
        <f>IFERROR(166.386*M213/F213,0)</f>
        <v/>
      </c>
      <c r="W213" s="19">
        <f>IFERROR(166.386*L213/F213,0)</f>
        <v/>
      </c>
    </row>
    <row r="214">
      <c r="A214" s="14" t="n">
        <v>2295</v>
      </c>
      <c r="B214" s="14" t="inlineStr">
        <is>
          <t>Final JOSE RINCON (824) SALUSTIANAS</t>
        </is>
      </c>
      <c r="C214" s="15" t="n">
        <v>824</v>
      </c>
      <c r="D214" s="14" t="inlineStr">
        <is>
          <t>RINCON NIETO,JOSE</t>
        </is>
      </c>
      <c r="E214" s="14" t="inlineStr">
        <is>
          <t>SALUSTIANA</t>
        </is>
      </c>
      <c r="F214" s="15" t="n">
        <v>35387</v>
      </c>
      <c r="G214" s="16" t="n">
        <v>12597.77</v>
      </c>
      <c r="H214" s="17" t="n">
        <v>0.3559999434820697</v>
      </c>
      <c r="I214" s="16" t="n">
        <v>2592.79</v>
      </c>
      <c r="J214" s="16" t="n">
        <v>391.7</v>
      </c>
      <c r="K214" s="16" t="n">
        <v>0</v>
      </c>
      <c r="L214" s="16" t="n">
        <v>0</v>
      </c>
      <c r="M214" s="16" t="n">
        <v>0</v>
      </c>
      <c r="N214" s="16" t="n">
        <v>9613.280000000001</v>
      </c>
      <c r="O214" s="17" t="n">
        <v>0.29818</v>
      </c>
      <c r="P214" s="18" t="n">
        <v>12</v>
      </c>
      <c r="Q214" s="18" t="n">
        <v>2</v>
      </c>
      <c r="R214" s="16" t="n">
        <v>10551.54</v>
      </c>
      <c r="S214" s="14" t="inlineStr">
        <is>
          <t>Final JOSE RINCON (824) SALUSTIANAS</t>
        </is>
      </c>
      <c r="T214" s="14" t="inlineStr">
        <is>
          <t>DIRECTO</t>
        </is>
      </c>
      <c r="U214" s="19">
        <f>IFERROR(166.386*I214/F214,0)</f>
        <v/>
      </c>
      <c r="V214" s="19">
        <f>IFERROR(166.386*M214/F214,0)</f>
        <v/>
      </c>
      <c r="W214" s="19">
        <f>IFERROR(166.386*L214/F214,0)</f>
        <v/>
      </c>
    </row>
    <row r="215">
      <c r="A215" s="14" t="n">
        <v>2296</v>
      </c>
      <c r="B215" s="14" t="inlineStr">
        <is>
          <t>Final LEON CARRASCO SL (1504) SALUSTIANAS</t>
        </is>
      </c>
      <c r="C215" s="15" t="n">
        <v>1504</v>
      </c>
      <c r="D215" s="14" t="inlineStr">
        <is>
          <t>LEON CARRASCO S.C.</t>
        </is>
      </c>
      <c r="E215" s="14" t="inlineStr">
        <is>
          <t>SALUSTIANA</t>
        </is>
      </c>
      <c r="F215" s="15" t="n">
        <v>157340</v>
      </c>
      <c r="G215" s="16" t="n">
        <v>51450.18</v>
      </c>
      <c r="H215" s="17" t="n">
        <v>0.327</v>
      </c>
      <c r="I215" s="16" t="n">
        <v>0</v>
      </c>
      <c r="J215" s="16" t="n">
        <v>1003.7</v>
      </c>
      <c r="K215" s="16" t="n">
        <v>0</v>
      </c>
      <c r="L215" s="16" t="n">
        <v>0</v>
      </c>
      <c r="M215" s="16" t="n">
        <v>0</v>
      </c>
      <c r="N215" s="16" t="n">
        <v>50446.48</v>
      </c>
      <c r="O215" s="17" t="n">
        <v>0.35191</v>
      </c>
      <c r="P215" s="18" t="n">
        <v>12</v>
      </c>
      <c r="Q215" s="18" t="n">
        <v>2</v>
      </c>
      <c r="R215" s="16" t="n">
        <v>55370.06</v>
      </c>
      <c r="S215" s="14" t="inlineStr">
        <is>
          <t>Final LEON CARRASCO SL (1504) SALUSTIANAS</t>
        </is>
      </c>
      <c r="T215" s="14" t="inlineStr">
        <is>
          <t>DIRECTO</t>
        </is>
      </c>
      <c r="U215" s="19">
        <f>IFERROR(166.386*I215/F215,0)</f>
        <v/>
      </c>
      <c r="V215" s="19">
        <f>IFERROR(166.386*M215/F215,0)</f>
        <v/>
      </c>
      <c r="W215" s="19">
        <f>IFERROR(166.386*L215/F215,0)</f>
        <v/>
      </c>
    </row>
    <row r="216">
      <c r="A216" s="14" t="n">
        <v>2297</v>
      </c>
      <c r="B216" s="14" t="inlineStr">
        <is>
          <t>Final CADORTAN SL (1550) LANE LATE</t>
        </is>
      </c>
      <c r="C216" s="15" t="n">
        <v>1550</v>
      </c>
      <c r="D216" s="14" t="inlineStr">
        <is>
          <t>CADORTAN S.L.</t>
        </is>
      </c>
      <c r="E216" s="14" t="inlineStr">
        <is>
          <t>LANE LATE</t>
        </is>
      </c>
      <c r="F216" s="15" t="n">
        <v>187789</v>
      </c>
      <c r="G216" s="16" t="n">
        <v>81124.85000000001</v>
      </c>
      <c r="H216" s="17" t="n">
        <v>0.4320000106502511</v>
      </c>
      <c r="I216" s="16" t="n">
        <v>0</v>
      </c>
      <c r="J216" s="16" t="n">
        <v>1661.46</v>
      </c>
      <c r="K216" s="16" t="n">
        <v>0</v>
      </c>
      <c r="L216" s="16" t="n">
        <v>0</v>
      </c>
      <c r="M216" s="16" t="n">
        <v>0</v>
      </c>
      <c r="N216" s="16" t="n">
        <v>79463.39</v>
      </c>
      <c r="O216" s="17" t="n">
        <v>0.44008</v>
      </c>
      <c r="P216" s="18" t="n">
        <v>4</v>
      </c>
      <c r="Q216" s="18" t="n">
        <v>0</v>
      </c>
      <c r="R216" s="16" t="n">
        <v>82641.92999999999</v>
      </c>
      <c r="S216" s="14" t="inlineStr">
        <is>
          <t>Final CADORTAN SL (1550) LANE LATE</t>
        </is>
      </c>
      <c r="T216" s="14" t="inlineStr">
        <is>
          <t>DIRECTO</t>
        </is>
      </c>
      <c r="U216" s="19">
        <f>IFERROR(166.386*I216/F216,0)</f>
        <v/>
      </c>
      <c r="V216" s="19">
        <f>IFERROR(166.386*M216/F216,0)</f>
        <v/>
      </c>
      <c r="W216" s="19">
        <f>IFERROR(166.386*L216/F216,0)</f>
        <v/>
      </c>
    </row>
    <row r="217">
      <c r="A217" s="14" t="n">
        <v>2298</v>
      </c>
      <c r="B217" s="14" t="inlineStr">
        <is>
          <t>Final FERNANDO TOMENO (1415) SALUSTIANAS</t>
        </is>
      </c>
      <c r="C217" s="15" t="n">
        <v>1415</v>
      </c>
      <c r="D217" s="14" t="inlineStr">
        <is>
          <t>TOMENO SUAREZ,FERNANDO</t>
        </is>
      </c>
      <c r="E217" s="14" t="inlineStr">
        <is>
          <t>SALUSTIANA</t>
        </is>
      </c>
      <c r="F217" s="15" t="n">
        <v>136563</v>
      </c>
      <c r="G217" s="16" t="n">
        <v>55581.14</v>
      </c>
      <c r="H217" s="17" t="n">
        <v>0.4069999926773724</v>
      </c>
      <c r="I217" s="16" t="n">
        <v>0</v>
      </c>
      <c r="J217" s="16" t="n">
        <v>481.24</v>
      </c>
      <c r="K217" s="16" t="n">
        <v>0</v>
      </c>
      <c r="L217" s="16" t="n">
        <v>0</v>
      </c>
      <c r="M217" s="16" t="n">
        <v>0</v>
      </c>
      <c r="N217" s="16" t="n">
        <v>55099.9</v>
      </c>
      <c r="O217" s="17" t="n">
        <v>0.44286</v>
      </c>
      <c r="P217" s="18" t="n">
        <v>12</v>
      </c>
      <c r="Q217" s="18" t="n">
        <v>2</v>
      </c>
      <c r="R217" s="16" t="n">
        <v>60477.65</v>
      </c>
      <c r="S217" s="14" t="inlineStr">
        <is>
          <t>Final FERNANDO TOMENO (1415) SALUSTIANAS</t>
        </is>
      </c>
      <c r="T217" s="14" t="inlineStr">
        <is>
          <t>DIRECTO</t>
        </is>
      </c>
      <c r="U217" s="19">
        <f>IFERROR(166.386*I217/F217,0)</f>
        <v/>
      </c>
      <c r="V217" s="19">
        <f>IFERROR(166.386*M217/F217,0)</f>
        <v/>
      </c>
      <c r="W217" s="19">
        <f>IFERROR(166.386*L217/F217,0)</f>
        <v/>
      </c>
    </row>
    <row r="218">
      <c r="A218" s="14" t="n">
        <v>2299</v>
      </c>
      <c r="B218" s="14" t="inlineStr">
        <is>
          <t>Final DOLORES MUÑOZ  (1511) SALUSTIANAS</t>
        </is>
      </c>
      <c r="C218" s="15" t="n">
        <v>1511</v>
      </c>
      <c r="D218" s="14" t="inlineStr">
        <is>
          <t>HERNANDEZ MUÑOZ,DOLORES</t>
        </is>
      </c>
      <c r="E218" s="14" t="inlineStr">
        <is>
          <t>SALUSTIANA</t>
        </is>
      </c>
      <c r="F218" s="15" t="n">
        <v>56193</v>
      </c>
      <c r="G218" s="16" t="n">
        <v>18375.11</v>
      </c>
      <c r="H218" s="17" t="n">
        <v>0.3269999822041891</v>
      </c>
      <c r="I218" s="16" t="n">
        <v>0</v>
      </c>
      <c r="J218" s="16" t="n">
        <v>577.2</v>
      </c>
      <c r="K218" s="16" t="n">
        <v>0</v>
      </c>
      <c r="L218" s="16" t="n">
        <v>0</v>
      </c>
      <c r="M218" s="16" t="n">
        <v>0</v>
      </c>
      <c r="N218" s="16" t="n">
        <v>17797.91</v>
      </c>
      <c r="O218" s="17" t="n">
        <v>0.34764</v>
      </c>
      <c r="P218" s="18" t="n">
        <v>12</v>
      </c>
      <c r="Q218" s="18" t="n">
        <v>2</v>
      </c>
      <c r="R218" s="16" t="n">
        <v>19534.99</v>
      </c>
      <c r="S218" s="14" t="inlineStr">
        <is>
          <t>Final DOLORES MUÑOZ  (1511) SALUSTIANAS</t>
        </is>
      </c>
      <c r="T218" s="14" t="inlineStr">
        <is>
          <t>DIRECTO</t>
        </is>
      </c>
      <c r="U218" s="19">
        <f>IFERROR(166.386*I218/F218,0)</f>
        <v/>
      </c>
      <c r="V218" s="19">
        <f>IFERROR(166.386*M218/F218,0)</f>
        <v/>
      </c>
      <c r="W218" s="19">
        <f>IFERROR(166.386*L218/F218,0)</f>
        <v/>
      </c>
    </row>
    <row r="219">
      <c r="A219" s="14" t="n">
        <v>2300</v>
      </c>
      <c r="B219" s="14" t="inlineStr">
        <is>
          <t>Final DOLORES HDEZ (1549) SALUSTIANAS</t>
        </is>
      </c>
      <c r="C219" s="15" t="n">
        <v>1549</v>
      </c>
      <c r="D219" s="14" t="inlineStr">
        <is>
          <t>MUÑOZ JIMÉNEZ, DOLORES</t>
        </is>
      </c>
      <c r="E219" s="14" t="inlineStr">
        <is>
          <t>SALUSTIANA</t>
        </is>
      </c>
      <c r="F219" s="15" t="n">
        <v>75812</v>
      </c>
      <c r="G219" s="16" t="n">
        <v>24790.52</v>
      </c>
      <c r="H219" s="17" t="n">
        <v>0.3269999472379043</v>
      </c>
      <c r="I219" s="16" t="n">
        <v>0</v>
      </c>
      <c r="J219" s="16" t="n">
        <v>596.7</v>
      </c>
      <c r="K219" s="16" t="n">
        <v>0</v>
      </c>
      <c r="L219" s="16" t="n">
        <v>0</v>
      </c>
      <c r="M219" s="16" t="n">
        <v>0</v>
      </c>
      <c r="N219" s="16" t="n">
        <v>24193.82</v>
      </c>
      <c r="O219" s="17" t="n">
        <v>0.35028</v>
      </c>
      <c r="P219" s="18" t="n">
        <v>12</v>
      </c>
      <c r="Q219" s="18" t="n">
        <v>2</v>
      </c>
      <c r="R219" s="16" t="n">
        <v>26555.14</v>
      </c>
      <c r="S219" s="14" t="inlineStr">
        <is>
          <t>Final DOLORES HDEZ (1549) SALUSTIANAS</t>
        </is>
      </c>
      <c r="T219" s="14" t="inlineStr">
        <is>
          <t>DIRECTO</t>
        </is>
      </c>
      <c r="U219" s="19">
        <f>IFERROR(166.386*I219/F219,0)</f>
        <v/>
      </c>
      <c r="V219" s="19">
        <f>IFERROR(166.386*M219/F219,0)</f>
        <v/>
      </c>
      <c r="W219" s="19">
        <f>IFERROR(166.386*L219/F219,0)</f>
        <v/>
      </c>
    </row>
    <row r="220">
      <c r="A220" s="14" t="n">
        <v>2301</v>
      </c>
      <c r="B220" s="14" t="inlineStr">
        <is>
          <t>Final JESUS PADILLA (1611) LANE LATE</t>
        </is>
      </c>
      <c r="C220" s="15" t="n">
        <v>1611</v>
      </c>
      <c r="D220" s="14" t="inlineStr">
        <is>
          <t>PADILLA GONZALEZ, JESUS</t>
        </is>
      </c>
      <c r="E220" s="14" t="inlineStr">
        <is>
          <t>LANE LATE</t>
        </is>
      </c>
      <c r="F220" s="15" t="n">
        <v>89325</v>
      </c>
      <c r="G220" s="16" t="n">
        <v>35649.61</v>
      </c>
      <c r="H220" s="17" t="n">
        <v>0.3991000279876854</v>
      </c>
      <c r="I220" s="16" t="n">
        <v>0</v>
      </c>
      <c r="J220" s="16" t="n">
        <v>1134.9</v>
      </c>
      <c r="K220" s="16" t="n">
        <v>0</v>
      </c>
      <c r="L220" s="16" t="n">
        <v>0</v>
      </c>
      <c r="M220" s="16" t="n">
        <v>0</v>
      </c>
      <c r="N220" s="16" t="n">
        <v>34514.71</v>
      </c>
      <c r="O220" s="17" t="n">
        <v>0.42411</v>
      </c>
      <c r="P220" s="18" t="n">
        <v>12</v>
      </c>
      <c r="Q220" s="18" t="n">
        <v>2</v>
      </c>
      <c r="R220" s="16" t="n">
        <v>37883.35</v>
      </c>
      <c r="S220" s="14" t="inlineStr">
        <is>
          <t>Final JESUS PADILLA (1611) LANE LATE</t>
        </is>
      </c>
      <c r="T220" s="14" t="inlineStr">
        <is>
          <t>DIRECTO</t>
        </is>
      </c>
      <c r="U220" s="19">
        <f>IFERROR(166.386*I220/F220,0)</f>
        <v/>
      </c>
      <c r="V220" s="19">
        <f>IFERROR(166.386*M220/F220,0)</f>
        <v/>
      </c>
      <c r="W220" s="19">
        <f>IFERROR(166.386*L220/F220,0)</f>
        <v/>
      </c>
    </row>
    <row r="221">
      <c r="A221" s="14" t="n">
        <v>2302</v>
      </c>
      <c r="B221" s="14" t="inlineStr">
        <is>
          <t>Final ALVARO HARO (1544) CHISSLET</t>
        </is>
      </c>
      <c r="C221" s="15" t="n">
        <v>1544</v>
      </c>
      <c r="D221" s="14" t="inlineStr">
        <is>
          <t>HARO ORDOÑO, ALVARO</t>
        </is>
      </c>
      <c r="E221" s="14" t="inlineStr">
        <is>
          <t>CHISLETT SUMER</t>
        </is>
      </c>
      <c r="F221" s="15" t="n">
        <v>53005</v>
      </c>
      <c r="G221" s="16" t="n">
        <v>19045.91</v>
      </c>
      <c r="H221" s="17" t="n">
        <v>0.3593228940665975</v>
      </c>
      <c r="I221" s="16" t="n">
        <v>0</v>
      </c>
      <c r="J221" s="16" t="n">
        <v>298.19</v>
      </c>
      <c r="K221" s="16" t="n">
        <v>0</v>
      </c>
      <c r="L221" s="16" t="n">
        <v>0</v>
      </c>
      <c r="M221" s="16" t="n">
        <v>0</v>
      </c>
      <c r="N221" s="16" t="n">
        <v>18747.72</v>
      </c>
      <c r="O221" s="17" t="n">
        <v>0.38822</v>
      </c>
      <c r="P221" s="18" t="n">
        <v>12</v>
      </c>
      <c r="Q221" s="18" t="n">
        <v>2</v>
      </c>
      <c r="R221" s="16" t="n">
        <v>20577.5</v>
      </c>
      <c r="S221" s="14" t="inlineStr">
        <is>
          <t>Final ALVARO HARO (1544) CHISSLET</t>
        </is>
      </c>
      <c r="T221" s="14" t="inlineStr">
        <is>
          <t>DIRECTO</t>
        </is>
      </c>
      <c r="U221" s="19">
        <f>IFERROR(166.386*I221/F221,0)</f>
        <v/>
      </c>
      <c r="V221" s="19">
        <f>IFERROR(166.386*M221/F221,0)</f>
        <v/>
      </c>
      <c r="W221" s="19">
        <f>IFERROR(166.386*L221/F221,0)</f>
        <v/>
      </c>
    </row>
    <row r="222">
      <c r="A222" s="14" t="n">
        <v>2303</v>
      </c>
      <c r="B222" s="14" t="inlineStr">
        <is>
          <t>Final J. A. RODRIGUEZ MEJIAS (1523) LANE LATE</t>
        </is>
      </c>
      <c r="C222" s="15" t="n">
        <v>1523</v>
      </c>
      <c r="D222" s="14" t="inlineStr">
        <is>
          <t>RODRIGUEZ MEJÍAS, JOSE ANTONIO</t>
        </is>
      </c>
      <c r="E222" s="14" t="inlineStr">
        <is>
          <t>LANE LATE</t>
        </is>
      </c>
      <c r="F222" s="15" t="n">
        <v>78560</v>
      </c>
      <c r="G222" s="16" t="n">
        <v>33937.92</v>
      </c>
      <c r="H222" s="17" t="n">
        <v>0.432</v>
      </c>
      <c r="I222" s="16" t="n">
        <v>0</v>
      </c>
      <c r="J222" s="16" t="n">
        <v>570.79</v>
      </c>
      <c r="K222" s="16" t="n">
        <v>0</v>
      </c>
      <c r="L222" s="16" t="n">
        <v>0</v>
      </c>
      <c r="M222" s="16" t="n">
        <v>0</v>
      </c>
      <c r="N222" s="16" t="n">
        <v>33367.13</v>
      </c>
      <c r="O222" s="17" t="n">
        <v>0.46619</v>
      </c>
      <c r="P222" s="18" t="n">
        <v>12</v>
      </c>
      <c r="Q222" s="18" t="n">
        <v>2</v>
      </c>
      <c r="R222" s="16" t="n">
        <v>36623.76</v>
      </c>
      <c r="S222" s="14" t="inlineStr">
        <is>
          <t>Final J. A. RODRIGUEZ MEJIAS (1523) LANE LATE</t>
        </is>
      </c>
      <c r="T222" s="14" t="inlineStr">
        <is>
          <t>DIRECTO</t>
        </is>
      </c>
      <c r="U222" s="19">
        <f>IFERROR(166.386*I222/F222,0)</f>
        <v/>
      </c>
      <c r="V222" s="19">
        <f>IFERROR(166.386*M222/F222,0)</f>
        <v/>
      </c>
      <c r="W222" s="19">
        <f>IFERROR(166.386*L222/F222,0)</f>
        <v/>
      </c>
    </row>
    <row r="223">
      <c r="A223" s="14" t="n">
        <v>2304</v>
      </c>
      <c r="B223" s="14" t="inlineStr">
        <is>
          <t>Final AGRONUÑEZ (1466) LANE LATE</t>
        </is>
      </c>
      <c r="C223" s="15" t="n">
        <v>1466</v>
      </c>
      <c r="D223" s="14" t="inlineStr">
        <is>
          <t>AGRONUÑEZ S.C.</t>
        </is>
      </c>
      <c r="E223" s="14" t="inlineStr">
        <is>
          <t>LANE LATE</t>
        </is>
      </c>
      <c r="F223" s="15" t="n">
        <v>100396</v>
      </c>
      <c r="G223" s="16" t="n">
        <v>50398.79</v>
      </c>
      <c r="H223" s="17" t="n">
        <v>0.5019999800788876</v>
      </c>
      <c r="I223" s="16" t="n">
        <v>6274.75</v>
      </c>
      <c r="J223" s="16" t="n">
        <v>1118.85</v>
      </c>
      <c r="K223" s="16" t="n">
        <v>0</v>
      </c>
      <c r="L223" s="16" t="n">
        <v>0</v>
      </c>
      <c r="M223" s="16" t="n">
        <v>0</v>
      </c>
      <c r="N223" s="16" t="n">
        <v>43005.19</v>
      </c>
      <c r="O223" s="17" t="n">
        <v>0.47016</v>
      </c>
      <c r="P223" s="18" t="n">
        <v>12</v>
      </c>
      <c r="Q223" s="18" t="n">
        <v>2</v>
      </c>
      <c r="R223" s="16" t="n">
        <v>47202.5</v>
      </c>
      <c r="S223" s="14" t="inlineStr">
        <is>
          <t>Final AGRONUÑEZ (1466) LANE LATE</t>
        </is>
      </c>
      <c r="T223" s="14" t="inlineStr">
        <is>
          <t>DIRECTO</t>
        </is>
      </c>
      <c r="U223" s="19">
        <f>IFERROR(166.386*I223/F223,0)</f>
        <v/>
      </c>
      <c r="V223" s="19">
        <f>IFERROR(166.386*M223/F223,0)</f>
        <v/>
      </c>
      <c r="W223" s="19">
        <f>IFERROR(166.386*L223/F223,0)</f>
        <v/>
      </c>
    </row>
    <row r="224">
      <c r="A224" s="14" t="n">
        <v>2305</v>
      </c>
      <c r="B224" s="14" t="inlineStr">
        <is>
          <t>Final MANUEL JESUS NUÑEZ (1560) LANE LATE</t>
        </is>
      </c>
      <c r="C224" s="15" t="n">
        <v>1560</v>
      </c>
      <c r="D224" s="14" t="inlineStr">
        <is>
          <t>NUÑEZ GUERRERO, MANUEL JESUS</t>
        </is>
      </c>
      <c r="E224" s="14" t="inlineStr">
        <is>
          <t>LANE LATE</t>
        </is>
      </c>
      <c r="F224" s="15" t="n">
        <v>45424</v>
      </c>
      <c r="G224" s="16" t="n">
        <v>22802.85</v>
      </c>
      <c r="H224" s="17" t="n">
        <v>0.5020000440295879</v>
      </c>
      <c r="I224" s="16" t="n">
        <v>2839</v>
      </c>
      <c r="J224" s="16" t="n">
        <v>526.5</v>
      </c>
      <c r="K224" s="16" t="n">
        <v>0</v>
      </c>
      <c r="L224" s="16" t="n">
        <v>0</v>
      </c>
      <c r="M224" s="16" t="n">
        <v>0</v>
      </c>
      <c r="N224" s="16" t="n">
        <v>19437.35</v>
      </c>
      <c r="O224" s="17" t="n">
        <v>0.46967</v>
      </c>
      <c r="P224" s="18" t="n">
        <v>12</v>
      </c>
      <c r="Q224" s="18" t="n">
        <v>2</v>
      </c>
      <c r="R224" s="16" t="n">
        <v>21334.44</v>
      </c>
      <c r="S224" s="14" t="inlineStr">
        <is>
          <t>Final MANUEL JESUS NUÑEZ (1560) LANE LATE</t>
        </is>
      </c>
      <c r="T224" s="14" t="inlineStr">
        <is>
          <t>DIRECTO</t>
        </is>
      </c>
      <c r="U224" s="19">
        <f>IFERROR(166.386*I224/F224,0)</f>
        <v/>
      </c>
      <c r="V224" s="19">
        <f>IFERROR(166.386*M224/F224,0)</f>
        <v/>
      </c>
      <c r="W224" s="19">
        <f>IFERROR(166.386*L224/F224,0)</f>
        <v/>
      </c>
    </row>
    <row r="225">
      <c r="A225" s="14" t="n">
        <v>2306</v>
      </c>
      <c r="B225" s="14" t="inlineStr">
        <is>
          <t>Final HNOS GONZALEZ ROLDAN (1272) LANE LATE 1</t>
        </is>
      </c>
      <c r="C225" s="15" t="n">
        <v>1272</v>
      </c>
      <c r="D225" s="14" t="inlineStr">
        <is>
          <t>HERMANOS GONZALEZ ROLDAN,S.C.</t>
        </is>
      </c>
      <c r="E225" s="14" t="inlineStr">
        <is>
          <t>LANE LATE</t>
        </is>
      </c>
      <c r="F225" s="15" t="n">
        <v>36500</v>
      </c>
      <c r="G225" s="16" t="n">
        <v>13943</v>
      </c>
      <c r="H225" s="17" t="n">
        <v>0.382</v>
      </c>
      <c r="I225" s="16" t="n">
        <v>0</v>
      </c>
      <c r="J225" s="16" t="n">
        <v>670.83</v>
      </c>
      <c r="K225" s="16" t="n">
        <v>0</v>
      </c>
      <c r="L225" s="16" t="n">
        <v>0</v>
      </c>
      <c r="M225" s="16" t="n">
        <v>0</v>
      </c>
      <c r="N225" s="16" t="n">
        <v>13272.17</v>
      </c>
      <c r="O225" s="17" t="n">
        <v>0.39911</v>
      </c>
      <c r="P225" s="18" t="n">
        <v>12</v>
      </c>
      <c r="Q225" s="18" t="n">
        <v>2</v>
      </c>
      <c r="R225" s="16" t="n">
        <v>14567.53</v>
      </c>
      <c r="S225" s="14" t="inlineStr">
        <is>
          <t>Final HNOS GONZALEZ ROLDAN (1272) LANE LATE 1</t>
        </is>
      </c>
      <c r="T225" s="14" t="inlineStr">
        <is>
          <t>DIRECTO</t>
        </is>
      </c>
      <c r="U225" s="19">
        <f>IFERROR(166.386*I225/F225,0)</f>
        <v/>
      </c>
      <c r="V225" s="19">
        <f>IFERROR(166.386*M225/F225,0)</f>
        <v/>
      </c>
      <c r="W225" s="19">
        <f>IFERROR(166.386*L225/F225,0)</f>
        <v/>
      </c>
    </row>
    <row r="226">
      <c r="A226" s="14" t="n">
        <v>2307</v>
      </c>
      <c r="B226" s="14" t="inlineStr">
        <is>
          <t>Final AGRICOLA HNOS BUIZA (1395) POWEL</t>
        </is>
      </c>
      <c r="C226" s="15" t="n">
        <v>1395</v>
      </c>
      <c r="D226" s="14" t="inlineStr">
        <is>
          <t>AGRICOLA HERMANOS BUIZA S.C.</t>
        </is>
      </c>
      <c r="E226" s="14" t="inlineStr">
        <is>
          <t>NAVEL POWEL</t>
        </is>
      </c>
      <c r="F226" s="15" t="n">
        <v>68380</v>
      </c>
      <c r="G226" s="16" t="n">
        <v>28924.74</v>
      </c>
      <c r="H226" s="17" t="n">
        <v>0.423</v>
      </c>
      <c r="I226" s="16" t="n">
        <v>0</v>
      </c>
      <c r="J226" s="16" t="n">
        <v>258.36</v>
      </c>
      <c r="K226" s="16" t="n">
        <v>0</v>
      </c>
      <c r="L226" s="16" t="n">
        <v>0</v>
      </c>
      <c r="M226" s="16" t="n">
        <v>0</v>
      </c>
      <c r="N226" s="16" t="n">
        <v>28666.38</v>
      </c>
      <c r="O226" s="17" t="n">
        <v>0.46014</v>
      </c>
      <c r="P226" s="18" t="n">
        <v>12</v>
      </c>
      <c r="Q226" s="18" t="n">
        <v>2</v>
      </c>
      <c r="R226" s="16" t="n">
        <v>31464.22</v>
      </c>
      <c r="S226" s="14" t="inlineStr">
        <is>
          <t>Final AGRICOLA HNOS BUIZA (1395) POWEL</t>
        </is>
      </c>
      <c r="T226" s="14" t="inlineStr">
        <is>
          <t>DIRECTO</t>
        </is>
      </c>
      <c r="U226" s="19">
        <f>IFERROR(166.386*I226/F226,0)</f>
        <v/>
      </c>
      <c r="V226" s="19">
        <f>IFERROR(166.386*M226/F226,0)</f>
        <v/>
      </c>
      <c r="W226" s="19">
        <f>IFERROR(166.386*L226/F226,0)</f>
        <v/>
      </c>
    </row>
    <row r="227">
      <c r="A227" s="14" t="n">
        <v>2308</v>
      </c>
      <c r="B227" s="14" t="inlineStr">
        <is>
          <t>Final JAVIER SANCHEZ GUIL (1624) SALUSTIANAS</t>
        </is>
      </c>
      <c r="C227" s="15" t="n">
        <v>1624</v>
      </c>
      <c r="D227" s="14" t="inlineStr">
        <is>
          <t>SANCHEZ GUIL, JUAN JAVIER</t>
        </is>
      </c>
      <c r="E227" s="14" t="inlineStr">
        <is>
          <t>SALUSTIANA</t>
        </is>
      </c>
      <c r="F227" s="15" t="n">
        <v>10200</v>
      </c>
      <c r="G227" s="16" t="n">
        <v>4110.6</v>
      </c>
      <c r="H227" s="17" t="n">
        <v>0.403</v>
      </c>
      <c r="I227" s="16" t="n">
        <v>734.4</v>
      </c>
      <c r="J227" s="16" t="n">
        <v>86.13</v>
      </c>
      <c r="K227" s="16" t="n">
        <v>0</v>
      </c>
      <c r="L227" s="16" t="n">
        <v>0</v>
      </c>
      <c r="M227" s="16" t="n">
        <v>0</v>
      </c>
      <c r="N227" s="16" t="n">
        <v>3290.07</v>
      </c>
      <c r="O227" s="17" t="n">
        <v>0.35404</v>
      </c>
      <c r="P227" s="18" t="n">
        <v>12</v>
      </c>
      <c r="Q227" s="18" t="n">
        <v>2</v>
      </c>
      <c r="R227" s="16" t="n">
        <v>3611.18</v>
      </c>
      <c r="S227" s="14" t="inlineStr">
        <is>
          <t>Final JAVIER SANCHEZ GUIL (1624) SALUSTIANAS</t>
        </is>
      </c>
      <c r="T227" s="14" t="inlineStr">
        <is>
          <t>DIRECTO</t>
        </is>
      </c>
      <c r="U227" s="19">
        <f>IFERROR(166.386*I227/F227,0)</f>
        <v/>
      </c>
      <c r="V227" s="19">
        <f>IFERROR(166.386*M227/F227,0)</f>
        <v/>
      </c>
      <c r="W227" s="19">
        <f>IFERROR(166.386*L227/F227,0)</f>
        <v/>
      </c>
    </row>
    <row r="228">
      <c r="A228" s="14" t="n">
        <v>2309</v>
      </c>
      <c r="B228" s="14" t="inlineStr">
        <is>
          <t>Final J. A. PRIOR PORTILLO (1589) SALUSTIANAS</t>
        </is>
      </c>
      <c r="C228" s="15" t="n">
        <v>1589</v>
      </c>
      <c r="D228" s="14" t="inlineStr">
        <is>
          <t>PRIOR PORTILLO, JUAN ANTONIO</t>
        </is>
      </c>
      <c r="E228" s="14" t="inlineStr">
        <is>
          <t>SALUSTIANA</t>
        </is>
      </c>
      <c r="F228" s="15" t="n">
        <v>10620</v>
      </c>
      <c r="G228" s="16" t="n">
        <v>4279.86</v>
      </c>
      <c r="H228" s="17" t="n">
        <v>0.403</v>
      </c>
      <c r="I228" s="16" t="n">
        <v>764.64</v>
      </c>
      <c r="J228" s="16" t="n">
        <v>66.23999999999999</v>
      </c>
      <c r="K228" s="16" t="n">
        <v>0</v>
      </c>
      <c r="L228" s="16" t="n">
        <v>0</v>
      </c>
      <c r="M228" s="16" t="n">
        <v>0</v>
      </c>
      <c r="N228" s="16" t="n">
        <v>3448.98</v>
      </c>
      <c r="O228" s="17" t="n">
        <v>0.35646</v>
      </c>
      <c r="P228" s="18" t="n">
        <v>12</v>
      </c>
      <c r="Q228" s="18" t="n">
        <v>2</v>
      </c>
      <c r="R228" s="16" t="n">
        <v>3785.6</v>
      </c>
      <c r="S228" s="14" t="inlineStr">
        <is>
          <t>Final J. A. PRIOR PORTILLO (1589) SALUSTIANAS</t>
        </is>
      </c>
      <c r="T228" s="14" t="inlineStr">
        <is>
          <t>DIRECTO</t>
        </is>
      </c>
      <c r="U228" s="19">
        <f>IFERROR(166.386*I228/F228,0)</f>
        <v/>
      </c>
      <c r="V228" s="19">
        <f>IFERROR(166.386*M228/F228,0)</f>
        <v/>
      </c>
      <c r="W228" s="19">
        <f>IFERROR(166.386*L228/F228,0)</f>
        <v/>
      </c>
    </row>
    <row r="229">
      <c r="A229" s="14" t="n">
        <v>2310</v>
      </c>
      <c r="B229" s="14" t="inlineStr">
        <is>
          <t>Final LEON CARRASCO SL (1504) POWEL</t>
        </is>
      </c>
      <c r="C229" s="15" t="n">
        <v>1504</v>
      </c>
      <c r="D229" s="14" t="inlineStr">
        <is>
          <t>LEON CARRASCO S.C.</t>
        </is>
      </c>
      <c r="E229" s="14" t="inlineStr">
        <is>
          <t>NAVEL POWEL</t>
        </is>
      </c>
      <c r="F229" s="15" t="n">
        <v>78340</v>
      </c>
      <c r="G229" s="16" t="n">
        <v>31492.68</v>
      </c>
      <c r="H229" s="17" t="n">
        <v>0.402</v>
      </c>
      <c r="I229" s="16" t="n">
        <v>0</v>
      </c>
      <c r="J229" s="16" t="n">
        <v>499.75</v>
      </c>
      <c r="K229" s="16" t="n">
        <v>0</v>
      </c>
      <c r="L229" s="16" t="n">
        <v>0</v>
      </c>
      <c r="M229" s="16" t="n">
        <v>0</v>
      </c>
      <c r="N229" s="16" t="n">
        <v>30992.93</v>
      </c>
      <c r="O229" s="17" t="n">
        <v>0.43423</v>
      </c>
      <c r="P229" s="18" t="n">
        <v>12</v>
      </c>
      <c r="Q229" s="18" t="n">
        <v>2</v>
      </c>
      <c r="R229" s="16" t="n">
        <v>34017.84</v>
      </c>
      <c r="S229" s="14" t="inlineStr">
        <is>
          <t>Final LEON CARRASCO SL (1504) POWEL</t>
        </is>
      </c>
      <c r="T229" s="14" t="inlineStr">
        <is>
          <t>DIRECTO</t>
        </is>
      </c>
      <c r="U229" s="19">
        <f>IFERROR(166.386*I229/F229,0)</f>
        <v/>
      </c>
      <c r="V229" s="19">
        <f>IFERROR(166.386*M229/F229,0)</f>
        <v/>
      </c>
      <c r="W229" s="19">
        <f>IFERROR(166.386*L229/F229,0)</f>
        <v/>
      </c>
    </row>
    <row r="230">
      <c r="A230" s="14" t="n">
        <v>2311</v>
      </c>
      <c r="B230" s="14" t="inlineStr">
        <is>
          <t>Final MERCEDES GOMEZ (1577) POWEL</t>
        </is>
      </c>
      <c r="C230" s="15" t="n">
        <v>1577</v>
      </c>
      <c r="D230" s="14" t="inlineStr">
        <is>
          <t>GOMEZ GUERRERO, MARIA MERCEDES</t>
        </is>
      </c>
      <c r="E230" s="14" t="inlineStr">
        <is>
          <t>NAVEL POWEL</t>
        </is>
      </c>
      <c r="F230" s="15" t="n">
        <v>83263</v>
      </c>
      <c r="G230" s="16" t="n">
        <v>40132.77</v>
      </c>
      <c r="H230" s="17" t="n">
        <v>0.4820000480405462</v>
      </c>
      <c r="I230" s="16" t="n">
        <v>5203.94</v>
      </c>
      <c r="J230" s="16" t="n">
        <v>531.41</v>
      </c>
      <c r="K230" s="16" t="n">
        <v>0</v>
      </c>
      <c r="L230" s="16" t="n">
        <v>0</v>
      </c>
      <c r="M230" s="16" t="n">
        <v>0</v>
      </c>
      <c r="N230" s="16" t="n">
        <v>34397.42</v>
      </c>
      <c r="O230" s="17" t="n">
        <v>0.45344</v>
      </c>
      <c r="P230" s="18" t="n">
        <v>12</v>
      </c>
      <c r="Q230" s="18" t="n">
        <v>2</v>
      </c>
      <c r="R230" s="16" t="n">
        <v>37754.61</v>
      </c>
      <c r="S230" s="14" t="inlineStr">
        <is>
          <t>Final MERCEDES GOMEZ (1577) POWEL</t>
        </is>
      </c>
      <c r="T230" s="14" t="inlineStr">
        <is>
          <t>DIRECTO</t>
        </is>
      </c>
      <c r="U230" s="19">
        <f>IFERROR(166.386*I230/F230,0)</f>
        <v/>
      </c>
      <c r="V230" s="19">
        <f>IFERROR(166.386*M230/F230,0)</f>
        <v/>
      </c>
      <c r="W230" s="19">
        <f>IFERROR(166.386*L230/F230,0)</f>
        <v/>
      </c>
    </row>
    <row r="231">
      <c r="A231" s="14" t="n">
        <v>2312</v>
      </c>
      <c r="B231" s="14" t="inlineStr">
        <is>
          <t>Final FRANCISCO JAVIER CALZADO (1178) NAVEL POWEL</t>
        </is>
      </c>
      <c r="C231" s="15" t="n">
        <v>1178</v>
      </c>
      <c r="D231" s="14" t="inlineStr">
        <is>
          <t>CALZADO GARCIA,FRANCISCO JAVIER</t>
        </is>
      </c>
      <c r="E231" s="14" t="inlineStr">
        <is>
          <t>NAVEL POWEL</t>
        </is>
      </c>
      <c r="F231" s="15" t="n">
        <v>20980</v>
      </c>
      <c r="G231" s="16" t="n">
        <v>8014.36</v>
      </c>
      <c r="H231" s="17" t="n">
        <v>0.382</v>
      </c>
      <c r="I231" s="16" t="n">
        <v>0</v>
      </c>
      <c r="J231" s="16" t="n">
        <v>258.34</v>
      </c>
      <c r="K231" s="16" t="n">
        <v>0</v>
      </c>
      <c r="L231" s="16" t="n">
        <v>0</v>
      </c>
      <c r="M231" s="16" t="n">
        <v>0</v>
      </c>
      <c r="N231" s="16" t="n">
        <v>7756.02</v>
      </c>
      <c r="O231" s="17" t="n">
        <v>0.40577</v>
      </c>
      <c r="P231" s="18" t="n">
        <v>12</v>
      </c>
      <c r="Q231" s="18" t="n">
        <v>2</v>
      </c>
      <c r="R231" s="16" t="n">
        <v>8513.01</v>
      </c>
      <c r="S231" s="14" t="inlineStr">
        <is>
          <t>Final FRANCISCO JAVIER CALZADO (1178) NAVEL POWEL</t>
        </is>
      </c>
      <c r="T231" s="14" t="inlineStr">
        <is>
          <t>DIRECTO</t>
        </is>
      </c>
      <c r="U231" s="19">
        <f>IFERROR(166.386*I231/F231,0)</f>
        <v/>
      </c>
      <c r="V231" s="19">
        <f>IFERROR(166.386*M231/F231,0)</f>
        <v/>
      </c>
      <c r="W231" s="19">
        <f>IFERROR(166.386*L231/F231,0)</f>
        <v/>
      </c>
    </row>
    <row r="232">
      <c r="A232" s="14" t="n">
        <v>2313</v>
      </c>
      <c r="B232" s="14" t="inlineStr">
        <is>
          <t>Final FERNANDO TOMENO SUAREZ (1415) BARBERINA</t>
        </is>
      </c>
      <c r="C232" s="15" t="n">
        <v>1415</v>
      </c>
      <c r="D232" s="14" t="inlineStr">
        <is>
          <t>TOMENO SUAREZ,FERNANDO</t>
        </is>
      </c>
      <c r="E232" s="14" t="inlineStr">
        <is>
          <t>BARBERINA</t>
        </is>
      </c>
      <c r="F232" s="15" t="n">
        <v>84220</v>
      </c>
      <c r="G232" s="16" t="n">
        <v>43120.64</v>
      </c>
      <c r="H232" s="17" t="n">
        <v>0.512</v>
      </c>
      <c r="I232" s="16" t="n">
        <v>0</v>
      </c>
      <c r="J232" s="16" t="n">
        <v>296.78</v>
      </c>
      <c r="K232" s="16" t="n">
        <v>0</v>
      </c>
      <c r="L232" s="16" t="n">
        <v>0</v>
      </c>
      <c r="M232" s="16" t="n">
        <v>0</v>
      </c>
      <c r="N232" s="16" t="n">
        <v>42823.86</v>
      </c>
      <c r="O232" s="17" t="n">
        <v>0.5581</v>
      </c>
      <c r="P232" s="18" t="n">
        <v>12</v>
      </c>
      <c r="Q232" s="18" t="n">
        <v>2</v>
      </c>
      <c r="R232" s="16" t="n">
        <v>47003.47</v>
      </c>
      <c r="S232" s="14" t="inlineStr">
        <is>
          <t>Final FERNANDO TOMENO SUAREZ (1415) BARBERINA</t>
        </is>
      </c>
      <c r="T232" s="14" t="inlineStr">
        <is>
          <t>DIRECTO</t>
        </is>
      </c>
      <c r="U232" s="19">
        <f>IFERROR(166.386*I232/F232,0)</f>
        <v/>
      </c>
      <c r="V232" s="19">
        <f>IFERROR(166.386*M232/F232,0)</f>
        <v/>
      </c>
      <c r="W232" s="19">
        <f>IFERROR(166.386*L232/F232,0)</f>
        <v/>
      </c>
    </row>
    <row r="233">
      <c r="A233" s="14" t="n">
        <v>2314</v>
      </c>
      <c r="B233" s="14" t="inlineStr">
        <is>
          <t>Final FAMILIA GONZALEZ LACAL (1350) BARBERINA</t>
        </is>
      </c>
      <c r="C233" s="15" t="n">
        <v>1350</v>
      </c>
      <c r="D233" s="14" t="inlineStr">
        <is>
          <t>FAMILIA GONZALEZ LACAL S.C.</t>
        </is>
      </c>
      <c r="E233" s="14" t="inlineStr">
        <is>
          <t>BARBERINA</t>
        </is>
      </c>
      <c r="F233" s="15" t="n">
        <v>22080</v>
      </c>
      <c r="G233" s="16" t="n">
        <v>11304.96</v>
      </c>
      <c r="H233" s="17" t="n">
        <v>0.512</v>
      </c>
      <c r="I233" s="16" t="n">
        <v>1380</v>
      </c>
      <c r="J233" s="16" t="n">
        <v>308.38</v>
      </c>
      <c r="K233" s="16" t="n">
        <v>0</v>
      </c>
      <c r="L233" s="16" t="n">
        <v>0</v>
      </c>
      <c r="M233" s="16" t="n">
        <v>0</v>
      </c>
      <c r="N233" s="16" t="n">
        <v>9616.58</v>
      </c>
      <c r="O233" s="17" t="n">
        <v>0.47804</v>
      </c>
      <c r="P233" s="18" t="n">
        <v>12</v>
      </c>
      <c r="Q233" s="18" t="n">
        <v>2</v>
      </c>
      <c r="R233" s="16" t="n">
        <v>10555.16</v>
      </c>
      <c r="S233" s="14" t="inlineStr">
        <is>
          <t>Final FAMILIA GONZALEZ LACAL (1350) BARBERINA</t>
        </is>
      </c>
      <c r="T233" s="14" t="inlineStr">
        <is>
          <t>DIRECTO</t>
        </is>
      </c>
      <c r="U233" s="19">
        <f>IFERROR(166.386*I233/F233,0)</f>
        <v/>
      </c>
      <c r="V233" s="19">
        <f>IFERROR(166.386*M233/F233,0)</f>
        <v/>
      </c>
      <c r="W233" s="19">
        <f>IFERROR(166.386*L233/F233,0)</f>
        <v/>
      </c>
    </row>
    <row r="234">
      <c r="A234" s="14" t="n">
        <v>2315</v>
      </c>
      <c r="B234" s="14" t="inlineStr">
        <is>
          <t>Final FRUTAS ANDALUZAS DE SEVILLA (1627) BARBERINA</t>
        </is>
      </c>
      <c r="C234" s="15" t="n">
        <v>1627</v>
      </c>
      <c r="D234" s="14" t="inlineStr">
        <is>
          <t>FRUTAS ANDALUZAS DE SEVILLA S.L.</t>
        </is>
      </c>
      <c r="E234" s="14" t="inlineStr">
        <is>
          <t>BARBERINA</t>
        </is>
      </c>
      <c r="F234" s="15" t="n">
        <v>40500</v>
      </c>
      <c r="G234" s="16" t="n">
        <v>20331</v>
      </c>
      <c r="H234" s="17" t="n">
        <v>0.502</v>
      </c>
      <c r="I234" s="16" t="n">
        <v>0</v>
      </c>
      <c r="J234" s="16" t="n">
        <v>409.54</v>
      </c>
      <c r="K234" s="16" t="n">
        <v>0</v>
      </c>
      <c r="L234" s="16" t="n">
        <v>0</v>
      </c>
      <c r="M234" s="16" t="n">
        <v>0</v>
      </c>
      <c r="N234" s="16" t="n">
        <v>19921.46</v>
      </c>
      <c r="O234" s="17" t="n">
        <v>0.5399</v>
      </c>
      <c r="P234" s="18" t="n">
        <v>12</v>
      </c>
      <c r="Q234" s="18" t="n">
        <v>2</v>
      </c>
      <c r="R234" s="16" t="n">
        <v>21865.79</v>
      </c>
      <c r="S234" s="14" t="inlineStr">
        <is>
          <t>Final FRUTAS ANDALUZAS DE SEVILLA (1627) BARBERINA</t>
        </is>
      </c>
      <c r="T234" s="14" t="inlineStr">
        <is>
          <t>DIRECTO</t>
        </is>
      </c>
      <c r="U234" s="19">
        <f>IFERROR(166.386*I234/F234,0)</f>
        <v/>
      </c>
      <c r="V234" s="19">
        <f>IFERROR(166.386*M234/F234,0)</f>
        <v/>
      </c>
      <c r="W234" s="19">
        <f>IFERROR(166.386*L234/F234,0)</f>
        <v/>
      </c>
    </row>
    <row r="235">
      <c r="A235" s="14" t="n">
        <v>2317</v>
      </c>
      <c r="B235" s="14" t="inlineStr">
        <is>
          <t>Final JUAN SERRANO CORZO (981) SALUSTIANAS</t>
        </is>
      </c>
      <c r="C235" s="15" t="n">
        <v>981</v>
      </c>
      <c r="D235" s="14" t="inlineStr">
        <is>
          <t>SERRANO CORZO,JUAN</t>
        </is>
      </c>
      <c r="E235" s="14" t="inlineStr">
        <is>
          <t>SALUSTIANA</t>
        </is>
      </c>
      <c r="F235" s="15" t="n">
        <v>34725</v>
      </c>
      <c r="G235" s="16" t="n">
        <v>8056.2</v>
      </c>
      <c r="H235" s="17" t="n">
        <v>0.232</v>
      </c>
      <c r="I235" s="16" t="n">
        <v>0</v>
      </c>
      <c r="J235" s="16" t="n">
        <v>312</v>
      </c>
      <c r="K235" s="16" t="n">
        <v>0</v>
      </c>
      <c r="L235" s="16" t="n">
        <v>0</v>
      </c>
      <c r="M235" s="16" t="n">
        <v>0</v>
      </c>
      <c r="N235" s="16" t="n">
        <v>7744.2</v>
      </c>
      <c r="O235" s="17" t="n">
        <v>0.24478</v>
      </c>
      <c r="P235" s="18" t="n">
        <v>12</v>
      </c>
      <c r="Q235" s="18" t="n">
        <v>2</v>
      </c>
      <c r="R235" s="16" t="n">
        <v>8500.030000000001</v>
      </c>
      <c r="S235" s="14" t="inlineStr">
        <is>
          <t>Final JUAN SERRANO CORZO (981) SALUSTIANAS</t>
        </is>
      </c>
      <c r="T235" s="14" t="inlineStr">
        <is>
          <t>DIRECTO</t>
        </is>
      </c>
      <c r="U235" s="19">
        <f>IFERROR(166.386*I235/F235,0)</f>
        <v/>
      </c>
      <c r="V235" s="19">
        <f>IFERROR(166.386*M235/F235,0)</f>
        <v/>
      </c>
      <c r="W235" s="19">
        <f>IFERROR(166.386*L235/F235,0)</f>
        <v/>
      </c>
    </row>
    <row r="236">
      <c r="A236" s="14" t="n">
        <v>2318</v>
      </c>
      <c r="B236" s="14" t="inlineStr">
        <is>
          <t>Final J. A. RODRIGUEZ MEJIAS (1523) VALENCIA</t>
        </is>
      </c>
      <c r="C236" s="15" t="n">
        <v>1523</v>
      </c>
      <c r="D236" s="14" t="inlineStr">
        <is>
          <t>RODRIGUEZ MEJÍAS, JOSE ANTONIO</t>
        </is>
      </c>
      <c r="E236" s="14" t="inlineStr">
        <is>
          <t>VALENCIA DELTA</t>
        </is>
      </c>
      <c r="F236" s="15" t="n">
        <v>56312</v>
      </c>
      <c r="G236" s="16" t="n">
        <v>19258.7</v>
      </c>
      <c r="H236" s="17" t="n">
        <v>0.3419999289671828</v>
      </c>
      <c r="I236" s="16" t="n">
        <v>0</v>
      </c>
      <c r="J236" s="16" t="n">
        <v>409.14</v>
      </c>
      <c r="K236" s="16" t="n">
        <v>0</v>
      </c>
      <c r="L236" s="16" t="n">
        <v>0</v>
      </c>
      <c r="M236" s="16" t="n">
        <v>0</v>
      </c>
      <c r="N236" s="16" t="n">
        <v>18849.56</v>
      </c>
      <c r="O236" s="17" t="n">
        <v>0.3674</v>
      </c>
      <c r="P236" s="18" t="n">
        <v>12</v>
      </c>
      <c r="Q236" s="18" t="n">
        <v>2</v>
      </c>
      <c r="R236" s="16" t="n">
        <v>20689.28</v>
      </c>
      <c r="S236" s="14" t="inlineStr">
        <is>
          <t>Final J. A. RODRIGUEZ MEJIAS (1523) VALENCIA</t>
        </is>
      </c>
      <c r="T236" s="14" t="inlineStr">
        <is>
          <t>DIRECTO</t>
        </is>
      </c>
      <c r="U236" s="19">
        <f>IFERROR(166.386*I236/F236,0)</f>
        <v/>
      </c>
      <c r="V236" s="19">
        <f>IFERROR(166.386*M236/F236,0)</f>
        <v/>
      </c>
      <c r="W236" s="19">
        <f>IFERROR(166.386*L236/F236,0)</f>
        <v/>
      </c>
    </row>
    <row r="237">
      <c r="A237" s="14" t="n">
        <v>2319</v>
      </c>
      <c r="B237" s="14" t="inlineStr">
        <is>
          <t>Final J. A. RODRIGUEZ GARCIA (1194) VALENCIA</t>
        </is>
      </c>
      <c r="C237" s="15" t="n">
        <v>1194</v>
      </c>
      <c r="D237" s="14" t="inlineStr">
        <is>
          <t>RODRIGUEZ GARCIA,JOSE ANTONIO</t>
        </is>
      </c>
      <c r="E237" s="14" t="inlineStr">
        <is>
          <t>VALENCIA</t>
        </is>
      </c>
      <c r="F237" s="15" t="n">
        <v>181217</v>
      </c>
      <c r="G237" s="16" t="n">
        <v>61976.21</v>
      </c>
      <c r="H237" s="17" t="n">
        <v>0.3419999779270157</v>
      </c>
      <c r="I237" s="16" t="n">
        <v>0</v>
      </c>
      <c r="J237" s="16" t="n">
        <v>1372.8</v>
      </c>
      <c r="K237" s="16" t="n">
        <v>0</v>
      </c>
      <c r="L237" s="16" t="n">
        <v>0</v>
      </c>
      <c r="M237" s="16" t="n">
        <v>0</v>
      </c>
      <c r="N237" s="16" t="n">
        <v>60603.41</v>
      </c>
      <c r="O237" s="17" t="n">
        <v>0.36706</v>
      </c>
      <c r="P237" s="18" t="n">
        <v>12</v>
      </c>
      <c r="Q237" s="18" t="n">
        <v>2</v>
      </c>
      <c r="R237" s="16" t="n">
        <v>66518.3</v>
      </c>
      <c r="S237" s="14" t="inlineStr">
        <is>
          <t>Final J. A. RODRIGUEZ GARCIA (1194) VALENCIA</t>
        </is>
      </c>
      <c r="T237" s="14" t="inlineStr">
        <is>
          <t>DIRECTO</t>
        </is>
      </c>
      <c r="U237" s="19">
        <f>IFERROR(166.386*I237/F237,0)</f>
        <v/>
      </c>
      <c r="V237" s="19">
        <f>IFERROR(166.386*M237/F237,0)</f>
        <v/>
      </c>
      <c r="W237" s="19">
        <f>IFERROR(166.386*L237/F237,0)</f>
        <v/>
      </c>
    </row>
    <row r="238">
      <c r="A238" s="14" t="n">
        <v>2320</v>
      </c>
      <c r="B238" s="14" t="inlineStr">
        <is>
          <t>Final PEDRO JIMENEZ MALDONADO (1500) CHISSLET</t>
        </is>
      </c>
      <c r="C238" s="15" t="n">
        <v>1500</v>
      </c>
      <c r="D238" s="14" t="inlineStr">
        <is>
          <t>JIMENEZ MALDONADO, PEDRO</t>
        </is>
      </c>
      <c r="E238" s="14" t="inlineStr">
        <is>
          <t>CHISLETT SUMER</t>
        </is>
      </c>
      <c r="F238" s="15" t="n">
        <v>2769</v>
      </c>
      <c r="G238" s="16" t="n">
        <v>1334.66</v>
      </c>
      <c r="H238" s="17" t="n">
        <v>0.4820007222824124</v>
      </c>
      <c r="I238" s="16" t="n">
        <v>173.06</v>
      </c>
      <c r="J238" s="16" t="n">
        <v>9.699999999999999</v>
      </c>
      <c r="K238" s="16" t="n">
        <v>0</v>
      </c>
      <c r="L238" s="16" t="n">
        <v>0</v>
      </c>
      <c r="M238" s="16" t="n">
        <v>0</v>
      </c>
      <c r="N238" s="16" t="n">
        <v>1151.9</v>
      </c>
      <c r="O238" s="17" t="n">
        <v>0.4566</v>
      </c>
      <c r="P238" s="18" t="n">
        <v>12</v>
      </c>
      <c r="Q238" s="18" t="n">
        <v>2</v>
      </c>
      <c r="R238" s="16" t="n">
        <v>1264.33</v>
      </c>
      <c r="S238" s="14" t="inlineStr">
        <is>
          <t>Final PEDRO JIMENEZ MALDONADO (1500) CHISSLET</t>
        </is>
      </c>
      <c r="T238" s="14" t="inlineStr">
        <is>
          <t>DIRECTO</t>
        </is>
      </c>
      <c r="U238" s="19">
        <f>IFERROR(166.386*I238/F238,0)</f>
        <v/>
      </c>
      <c r="V238" s="19">
        <f>IFERROR(166.386*M238/F238,0)</f>
        <v/>
      </c>
      <c r="W238" s="19">
        <f>IFERROR(166.386*L238/F238,0)</f>
        <v/>
      </c>
    </row>
    <row r="239">
      <c r="A239" s="14" t="n">
        <v>2321</v>
      </c>
      <c r="B239" s="14" t="inlineStr">
        <is>
          <t>BLANCA TARDIA</t>
        </is>
      </c>
      <c r="C239" s="15" t="n">
        <v>909</v>
      </c>
      <c r="D239" s="14" t="inlineStr">
        <is>
          <t>LEON PINEDA,ROSARIO</t>
        </is>
      </c>
      <c r="E239" s="14" t="inlineStr">
        <is>
          <t>BARBERINA</t>
        </is>
      </c>
      <c r="F239" s="15" t="n">
        <v>350</v>
      </c>
      <c r="G239" s="16" t="n">
        <v>108.5</v>
      </c>
      <c r="H239" s="17" t="n">
        <v>0.31</v>
      </c>
      <c r="I239" s="16" t="n">
        <v>21.88</v>
      </c>
      <c r="J239" s="16" t="n">
        <v>7.51</v>
      </c>
      <c r="K239" s="16" t="n">
        <v>0</v>
      </c>
      <c r="L239" s="16" t="n">
        <v>0</v>
      </c>
      <c r="M239" s="16" t="n">
        <v>0</v>
      </c>
      <c r="N239" s="16" t="n">
        <v>79.11</v>
      </c>
      <c r="O239" s="17" t="n">
        <v>0.24809</v>
      </c>
      <c r="P239" s="18" t="n">
        <v>12</v>
      </c>
      <c r="Q239" s="18" t="n">
        <v>2</v>
      </c>
      <c r="R239" s="16" t="n">
        <v>86.83</v>
      </c>
      <c r="S239" s="14" t="inlineStr">
        <is>
          <t>BLANCA TARDIA</t>
        </is>
      </c>
      <c r="T239" s="14" t="inlineStr">
        <is>
          <t>INDUSTRIA</t>
        </is>
      </c>
      <c r="U239" s="19">
        <f>IFERROR(166.386*I239/F239,0)</f>
        <v/>
      </c>
      <c r="V239" s="19">
        <f>IFERROR(166.386*M239/F239,0)</f>
        <v/>
      </c>
      <c r="W239" s="19">
        <f>IFERROR(166.386*L239/F239,0)</f>
        <v/>
      </c>
    </row>
    <row r="240">
      <c r="A240" s="14" t="n">
        <v>2321</v>
      </c>
      <c r="B240" s="14" t="inlineStr">
        <is>
          <t>BLANCA TARDIA</t>
        </is>
      </c>
      <c r="C240" s="15" t="n">
        <v>990</v>
      </c>
      <c r="D240" s="14" t="inlineStr">
        <is>
          <t>SANCHEZ PEREZ,ANTONIO</t>
        </is>
      </c>
      <c r="E240" s="14" t="inlineStr">
        <is>
          <t>VALENCIA</t>
        </is>
      </c>
      <c r="F240" s="15" t="n">
        <v>28688</v>
      </c>
      <c r="G240" s="16" t="n">
        <v>8893.280000000001</v>
      </c>
      <c r="H240" s="17" t="n">
        <v>0.31</v>
      </c>
      <c r="I240" s="16" t="n">
        <v>2065.54</v>
      </c>
      <c r="J240" s="16" t="n">
        <v>366.87</v>
      </c>
      <c r="K240" s="16" t="n">
        <v>0</v>
      </c>
      <c r="L240" s="16" t="n">
        <v>0</v>
      </c>
      <c r="M240" s="16" t="n">
        <v>0</v>
      </c>
      <c r="N240" s="16" t="n">
        <v>6460.87</v>
      </c>
      <c r="O240" s="17" t="n">
        <v>0.24719</v>
      </c>
      <c r="P240" s="18" t="n">
        <v>12</v>
      </c>
      <c r="Q240" s="18" t="n">
        <v>2</v>
      </c>
      <c r="R240" s="16" t="n">
        <v>7091.45</v>
      </c>
      <c r="S240" s="14" t="inlineStr">
        <is>
          <t>BLANCA TARDIA</t>
        </is>
      </c>
      <c r="T240" s="14" t="inlineStr">
        <is>
          <t>INDUSTRIA</t>
        </is>
      </c>
      <c r="U240" s="19">
        <f>IFERROR(166.386*I240/F240,0)</f>
        <v/>
      </c>
      <c r="V240" s="19">
        <f>IFERROR(166.386*M240/F240,0)</f>
        <v/>
      </c>
      <c r="W240" s="19">
        <f>IFERROR(166.386*L240/F240,0)</f>
        <v/>
      </c>
    </row>
    <row r="241">
      <c r="A241" s="14" t="n">
        <v>2321</v>
      </c>
      <c r="B241" s="14" t="inlineStr">
        <is>
          <t>BLANCA TARDIA</t>
        </is>
      </c>
      <c r="C241" s="15" t="n">
        <v>1072</v>
      </c>
      <c r="D241" s="14" t="inlineStr">
        <is>
          <t>GARCIA DELGADO,JUAN MANUEL</t>
        </is>
      </c>
      <c r="E241" s="14" t="inlineStr">
        <is>
          <t>VALENCIA DELTA</t>
        </is>
      </c>
      <c r="F241" s="15" t="n">
        <v>1682</v>
      </c>
      <c r="G241" s="16" t="n">
        <v>521.42</v>
      </c>
      <c r="H241" s="17" t="n">
        <v>0.31</v>
      </c>
      <c r="I241" s="16" t="n">
        <v>121.1</v>
      </c>
      <c r="J241" s="16" t="n">
        <v>25.06</v>
      </c>
      <c r="K241" s="16" t="n">
        <v>0</v>
      </c>
      <c r="L241" s="16" t="n">
        <v>-18.67</v>
      </c>
      <c r="M241" s="16" t="n">
        <v>0</v>
      </c>
      <c r="N241" s="16" t="n">
        <v>356.59</v>
      </c>
      <c r="O241" s="17" t="n">
        <v>0.23269</v>
      </c>
      <c r="P241" s="18" t="n">
        <v>12</v>
      </c>
      <c r="Q241" s="18" t="n">
        <v>2</v>
      </c>
      <c r="R241" s="16" t="n">
        <v>391.39</v>
      </c>
      <c r="S241" s="14" t="inlineStr">
        <is>
          <t>BLANCA TARDIA</t>
        </is>
      </c>
      <c r="T241" s="14" t="inlineStr">
        <is>
          <t>INDUSTRIA</t>
        </is>
      </c>
      <c r="U241" s="19">
        <f>IFERROR(166.386*I241/F241,0)</f>
        <v/>
      </c>
      <c r="V241" s="19">
        <f>IFERROR(166.386*M241/F241,0)</f>
        <v/>
      </c>
      <c r="W241" s="19">
        <f>IFERROR(166.386*L241/F241,0)</f>
        <v/>
      </c>
    </row>
    <row r="242">
      <c r="A242" s="14" t="n">
        <v>2321</v>
      </c>
      <c r="B242" s="14" t="inlineStr">
        <is>
          <t>BLANCA TARDIA</t>
        </is>
      </c>
      <c r="C242" s="15" t="n">
        <v>1426</v>
      </c>
      <c r="D242" s="14" t="inlineStr">
        <is>
          <t>MONTERO MERAT,JUAN MANUEL</t>
        </is>
      </c>
      <c r="E242" s="14" t="inlineStr">
        <is>
          <t>VALENCIA DELTA</t>
        </is>
      </c>
      <c r="F242" s="15" t="n">
        <v>1592</v>
      </c>
      <c r="G242" s="16" t="n">
        <v>493.52</v>
      </c>
      <c r="H242" s="17" t="n">
        <v>0.31</v>
      </c>
      <c r="I242" s="16" t="n">
        <v>114.62</v>
      </c>
      <c r="J242" s="16" t="n">
        <v>10.22</v>
      </c>
      <c r="K242" s="16" t="n">
        <v>0</v>
      </c>
      <c r="L242" s="16" t="n">
        <v>-17.67</v>
      </c>
      <c r="M242" s="16" t="n">
        <v>0</v>
      </c>
      <c r="N242" s="16" t="n">
        <v>351.01</v>
      </c>
      <c r="O242" s="17" t="n">
        <v>0.242</v>
      </c>
      <c r="P242" s="18" t="n">
        <v>12</v>
      </c>
      <c r="Q242" s="18" t="n">
        <v>2</v>
      </c>
      <c r="R242" s="16" t="n">
        <v>385.27</v>
      </c>
      <c r="S242" s="14" t="inlineStr">
        <is>
          <t>BLANCA TARDIA</t>
        </is>
      </c>
      <c r="T242" s="14" t="inlineStr">
        <is>
          <t>INDUSTRIA</t>
        </is>
      </c>
      <c r="U242" s="19">
        <f>IFERROR(166.386*I242/F242,0)</f>
        <v/>
      </c>
      <c r="V242" s="19">
        <f>IFERROR(166.386*M242/F242,0)</f>
        <v/>
      </c>
      <c r="W242" s="19">
        <f>IFERROR(166.386*L242/F242,0)</f>
        <v/>
      </c>
    </row>
    <row r="243">
      <c r="A243" s="14" t="n">
        <v>2321</v>
      </c>
      <c r="B243" s="14" t="inlineStr">
        <is>
          <t>BLANCA TARDIA</t>
        </is>
      </c>
      <c r="C243" s="15" t="n">
        <v>1491</v>
      </c>
      <c r="D243" s="14" t="inlineStr">
        <is>
          <t>JIMENEZ LORENTE,SONIA</t>
        </is>
      </c>
      <c r="E243" s="14" t="inlineStr">
        <is>
          <t>VALENCIA DELTA</t>
        </is>
      </c>
      <c r="F243" s="15" t="n">
        <v>1597</v>
      </c>
      <c r="G243" s="16" t="n">
        <v>495.07</v>
      </c>
      <c r="H243" s="17" t="n">
        <v>0.31</v>
      </c>
      <c r="I243" s="16" t="n">
        <v>114.98</v>
      </c>
      <c r="J243" s="16" t="n">
        <v>10.26</v>
      </c>
      <c r="K243" s="16" t="n">
        <v>0</v>
      </c>
      <c r="L243" s="16" t="n">
        <v>-17.73</v>
      </c>
      <c r="M243" s="16" t="n">
        <v>0</v>
      </c>
      <c r="N243" s="16" t="n">
        <v>352.1</v>
      </c>
      <c r="O243" s="17" t="n">
        <v>0.24199</v>
      </c>
      <c r="P243" s="18" t="n">
        <v>12</v>
      </c>
      <c r="Q243" s="18" t="n">
        <v>2</v>
      </c>
      <c r="R243" s="16" t="n">
        <v>386.46</v>
      </c>
      <c r="S243" s="14" t="inlineStr">
        <is>
          <t>BLANCA TARDIA</t>
        </is>
      </c>
      <c r="T243" s="14" t="inlineStr">
        <is>
          <t>INDUSTRIA</t>
        </is>
      </c>
      <c r="U243" s="19">
        <f>IFERROR(166.386*I243/F243,0)</f>
        <v/>
      </c>
      <c r="V243" s="19">
        <f>IFERROR(166.386*M243/F243,0)</f>
        <v/>
      </c>
      <c r="W243" s="19">
        <f>IFERROR(166.386*L243/F243,0)</f>
        <v/>
      </c>
    </row>
    <row r="244">
      <c r="A244" s="14" t="n">
        <v>2321</v>
      </c>
      <c r="B244" s="14" t="inlineStr">
        <is>
          <t>BLANCA TARDIA</t>
        </is>
      </c>
      <c r="C244" s="15" t="n">
        <v>1561</v>
      </c>
      <c r="D244" s="14" t="inlineStr">
        <is>
          <t>SUAREZ SANCHEZ, Mª DEL PILAR</t>
        </is>
      </c>
      <c r="E244" s="14" t="inlineStr">
        <is>
          <t>VALENCIA DELTA</t>
        </is>
      </c>
      <c r="F244" s="15" t="n">
        <v>17556</v>
      </c>
      <c r="G244" s="16" t="n">
        <v>5442.36</v>
      </c>
      <c r="H244" s="17" t="n">
        <v>0.31</v>
      </c>
      <c r="I244" s="16" t="n">
        <v>0</v>
      </c>
      <c r="J244" s="16" t="n">
        <v>142.74</v>
      </c>
      <c r="K244" s="16" t="n">
        <v>0</v>
      </c>
      <c r="L244" s="16" t="n">
        <v>0</v>
      </c>
      <c r="M244" s="16" t="n">
        <v>0</v>
      </c>
      <c r="N244" s="16" t="n">
        <v>5299.62</v>
      </c>
      <c r="O244" s="17" t="n">
        <v>0.33133</v>
      </c>
      <c r="P244" s="18" t="n">
        <v>12</v>
      </c>
      <c r="Q244" s="18" t="n">
        <v>2</v>
      </c>
      <c r="R244" s="16" t="n">
        <v>5816.86</v>
      </c>
      <c r="S244" s="14" t="inlineStr">
        <is>
          <t>BLANCA TARDIA</t>
        </is>
      </c>
      <c r="T244" s="14" t="inlineStr">
        <is>
          <t>INDUSTRIA</t>
        </is>
      </c>
      <c r="U244" s="19">
        <f>IFERROR(166.386*I244/F244,0)</f>
        <v/>
      </c>
      <c r="V244" s="19">
        <f>IFERROR(166.386*M244/F244,0)</f>
        <v/>
      </c>
      <c r="W244" s="19">
        <f>IFERROR(166.386*L244/F244,0)</f>
        <v/>
      </c>
    </row>
    <row r="245">
      <c r="A245" s="14" t="n">
        <v>2321</v>
      </c>
      <c r="B245" s="14" t="inlineStr">
        <is>
          <t>BLANCA TARDIA</t>
        </is>
      </c>
      <c r="C245" s="15" t="n">
        <v>1594</v>
      </c>
      <c r="D245" s="14" t="inlineStr">
        <is>
          <t>CANO MANZANARES, ISABEL MARIA</t>
        </is>
      </c>
      <c r="E245" s="14" t="inlineStr">
        <is>
          <t>BARBERINA</t>
        </is>
      </c>
      <c r="F245" s="15" t="n">
        <v>1316</v>
      </c>
      <c r="G245" s="16" t="n">
        <v>407.96</v>
      </c>
      <c r="H245" s="17" t="n">
        <v>0.31</v>
      </c>
      <c r="I245" s="16" t="n">
        <v>82.25</v>
      </c>
      <c r="J245" s="16" t="n">
        <v>8.369999999999999</v>
      </c>
      <c r="K245" s="16" t="n">
        <v>0</v>
      </c>
      <c r="L245" s="16" t="n">
        <v>0</v>
      </c>
      <c r="M245" s="16" t="n">
        <v>0</v>
      </c>
      <c r="N245" s="16" t="n">
        <v>317.34</v>
      </c>
      <c r="O245" s="17" t="n">
        <v>0.26467</v>
      </c>
      <c r="P245" s="18" t="n">
        <v>12</v>
      </c>
      <c r="Q245" s="18" t="n">
        <v>2</v>
      </c>
      <c r="R245" s="16" t="n">
        <v>348.31</v>
      </c>
      <c r="S245" s="14" t="inlineStr">
        <is>
          <t>BLANCA TARDIA</t>
        </is>
      </c>
      <c r="T245" s="14" t="inlineStr">
        <is>
          <t>INDUSTRIA</t>
        </is>
      </c>
      <c r="U245" s="19">
        <f>IFERROR(166.386*I245/F245,0)</f>
        <v/>
      </c>
      <c r="V245" s="19">
        <f>IFERROR(166.386*M245/F245,0)</f>
        <v/>
      </c>
      <c r="W245" s="19">
        <f>IFERROR(166.386*L245/F245,0)</f>
        <v/>
      </c>
    </row>
    <row r="246">
      <c r="A246" s="14" t="n">
        <v>2321</v>
      </c>
      <c r="B246" s="14" t="inlineStr">
        <is>
          <t>BLANCA TARDIA</t>
        </is>
      </c>
      <c r="C246" s="15" t="n">
        <v>1596</v>
      </c>
      <c r="D246" s="14" t="inlineStr">
        <is>
          <t>RUEDA GARCIA, Mª MERCEDES</t>
        </is>
      </c>
      <c r="E246" s="14" t="inlineStr">
        <is>
          <t>VALENCIA DELTA</t>
        </is>
      </c>
      <c r="F246" s="15" t="n">
        <v>2182</v>
      </c>
      <c r="G246" s="16" t="n">
        <v>676.42</v>
      </c>
      <c r="H246" s="17" t="n">
        <v>0.31</v>
      </c>
      <c r="I246" s="16" t="n">
        <v>157.1</v>
      </c>
      <c r="J246" s="16" t="n">
        <v>34.36</v>
      </c>
      <c r="K246" s="16" t="n">
        <v>0</v>
      </c>
      <c r="L246" s="16" t="n">
        <v>-24.22</v>
      </c>
      <c r="M246" s="16" t="n">
        <v>0</v>
      </c>
      <c r="N246" s="16" t="n">
        <v>460.74</v>
      </c>
      <c r="O246" s="17" t="n">
        <v>0.23176</v>
      </c>
      <c r="P246" s="18" t="n">
        <v>12</v>
      </c>
      <c r="Q246" s="18" t="n">
        <v>2</v>
      </c>
      <c r="R246" s="16" t="n">
        <v>505.71</v>
      </c>
      <c r="S246" s="14" t="inlineStr">
        <is>
          <t>BLANCA TARDIA</t>
        </is>
      </c>
      <c r="T246" s="14" t="inlineStr">
        <is>
          <t>INDUSTRIA</t>
        </is>
      </c>
      <c r="U246" s="19">
        <f>IFERROR(166.386*I246/F246,0)</f>
        <v/>
      </c>
      <c r="V246" s="19">
        <f>IFERROR(166.386*M246/F246,0)</f>
        <v/>
      </c>
      <c r="W246" s="19">
        <f>IFERROR(166.386*L246/F246,0)</f>
        <v/>
      </c>
    </row>
    <row r="247">
      <c r="A247" s="14" t="n">
        <v>2321</v>
      </c>
      <c r="B247" s="14" t="inlineStr">
        <is>
          <t>BLANCA TARDIA</t>
        </is>
      </c>
      <c r="C247" s="15" t="n">
        <v>1614</v>
      </c>
      <c r="D247" s="14" t="inlineStr">
        <is>
          <t>MARIN SERRANO 2025 S.C.</t>
        </is>
      </c>
      <c r="E247" s="14" t="inlineStr">
        <is>
          <t>VALENCIA LATE</t>
        </is>
      </c>
      <c r="F247" s="15" t="n">
        <v>4098</v>
      </c>
      <c r="G247" s="16" t="n">
        <v>1270.38</v>
      </c>
      <c r="H247" s="17" t="n">
        <v>0.31</v>
      </c>
      <c r="I247" s="16" t="n">
        <v>295.06</v>
      </c>
      <c r="J247" s="16" t="n">
        <v>7.85</v>
      </c>
      <c r="K247" s="16" t="n">
        <v>0</v>
      </c>
      <c r="L247" s="16" t="n">
        <v>-45.49</v>
      </c>
      <c r="M247" s="16" t="n">
        <v>0</v>
      </c>
      <c r="N247" s="16" t="n">
        <v>921.98</v>
      </c>
      <c r="O247" s="17" t="n">
        <v>0.24694</v>
      </c>
      <c r="P247" s="18" t="n">
        <v>12</v>
      </c>
      <c r="Q247" s="18" t="n">
        <v>2</v>
      </c>
      <c r="R247" s="16" t="n">
        <v>1011.97</v>
      </c>
      <c r="S247" s="14" t="inlineStr">
        <is>
          <t>BLANCA TARDIA</t>
        </is>
      </c>
      <c r="T247" s="14" t="inlineStr">
        <is>
          <t>INDUSTRIA</t>
        </is>
      </c>
      <c r="U247" s="19">
        <f>IFERROR(166.386*I247/F247,0)</f>
        <v/>
      </c>
      <c r="V247" s="19">
        <f>IFERROR(166.386*M247/F247,0)</f>
        <v/>
      </c>
      <c r="W247" s="19">
        <f>IFERROR(166.386*L247/F247,0)</f>
        <v/>
      </c>
    </row>
    <row r="248">
      <c r="A248" s="14" t="n">
        <v>2322</v>
      </c>
      <c r="B248" s="14" t="inlineStr">
        <is>
          <t>BLANCA TEMPRANA</t>
        </is>
      </c>
      <c r="C248" s="15" t="n">
        <v>453</v>
      </c>
      <c r="D248" s="14" t="inlineStr">
        <is>
          <t>GARCIA CORDON,HILARIO</t>
        </is>
      </c>
      <c r="E248" s="14" t="inlineStr">
        <is>
          <t>SALUSTIANA</t>
        </is>
      </c>
      <c r="F248" s="15" t="n">
        <v>62880</v>
      </c>
      <c r="G248" s="16" t="n">
        <v>19492.8</v>
      </c>
      <c r="H248" s="17" t="n">
        <v>0.31</v>
      </c>
      <c r="I248" s="16" t="n">
        <v>3930</v>
      </c>
      <c r="J248" s="16" t="n">
        <v>483.5</v>
      </c>
      <c r="K248" s="16" t="n">
        <v>0</v>
      </c>
      <c r="L248" s="16" t="n">
        <v>-311.69</v>
      </c>
      <c r="M248" s="16" t="n">
        <v>0</v>
      </c>
      <c r="N248" s="16" t="n">
        <v>14767.61</v>
      </c>
      <c r="O248" s="17" t="n">
        <v>0.25778</v>
      </c>
      <c r="P248" s="18" t="n">
        <v>12</v>
      </c>
      <c r="Q248" s="18" t="n">
        <v>2</v>
      </c>
      <c r="R248" s="16" t="n">
        <v>16208.93</v>
      </c>
      <c r="S248" s="14" t="inlineStr">
        <is>
          <t>BLANCA TEMPRANA</t>
        </is>
      </c>
      <c r="T248" s="14" t="inlineStr">
        <is>
          <t>INDUSTRIA</t>
        </is>
      </c>
      <c r="U248" s="19">
        <f>IFERROR(166.386*I248/F248,0)</f>
        <v/>
      </c>
      <c r="V248" s="19">
        <f>IFERROR(166.386*M248/F248,0)</f>
        <v/>
      </c>
      <c r="W248" s="19">
        <f>IFERROR(166.386*L248/F248,0)</f>
        <v/>
      </c>
    </row>
    <row r="249">
      <c r="A249" s="14" t="n">
        <v>2322</v>
      </c>
      <c r="B249" s="14" t="inlineStr">
        <is>
          <t>BLANCA TEMPRANA</t>
        </is>
      </c>
      <c r="C249" s="15" t="n">
        <v>466</v>
      </c>
      <c r="D249" s="14" t="inlineStr">
        <is>
          <t>CRUZ RUIZ,JESUS</t>
        </is>
      </c>
      <c r="E249" s="14" t="inlineStr">
        <is>
          <t>SALUSTIANA</t>
        </is>
      </c>
      <c r="F249" s="15" t="n">
        <v>5733</v>
      </c>
      <c r="G249" s="16" t="n">
        <v>1777.23</v>
      </c>
      <c r="H249" s="17" t="n">
        <v>0.31</v>
      </c>
      <c r="I249" s="16" t="n">
        <v>206.5</v>
      </c>
      <c r="J249" s="16" t="n">
        <v>35.7</v>
      </c>
      <c r="K249" s="16" t="n">
        <v>0</v>
      </c>
      <c r="L249" s="16" t="n">
        <v>-44.93</v>
      </c>
      <c r="M249" s="16" t="n">
        <v>0</v>
      </c>
      <c r="N249" s="16" t="n">
        <v>1490.1</v>
      </c>
      <c r="O249" s="17" t="n">
        <v>0.28528</v>
      </c>
      <c r="P249" s="18" t="n">
        <v>12</v>
      </c>
      <c r="Q249" s="18" t="n">
        <v>2</v>
      </c>
      <c r="R249" s="16" t="n">
        <v>1635.53</v>
      </c>
      <c r="S249" s="14" t="inlineStr">
        <is>
          <t>BLANCA TEMPRANA</t>
        </is>
      </c>
      <c r="T249" s="14" t="inlineStr">
        <is>
          <t>INDUSTRIA</t>
        </is>
      </c>
      <c r="U249" s="19">
        <f>IFERROR(166.386*I249/F249,0)</f>
        <v/>
      </c>
      <c r="V249" s="19">
        <f>IFERROR(166.386*M249/F249,0)</f>
        <v/>
      </c>
      <c r="W249" s="19">
        <f>IFERROR(166.386*L249/F249,0)</f>
        <v/>
      </c>
    </row>
    <row r="250">
      <c r="A250" s="14" t="n">
        <v>2322</v>
      </c>
      <c r="B250" s="14" t="inlineStr">
        <is>
          <t>BLANCA TEMPRANA</t>
        </is>
      </c>
      <c r="C250" s="15" t="n">
        <v>798</v>
      </c>
      <c r="D250" s="14" t="inlineStr">
        <is>
          <t>PAREJA PAREJA,ISABEL</t>
        </is>
      </c>
      <c r="E250" s="14" t="inlineStr">
        <is>
          <t>SALUSTIANA</t>
        </is>
      </c>
      <c r="F250" s="15" t="n">
        <v>306730</v>
      </c>
      <c r="G250" s="16" t="n">
        <v>95086.3</v>
      </c>
      <c r="H250" s="17" t="n">
        <v>0.31</v>
      </c>
      <c r="I250" s="16" t="n">
        <v>19170.63</v>
      </c>
      <c r="J250" s="16" t="n">
        <v>1997.13</v>
      </c>
      <c r="K250" s="16" t="n">
        <v>0</v>
      </c>
      <c r="L250" s="16" t="n">
        <v>0</v>
      </c>
      <c r="M250" s="16" t="n">
        <v>0</v>
      </c>
      <c r="N250" s="16" t="n">
        <v>73918.53999999999</v>
      </c>
      <c r="O250" s="17" t="n">
        <v>0.26451</v>
      </c>
      <c r="P250" s="18" t="n">
        <v>12</v>
      </c>
      <c r="Q250" s="18" t="n">
        <v>2</v>
      </c>
      <c r="R250" s="16" t="n">
        <v>81132.99000000001</v>
      </c>
      <c r="S250" s="14" t="inlineStr">
        <is>
          <t>BLANCA TEMPRANA</t>
        </is>
      </c>
      <c r="T250" s="14" t="inlineStr">
        <is>
          <t>INDUSTRIA</t>
        </is>
      </c>
      <c r="U250" s="19">
        <f>IFERROR(166.386*I250/F250,0)</f>
        <v/>
      </c>
      <c r="V250" s="19">
        <f>IFERROR(166.386*M250/F250,0)</f>
        <v/>
      </c>
      <c r="W250" s="19">
        <f>IFERROR(166.386*L250/F250,0)</f>
        <v/>
      </c>
    </row>
    <row r="251">
      <c r="A251" s="14" t="n">
        <v>2322</v>
      </c>
      <c r="B251" s="14" t="inlineStr">
        <is>
          <t>BLANCA TEMPRANA</t>
        </is>
      </c>
      <c r="C251" s="15" t="n">
        <v>824</v>
      </c>
      <c r="D251" s="14" t="inlineStr">
        <is>
          <t>RINCON NIETO,JOSE</t>
        </is>
      </c>
      <c r="E251" s="14" t="inlineStr">
        <is>
          <t>SALUSTIANA</t>
        </is>
      </c>
      <c r="F251" s="15" t="n">
        <v>36136</v>
      </c>
      <c r="G251" s="16" t="n">
        <v>11202.16</v>
      </c>
      <c r="H251" s="17" t="n">
        <v>0.31</v>
      </c>
      <c r="I251" s="16" t="n">
        <v>2258.5</v>
      </c>
      <c r="J251" s="16" t="n">
        <v>400</v>
      </c>
      <c r="K251" s="16" t="n">
        <v>0</v>
      </c>
      <c r="L251" s="16" t="n">
        <v>-104.78</v>
      </c>
      <c r="M251" s="16" t="n">
        <v>0</v>
      </c>
      <c r="N251" s="16" t="n">
        <v>8438.879999999999</v>
      </c>
      <c r="O251" s="17" t="n">
        <v>0.25632</v>
      </c>
      <c r="P251" s="18" t="n">
        <v>12</v>
      </c>
      <c r="Q251" s="18" t="n">
        <v>2</v>
      </c>
      <c r="R251" s="16" t="n">
        <v>9262.51</v>
      </c>
      <c r="S251" s="14" t="inlineStr">
        <is>
          <t>BLANCA TEMPRANA</t>
        </is>
      </c>
      <c r="T251" s="14" t="inlineStr">
        <is>
          <t>INDUSTRIA</t>
        </is>
      </c>
      <c r="U251" s="19">
        <f>IFERROR(166.386*I251/F251,0)</f>
        <v/>
      </c>
      <c r="V251" s="19">
        <f>IFERROR(166.386*M251/F251,0)</f>
        <v/>
      </c>
      <c r="W251" s="19">
        <f>IFERROR(166.386*L251/F251,0)</f>
        <v/>
      </c>
    </row>
    <row r="252">
      <c r="A252" s="14" t="n">
        <v>2322</v>
      </c>
      <c r="B252" s="14" t="inlineStr">
        <is>
          <t>BLANCA TEMPRANA</t>
        </is>
      </c>
      <c r="C252" s="15" t="n">
        <v>883</v>
      </c>
      <c r="D252" s="14" t="inlineStr">
        <is>
          <t>TORO SANCHEZ,TERESA</t>
        </is>
      </c>
      <c r="E252" s="14" t="inlineStr">
        <is>
          <t>SALUSTIANA</t>
        </is>
      </c>
      <c r="F252" s="15" t="n">
        <v>8059</v>
      </c>
      <c r="G252" s="16" t="n">
        <v>2498.29</v>
      </c>
      <c r="H252" s="17" t="n">
        <v>0.31</v>
      </c>
      <c r="I252" s="16" t="n">
        <v>580.25</v>
      </c>
      <c r="J252" s="16" t="n">
        <v>59.35</v>
      </c>
      <c r="K252" s="16" t="n">
        <v>0</v>
      </c>
      <c r="L252" s="16" t="n">
        <v>-89.45</v>
      </c>
      <c r="M252" s="16" t="n">
        <v>0</v>
      </c>
      <c r="N252" s="16" t="n">
        <v>1769.24</v>
      </c>
      <c r="O252" s="17" t="n">
        <v>0.24096</v>
      </c>
      <c r="P252" s="18" t="n">
        <v>12</v>
      </c>
      <c r="Q252" s="18" t="n">
        <v>2</v>
      </c>
      <c r="R252" s="16" t="n">
        <v>1941.92</v>
      </c>
      <c r="S252" s="14" t="inlineStr">
        <is>
          <t>BLANCA TEMPRANA</t>
        </is>
      </c>
      <c r="T252" s="14" t="inlineStr">
        <is>
          <t>INDUSTRIA</t>
        </is>
      </c>
      <c r="U252" s="19">
        <f>IFERROR(166.386*I252/F252,0)</f>
        <v/>
      </c>
      <c r="V252" s="19">
        <f>IFERROR(166.386*M252/F252,0)</f>
        <v/>
      </c>
      <c r="W252" s="19">
        <f>IFERROR(166.386*L252/F252,0)</f>
        <v/>
      </c>
    </row>
    <row r="253">
      <c r="A253" s="14" t="n">
        <v>2322</v>
      </c>
      <c r="B253" s="14" t="inlineStr">
        <is>
          <t>BLANCA TEMPRANA</t>
        </is>
      </c>
      <c r="C253" s="15" t="n">
        <v>937</v>
      </c>
      <c r="D253" s="14" t="inlineStr">
        <is>
          <t>GALVEZ MACIAS,FRANCISCO</t>
        </is>
      </c>
      <c r="E253" s="14" t="inlineStr">
        <is>
          <t>SALUSTIANA</t>
        </is>
      </c>
      <c r="F253" s="15" t="n">
        <v>6979</v>
      </c>
      <c r="G253" s="16" t="n">
        <v>2163.49</v>
      </c>
      <c r="H253" s="17" t="n">
        <v>0.31</v>
      </c>
      <c r="I253" s="16" t="n">
        <v>519.16</v>
      </c>
      <c r="J253" s="16" t="n">
        <v>57.04</v>
      </c>
      <c r="K253" s="16" t="n">
        <v>0</v>
      </c>
      <c r="L253" s="16" t="n">
        <v>-77.47</v>
      </c>
      <c r="M253" s="16" t="n">
        <v>0</v>
      </c>
      <c r="N253" s="16" t="n">
        <v>1509.82</v>
      </c>
      <c r="O253" s="17" t="n">
        <v>0.23745</v>
      </c>
      <c r="P253" s="18" t="n">
        <v>12</v>
      </c>
      <c r="Q253" s="18" t="n">
        <v>2</v>
      </c>
      <c r="R253" s="16" t="n">
        <v>1657.18</v>
      </c>
      <c r="S253" s="14" t="inlineStr">
        <is>
          <t>BLANCA TEMPRANA</t>
        </is>
      </c>
      <c r="T253" s="14" t="inlineStr">
        <is>
          <t>INDUSTRIA</t>
        </is>
      </c>
      <c r="U253" s="19">
        <f>IFERROR(166.386*I253/F253,0)</f>
        <v/>
      </c>
      <c r="V253" s="19">
        <f>IFERROR(166.386*M253/F253,0)</f>
        <v/>
      </c>
      <c r="W253" s="19">
        <f>IFERROR(166.386*L253/F253,0)</f>
        <v/>
      </c>
    </row>
    <row r="254">
      <c r="A254" s="14" t="n">
        <v>2322</v>
      </c>
      <c r="B254" s="14" t="inlineStr">
        <is>
          <t>BLANCA TEMPRANA</t>
        </is>
      </c>
      <c r="C254" s="15" t="n">
        <v>963</v>
      </c>
      <c r="D254" s="14" t="inlineStr">
        <is>
          <t>GUIL RUEDA,JOSE MARIA</t>
        </is>
      </c>
      <c r="E254" s="14" t="inlineStr">
        <is>
          <t>SALUSTIANA</t>
        </is>
      </c>
      <c r="F254" s="15" t="n">
        <v>3538</v>
      </c>
      <c r="G254" s="16" t="n">
        <v>1096.78</v>
      </c>
      <c r="H254" s="17" t="n">
        <v>0.31</v>
      </c>
      <c r="I254" s="16" t="n">
        <v>0</v>
      </c>
      <c r="J254" s="16" t="n">
        <v>0</v>
      </c>
      <c r="K254" s="16" t="n">
        <v>0</v>
      </c>
      <c r="L254" s="16" t="n">
        <v>-39.27</v>
      </c>
      <c r="M254" s="16" t="n">
        <v>0</v>
      </c>
      <c r="N254" s="16" t="n">
        <v>1057.51</v>
      </c>
      <c r="O254" s="17" t="n">
        <v>0.32807</v>
      </c>
      <c r="P254" s="18" t="n">
        <v>12</v>
      </c>
      <c r="Q254" s="18" t="n">
        <v>2</v>
      </c>
      <c r="R254" s="16" t="n">
        <v>1160.72</v>
      </c>
      <c r="S254" s="14" t="inlineStr">
        <is>
          <t>BLANCA TEMPRANA</t>
        </is>
      </c>
      <c r="T254" s="14" t="inlineStr">
        <is>
          <t>INDUSTRIA</t>
        </is>
      </c>
      <c r="U254" s="19">
        <f>IFERROR(166.386*I254/F254,0)</f>
        <v/>
      </c>
      <c r="V254" s="19">
        <f>IFERROR(166.386*M254/F254,0)</f>
        <v/>
      </c>
      <c r="W254" s="19">
        <f>IFERROR(166.386*L254/F254,0)</f>
        <v/>
      </c>
    </row>
    <row r="255">
      <c r="A255" s="14" t="n">
        <v>2322</v>
      </c>
      <c r="B255" s="14" t="inlineStr">
        <is>
          <t>BLANCA TEMPRANA</t>
        </is>
      </c>
      <c r="C255" s="15" t="n">
        <v>989</v>
      </c>
      <c r="D255" s="14" t="inlineStr">
        <is>
          <t>SOSA REVUELTA,NICANOR</t>
        </is>
      </c>
      <c r="E255" s="14" t="inlineStr">
        <is>
          <t>SALUSTIANA</t>
        </is>
      </c>
      <c r="F255" s="15" t="n">
        <v>45620</v>
      </c>
      <c r="G255" s="16" t="n">
        <v>14142.2</v>
      </c>
      <c r="H255" s="17" t="n">
        <v>0.31</v>
      </c>
      <c r="I255" s="16" t="n">
        <v>2851.25</v>
      </c>
      <c r="J255" s="16" t="n">
        <v>510.9</v>
      </c>
      <c r="K255" s="16" t="n">
        <v>0</v>
      </c>
      <c r="L255" s="16" t="n">
        <v>0</v>
      </c>
      <c r="M255" s="16" t="n">
        <v>0</v>
      </c>
      <c r="N255" s="16" t="n">
        <v>10780.05</v>
      </c>
      <c r="O255" s="17" t="n">
        <v>0.25936</v>
      </c>
      <c r="P255" s="18" t="n">
        <v>12</v>
      </c>
      <c r="Q255" s="18" t="n">
        <v>2</v>
      </c>
      <c r="R255" s="16" t="n">
        <v>11832.18</v>
      </c>
      <c r="S255" s="14" t="inlineStr">
        <is>
          <t>BLANCA TEMPRANA</t>
        </is>
      </c>
      <c r="T255" s="14" t="inlineStr">
        <is>
          <t>INDUSTRIA</t>
        </is>
      </c>
      <c r="U255" s="19">
        <f>IFERROR(166.386*I255/F255,0)</f>
        <v/>
      </c>
      <c r="V255" s="19">
        <f>IFERROR(166.386*M255/F255,0)</f>
        <v/>
      </c>
      <c r="W255" s="19">
        <f>IFERROR(166.386*L255/F255,0)</f>
        <v/>
      </c>
    </row>
    <row r="256">
      <c r="A256" s="14" t="n">
        <v>2322</v>
      </c>
      <c r="B256" s="14" t="inlineStr">
        <is>
          <t>BLANCA TEMPRANA</t>
        </is>
      </c>
      <c r="C256" s="15" t="n">
        <v>994</v>
      </c>
      <c r="D256" s="14" t="inlineStr">
        <is>
          <t>MARTINEZ PASADAS,FRANCISCO JAVIER</t>
        </is>
      </c>
      <c r="E256" s="14" t="inlineStr">
        <is>
          <t>SALUSTIANA</t>
        </is>
      </c>
      <c r="F256" s="15" t="n">
        <v>10635</v>
      </c>
      <c r="G256" s="16" t="n">
        <v>3296.85</v>
      </c>
      <c r="H256" s="17" t="n">
        <v>0.31</v>
      </c>
      <c r="I256" s="16" t="n">
        <v>664.6900000000001</v>
      </c>
      <c r="J256" s="16" t="n">
        <v>102.5</v>
      </c>
      <c r="K256" s="16" t="n">
        <v>0</v>
      </c>
      <c r="L256" s="16" t="n">
        <v>-118.05</v>
      </c>
      <c r="M256" s="16" t="n">
        <v>0</v>
      </c>
      <c r="N256" s="16" t="n">
        <v>2411.61</v>
      </c>
      <c r="O256" s="17" t="n">
        <v>0.24889</v>
      </c>
      <c r="P256" s="18" t="n">
        <v>12</v>
      </c>
      <c r="Q256" s="18" t="n">
        <v>2</v>
      </c>
      <c r="R256" s="16" t="n">
        <v>2646.98</v>
      </c>
      <c r="S256" s="14" t="inlineStr">
        <is>
          <t>BLANCA TEMPRANA</t>
        </is>
      </c>
      <c r="T256" s="14" t="inlineStr">
        <is>
          <t>INDUSTRIA</t>
        </is>
      </c>
      <c r="U256" s="19">
        <f>IFERROR(166.386*I256/F256,0)</f>
        <v/>
      </c>
      <c r="V256" s="19">
        <f>IFERROR(166.386*M256/F256,0)</f>
        <v/>
      </c>
      <c r="W256" s="19">
        <f>IFERROR(166.386*L256/F256,0)</f>
        <v/>
      </c>
    </row>
    <row r="257">
      <c r="A257" s="14" t="n">
        <v>2322</v>
      </c>
      <c r="B257" s="14" t="inlineStr">
        <is>
          <t>BLANCA TEMPRANA</t>
        </is>
      </c>
      <c r="C257" s="15" t="n">
        <v>1111</v>
      </c>
      <c r="D257" s="14" t="inlineStr">
        <is>
          <t>LACAL GUIL,MERCEDES</t>
        </is>
      </c>
      <c r="E257" s="14" t="inlineStr">
        <is>
          <t>SALUSTIANA</t>
        </is>
      </c>
      <c r="F257" s="15" t="n">
        <v>20400</v>
      </c>
      <c r="G257" s="16" t="n">
        <v>6324</v>
      </c>
      <c r="H257" s="17" t="n">
        <v>0.31</v>
      </c>
      <c r="I257" s="16" t="n">
        <v>1275</v>
      </c>
      <c r="J257" s="16" t="n">
        <v>167.11</v>
      </c>
      <c r="K257" s="16" t="n">
        <v>0</v>
      </c>
      <c r="L257" s="16" t="n">
        <v>0</v>
      </c>
      <c r="M257" s="16" t="n">
        <v>0</v>
      </c>
      <c r="N257" s="16" t="n">
        <v>4881.89</v>
      </c>
      <c r="O257" s="17" t="n">
        <v>0.26266</v>
      </c>
      <c r="P257" s="18" t="n">
        <v>12</v>
      </c>
      <c r="Q257" s="18" t="n">
        <v>2</v>
      </c>
      <c r="R257" s="16" t="n">
        <v>5358.36</v>
      </c>
      <c r="S257" s="14" t="inlineStr">
        <is>
          <t>BLANCA TEMPRANA</t>
        </is>
      </c>
      <c r="T257" s="14" t="inlineStr">
        <is>
          <t>INDUSTRIA</t>
        </is>
      </c>
      <c r="U257" s="19">
        <f>IFERROR(166.386*I257/F257,0)</f>
        <v/>
      </c>
      <c r="V257" s="19">
        <f>IFERROR(166.386*M257/F257,0)</f>
        <v/>
      </c>
      <c r="W257" s="19">
        <f>IFERROR(166.386*L257/F257,0)</f>
        <v/>
      </c>
    </row>
    <row r="258">
      <c r="A258" s="14" t="n">
        <v>2322</v>
      </c>
      <c r="B258" s="14" t="inlineStr">
        <is>
          <t>BLANCA TEMPRANA</t>
        </is>
      </c>
      <c r="C258" s="15" t="n">
        <v>1124</v>
      </c>
      <c r="D258" s="14" t="inlineStr">
        <is>
          <t>VARON RUIZ,ANTONIO</t>
        </is>
      </c>
      <c r="E258" s="14" t="inlineStr">
        <is>
          <t>SALUSTIANA</t>
        </is>
      </c>
      <c r="F258" s="15" t="n">
        <v>550</v>
      </c>
      <c r="G258" s="16" t="n">
        <v>170.5</v>
      </c>
      <c r="H258" s="17" t="n">
        <v>0.31</v>
      </c>
      <c r="I258" s="16" t="n">
        <v>39.6</v>
      </c>
      <c r="J258" s="16" t="n">
        <v>3.21</v>
      </c>
      <c r="K258" s="16" t="n">
        <v>0</v>
      </c>
      <c r="L258" s="16" t="n">
        <v>-6.11</v>
      </c>
      <c r="M258" s="16" t="n">
        <v>0</v>
      </c>
      <c r="N258" s="16" t="n">
        <v>121.58</v>
      </c>
      <c r="O258" s="17" t="n">
        <v>0.24264</v>
      </c>
      <c r="P258" s="18" t="n">
        <v>12</v>
      </c>
      <c r="Q258" s="18" t="n">
        <v>2</v>
      </c>
      <c r="R258" s="16" t="n">
        <v>133.45</v>
      </c>
      <c r="S258" s="14" t="inlineStr">
        <is>
          <t>BLANCA TEMPRANA</t>
        </is>
      </c>
      <c r="T258" s="14" t="inlineStr">
        <is>
          <t>INDUSTRIA</t>
        </is>
      </c>
      <c r="U258" s="19">
        <f>IFERROR(166.386*I258/F258,0)</f>
        <v/>
      </c>
      <c r="V258" s="19">
        <f>IFERROR(166.386*M258/F258,0)</f>
        <v/>
      </c>
      <c r="W258" s="19">
        <f>IFERROR(166.386*L258/F258,0)</f>
        <v/>
      </c>
    </row>
    <row r="259">
      <c r="A259" s="14" t="n">
        <v>2322</v>
      </c>
      <c r="B259" s="14" t="inlineStr">
        <is>
          <t>BLANCA TEMPRANA</t>
        </is>
      </c>
      <c r="C259" s="15" t="n">
        <v>1126</v>
      </c>
      <c r="D259" s="14" t="inlineStr">
        <is>
          <t>PAVON CARABALLO,ANA MARIA</t>
        </is>
      </c>
      <c r="E259" s="14" t="inlineStr">
        <is>
          <t>SALUSTIANA</t>
        </is>
      </c>
      <c r="F259" s="15" t="n">
        <v>6228</v>
      </c>
      <c r="G259" s="16" t="n">
        <v>1930.68</v>
      </c>
      <c r="H259" s="17" t="n">
        <v>0.31</v>
      </c>
      <c r="I259" s="16" t="n">
        <v>448.42</v>
      </c>
      <c r="J259" s="16" t="n">
        <v>29.11</v>
      </c>
      <c r="K259" s="16" t="n">
        <v>0</v>
      </c>
      <c r="L259" s="16" t="n">
        <v>-69.13</v>
      </c>
      <c r="M259" s="16" t="n">
        <v>0</v>
      </c>
      <c r="N259" s="16" t="n">
        <v>1384.02</v>
      </c>
      <c r="O259" s="17" t="n">
        <v>0.24391</v>
      </c>
      <c r="P259" s="18" t="n">
        <v>12</v>
      </c>
      <c r="Q259" s="18" t="n">
        <v>2</v>
      </c>
      <c r="R259" s="16" t="n">
        <v>1519.1</v>
      </c>
      <c r="S259" s="14" t="inlineStr">
        <is>
          <t>BLANCA TEMPRANA</t>
        </is>
      </c>
      <c r="T259" s="14" t="inlineStr">
        <is>
          <t>INDUSTRIA</t>
        </is>
      </c>
      <c r="U259" s="19">
        <f>IFERROR(166.386*I259/F259,0)</f>
        <v/>
      </c>
      <c r="V259" s="19">
        <f>IFERROR(166.386*M259/F259,0)</f>
        <v/>
      </c>
      <c r="W259" s="19">
        <f>IFERROR(166.386*L259/F259,0)</f>
        <v/>
      </c>
    </row>
    <row r="260">
      <c r="A260" s="14" t="n">
        <v>2322</v>
      </c>
      <c r="B260" s="14" t="inlineStr">
        <is>
          <t>BLANCA TEMPRANA</t>
        </is>
      </c>
      <c r="C260" s="15" t="n">
        <v>1128</v>
      </c>
      <c r="D260" s="14" t="inlineStr">
        <is>
          <t>CARRILLO PEÑALVER,JOSE</t>
        </is>
      </c>
      <c r="E260" s="14" t="inlineStr">
        <is>
          <t>SALUSTIANA</t>
        </is>
      </c>
      <c r="F260" s="15" t="n">
        <v>22447</v>
      </c>
      <c r="G260" s="16" t="n">
        <v>6958.57</v>
      </c>
      <c r="H260" s="17" t="n">
        <v>0.31</v>
      </c>
      <c r="I260" s="16" t="n">
        <v>0</v>
      </c>
      <c r="J260" s="16" t="n">
        <v>395.96</v>
      </c>
      <c r="K260" s="16" t="n">
        <v>0</v>
      </c>
      <c r="L260" s="16" t="n">
        <v>-50.99</v>
      </c>
      <c r="M260" s="16" t="n">
        <v>0</v>
      </c>
      <c r="N260" s="16" t="n">
        <v>6511.62</v>
      </c>
      <c r="O260" s="17" t="n">
        <v>0.3184</v>
      </c>
      <c r="P260" s="18" t="n">
        <v>12</v>
      </c>
      <c r="Q260" s="18" t="n">
        <v>2</v>
      </c>
      <c r="R260" s="16" t="n">
        <v>7147.15</v>
      </c>
      <c r="S260" s="14" t="inlineStr">
        <is>
          <t>BLANCA TEMPRANA</t>
        </is>
      </c>
      <c r="T260" s="14" t="inlineStr">
        <is>
          <t>INDUSTRIA</t>
        </is>
      </c>
      <c r="U260" s="19">
        <f>IFERROR(166.386*I260/F260,0)</f>
        <v/>
      </c>
      <c r="V260" s="19">
        <f>IFERROR(166.386*M260/F260,0)</f>
        <v/>
      </c>
      <c r="W260" s="19">
        <f>IFERROR(166.386*L260/F260,0)</f>
        <v/>
      </c>
    </row>
    <row r="261">
      <c r="A261" s="14" t="n">
        <v>2322</v>
      </c>
      <c r="B261" s="14" t="inlineStr">
        <is>
          <t>BLANCA TEMPRANA</t>
        </is>
      </c>
      <c r="C261" s="15" t="n">
        <v>1133</v>
      </c>
      <c r="D261" s="14" t="inlineStr">
        <is>
          <t>MAYFE S.C.</t>
        </is>
      </c>
      <c r="E261" s="14" t="inlineStr">
        <is>
          <t>SALUSTIANA</t>
        </is>
      </c>
      <c r="F261" s="15" t="n">
        <v>41172</v>
      </c>
      <c r="G261" s="16" t="n">
        <v>12763.32</v>
      </c>
      <c r="H261" s="17" t="n">
        <v>0.31</v>
      </c>
      <c r="I261" s="16" t="n">
        <v>2573.25</v>
      </c>
      <c r="J261" s="16" t="n">
        <v>391.15</v>
      </c>
      <c r="K261" s="16" t="n">
        <v>0</v>
      </c>
      <c r="L261" s="16" t="n">
        <v>0</v>
      </c>
      <c r="M261" s="16" t="n">
        <v>0</v>
      </c>
      <c r="N261" s="16" t="n">
        <v>9798.92</v>
      </c>
      <c r="O261" s="17" t="n">
        <v>0.26123</v>
      </c>
      <c r="P261" s="18" t="n">
        <v>12</v>
      </c>
      <c r="Q261" s="18" t="n">
        <v>2</v>
      </c>
      <c r="R261" s="16" t="n">
        <v>10755.29</v>
      </c>
      <c r="S261" s="14" t="inlineStr">
        <is>
          <t>BLANCA TEMPRANA</t>
        </is>
      </c>
      <c r="T261" s="14" t="inlineStr">
        <is>
          <t>INDUSTRIA</t>
        </is>
      </c>
      <c r="U261" s="19">
        <f>IFERROR(166.386*I261/F261,0)</f>
        <v/>
      </c>
      <c r="V261" s="19">
        <f>IFERROR(166.386*M261/F261,0)</f>
        <v/>
      </c>
      <c r="W261" s="19">
        <f>IFERROR(166.386*L261/F261,0)</f>
        <v/>
      </c>
    </row>
    <row r="262">
      <c r="A262" s="14" t="n">
        <v>2322</v>
      </c>
      <c r="B262" s="14" t="inlineStr">
        <is>
          <t>BLANCA TEMPRANA</t>
        </is>
      </c>
      <c r="C262" s="15" t="n">
        <v>1178</v>
      </c>
      <c r="D262" s="14" t="inlineStr">
        <is>
          <t>CALZADO GARCIA,FRANCISCO JAVIER</t>
        </is>
      </c>
      <c r="E262" s="14" t="inlineStr">
        <is>
          <t>SALUSTIANA</t>
        </is>
      </c>
      <c r="F262" s="15" t="n">
        <v>1667</v>
      </c>
      <c r="G262" s="16" t="n">
        <v>516.77</v>
      </c>
      <c r="H262" s="17" t="n">
        <v>0.31</v>
      </c>
      <c r="I262" s="16" t="n">
        <v>120.02</v>
      </c>
      <c r="J262" s="16" t="n">
        <v>20.53</v>
      </c>
      <c r="K262" s="16" t="n">
        <v>0</v>
      </c>
      <c r="L262" s="16" t="n">
        <v>-18.5</v>
      </c>
      <c r="M262" s="16" t="n">
        <v>0</v>
      </c>
      <c r="N262" s="16" t="n">
        <v>357.72</v>
      </c>
      <c r="O262" s="17" t="n">
        <v>0.23553</v>
      </c>
      <c r="P262" s="18" t="n">
        <v>12</v>
      </c>
      <c r="Q262" s="18" t="n">
        <v>2</v>
      </c>
      <c r="R262" s="16" t="n">
        <v>392.63</v>
      </c>
      <c r="S262" s="14" t="inlineStr">
        <is>
          <t>BLANCA TEMPRANA</t>
        </is>
      </c>
      <c r="T262" s="14" t="inlineStr">
        <is>
          <t>INDUSTRIA</t>
        </is>
      </c>
      <c r="U262" s="19">
        <f>IFERROR(166.386*I262/F262,0)</f>
        <v/>
      </c>
      <c r="V262" s="19">
        <f>IFERROR(166.386*M262/F262,0)</f>
        <v/>
      </c>
      <c r="W262" s="19">
        <f>IFERROR(166.386*L262/F262,0)</f>
        <v/>
      </c>
    </row>
    <row r="263">
      <c r="A263" s="14" t="n">
        <v>2322</v>
      </c>
      <c r="B263" s="14" t="inlineStr">
        <is>
          <t>BLANCA TEMPRANA</t>
        </is>
      </c>
      <c r="C263" s="15" t="n">
        <v>1202</v>
      </c>
      <c r="D263" s="14" t="inlineStr">
        <is>
          <t>FUENTES HINOJOSA,MANUEL</t>
        </is>
      </c>
      <c r="E263" s="14" t="inlineStr">
        <is>
          <t>SALUSTIANA</t>
        </is>
      </c>
      <c r="F263" s="15" t="n">
        <v>171</v>
      </c>
      <c r="G263" s="16" t="n">
        <v>53.01</v>
      </c>
      <c r="H263" s="17" t="n">
        <v>0.31</v>
      </c>
      <c r="I263" s="16" t="n">
        <v>12.31</v>
      </c>
      <c r="J263" s="16" t="n">
        <v>2.54</v>
      </c>
      <c r="K263" s="16" t="n">
        <v>0</v>
      </c>
      <c r="L263" s="16" t="n">
        <v>-1.9</v>
      </c>
      <c r="M263" s="16" t="n">
        <v>0</v>
      </c>
      <c r="N263" s="16" t="n">
        <v>36.26</v>
      </c>
      <c r="O263" s="17" t="n">
        <v>0.23275</v>
      </c>
      <c r="P263" s="18" t="n">
        <v>12</v>
      </c>
      <c r="Q263" s="18" t="n">
        <v>2</v>
      </c>
      <c r="R263" s="16" t="n">
        <v>39.8</v>
      </c>
      <c r="S263" s="14" t="inlineStr">
        <is>
          <t>BLANCA TEMPRANA</t>
        </is>
      </c>
      <c r="T263" s="14" t="inlineStr">
        <is>
          <t>INDUSTRIA</t>
        </is>
      </c>
      <c r="U263" s="19">
        <f>IFERROR(166.386*I263/F263,0)</f>
        <v/>
      </c>
      <c r="V263" s="19">
        <f>IFERROR(166.386*M263/F263,0)</f>
        <v/>
      </c>
      <c r="W263" s="19">
        <f>IFERROR(166.386*L263/F263,0)</f>
        <v/>
      </c>
    </row>
    <row r="264">
      <c r="A264" s="14" t="n">
        <v>2322</v>
      </c>
      <c r="B264" s="14" t="inlineStr">
        <is>
          <t>BLANCA TEMPRANA</t>
        </is>
      </c>
      <c r="C264" s="15" t="n">
        <v>1219</v>
      </c>
      <c r="D264" s="14" t="inlineStr">
        <is>
          <t>LORA BUIZA,GREGORIO</t>
        </is>
      </c>
      <c r="E264" s="14" t="inlineStr">
        <is>
          <t>SALUSTIANA</t>
        </is>
      </c>
      <c r="F264" s="15" t="n">
        <v>3593</v>
      </c>
      <c r="G264" s="16" t="n">
        <v>1113.83</v>
      </c>
      <c r="H264" s="17" t="n">
        <v>0.31</v>
      </c>
      <c r="I264" s="16" t="n">
        <v>258.69</v>
      </c>
      <c r="J264" s="16" t="n">
        <v>26.98</v>
      </c>
      <c r="K264" s="16" t="n">
        <v>0</v>
      </c>
      <c r="L264" s="16" t="n">
        <v>-39.88</v>
      </c>
      <c r="M264" s="16" t="n">
        <v>0</v>
      </c>
      <c r="N264" s="16" t="n">
        <v>788.28</v>
      </c>
      <c r="O264" s="17" t="n">
        <v>0.24081</v>
      </c>
      <c r="P264" s="18" t="n">
        <v>12</v>
      </c>
      <c r="Q264" s="18" t="n">
        <v>2</v>
      </c>
      <c r="R264" s="16" t="n">
        <v>865.22</v>
      </c>
      <c r="S264" s="14" t="inlineStr">
        <is>
          <t>BLANCA TEMPRANA</t>
        </is>
      </c>
      <c r="T264" s="14" t="inlineStr">
        <is>
          <t>INDUSTRIA</t>
        </is>
      </c>
      <c r="U264" s="19">
        <f>IFERROR(166.386*I264/F264,0)</f>
        <v/>
      </c>
      <c r="V264" s="19">
        <f>IFERROR(166.386*M264/F264,0)</f>
        <v/>
      </c>
      <c r="W264" s="19">
        <f>IFERROR(166.386*L264/F264,0)</f>
        <v/>
      </c>
    </row>
    <row r="265">
      <c r="A265" s="14" t="n">
        <v>2322</v>
      </c>
      <c r="B265" s="14" t="inlineStr">
        <is>
          <t>BLANCA TEMPRANA</t>
        </is>
      </c>
      <c r="C265" s="15" t="n">
        <v>1251</v>
      </c>
      <c r="D265" s="14" t="inlineStr">
        <is>
          <t>DURAN ALMENARA,ANGELES</t>
        </is>
      </c>
      <c r="E265" s="14" t="inlineStr">
        <is>
          <t>SALUSTIANA</t>
        </is>
      </c>
      <c r="F265" s="15" t="n">
        <v>469</v>
      </c>
      <c r="G265" s="16" t="n">
        <v>145.39</v>
      </c>
      <c r="H265" s="17" t="n">
        <v>0.31</v>
      </c>
      <c r="I265" s="16" t="n">
        <v>33.77</v>
      </c>
      <c r="J265" s="16" t="n">
        <v>2.14</v>
      </c>
      <c r="K265" s="16" t="n">
        <v>0</v>
      </c>
      <c r="L265" s="16" t="n">
        <v>-5.21</v>
      </c>
      <c r="M265" s="16" t="n">
        <v>0</v>
      </c>
      <c r="N265" s="16" t="n">
        <v>104.27</v>
      </c>
      <c r="O265" s="17" t="n">
        <v>0.24403</v>
      </c>
      <c r="P265" s="18" t="n">
        <v>12</v>
      </c>
      <c r="Q265" s="18" t="n">
        <v>2</v>
      </c>
      <c r="R265" s="16" t="n">
        <v>114.45</v>
      </c>
      <c r="S265" s="14" t="inlineStr">
        <is>
          <t>BLANCA TEMPRANA</t>
        </is>
      </c>
      <c r="T265" s="14" t="inlineStr">
        <is>
          <t>INDUSTRIA</t>
        </is>
      </c>
      <c r="U265" s="19">
        <f>IFERROR(166.386*I265/F265,0)</f>
        <v/>
      </c>
      <c r="V265" s="19">
        <f>IFERROR(166.386*M265/F265,0)</f>
        <v/>
      </c>
      <c r="W265" s="19">
        <f>IFERROR(166.386*L265/F265,0)</f>
        <v/>
      </c>
    </row>
    <row r="266">
      <c r="A266" s="14" t="n">
        <v>2322</v>
      </c>
      <c r="B266" s="14" t="inlineStr">
        <is>
          <t>BLANCA TEMPRANA</t>
        </is>
      </c>
      <c r="C266" s="15" t="n">
        <v>1272</v>
      </c>
      <c r="D266" s="14" t="inlineStr">
        <is>
          <t>HERMANOS GONZALEZ ROLDAN,S.C.</t>
        </is>
      </c>
      <c r="E266" s="14" t="inlineStr">
        <is>
          <t>SALUSTIANA</t>
        </is>
      </c>
      <c r="F266" s="15" t="n">
        <v>4287</v>
      </c>
      <c r="G266" s="16" t="n">
        <v>1328.97</v>
      </c>
      <c r="H266" s="17" t="n">
        <v>0.31</v>
      </c>
      <c r="I266" s="16" t="n">
        <v>299</v>
      </c>
      <c r="J266" s="16" t="n">
        <v>78.79000000000001</v>
      </c>
      <c r="K266" s="16" t="n">
        <v>0</v>
      </c>
      <c r="L266" s="16" t="n">
        <v>-47.59</v>
      </c>
      <c r="M266" s="16" t="n">
        <v>0</v>
      </c>
      <c r="N266" s="16" t="n">
        <v>903.59</v>
      </c>
      <c r="O266" s="17" t="n">
        <v>0.23135</v>
      </c>
      <c r="P266" s="18" t="n">
        <v>12</v>
      </c>
      <c r="Q266" s="18" t="n">
        <v>2</v>
      </c>
      <c r="R266" s="16" t="n">
        <v>991.78</v>
      </c>
      <c r="S266" s="14" t="inlineStr">
        <is>
          <t>BLANCA TEMPRANA</t>
        </is>
      </c>
      <c r="T266" s="14" t="inlineStr">
        <is>
          <t>INDUSTRIA</t>
        </is>
      </c>
      <c r="U266" s="19">
        <f>IFERROR(166.386*I266/F266,0)</f>
        <v/>
      </c>
      <c r="V266" s="19">
        <f>IFERROR(166.386*M266/F266,0)</f>
        <v/>
      </c>
      <c r="W266" s="19">
        <f>IFERROR(166.386*L266/F266,0)</f>
        <v/>
      </c>
    </row>
    <row r="267">
      <c r="A267" s="14" t="n">
        <v>2322</v>
      </c>
      <c r="B267" s="14" t="inlineStr">
        <is>
          <t>BLANCA TEMPRANA</t>
        </is>
      </c>
      <c r="C267" s="15" t="n">
        <v>1280</v>
      </c>
      <c r="D267" s="14" t="inlineStr">
        <is>
          <t>BERNABE GOMEZ,MANUEL</t>
        </is>
      </c>
      <c r="E267" s="14" t="inlineStr">
        <is>
          <t>SALUSTIANA</t>
        </is>
      </c>
      <c r="F267" s="15" t="n">
        <v>33455</v>
      </c>
      <c r="G267" s="16" t="n">
        <v>10371.05</v>
      </c>
      <c r="H267" s="17" t="n">
        <v>0.31</v>
      </c>
      <c r="I267" s="16" t="n">
        <v>2090.94</v>
      </c>
      <c r="J267" s="16" t="n">
        <v>337.35</v>
      </c>
      <c r="K267" s="16" t="n">
        <v>0</v>
      </c>
      <c r="L267" s="16" t="n">
        <v>0</v>
      </c>
      <c r="M267" s="16" t="n">
        <v>0</v>
      </c>
      <c r="N267" s="16" t="n">
        <v>7942.76</v>
      </c>
      <c r="O267" s="17" t="n">
        <v>0.26059</v>
      </c>
      <c r="P267" s="18" t="n">
        <v>12</v>
      </c>
      <c r="Q267" s="18" t="n">
        <v>2</v>
      </c>
      <c r="R267" s="16" t="n">
        <v>8717.969999999999</v>
      </c>
      <c r="S267" s="14" t="inlineStr">
        <is>
          <t>BLANCA TEMPRANA</t>
        </is>
      </c>
      <c r="T267" s="14" t="inlineStr">
        <is>
          <t>INDUSTRIA</t>
        </is>
      </c>
      <c r="U267" s="19">
        <f>IFERROR(166.386*I267/F267,0)</f>
        <v/>
      </c>
      <c r="V267" s="19">
        <f>IFERROR(166.386*M267/F267,0)</f>
        <v/>
      </c>
      <c r="W267" s="19">
        <f>IFERROR(166.386*L267/F267,0)</f>
        <v/>
      </c>
    </row>
    <row r="268">
      <c r="A268" s="14" t="n">
        <v>2322</v>
      </c>
      <c r="B268" s="14" t="inlineStr">
        <is>
          <t>BLANCA TEMPRANA</t>
        </is>
      </c>
      <c r="C268" s="15" t="n">
        <v>1283</v>
      </c>
      <c r="D268" s="14" t="inlineStr">
        <is>
          <t>MOLINA HIDALGO,ISABEL</t>
        </is>
      </c>
      <c r="E268" s="14" t="inlineStr">
        <is>
          <t>SALUSTIANA</t>
        </is>
      </c>
      <c r="F268" s="15" t="n">
        <v>1757</v>
      </c>
      <c r="G268" s="16" t="n">
        <v>544.67</v>
      </c>
      <c r="H268" s="17" t="n">
        <v>0.31</v>
      </c>
      <c r="I268" s="16" t="n">
        <v>126.5</v>
      </c>
      <c r="J268" s="16" t="n">
        <v>20.05</v>
      </c>
      <c r="K268" s="16" t="n">
        <v>0</v>
      </c>
      <c r="L268" s="16" t="n">
        <v>-19.5</v>
      </c>
      <c r="M268" s="16" t="n">
        <v>0</v>
      </c>
      <c r="N268" s="16" t="n">
        <v>378.62</v>
      </c>
      <c r="O268" s="17" t="n">
        <v>0.23652</v>
      </c>
      <c r="P268" s="18" t="n">
        <v>12</v>
      </c>
      <c r="Q268" s="18" t="n">
        <v>2</v>
      </c>
      <c r="R268" s="16" t="n">
        <v>415.57</v>
      </c>
      <c r="S268" s="14" t="inlineStr">
        <is>
          <t>BLANCA TEMPRANA</t>
        </is>
      </c>
      <c r="T268" s="14" t="inlineStr">
        <is>
          <t>INDUSTRIA</t>
        </is>
      </c>
      <c r="U268" s="19">
        <f>IFERROR(166.386*I268/F268,0)</f>
        <v/>
      </c>
      <c r="V268" s="19">
        <f>IFERROR(166.386*M268/F268,0)</f>
        <v/>
      </c>
      <c r="W268" s="19">
        <f>IFERROR(166.386*L268/F268,0)</f>
        <v/>
      </c>
    </row>
    <row r="269">
      <c r="A269" s="14" t="n">
        <v>2322</v>
      </c>
      <c r="B269" s="14" t="inlineStr">
        <is>
          <t>BLANCA TEMPRANA</t>
        </is>
      </c>
      <c r="C269" s="15" t="n">
        <v>1313</v>
      </c>
      <c r="D269" s="14" t="inlineStr">
        <is>
          <t>EXPLOT. AGRIC. ARJONA Y CRESPO,S.C.</t>
        </is>
      </c>
      <c r="E269" s="14" t="inlineStr">
        <is>
          <t>SALUSTIANA</t>
        </is>
      </c>
      <c r="F269" s="15" t="n">
        <v>112708</v>
      </c>
      <c r="G269" s="16" t="n">
        <v>34939.48</v>
      </c>
      <c r="H269" s="17" t="n">
        <v>0.31</v>
      </c>
      <c r="I269" s="16" t="n">
        <v>7044.25</v>
      </c>
      <c r="J269" s="16" t="n">
        <v>712.63</v>
      </c>
      <c r="K269" s="16" t="n">
        <v>0</v>
      </c>
      <c r="L269" s="16" t="n">
        <v>0</v>
      </c>
      <c r="M269" s="16" t="n">
        <v>0</v>
      </c>
      <c r="N269" s="16" t="n">
        <v>27182.6</v>
      </c>
      <c r="O269" s="17" t="n">
        <v>0.26472</v>
      </c>
      <c r="P269" s="18" t="n">
        <v>12</v>
      </c>
      <c r="Q269" s="18" t="n">
        <v>2</v>
      </c>
      <c r="R269" s="16" t="n">
        <v>29835.62</v>
      </c>
      <c r="S269" s="14" t="inlineStr">
        <is>
          <t>BLANCA TEMPRANA</t>
        </is>
      </c>
      <c r="T269" s="14" t="inlineStr">
        <is>
          <t>INDUSTRIA</t>
        </is>
      </c>
      <c r="U269" s="19">
        <f>IFERROR(166.386*I269/F269,0)</f>
        <v/>
      </c>
      <c r="V269" s="19">
        <f>IFERROR(166.386*M269/F269,0)</f>
        <v/>
      </c>
      <c r="W269" s="19">
        <f>IFERROR(166.386*L269/F269,0)</f>
        <v/>
      </c>
    </row>
    <row r="270">
      <c r="A270" s="14" t="n">
        <v>2322</v>
      </c>
      <c r="B270" s="14" t="inlineStr">
        <is>
          <t>BLANCA TEMPRANA</t>
        </is>
      </c>
      <c r="C270" s="15" t="n">
        <v>1350</v>
      </c>
      <c r="D270" s="14" t="inlineStr">
        <is>
          <t>FAMILIA GONZALEZ LACAL S.C.</t>
        </is>
      </c>
      <c r="E270" s="14" t="inlineStr">
        <is>
          <t>SALUSTIANA</t>
        </is>
      </c>
      <c r="F270" s="15" t="n">
        <v>76292</v>
      </c>
      <c r="G270" s="16" t="n">
        <v>23650.52</v>
      </c>
      <c r="H270" s="17" t="n">
        <v>0.31</v>
      </c>
      <c r="I270" s="16" t="n">
        <v>4768.25</v>
      </c>
      <c r="J270" s="16" t="n">
        <v>1065.53</v>
      </c>
      <c r="K270" s="16" t="n">
        <v>0</v>
      </c>
      <c r="L270" s="16" t="n">
        <v>-277.19</v>
      </c>
      <c r="M270" s="16" t="n">
        <v>0</v>
      </c>
      <c r="N270" s="16" t="n">
        <v>17539.55</v>
      </c>
      <c r="O270" s="17" t="n">
        <v>0.25234</v>
      </c>
      <c r="P270" s="18" t="n">
        <v>12</v>
      </c>
      <c r="Q270" s="18" t="n">
        <v>2</v>
      </c>
      <c r="R270" s="16" t="n">
        <v>19251.41</v>
      </c>
      <c r="S270" s="14" t="inlineStr">
        <is>
          <t>BLANCA TEMPRANA</t>
        </is>
      </c>
      <c r="T270" s="14" t="inlineStr">
        <is>
          <t>INDUSTRIA</t>
        </is>
      </c>
      <c r="U270" s="19">
        <f>IFERROR(166.386*I270/F270,0)</f>
        <v/>
      </c>
      <c r="V270" s="19">
        <f>IFERROR(166.386*M270/F270,0)</f>
        <v/>
      </c>
      <c r="W270" s="19">
        <f>IFERROR(166.386*L270/F270,0)</f>
        <v/>
      </c>
    </row>
    <row r="271">
      <c r="A271" s="14" t="n">
        <v>2322</v>
      </c>
      <c r="B271" s="14" t="inlineStr">
        <is>
          <t>BLANCA TEMPRANA</t>
        </is>
      </c>
      <c r="C271" s="15" t="n">
        <v>1354</v>
      </c>
      <c r="D271" s="14" t="inlineStr">
        <is>
          <t>MARTIN PORTALES,ALFREDO</t>
        </is>
      </c>
      <c r="E271" s="14" t="inlineStr">
        <is>
          <t>SALUSTIANA</t>
        </is>
      </c>
      <c r="F271" s="15" t="n">
        <v>4977</v>
      </c>
      <c r="G271" s="16" t="n">
        <v>1542.87</v>
      </c>
      <c r="H271" s="17" t="n">
        <v>0.31</v>
      </c>
      <c r="I271" s="16" t="n">
        <v>358.34</v>
      </c>
      <c r="J271" s="16" t="n">
        <v>33.24</v>
      </c>
      <c r="K271" s="16" t="n">
        <v>0</v>
      </c>
      <c r="L271" s="16" t="n">
        <v>-55.24</v>
      </c>
      <c r="M271" s="16" t="n">
        <v>0</v>
      </c>
      <c r="N271" s="16" t="n">
        <v>1096.05</v>
      </c>
      <c r="O271" s="17" t="n">
        <v>0.24172</v>
      </c>
      <c r="P271" s="18" t="n">
        <v>12</v>
      </c>
      <c r="Q271" s="18" t="n">
        <v>2</v>
      </c>
      <c r="R271" s="16" t="n">
        <v>1203.02</v>
      </c>
      <c r="S271" s="14" t="inlineStr">
        <is>
          <t>BLANCA TEMPRANA</t>
        </is>
      </c>
      <c r="T271" s="14" t="inlineStr">
        <is>
          <t>INDUSTRIA</t>
        </is>
      </c>
      <c r="U271" s="19">
        <f>IFERROR(166.386*I271/F271,0)</f>
        <v/>
      </c>
      <c r="V271" s="19">
        <f>IFERROR(166.386*M271/F271,0)</f>
        <v/>
      </c>
      <c r="W271" s="19">
        <f>IFERROR(166.386*L271/F271,0)</f>
        <v/>
      </c>
    </row>
    <row r="272">
      <c r="A272" s="14" t="n">
        <v>2322</v>
      </c>
      <c r="B272" s="14" t="inlineStr">
        <is>
          <t>BLANCA TEMPRANA</t>
        </is>
      </c>
      <c r="C272" s="15" t="n">
        <v>1355</v>
      </c>
      <c r="D272" s="14" t="inlineStr">
        <is>
          <t>CANO MANZANARES,JUAN ANTONIO</t>
        </is>
      </c>
      <c r="E272" s="14" t="inlineStr">
        <is>
          <t>SALUSTIANA</t>
        </is>
      </c>
      <c r="F272" s="15" t="n">
        <v>3218</v>
      </c>
      <c r="G272" s="16" t="n">
        <v>997.58</v>
      </c>
      <c r="H272" s="17" t="n">
        <v>0.31</v>
      </c>
      <c r="I272" s="16" t="n">
        <v>231.7</v>
      </c>
      <c r="J272" s="16" t="n">
        <v>12.65</v>
      </c>
      <c r="K272" s="16" t="n">
        <v>0</v>
      </c>
      <c r="L272" s="16" t="n">
        <v>-5.23</v>
      </c>
      <c r="M272" s="16" t="n">
        <v>0</v>
      </c>
      <c r="N272" s="16" t="n">
        <v>748</v>
      </c>
      <c r="O272" s="17" t="n">
        <v>0.25513</v>
      </c>
      <c r="P272" s="18" t="n">
        <v>12</v>
      </c>
      <c r="Q272" s="18" t="n">
        <v>2</v>
      </c>
      <c r="R272" s="16" t="n">
        <v>821</v>
      </c>
      <c r="S272" s="14" t="inlineStr">
        <is>
          <t>BLANCA TEMPRANA</t>
        </is>
      </c>
      <c r="T272" s="14" t="inlineStr">
        <is>
          <t>INDUSTRIA</t>
        </is>
      </c>
      <c r="U272" s="19">
        <f>IFERROR(166.386*I272/F272,0)</f>
        <v/>
      </c>
      <c r="V272" s="19">
        <f>IFERROR(166.386*M272/F272,0)</f>
        <v/>
      </c>
      <c r="W272" s="19">
        <f>IFERROR(166.386*L272/F272,0)</f>
        <v/>
      </c>
    </row>
    <row r="273">
      <c r="A273" s="14" t="n">
        <v>2322</v>
      </c>
      <c r="B273" s="14" t="inlineStr">
        <is>
          <t>BLANCA TEMPRANA</t>
        </is>
      </c>
      <c r="C273" s="15" t="n">
        <v>1374</v>
      </c>
      <c r="D273" s="14" t="inlineStr">
        <is>
          <t>MORENO SANCHEZ,JOSE ANTONIO</t>
        </is>
      </c>
      <c r="E273" s="14" t="inlineStr">
        <is>
          <t>SALUSTIANA</t>
        </is>
      </c>
      <c r="F273" s="15" t="n">
        <v>11785</v>
      </c>
      <c r="G273" s="16" t="n">
        <v>3653.35</v>
      </c>
      <c r="H273" s="17" t="n">
        <v>0.31</v>
      </c>
      <c r="I273" s="16" t="n">
        <v>732.6</v>
      </c>
      <c r="J273" s="16" t="n">
        <v>65.16</v>
      </c>
      <c r="K273" s="16" t="n">
        <v>0</v>
      </c>
      <c r="L273" s="16" t="n">
        <v>-122.82</v>
      </c>
      <c r="M273" s="16" t="n">
        <v>0</v>
      </c>
      <c r="N273" s="16" t="n">
        <v>2732.77</v>
      </c>
      <c r="O273" s="17" t="n">
        <v>0.25452</v>
      </c>
      <c r="P273" s="18" t="n">
        <v>12</v>
      </c>
      <c r="Q273" s="18" t="n">
        <v>2</v>
      </c>
      <c r="R273" s="16" t="n">
        <v>2999.49</v>
      </c>
      <c r="S273" s="14" t="inlineStr">
        <is>
          <t>BLANCA TEMPRANA</t>
        </is>
      </c>
      <c r="T273" s="14" t="inlineStr">
        <is>
          <t>INDUSTRIA</t>
        </is>
      </c>
      <c r="U273" s="19">
        <f>IFERROR(166.386*I273/F273,0)</f>
        <v/>
      </c>
      <c r="V273" s="19">
        <f>IFERROR(166.386*M273/F273,0)</f>
        <v/>
      </c>
      <c r="W273" s="19">
        <f>IFERROR(166.386*L273/F273,0)</f>
        <v/>
      </c>
    </row>
    <row r="274">
      <c r="A274" s="14" t="n">
        <v>2322</v>
      </c>
      <c r="B274" s="14" t="inlineStr">
        <is>
          <t>BLANCA TEMPRANA</t>
        </is>
      </c>
      <c r="C274" s="15" t="n">
        <v>1411</v>
      </c>
      <c r="D274" s="14" t="inlineStr">
        <is>
          <t>HERMANOS PEÑA GRIÑAN S.C.</t>
        </is>
      </c>
      <c r="E274" s="14" t="inlineStr">
        <is>
          <t>SALUSTIANA</t>
        </is>
      </c>
      <c r="F274" s="15" t="n">
        <v>19695</v>
      </c>
      <c r="G274" s="16" t="n">
        <v>6105.45</v>
      </c>
      <c r="H274" s="17" t="n">
        <v>0.31</v>
      </c>
      <c r="I274" s="16" t="n">
        <v>1300.8</v>
      </c>
      <c r="J274" s="16" t="n">
        <v>163.5</v>
      </c>
      <c r="K274" s="16" t="n">
        <v>0</v>
      </c>
      <c r="L274" s="16" t="n">
        <v>-218.61</v>
      </c>
      <c r="M274" s="16" t="n">
        <v>0</v>
      </c>
      <c r="N274" s="16" t="n">
        <v>4422.54</v>
      </c>
      <c r="O274" s="17" t="n">
        <v>0.24647</v>
      </c>
      <c r="P274" s="18" t="n">
        <v>12</v>
      </c>
      <c r="Q274" s="18" t="n">
        <v>2</v>
      </c>
      <c r="R274" s="16" t="n">
        <v>4854.18</v>
      </c>
      <c r="S274" s="14" t="inlineStr">
        <is>
          <t>BLANCA TEMPRANA</t>
        </is>
      </c>
      <c r="T274" s="14" t="inlineStr">
        <is>
          <t>INDUSTRIA</t>
        </is>
      </c>
      <c r="U274" s="19">
        <f>IFERROR(166.386*I274/F274,0)</f>
        <v/>
      </c>
      <c r="V274" s="19">
        <f>IFERROR(166.386*M274/F274,0)</f>
        <v/>
      </c>
      <c r="W274" s="19">
        <f>IFERROR(166.386*L274/F274,0)</f>
        <v/>
      </c>
    </row>
    <row r="275">
      <c r="A275" s="14" t="n">
        <v>2322</v>
      </c>
      <c r="B275" s="14" t="inlineStr">
        <is>
          <t>BLANCA TEMPRANA</t>
        </is>
      </c>
      <c r="C275" s="15" t="n">
        <v>1443</v>
      </c>
      <c r="D275" s="14" t="inlineStr">
        <is>
          <t>TOMENO SUAREZ,ALBERTO</t>
        </is>
      </c>
      <c r="E275" s="14" t="inlineStr">
        <is>
          <t>SALUSTIANA</t>
        </is>
      </c>
      <c r="F275" s="15" t="n">
        <v>342</v>
      </c>
      <c r="G275" s="16" t="n">
        <v>106.02</v>
      </c>
      <c r="H275" s="17" t="n">
        <v>0.31</v>
      </c>
      <c r="I275" s="16" t="n">
        <v>0</v>
      </c>
      <c r="J275" s="16" t="n">
        <v>2.11</v>
      </c>
      <c r="K275" s="16" t="n">
        <v>0</v>
      </c>
      <c r="L275" s="16" t="n">
        <v>-3.8</v>
      </c>
      <c r="M275" s="16" t="n">
        <v>0</v>
      </c>
      <c r="N275" s="16" t="n">
        <v>100.11</v>
      </c>
      <c r="O275" s="17" t="n">
        <v>0.32129</v>
      </c>
      <c r="P275" s="18" t="n">
        <v>12</v>
      </c>
      <c r="Q275" s="18" t="n">
        <v>2</v>
      </c>
      <c r="R275" s="16" t="n">
        <v>109.88</v>
      </c>
      <c r="S275" s="14" t="inlineStr">
        <is>
          <t>BLANCA TEMPRANA</t>
        </is>
      </c>
      <c r="T275" s="14" t="inlineStr">
        <is>
          <t>INDUSTRIA</t>
        </is>
      </c>
      <c r="U275" s="19">
        <f>IFERROR(166.386*I275/F275,0)</f>
        <v/>
      </c>
      <c r="V275" s="19">
        <f>IFERROR(166.386*M275/F275,0)</f>
        <v/>
      </c>
      <c r="W275" s="19">
        <f>IFERROR(166.386*L275/F275,0)</f>
        <v/>
      </c>
    </row>
    <row r="276">
      <c r="A276" s="14" t="n">
        <v>2322</v>
      </c>
      <c r="B276" s="14" t="inlineStr">
        <is>
          <t>BLANCA TEMPRANA</t>
        </is>
      </c>
      <c r="C276" s="15" t="n">
        <v>1445</v>
      </c>
      <c r="D276" s="14" t="inlineStr">
        <is>
          <t>REAL GARCIA,MIGUEL</t>
        </is>
      </c>
      <c r="E276" s="14" t="inlineStr">
        <is>
          <t>SALUSTIANA</t>
        </is>
      </c>
      <c r="F276" s="15" t="n">
        <v>109060</v>
      </c>
      <c r="G276" s="16" t="n">
        <v>33808.6</v>
      </c>
      <c r="H276" s="17" t="n">
        <v>0.31</v>
      </c>
      <c r="I276" s="16" t="n">
        <v>6816.25</v>
      </c>
      <c r="J276" s="16" t="n">
        <v>1006.85</v>
      </c>
      <c r="K276" s="16" t="n">
        <v>0</v>
      </c>
      <c r="L276" s="16" t="n">
        <v>0</v>
      </c>
      <c r="M276" s="16" t="n">
        <v>0</v>
      </c>
      <c r="N276" s="16" t="n">
        <v>25985.5</v>
      </c>
      <c r="O276" s="17" t="n">
        <v>0.26152</v>
      </c>
      <c r="P276" s="18" t="n">
        <v>12</v>
      </c>
      <c r="Q276" s="18" t="n">
        <v>2</v>
      </c>
      <c r="R276" s="16" t="n">
        <v>28521.68</v>
      </c>
      <c r="S276" s="14" t="inlineStr">
        <is>
          <t>BLANCA TEMPRANA</t>
        </is>
      </c>
      <c r="T276" s="14" t="inlineStr">
        <is>
          <t>INDUSTRIA</t>
        </is>
      </c>
      <c r="U276" s="19">
        <f>IFERROR(166.386*I276/F276,0)</f>
        <v/>
      </c>
      <c r="V276" s="19">
        <f>IFERROR(166.386*M276/F276,0)</f>
        <v/>
      </c>
      <c r="W276" s="19">
        <f>IFERROR(166.386*L276/F276,0)</f>
        <v/>
      </c>
    </row>
    <row r="277">
      <c r="A277" s="14" t="n">
        <v>2322</v>
      </c>
      <c r="B277" s="14" t="inlineStr">
        <is>
          <t>BLANCA TEMPRANA</t>
        </is>
      </c>
      <c r="C277" s="15" t="n">
        <v>1459</v>
      </c>
      <c r="D277" s="14" t="inlineStr">
        <is>
          <t>VARELA MUÑOZ,JUAN</t>
        </is>
      </c>
      <c r="E277" s="14" t="inlineStr">
        <is>
          <t>SALUSTIANA</t>
        </is>
      </c>
      <c r="F277" s="15" t="n">
        <v>21055</v>
      </c>
      <c r="G277" s="16" t="n">
        <v>6527.05</v>
      </c>
      <c r="H277" s="17" t="n">
        <v>0.31</v>
      </c>
      <c r="I277" s="16" t="n">
        <v>1315.94</v>
      </c>
      <c r="J277" s="16" t="n">
        <v>177.45</v>
      </c>
      <c r="K277" s="16" t="n">
        <v>0</v>
      </c>
      <c r="L277" s="16" t="n">
        <v>0</v>
      </c>
      <c r="M277" s="16" t="n">
        <v>0</v>
      </c>
      <c r="N277" s="16" t="n">
        <v>5033.66</v>
      </c>
      <c r="O277" s="17" t="n">
        <v>0.26241</v>
      </c>
      <c r="P277" s="18" t="n">
        <v>12</v>
      </c>
      <c r="Q277" s="18" t="n">
        <v>2</v>
      </c>
      <c r="R277" s="16" t="n">
        <v>5524.95</v>
      </c>
      <c r="S277" s="14" t="inlineStr">
        <is>
          <t>BLANCA TEMPRANA</t>
        </is>
      </c>
      <c r="T277" s="14" t="inlineStr">
        <is>
          <t>INDUSTRIA</t>
        </is>
      </c>
      <c r="U277" s="19">
        <f>IFERROR(166.386*I277/F277,0)</f>
        <v/>
      </c>
      <c r="V277" s="19">
        <f>IFERROR(166.386*M277/F277,0)</f>
        <v/>
      </c>
      <c r="W277" s="19">
        <f>IFERROR(166.386*L277/F277,0)</f>
        <v/>
      </c>
    </row>
    <row r="278">
      <c r="A278" s="14" t="n">
        <v>2322</v>
      </c>
      <c r="B278" s="14" t="inlineStr">
        <is>
          <t>BLANCA TEMPRANA</t>
        </is>
      </c>
      <c r="C278" s="15" t="n">
        <v>1462</v>
      </c>
      <c r="D278" s="14" t="inlineStr">
        <is>
          <t>GARCIA TORO,RAFAEL</t>
        </is>
      </c>
      <c r="E278" s="14" t="inlineStr">
        <is>
          <t>SALUSTIANA</t>
        </is>
      </c>
      <c r="F278" s="15" t="n">
        <v>26120</v>
      </c>
      <c r="G278" s="16" t="n">
        <v>8097.2</v>
      </c>
      <c r="H278" s="17" t="n">
        <v>0.31</v>
      </c>
      <c r="I278" s="16" t="n">
        <v>1632.5</v>
      </c>
      <c r="J278" s="16" t="n">
        <v>285.48</v>
      </c>
      <c r="K278" s="16" t="n">
        <v>0</v>
      </c>
      <c r="L278" s="16" t="n">
        <v>0</v>
      </c>
      <c r="M278" s="16" t="n">
        <v>0</v>
      </c>
      <c r="N278" s="16" t="n">
        <v>6179.22</v>
      </c>
      <c r="O278" s="17" t="n">
        <v>0.25966</v>
      </c>
      <c r="P278" s="18" t="n">
        <v>12</v>
      </c>
      <c r="Q278" s="18" t="n">
        <v>2</v>
      </c>
      <c r="R278" s="16" t="n">
        <v>6782.31</v>
      </c>
      <c r="S278" s="14" t="inlineStr">
        <is>
          <t>BLANCA TEMPRANA</t>
        </is>
      </c>
      <c r="T278" s="14" t="inlineStr">
        <is>
          <t>INDUSTRIA</t>
        </is>
      </c>
      <c r="U278" s="19">
        <f>IFERROR(166.386*I278/F278,0)</f>
        <v/>
      </c>
      <c r="V278" s="19">
        <f>IFERROR(166.386*M278/F278,0)</f>
        <v/>
      </c>
      <c r="W278" s="19">
        <f>IFERROR(166.386*L278/F278,0)</f>
        <v/>
      </c>
    </row>
    <row r="279">
      <c r="A279" s="14" t="n">
        <v>2322</v>
      </c>
      <c r="B279" s="14" t="inlineStr">
        <is>
          <t>BLANCA TEMPRANA</t>
        </is>
      </c>
      <c r="C279" s="15" t="n">
        <v>1467</v>
      </c>
      <c r="D279" s="14" t="inlineStr">
        <is>
          <t>VARELA MUÑOZ,ANGELES</t>
        </is>
      </c>
      <c r="E279" s="14" t="inlineStr">
        <is>
          <t>SALUSTIANA</t>
        </is>
      </c>
      <c r="F279" s="15" t="n">
        <v>16085</v>
      </c>
      <c r="G279" s="16" t="n">
        <v>4986.35</v>
      </c>
      <c r="H279" s="17" t="n">
        <v>0.31</v>
      </c>
      <c r="I279" s="16" t="n">
        <v>1005.31</v>
      </c>
      <c r="J279" s="16" t="n">
        <v>171.6</v>
      </c>
      <c r="K279" s="16" t="n">
        <v>0</v>
      </c>
      <c r="L279" s="16" t="n">
        <v>-178.54</v>
      </c>
      <c r="M279" s="16" t="n">
        <v>0</v>
      </c>
      <c r="N279" s="16" t="n">
        <v>3630.9</v>
      </c>
      <c r="O279" s="17" t="n">
        <v>0.24776</v>
      </c>
      <c r="P279" s="18" t="n">
        <v>12</v>
      </c>
      <c r="Q279" s="18" t="n">
        <v>2</v>
      </c>
      <c r="R279" s="16" t="n">
        <v>3985.28</v>
      </c>
      <c r="S279" s="14" t="inlineStr">
        <is>
          <t>BLANCA TEMPRANA</t>
        </is>
      </c>
      <c r="T279" s="14" t="inlineStr">
        <is>
          <t>INDUSTRIA</t>
        </is>
      </c>
      <c r="U279" s="19">
        <f>IFERROR(166.386*I279/F279,0)</f>
        <v/>
      </c>
      <c r="V279" s="19">
        <f>IFERROR(166.386*M279/F279,0)</f>
        <v/>
      </c>
      <c r="W279" s="19">
        <f>IFERROR(166.386*L279/F279,0)</f>
        <v/>
      </c>
    </row>
    <row r="280">
      <c r="A280" s="14" t="n">
        <v>2322</v>
      </c>
      <c r="B280" s="14" t="inlineStr">
        <is>
          <t>BLANCA TEMPRANA</t>
        </is>
      </c>
      <c r="C280" s="15" t="n">
        <v>1470</v>
      </c>
      <c r="D280" s="14" t="inlineStr">
        <is>
          <t>NIETO RAMIREZ,CARLOS EDUARDO</t>
        </is>
      </c>
      <c r="E280" s="14" t="inlineStr">
        <is>
          <t>SALUSTIANA</t>
        </is>
      </c>
      <c r="F280" s="15" t="n">
        <v>10980</v>
      </c>
      <c r="G280" s="16" t="n">
        <v>3403.8</v>
      </c>
      <c r="H280" s="17" t="n">
        <v>0.31</v>
      </c>
      <c r="I280" s="16" t="n">
        <v>686.25</v>
      </c>
      <c r="J280" s="16" t="n">
        <v>81.34999999999999</v>
      </c>
      <c r="K280" s="16" t="n">
        <v>0</v>
      </c>
      <c r="L280" s="16" t="n">
        <v>-121.88</v>
      </c>
      <c r="M280" s="16" t="n">
        <v>0</v>
      </c>
      <c r="N280" s="16" t="n">
        <v>2514.32</v>
      </c>
      <c r="O280" s="17" t="n">
        <v>0.23339</v>
      </c>
      <c r="P280" s="18" t="n">
        <v>4</v>
      </c>
      <c r="Q280" s="18" t="n">
        <v>2</v>
      </c>
      <c r="R280" s="16" t="n">
        <v>2562.59</v>
      </c>
      <c r="S280" s="14" t="inlineStr">
        <is>
          <t>BLANCA TEMPRANA</t>
        </is>
      </c>
      <c r="T280" s="14" t="inlineStr">
        <is>
          <t>INDUSTRIA</t>
        </is>
      </c>
      <c r="U280" s="19">
        <f>IFERROR(166.386*I280/F280,0)</f>
        <v/>
      </c>
      <c r="V280" s="19">
        <f>IFERROR(166.386*M280/F280,0)</f>
        <v/>
      </c>
      <c r="W280" s="19">
        <f>IFERROR(166.386*L280/F280,0)</f>
        <v/>
      </c>
    </row>
    <row r="281">
      <c r="A281" s="14" t="n">
        <v>2322</v>
      </c>
      <c r="B281" s="14" t="inlineStr">
        <is>
          <t>BLANCA TEMPRANA</t>
        </is>
      </c>
      <c r="C281" s="15" t="n">
        <v>1471</v>
      </c>
      <c r="D281" s="14" t="inlineStr">
        <is>
          <t>GUIL GARCIA,MIGUEL ANGEL</t>
        </is>
      </c>
      <c r="E281" s="14" t="inlineStr">
        <is>
          <t>SALUSTIANA</t>
        </is>
      </c>
      <c r="F281" s="15" t="n">
        <v>14221</v>
      </c>
      <c r="G281" s="16" t="n">
        <v>4408.51</v>
      </c>
      <c r="H281" s="17" t="n">
        <v>0.31</v>
      </c>
      <c r="I281" s="16" t="n">
        <v>0</v>
      </c>
      <c r="J281" s="16" t="n">
        <v>70.88</v>
      </c>
      <c r="K281" s="16" t="n">
        <v>0</v>
      </c>
      <c r="L281" s="16" t="n">
        <v>-107.07</v>
      </c>
      <c r="M281" s="16" t="n">
        <v>0</v>
      </c>
      <c r="N281" s="16" t="n">
        <v>4230.56</v>
      </c>
      <c r="O281" s="17" t="n">
        <v>0.32652</v>
      </c>
      <c r="P281" s="18" t="n">
        <v>12</v>
      </c>
      <c r="Q281" s="18" t="n">
        <v>2</v>
      </c>
      <c r="R281" s="16" t="n">
        <v>4643.46</v>
      </c>
      <c r="S281" s="14" t="inlineStr">
        <is>
          <t>BLANCA TEMPRANA</t>
        </is>
      </c>
      <c r="T281" s="14" t="inlineStr">
        <is>
          <t>INDUSTRIA</t>
        </is>
      </c>
      <c r="U281" s="19">
        <f>IFERROR(166.386*I281/F281,0)</f>
        <v/>
      </c>
      <c r="V281" s="19">
        <f>IFERROR(166.386*M281/F281,0)</f>
        <v/>
      </c>
      <c r="W281" s="19">
        <f>IFERROR(166.386*L281/F281,0)</f>
        <v/>
      </c>
    </row>
    <row r="282">
      <c r="A282" s="14" t="n">
        <v>2322</v>
      </c>
      <c r="B282" s="14" t="inlineStr">
        <is>
          <t>BLANCA TEMPRANA</t>
        </is>
      </c>
      <c r="C282" s="15" t="n">
        <v>1485</v>
      </c>
      <c r="D282" s="14" t="inlineStr">
        <is>
          <t>HNOS. CRESPO RUIZ S.C.</t>
        </is>
      </c>
      <c r="E282" s="14" t="inlineStr">
        <is>
          <t>SALUSTIANA</t>
        </is>
      </c>
      <c r="F282" s="15" t="n">
        <v>1475</v>
      </c>
      <c r="G282" s="16" t="n">
        <v>457.25</v>
      </c>
      <c r="H282" s="17" t="n">
        <v>0.31</v>
      </c>
      <c r="I282" s="16" t="n">
        <v>106.2</v>
      </c>
      <c r="J282" s="16" t="n">
        <v>6.41</v>
      </c>
      <c r="K282" s="16" t="n">
        <v>0</v>
      </c>
      <c r="L282" s="16" t="n">
        <v>-16.37</v>
      </c>
      <c r="M282" s="16" t="n">
        <v>0</v>
      </c>
      <c r="N282" s="16" t="n">
        <v>328.27</v>
      </c>
      <c r="O282" s="17" t="n">
        <v>0.24428</v>
      </c>
      <c r="P282" s="18" t="n">
        <v>12</v>
      </c>
      <c r="Q282" s="18" t="n">
        <v>2</v>
      </c>
      <c r="R282" s="16" t="n">
        <v>360.31</v>
      </c>
      <c r="S282" s="14" t="inlineStr">
        <is>
          <t>BLANCA TEMPRANA</t>
        </is>
      </c>
      <c r="T282" s="14" t="inlineStr">
        <is>
          <t>INDUSTRIA</t>
        </is>
      </c>
      <c r="U282" s="19">
        <f>IFERROR(166.386*I282/F282,0)</f>
        <v/>
      </c>
      <c r="V282" s="19">
        <f>IFERROR(166.386*M282/F282,0)</f>
        <v/>
      </c>
      <c r="W282" s="19">
        <f>IFERROR(166.386*L282/F282,0)</f>
        <v/>
      </c>
    </row>
    <row r="283">
      <c r="A283" s="14" t="n">
        <v>2322</v>
      </c>
      <c r="B283" s="14" t="inlineStr">
        <is>
          <t>BLANCA TEMPRANA</t>
        </is>
      </c>
      <c r="C283" s="15" t="n">
        <v>1487</v>
      </c>
      <c r="D283" s="14" t="inlineStr">
        <is>
          <t>BENITO ARIZA, MATIAS</t>
        </is>
      </c>
      <c r="E283" s="14" t="inlineStr">
        <is>
          <t>SALUSTIANA</t>
        </is>
      </c>
      <c r="F283" s="15" t="n">
        <v>5121</v>
      </c>
      <c r="G283" s="16" t="n">
        <v>1587.51</v>
      </c>
      <c r="H283" s="17" t="n">
        <v>0.31</v>
      </c>
      <c r="I283" s="16" t="n">
        <v>239.47</v>
      </c>
      <c r="J283" s="16" t="n">
        <v>38.5</v>
      </c>
      <c r="K283" s="16" t="n">
        <v>0</v>
      </c>
      <c r="L283" s="16" t="n">
        <v>-36.92</v>
      </c>
      <c r="M283" s="16" t="n">
        <v>0</v>
      </c>
      <c r="N283" s="16" t="n">
        <v>1272.62</v>
      </c>
      <c r="O283" s="17" t="n">
        <v>0.27277</v>
      </c>
      <c r="P283" s="18" t="n">
        <v>12</v>
      </c>
      <c r="Q283" s="18" t="n">
        <v>2</v>
      </c>
      <c r="R283" s="16" t="n">
        <v>1396.83</v>
      </c>
      <c r="S283" s="14" t="inlineStr">
        <is>
          <t>BLANCA TEMPRANA</t>
        </is>
      </c>
      <c r="T283" s="14" t="inlineStr">
        <is>
          <t>INDUSTRIA</t>
        </is>
      </c>
      <c r="U283" s="19">
        <f>IFERROR(166.386*I283/F283,0)</f>
        <v/>
      </c>
      <c r="V283" s="19">
        <f>IFERROR(166.386*M283/F283,0)</f>
        <v/>
      </c>
      <c r="W283" s="19">
        <f>IFERROR(166.386*L283/F283,0)</f>
        <v/>
      </c>
    </row>
    <row r="284">
      <c r="A284" s="14" t="n">
        <v>2322</v>
      </c>
      <c r="B284" s="14" t="inlineStr">
        <is>
          <t>BLANCA TEMPRANA</t>
        </is>
      </c>
      <c r="C284" s="15" t="n">
        <v>1512</v>
      </c>
      <c r="D284" s="14" t="inlineStr">
        <is>
          <t>HERNANDEZ MOLINA,ANTONIO</t>
        </is>
      </c>
      <c r="E284" s="14" t="inlineStr">
        <is>
          <t>SALUSTIANA</t>
        </is>
      </c>
      <c r="F284" s="15" t="n">
        <v>3376</v>
      </c>
      <c r="G284" s="16" t="n">
        <v>1046.56</v>
      </c>
      <c r="H284" s="17" t="n">
        <v>0.31</v>
      </c>
      <c r="I284" s="16" t="n">
        <v>243.07</v>
      </c>
      <c r="J284" s="16" t="n">
        <v>23.35</v>
      </c>
      <c r="K284" s="16" t="n">
        <v>0</v>
      </c>
      <c r="L284" s="16" t="n">
        <v>-37.47</v>
      </c>
      <c r="M284" s="16" t="n">
        <v>0</v>
      </c>
      <c r="N284" s="16" t="n">
        <v>742.67</v>
      </c>
      <c r="O284" s="17" t="n">
        <v>0.24145</v>
      </c>
      <c r="P284" s="18" t="n">
        <v>12</v>
      </c>
      <c r="Q284" s="18" t="n">
        <v>2</v>
      </c>
      <c r="R284" s="16" t="n">
        <v>815.15</v>
      </c>
      <c r="S284" s="14" t="inlineStr">
        <is>
          <t>BLANCA TEMPRANA</t>
        </is>
      </c>
      <c r="T284" s="14" t="inlineStr">
        <is>
          <t>INDUSTRIA</t>
        </is>
      </c>
      <c r="U284" s="19">
        <f>IFERROR(166.386*I284/F284,0)</f>
        <v/>
      </c>
      <c r="V284" s="19">
        <f>IFERROR(166.386*M284/F284,0)</f>
        <v/>
      </c>
      <c r="W284" s="19">
        <f>IFERROR(166.386*L284/F284,0)</f>
        <v/>
      </c>
    </row>
    <row r="285">
      <c r="A285" s="14" t="n">
        <v>2322</v>
      </c>
      <c r="B285" s="14" t="inlineStr">
        <is>
          <t>BLANCA TEMPRANA</t>
        </is>
      </c>
      <c r="C285" s="15" t="n">
        <v>1514</v>
      </c>
      <c r="D285" s="14" t="inlineStr">
        <is>
          <t>PRIETO ROMERO, JAVIER</t>
        </is>
      </c>
      <c r="E285" s="14" t="inlineStr">
        <is>
          <t>SALUSTIANA</t>
        </is>
      </c>
      <c r="F285" s="15" t="n">
        <v>5056</v>
      </c>
      <c r="G285" s="16" t="n">
        <v>1567.36</v>
      </c>
      <c r="H285" s="17" t="n">
        <v>0.31</v>
      </c>
      <c r="I285" s="16" t="n">
        <v>316</v>
      </c>
      <c r="J285" s="16" t="n">
        <v>111.9</v>
      </c>
      <c r="K285" s="16" t="n">
        <v>0</v>
      </c>
      <c r="L285" s="16" t="n">
        <v>-56.12</v>
      </c>
      <c r="M285" s="16" t="n">
        <v>0</v>
      </c>
      <c r="N285" s="16" t="n">
        <v>1083.34</v>
      </c>
      <c r="O285" s="17" t="n">
        <v>0.23518</v>
      </c>
      <c r="P285" s="18" t="n">
        <v>12</v>
      </c>
      <c r="Q285" s="18" t="n">
        <v>2</v>
      </c>
      <c r="R285" s="16" t="n">
        <v>1189.07</v>
      </c>
      <c r="S285" s="14" t="inlineStr">
        <is>
          <t>BLANCA TEMPRANA</t>
        </is>
      </c>
      <c r="T285" s="14" t="inlineStr">
        <is>
          <t>INDUSTRIA</t>
        </is>
      </c>
      <c r="U285" s="19">
        <f>IFERROR(166.386*I285/F285,0)</f>
        <v/>
      </c>
      <c r="V285" s="19">
        <f>IFERROR(166.386*M285/F285,0)</f>
        <v/>
      </c>
      <c r="W285" s="19">
        <f>IFERROR(166.386*L285/F285,0)</f>
        <v/>
      </c>
    </row>
    <row r="286">
      <c r="A286" s="14" t="n">
        <v>2322</v>
      </c>
      <c r="B286" s="14" t="inlineStr">
        <is>
          <t>BLANCA TEMPRANA</t>
        </is>
      </c>
      <c r="C286" s="15" t="n">
        <v>1523</v>
      </c>
      <c r="D286" s="14" t="inlineStr">
        <is>
          <t>RODRIGUEZ MEJÍAS, JOSE ANTONIO</t>
        </is>
      </c>
      <c r="E286" s="14" t="inlineStr">
        <is>
          <t>SALUSTIANA</t>
        </is>
      </c>
      <c r="F286" s="15" t="n">
        <v>2479</v>
      </c>
      <c r="G286" s="16" t="n">
        <v>768.49</v>
      </c>
      <c r="H286" s="17" t="n">
        <v>0.31</v>
      </c>
      <c r="I286" s="16" t="n">
        <v>180.5</v>
      </c>
      <c r="J286" s="16" t="n">
        <v>18.01</v>
      </c>
      <c r="K286" s="16" t="n">
        <v>0</v>
      </c>
      <c r="L286" s="16" t="n">
        <v>-11.11</v>
      </c>
      <c r="M286" s="16" t="n">
        <v>0</v>
      </c>
      <c r="N286" s="16" t="n">
        <v>558.87</v>
      </c>
      <c r="O286" s="17" t="n">
        <v>0.24745</v>
      </c>
      <c r="P286" s="18" t="n">
        <v>12</v>
      </c>
      <c r="Q286" s="18" t="n">
        <v>2</v>
      </c>
      <c r="R286" s="16" t="n">
        <v>613.42</v>
      </c>
      <c r="S286" s="14" t="inlineStr">
        <is>
          <t>BLANCA TEMPRANA</t>
        </is>
      </c>
      <c r="T286" s="14" t="inlineStr">
        <is>
          <t>INDUSTRIA</t>
        </is>
      </c>
      <c r="U286" s="19">
        <f>IFERROR(166.386*I286/F286,0)</f>
        <v/>
      </c>
      <c r="V286" s="19">
        <f>IFERROR(166.386*M286/F286,0)</f>
        <v/>
      </c>
      <c r="W286" s="19">
        <f>IFERROR(166.386*L286/F286,0)</f>
        <v/>
      </c>
    </row>
    <row r="287">
      <c r="A287" s="14" t="n">
        <v>2322</v>
      </c>
      <c r="B287" s="14" t="inlineStr">
        <is>
          <t>BLANCA TEMPRANA</t>
        </is>
      </c>
      <c r="C287" s="15" t="n">
        <v>1542</v>
      </c>
      <c r="D287" s="14" t="inlineStr">
        <is>
          <t>BENITO MELENCHON, MARIA ISABEL</t>
        </is>
      </c>
      <c r="E287" s="14" t="inlineStr">
        <is>
          <t>SALUSTIANA</t>
        </is>
      </c>
      <c r="F287" s="15" t="n">
        <v>3960</v>
      </c>
      <c r="G287" s="16" t="n">
        <v>1227.6</v>
      </c>
      <c r="H287" s="17" t="n">
        <v>0.31</v>
      </c>
      <c r="I287" s="16" t="n">
        <v>247.5</v>
      </c>
      <c r="J287" s="16" t="n">
        <v>530.4</v>
      </c>
      <c r="K287" s="16" t="n">
        <v>0</v>
      </c>
      <c r="L287" s="16" t="n">
        <v>0</v>
      </c>
      <c r="M287" s="16" t="n">
        <v>0</v>
      </c>
      <c r="N287" s="16" t="n">
        <v>449.7</v>
      </c>
      <c r="O287" s="17" t="n">
        <v>0.12464</v>
      </c>
      <c r="P287" s="18" t="n">
        <v>12</v>
      </c>
      <c r="Q287" s="18" t="n">
        <v>2</v>
      </c>
      <c r="R287" s="16" t="n">
        <v>493.59</v>
      </c>
      <c r="S287" s="14" t="inlineStr">
        <is>
          <t>BLANCA TEMPRANA</t>
        </is>
      </c>
      <c r="T287" s="14" t="inlineStr">
        <is>
          <t>INDUSTRIA</t>
        </is>
      </c>
      <c r="U287" s="19">
        <f>IFERROR(166.386*I287/F287,0)</f>
        <v/>
      </c>
      <c r="V287" s="19">
        <f>IFERROR(166.386*M287/F287,0)</f>
        <v/>
      </c>
      <c r="W287" s="19">
        <f>IFERROR(166.386*L287/F287,0)</f>
        <v/>
      </c>
    </row>
    <row r="288">
      <c r="A288" s="14" t="n">
        <v>2322</v>
      </c>
      <c r="B288" s="14" t="inlineStr">
        <is>
          <t>BLANCA TEMPRANA</t>
        </is>
      </c>
      <c r="C288" s="15" t="n">
        <v>1544</v>
      </c>
      <c r="D288" s="14" t="inlineStr">
        <is>
          <t>HARO ORDOÑO, ALVARO</t>
        </is>
      </c>
      <c r="E288" s="14" t="inlineStr">
        <is>
          <t>SALUSTIANA</t>
        </is>
      </c>
      <c r="F288" s="15" t="n">
        <v>9140</v>
      </c>
      <c r="G288" s="16" t="n">
        <v>2833.4</v>
      </c>
      <c r="H288" s="17" t="n">
        <v>0.31</v>
      </c>
      <c r="I288" s="16" t="n">
        <v>0</v>
      </c>
      <c r="J288" s="16" t="n">
        <v>51.42</v>
      </c>
      <c r="K288" s="16" t="n">
        <v>0</v>
      </c>
      <c r="L288" s="16" t="n">
        <v>-48.17</v>
      </c>
      <c r="M288" s="16" t="n">
        <v>0</v>
      </c>
      <c r="N288" s="16" t="n">
        <v>2733.81</v>
      </c>
      <c r="O288" s="17" t="n">
        <v>0.3283</v>
      </c>
      <c r="P288" s="18" t="n">
        <v>12</v>
      </c>
      <c r="Q288" s="18" t="n">
        <v>2</v>
      </c>
      <c r="R288" s="16" t="n">
        <v>3000.63</v>
      </c>
      <c r="S288" s="14" t="inlineStr">
        <is>
          <t>BLANCA TEMPRANA</t>
        </is>
      </c>
      <c r="T288" s="14" t="inlineStr">
        <is>
          <t>INDUSTRIA</t>
        </is>
      </c>
      <c r="U288" s="19">
        <f>IFERROR(166.386*I288/F288,0)</f>
        <v/>
      </c>
      <c r="V288" s="19">
        <f>IFERROR(166.386*M288/F288,0)</f>
        <v/>
      </c>
      <c r="W288" s="19">
        <f>IFERROR(166.386*L288/F288,0)</f>
        <v/>
      </c>
    </row>
    <row r="289">
      <c r="A289" s="14" t="n">
        <v>2322</v>
      </c>
      <c r="B289" s="14" t="inlineStr">
        <is>
          <t>BLANCA TEMPRANA</t>
        </is>
      </c>
      <c r="C289" s="15" t="n">
        <v>1546</v>
      </c>
      <c r="D289" s="14" t="inlineStr">
        <is>
          <t>GARCIA PELEGRIN, MANUEL</t>
        </is>
      </c>
      <c r="E289" s="14" t="inlineStr">
        <is>
          <t>SALUSTIANA</t>
        </is>
      </c>
      <c r="F289" s="15" t="n">
        <v>25860</v>
      </c>
      <c r="G289" s="16" t="n">
        <v>8016.6</v>
      </c>
      <c r="H289" s="17" t="n">
        <v>0.31</v>
      </c>
      <c r="I289" s="16" t="n">
        <v>1861.92</v>
      </c>
      <c r="J289" s="16" t="n">
        <v>185.5</v>
      </c>
      <c r="K289" s="16" t="n">
        <v>0</v>
      </c>
      <c r="L289" s="16" t="n">
        <v>0</v>
      </c>
      <c r="M289" s="16" t="n">
        <v>0</v>
      </c>
      <c r="N289" s="16" t="n">
        <v>5969.18</v>
      </c>
      <c r="O289" s="17" t="n">
        <v>0.25336</v>
      </c>
      <c r="P289" s="18" t="n">
        <v>12</v>
      </c>
      <c r="Q289" s="18" t="n">
        <v>2</v>
      </c>
      <c r="R289" s="16" t="n">
        <v>6551.77</v>
      </c>
      <c r="S289" s="14" t="inlineStr">
        <is>
          <t>BLANCA TEMPRANA</t>
        </is>
      </c>
      <c r="T289" s="14" t="inlineStr">
        <is>
          <t>INDUSTRIA</t>
        </is>
      </c>
      <c r="U289" s="19">
        <f>IFERROR(166.386*I289/F289,0)</f>
        <v/>
      </c>
      <c r="V289" s="19">
        <f>IFERROR(166.386*M289/F289,0)</f>
        <v/>
      </c>
      <c r="W289" s="19">
        <f>IFERROR(166.386*L289/F289,0)</f>
        <v/>
      </c>
    </row>
    <row r="290">
      <c r="A290" s="14" t="n">
        <v>2322</v>
      </c>
      <c r="B290" s="14" t="inlineStr">
        <is>
          <t>BLANCA TEMPRANA</t>
        </is>
      </c>
      <c r="C290" s="15" t="n">
        <v>1561</v>
      </c>
      <c r="D290" s="14" t="inlineStr">
        <is>
          <t>SUAREZ SANCHEZ, Mª DEL PILAR</t>
        </is>
      </c>
      <c r="E290" s="14" t="inlineStr">
        <is>
          <t>SALUSTIANA</t>
        </is>
      </c>
      <c r="F290" s="15" t="n">
        <v>6940</v>
      </c>
      <c r="G290" s="16" t="n">
        <v>2151.4</v>
      </c>
      <c r="H290" s="17" t="n">
        <v>0.31</v>
      </c>
      <c r="I290" s="16" t="n">
        <v>0</v>
      </c>
      <c r="J290" s="16" t="n">
        <v>56.43</v>
      </c>
      <c r="K290" s="16" t="n">
        <v>0</v>
      </c>
      <c r="L290" s="16" t="n">
        <v>-4.08</v>
      </c>
      <c r="M290" s="16" t="n">
        <v>0</v>
      </c>
      <c r="N290" s="16" t="n">
        <v>2090.89</v>
      </c>
      <c r="O290" s="17" t="n">
        <v>0.33069</v>
      </c>
      <c r="P290" s="18" t="n">
        <v>12</v>
      </c>
      <c r="Q290" s="18" t="n">
        <v>2</v>
      </c>
      <c r="R290" s="16" t="n">
        <v>2294.96</v>
      </c>
      <c r="S290" s="14" t="inlineStr">
        <is>
          <t>BLANCA TEMPRANA</t>
        </is>
      </c>
      <c r="T290" s="14" t="inlineStr">
        <is>
          <t>INDUSTRIA</t>
        </is>
      </c>
      <c r="U290" s="19">
        <f>IFERROR(166.386*I290/F290,0)</f>
        <v/>
      </c>
      <c r="V290" s="19">
        <f>IFERROR(166.386*M290/F290,0)</f>
        <v/>
      </c>
      <c r="W290" s="19">
        <f>IFERROR(166.386*L290/F290,0)</f>
        <v/>
      </c>
    </row>
    <row r="291">
      <c r="A291" s="14" t="n">
        <v>2322</v>
      </c>
      <c r="B291" s="14" t="inlineStr">
        <is>
          <t>BLANCA TEMPRANA</t>
        </is>
      </c>
      <c r="C291" s="15" t="n">
        <v>1562</v>
      </c>
      <c r="D291" s="14" t="inlineStr">
        <is>
          <t>VARELA MUÑOZ, PEDRO</t>
        </is>
      </c>
      <c r="E291" s="14" t="inlineStr">
        <is>
          <t>SALUSTIANA</t>
        </is>
      </c>
      <c r="F291" s="15" t="n">
        <v>15855</v>
      </c>
      <c r="G291" s="16" t="n">
        <v>4915.05</v>
      </c>
      <c r="H291" s="17" t="n">
        <v>0.31</v>
      </c>
      <c r="I291" s="16" t="n">
        <v>990.9400000000001</v>
      </c>
      <c r="J291" s="16" t="n">
        <v>175.5</v>
      </c>
      <c r="K291" s="16" t="n">
        <v>0</v>
      </c>
      <c r="L291" s="16" t="n">
        <v>-65.70999999999999</v>
      </c>
      <c r="M291" s="16" t="n">
        <v>0</v>
      </c>
      <c r="N291" s="16" t="n">
        <v>3682.9</v>
      </c>
      <c r="O291" s="17" t="n">
        <v>0.25496</v>
      </c>
      <c r="P291" s="18" t="n">
        <v>12</v>
      </c>
      <c r="Q291" s="18" t="n">
        <v>2</v>
      </c>
      <c r="R291" s="16" t="n">
        <v>4042.35</v>
      </c>
      <c r="S291" s="14" t="inlineStr">
        <is>
          <t>BLANCA TEMPRANA</t>
        </is>
      </c>
      <c r="T291" s="14" t="inlineStr">
        <is>
          <t>INDUSTRIA</t>
        </is>
      </c>
      <c r="U291" s="19">
        <f>IFERROR(166.386*I291/F291,0)</f>
        <v/>
      </c>
      <c r="V291" s="19">
        <f>IFERROR(166.386*M291/F291,0)</f>
        <v/>
      </c>
      <c r="W291" s="19">
        <f>IFERROR(166.386*L291/F291,0)</f>
        <v/>
      </c>
    </row>
    <row r="292">
      <c r="A292" s="14" t="n">
        <v>2322</v>
      </c>
      <c r="B292" s="14" t="inlineStr">
        <is>
          <t>BLANCA TEMPRANA</t>
        </is>
      </c>
      <c r="C292" s="15" t="n">
        <v>1564</v>
      </c>
      <c r="D292" s="14" t="inlineStr">
        <is>
          <t>VARELA MUÑOZ, ANTONIO</t>
        </is>
      </c>
      <c r="E292" s="14" t="inlineStr">
        <is>
          <t>SALUSTIANA</t>
        </is>
      </c>
      <c r="F292" s="15" t="n">
        <v>1655</v>
      </c>
      <c r="G292" s="16" t="n">
        <v>513.05</v>
      </c>
      <c r="H292" s="17" t="n">
        <v>0.31</v>
      </c>
      <c r="I292" s="16" t="n">
        <v>103.44</v>
      </c>
      <c r="J292" s="16" t="n">
        <v>9.68</v>
      </c>
      <c r="K292" s="16" t="n">
        <v>0</v>
      </c>
      <c r="L292" s="16" t="n">
        <v>-18.37</v>
      </c>
      <c r="M292" s="16" t="n">
        <v>0</v>
      </c>
      <c r="N292" s="16" t="n">
        <v>381.56</v>
      </c>
      <c r="O292" s="17" t="n">
        <v>0.25305</v>
      </c>
      <c r="P292" s="18" t="n">
        <v>12</v>
      </c>
      <c r="Q292" s="18" t="n">
        <v>2</v>
      </c>
      <c r="R292" s="16" t="n">
        <v>418.8</v>
      </c>
      <c r="S292" s="14" t="inlineStr">
        <is>
          <t>BLANCA TEMPRANA</t>
        </is>
      </c>
      <c r="T292" s="14" t="inlineStr">
        <is>
          <t>INDUSTRIA</t>
        </is>
      </c>
      <c r="U292" s="19">
        <f>IFERROR(166.386*I292/F292,0)</f>
        <v/>
      </c>
      <c r="V292" s="19">
        <f>IFERROR(166.386*M292/F292,0)</f>
        <v/>
      </c>
      <c r="W292" s="19">
        <f>IFERROR(166.386*L292/F292,0)</f>
        <v/>
      </c>
    </row>
    <row r="293">
      <c r="A293" s="14" t="n">
        <v>2322</v>
      </c>
      <c r="B293" s="14" t="inlineStr">
        <is>
          <t>BLANCA TEMPRANA</t>
        </is>
      </c>
      <c r="C293" s="15" t="n">
        <v>1577</v>
      </c>
      <c r="D293" s="14" t="inlineStr">
        <is>
          <t>GOMEZ GUERRERO, MARIA MERCEDES</t>
        </is>
      </c>
      <c r="E293" s="14" t="inlineStr">
        <is>
          <t>SALUSTIANA</t>
        </is>
      </c>
      <c r="F293" s="15" t="n">
        <v>1612</v>
      </c>
      <c r="G293" s="16" t="n">
        <v>499.72</v>
      </c>
      <c r="H293" s="17" t="n">
        <v>0.31</v>
      </c>
      <c r="I293" s="16" t="n">
        <v>68.18000000000001</v>
      </c>
      <c r="J293" s="16" t="n">
        <v>10.29</v>
      </c>
      <c r="K293" s="16" t="n">
        <v>0</v>
      </c>
      <c r="L293" s="16" t="n">
        <v>-17.89</v>
      </c>
      <c r="M293" s="16" t="n">
        <v>0</v>
      </c>
      <c r="N293" s="16" t="n">
        <v>403.36</v>
      </c>
      <c r="O293" s="17" t="n">
        <v>0.27465</v>
      </c>
      <c r="P293" s="18" t="n">
        <v>12</v>
      </c>
      <c r="Q293" s="18" t="n">
        <v>2</v>
      </c>
      <c r="R293" s="16" t="n">
        <v>442.73</v>
      </c>
      <c r="S293" s="14" t="inlineStr">
        <is>
          <t>BLANCA TEMPRANA</t>
        </is>
      </c>
      <c r="T293" s="14" t="inlineStr">
        <is>
          <t>INDUSTRIA</t>
        </is>
      </c>
      <c r="U293" s="19">
        <f>IFERROR(166.386*I293/F293,0)</f>
        <v/>
      </c>
      <c r="V293" s="19">
        <f>IFERROR(166.386*M293/F293,0)</f>
        <v/>
      </c>
      <c r="W293" s="19">
        <f>IFERROR(166.386*L293/F293,0)</f>
        <v/>
      </c>
    </row>
    <row r="294">
      <c r="A294" s="14" t="n">
        <v>2322</v>
      </c>
      <c r="B294" s="14" t="inlineStr">
        <is>
          <t>BLANCA TEMPRANA</t>
        </is>
      </c>
      <c r="C294" s="15" t="n">
        <v>1579</v>
      </c>
      <c r="D294" s="14" t="inlineStr">
        <is>
          <t>PEREZ JIMENEZ, ALFONSA</t>
        </is>
      </c>
      <c r="E294" s="14" t="inlineStr">
        <is>
          <t>SALUSTIANA</t>
        </is>
      </c>
      <c r="F294" s="15" t="n">
        <v>9120</v>
      </c>
      <c r="G294" s="16" t="n">
        <v>2827.2</v>
      </c>
      <c r="H294" s="17" t="n">
        <v>0.31</v>
      </c>
      <c r="I294" s="16" t="n">
        <v>570</v>
      </c>
      <c r="J294" s="16" t="n">
        <v>0</v>
      </c>
      <c r="K294" s="16" t="n">
        <v>0</v>
      </c>
      <c r="L294" s="16" t="n">
        <v>-101.23</v>
      </c>
      <c r="M294" s="16" t="n">
        <v>0</v>
      </c>
      <c r="N294" s="16" t="n">
        <v>2155.97</v>
      </c>
      <c r="O294" s="17" t="n">
        <v>0.25947</v>
      </c>
      <c r="P294" s="18" t="n">
        <v>12</v>
      </c>
      <c r="Q294" s="18" t="n">
        <v>2</v>
      </c>
      <c r="R294" s="16" t="n">
        <v>2366.39</v>
      </c>
      <c r="S294" s="14" t="inlineStr">
        <is>
          <t>BLANCA TEMPRANA</t>
        </is>
      </c>
      <c r="T294" s="14" t="inlineStr">
        <is>
          <t>INDUSTRIA</t>
        </is>
      </c>
      <c r="U294" s="19">
        <f>IFERROR(166.386*I294/F294,0)</f>
        <v/>
      </c>
      <c r="V294" s="19">
        <f>IFERROR(166.386*M294/F294,0)</f>
        <v/>
      </c>
      <c r="W294" s="19">
        <f>IFERROR(166.386*L294/F294,0)</f>
        <v/>
      </c>
    </row>
    <row r="295">
      <c r="A295" s="14" t="n">
        <v>2322</v>
      </c>
      <c r="B295" s="14" t="inlineStr">
        <is>
          <t>BLANCA TEMPRANA</t>
        </is>
      </c>
      <c r="C295" s="15" t="n">
        <v>1582</v>
      </c>
      <c r="D295" s="14" t="inlineStr">
        <is>
          <t>IGEÑO SANCHEZ, JOSE CARLOS</t>
        </is>
      </c>
      <c r="E295" s="14" t="inlineStr">
        <is>
          <t>SALUSTIANA</t>
        </is>
      </c>
      <c r="F295" s="15" t="n">
        <v>2998</v>
      </c>
      <c r="G295" s="16" t="n">
        <v>929.38</v>
      </c>
      <c r="H295" s="17" t="n">
        <v>0.31</v>
      </c>
      <c r="I295" s="16" t="n">
        <v>158.26</v>
      </c>
      <c r="J295" s="16" t="n">
        <v>14.33</v>
      </c>
      <c r="K295" s="16" t="n">
        <v>0</v>
      </c>
      <c r="L295" s="16" t="n">
        <v>-4.94</v>
      </c>
      <c r="M295" s="16" t="n">
        <v>0</v>
      </c>
      <c r="N295" s="16" t="n">
        <v>751.85</v>
      </c>
      <c r="O295" s="17" t="n">
        <v>0.27526</v>
      </c>
      <c r="P295" s="18" t="n">
        <v>12</v>
      </c>
      <c r="Q295" s="18" t="n">
        <v>2</v>
      </c>
      <c r="R295" s="16" t="n">
        <v>825.23</v>
      </c>
      <c r="S295" s="14" t="inlineStr">
        <is>
          <t>BLANCA TEMPRANA</t>
        </is>
      </c>
      <c r="T295" s="14" t="inlineStr">
        <is>
          <t>INDUSTRIA</t>
        </is>
      </c>
      <c r="U295" s="19">
        <f>IFERROR(166.386*I295/F295,0)</f>
        <v/>
      </c>
      <c r="V295" s="19">
        <f>IFERROR(166.386*M295/F295,0)</f>
        <v/>
      </c>
      <c r="W295" s="19">
        <f>IFERROR(166.386*L295/F295,0)</f>
        <v/>
      </c>
    </row>
    <row r="296">
      <c r="A296" s="14" t="n">
        <v>2322</v>
      </c>
      <c r="B296" s="14" t="inlineStr">
        <is>
          <t>BLANCA TEMPRANA</t>
        </is>
      </c>
      <c r="C296" s="15" t="n">
        <v>1585</v>
      </c>
      <c r="D296" s="14" t="inlineStr">
        <is>
          <t>CESPEDES AGUILAR, PATRICIA</t>
        </is>
      </c>
      <c r="E296" s="14" t="inlineStr">
        <is>
          <t>SALUSTIANA</t>
        </is>
      </c>
      <c r="F296" s="15" t="n">
        <v>3541</v>
      </c>
      <c r="G296" s="16" t="n">
        <v>1097.71</v>
      </c>
      <c r="H296" s="17" t="n">
        <v>0.31</v>
      </c>
      <c r="I296" s="16" t="n">
        <v>154.58</v>
      </c>
      <c r="J296" s="16" t="n">
        <v>23.83</v>
      </c>
      <c r="K296" s="16" t="n">
        <v>0</v>
      </c>
      <c r="L296" s="16" t="n">
        <v>-29.06</v>
      </c>
      <c r="M296" s="16" t="n">
        <v>0</v>
      </c>
      <c r="N296" s="16" t="n">
        <v>890.24</v>
      </c>
      <c r="O296" s="17" t="n">
        <v>0.27595</v>
      </c>
      <c r="P296" s="18" t="n">
        <v>12</v>
      </c>
      <c r="Q296" s="18" t="n">
        <v>2</v>
      </c>
      <c r="R296" s="16" t="n">
        <v>977.13</v>
      </c>
      <c r="S296" s="14" t="inlineStr">
        <is>
          <t>BLANCA TEMPRANA</t>
        </is>
      </c>
      <c r="T296" s="14" t="inlineStr">
        <is>
          <t>INDUSTRIA</t>
        </is>
      </c>
      <c r="U296" s="19">
        <f>IFERROR(166.386*I296/F296,0)</f>
        <v/>
      </c>
      <c r="V296" s="19">
        <f>IFERROR(166.386*M296/F296,0)</f>
        <v/>
      </c>
      <c r="W296" s="19">
        <f>IFERROR(166.386*L296/F296,0)</f>
        <v/>
      </c>
    </row>
    <row r="297">
      <c r="A297" s="14" t="n">
        <v>2322</v>
      </c>
      <c r="B297" s="14" t="inlineStr">
        <is>
          <t>BLANCA TEMPRANA</t>
        </is>
      </c>
      <c r="C297" s="15" t="n">
        <v>1589</v>
      </c>
      <c r="D297" s="14" t="inlineStr">
        <is>
          <t>PRIOR PORTILLO, JUAN ANTONIO</t>
        </is>
      </c>
      <c r="E297" s="14" t="inlineStr">
        <is>
          <t>SALUSTIANA</t>
        </is>
      </c>
      <c r="F297" s="15" t="n">
        <v>6127</v>
      </c>
      <c r="G297" s="16" t="n">
        <v>1899.37</v>
      </c>
      <c r="H297" s="17" t="n">
        <v>0.31</v>
      </c>
      <c r="I297" s="16" t="n">
        <v>441.14</v>
      </c>
      <c r="J297" s="16" t="n">
        <v>38.22</v>
      </c>
      <c r="K297" s="16" t="n">
        <v>0</v>
      </c>
      <c r="L297" s="16" t="n">
        <v>-68.01000000000001</v>
      </c>
      <c r="M297" s="16" t="n">
        <v>0</v>
      </c>
      <c r="N297" s="16" t="n">
        <v>1352</v>
      </c>
      <c r="O297" s="17" t="n">
        <v>0.2422</v>
      </c>
      <c r="P297" s="18" t="n">
        <v>12</v>
      </c>
      <c r="Q297" s="18" t="n">
        <v>2</v>
      </c>
      <c r="R297" s="16" t="n">
        <v>1483.96</v>
      </c>
      <c r="S297" s="14" t="inlineStr">
        <is>
          <t>BLANCA TEMPRANA</t>
        </is>
      </c>
      <c r="T297" s="14" t="inlineStr">
        <is>
          <t>INDUSTRIA</t>
        </is>
      </c>
      <c r="U297" s="19">
        <f>IFERROR(166.386*I297/F297,0)</f>
        <v/>
      </c>
      <c r="V297" s="19">
        <f>IFERROR(166.386*M297/F297,0)</f>
        <v/>
      </c>
      <c r="W297" s="19">
        <f>IFERROR(166.386*L297/F297,0)</f>
        <v/>
      </c>
    </row>
    <row r="298">
      <c r="A298" s="14" t="n">
        <v>2322</v>
      </c>
      <c r="B298" s="14" t="inlineStr">
        <is>
          <t>BLANCA TEMPRANA</t>
        </is>
      </c>
      <c r="C298" s="15" t="n">
        <v>1590</v>
      </c>
      <c r="D298" s="14" t="inlineStr">
        <is>
          <t>VARELA MESA, ISMAEL</t>
        </is>
      </c>
      <c r="E298" s="14" t="inlineStr">
        <is>
          <t>SALUSTIANA</t>
        </is>
      </c>
      <c r="F298" s="15" t="n">
        <v>21430</v>
      </c>
      <c r="G298" s="16" t="n">
        <v>6643.3</v>
      </c>
      <c r="H298" s="17" t="n">
        <v>0.31</v>
      </c>
      <c r="I298" s="16" t="n">
        <v>1339.38</v>
      </c>
      <c r="J298" s="16" t="n">
        <v>171.6</v>
      </c>
      <c r="K298" s="16" t="n">
        <v>0</v>
      </c>
      <c r="L298" s="16" t="n">
        <v>0</v>
      </c>
      <c r="M298" s="16" t="n">
        <v>0</v>
      </c>
      <c r="N298" s="16" t="n">
        <v>5132.32</v>
      </c>
      <c r="O298" s="17" t="n">
        <v>0.26287</v>
      </c>
      <c r="P298" s="18" t="n">
        <v>12</v>
      </c>
      <c r="Q298" s="18" t="n">
        <v>2</v>
      </c>
      <c r="R298" s="16" t="n">
        <v>5633.23</v>
      </c>
      <c r="S298" s="14" t="inlineStr">
        <is>
          <t>BLANCA TEMPRANA</t>
        </is>
      </c>
      <c r="T298" s="14" t="inlineStr">
        <is>
          <t>INDUSTRIA</t>
        </is>
      </c>
      <c r="U298" s="19">
        <f>IFERROR(166.386*I298/F298,0)</f>
        <v/>
      </c>
      <c r="V298" s="19">
        <f>IFERROR(166.386*M298/F298,0)</f>
        <v/>
      </c>
      <c r="W298" s="19">
        <f>IFERROR(166.386*L298/F298,0)</f>
        <v/>
      </c>
    </row>
    <row r="299">
      <c r="A299" s="14" t="n">
        <v>2322</v>
      </c>
      <c r="B299" s="14" t="inlineStr">
        <is>
          <t>BLANCA TEMPRANA</t>
        </is>
      </c>
      <c r="C299" s="15" t="n">
        <v>1612</v>
      </c>
      <c r="D299" s="14" t="inlineStr">
        <is>
          <t>LOPEZ PEÑA, SERGIO</t>
        </is>
      </c>
      <c r="E299" s="14" t="inlineStr">
        <is>
          <t>SALUSTIANA</t>
        </is>
      </c>
      <c r="F299" s="15" t="n">
        <v>33500</v>
      </c>
      <c r="G299" s="16" t="n">
        <v>10385</v>
      </c>
      <c r="H299" s="17" t="n">
        <v>0.31</v>
      </c>
      <c r="I299" s="16" t="n">
        <v>2093.75</v>
      </c>
      <c r="J299" s="16" t="n">
        <v>0</v>
      </c>
      <c r="K299" s="16" t="n">
        <v>0</v>
      </c>
      <c r="L299" s="16" t="n">
        <v>0</v>
      </c>
      <c r="M299" s="16" t="n">
        <v>0</v>
      </c>
      <c r="N299" s="16" t="n">
        <v>8291.25</v>
      </c>
      <c r="O299" s="17" t="n">
        <v>0.27166</v>
      </c>
      <c r="P299" s="18" t="n">
        <v>12</v>
      </c>
      <c r="Q299" s="18" t="n">
        <v>2</v>
      </c>
      <c r="R299" s="16" t="n">
        <v>9100.48</v>
      </c>
      <c r="S299" s="14" t="inlineStr">
        <is>
          <t>BLANCA TEMPRANA</t>
        </is>
      </c>
      <c r="T299" s="14" t="inlineStr">
        <is>
          <t>INDUSTRIA</t>
        </is>
      </c>
      <c r="U299" s="19">
        <f>IFERROR(166.386*I299/F299,0)</f>
        <v/>
      </c>
      <c r="V299" s="19">
        <f>IFERROR(166.386*M299/F299,0)</f>
        <v/>
      </c>
      <c r="W299" s="19">
        <f>IFERROR(166.386*L299/F299,0)</f>
        <v/>
      </c>
    </row>
    <row r="300">
      <c r="A300" s="14" t="n">
        <v>2322</v>
      </c>
      <c r="B300" s="14" t="inlineStr">
        <is>
          <t>BLANCA TEMPRANA</t>
        </is>
      </c>
      <c r="C300" s="15" t="n">
        <v>1624</v>
      </c>
      <c r="D300" s="14" t="inlineStr">
        <is>
          <t>SANCHEZ GUIL, JUAN JAVIER</t>
        </is>
      </c>
      <c r="E300" s="14" t="inlineStr">
        <is>
          <t>SALUSTIANA</t>
        </is>
      </c>
      <c r="F300" s="15" t="n">
        <v>427</v>
      </c>
      <c r="G300" s="16" t="n">
        <v>132.37</v>
      </c>
      <c r="H300" s="17" t="n">
        <v>0.31</v>
      </c>
      <c r="I300" s="16" t="n">
        <v>30.74</v>
      </c>
      <c r="J300" s="16" t="n">
        <v>3.61</v>
      </c>
      <c r="K300" s="16" t="n">
        <v>0</v>
      </c>
      <c r="L300" s="16" t="n">
        <v>-4.74</v>
      </c>
      <c r="M300" s="16" t="n">
        <v>0</v>
      </c>
      <c r="N300" s="16" t="n">
        <v>93.28</v>
      </c>
      <c r="O300" s="17" t="n">
        <v>0.23977</v>
      </c>
      <c r="P300" s="18" t="n">
        <v>12</v>
      </c>
      <c r="Q300" s="18" t="n">
        <v>2</v>
      </c>
      <c r="R300" s="16" t="n">
        <v>102.38</v>
      </c>
      <c r="S300" s="14" t="inlineStr">
        <is>
          <t>BLANCA TEMPRANA</t>
        </is>
      </c>
      <c r="T300" s="14" t="inlineStr">
        <is>
          <t>INDUSTRIA</t>
        </is>
      </c>
      <c r="U300" s="19">
        <f>IFERROR(166.386*I300/F300,0)</f>
        <v/>
      </c>
      <c r="V300" s="19">
        <f>IFERROR(166.386*M300/F300,0)</f>
        <v/>
      </c>
      <c r="W300" s="19">
        <f>IFERROR(166.386*L300/F300,0)</f>
        <v/>
      </c>
    </row>
    <row r="301">
      <c r="A301" s="14" t="n">
        <v>2324</v>
      </c>
      <c r="B301" s="14" t="inlineStr">
        <is>
          <t>NAVEL TARDIA</t>
        </is>
      </c>
      <c r="C301" s="15" t="n">
        <v>798</v>
      </c>
      <c r="D301" s="14" t="inlineStr">
        <is>
          <t>PAREJA PAREJA,ISABEL</t>
        </is>
      </c>
      <c r="E301" s="14" t="inlineStr">
        <is>
          <t>LANE LATE</t>
        </is>
      </c>
      <c r="F301" s="15" t="n">
        <v>3552</v>
      </c>
      <c r="G301" s="16" t="n">
        <v>1101.12</v>
      </c>
      <c r="H301" s="17" t="n">
        <v>0.31</v>
      </c>
      <c r="I301" s="16" t="n">
        <v>222</v>
      </c>
      <c r="J301" s="16" t="n">
        <v>23.13</v>
      </c>
      <c r="K301" s="16" t="n">
        <v>0</v>
      </c>
      <c r="L301" s="16" t="n">
        <v>-39.43</v>
      </c>
      <c r="M301" s="16" t="n">
        <v>0</v>
      </c>
      <c r="N301" s="16" t="n">
        <v>816.5599999999999</v>
      </c>
      <c r="O301" s="17" t="n">
        <v>0.25233</v>
      </c>
      <c r="P301" s="18" t="n">
        <v>12</v>
      </c>
      <c r="Q301" s="18" t="n">
        <v>2</v>
      </c>
      <c r="R301" s="16" t="n">
        <v>896.26</v>
      </c>
      <c r="S301" s="14" t="inlineStr">
        <is>
          <t>NAVEL TARDIA</t>
        </is>
      </c>
      <c r="T301" s="14" t="inlineStr">
        <is>
          <t>INDUSTRIA</t>
        </is>
      </c>
      <c r="U301" s="19">
        <f>IFERROR(166.386*I301/F301,0)</f>
        <v/>
      </c>
      <c r="V301" s="19">
        <f>IFERROR(166.386*M301/F301,0)</f>
        <v/>
      </c>
      <c r="W301" s="19">
        <f>IFERROR(166.386*L301/F301,0)</f>
        <v/>
      </c>
    </row>
    <row r="302">
      <c r="A302" s="14" t="n">
        <v>2324</v>
      </c>
      <c r="B302" s="14" t="inlineStr">
        <is>
          <t>NAVEL TARDIA</t>
        </is>
      </c>
      <c r="C302" s="15" t="n">
        <v>904</v>
      </c>
      <c r="D302" s="14" t="inlineStr">
        <is>
          <t>FERNANDEZ MELENDEZ,ANGEL</t>
        </is>
      </c>
      <c r="E302" s="14" t="inlineStr">
        <is>
          <t>LANE LATE</t>
        </is>
      </c>
      <c r="F302" s="15" t="n">
        <v>3209</v>
      </c>
      <c r="G302" s="16" t="n">
        <v>994.79</v>
      </c>
      <c r="H302" s="17" t="n">
        <v>0.31</v>
      </c>
      <c r="I302" s="16" t="n">
        <v>200.56</v>
      </c>
      <c r="J302" s="16" t="n">
        <v>19.15</v>
      </c>
      <c r="K302" s="16" t="n">
        <v>0</v>
      </c>
      <c r="L302" s="16" t="n">
        <v>-35.62</v>
      </c>
      <c r="M302" s="16" t="n">
        <v>0</v>
      </c>
      <c r="N302" s="16" t="n">
        <v>739.46</v>
      </c>
      <c r="O302" s="17" t="n">
        <v>0.25292</v>
      </c>
      <c r="P302" s="18" t="n">
        <v>12</v>
      </c>
      <c r="Q302" s="18" t="n">
        <v>2</v>
      </c>
      <c r="R302" s="16" t="n">
        <v>811.63</v>
      </c>
      <c r="S302" s="14" t="inlineStr">
        <is>
          <t>NAVEL TARDIA</t>
        </is>
      </c>
      <c r="T302" s="14" t="inlineStr">
        <is>
          <t>INDUSTRIA</t>
        </is>
      </c>
      <c r="U302" s="19">
        <f>IFERROR(166.386*I302/F302,0)</f>
        <v/>
      </c>
      <c r="V302" s="19">
        <f>IFERROR(166.386*M302/F302,0)</f>
        <v/>
      </c>
      <c r="W302" s="19">
        <f>IFERROR(166.386*L302/F302,0)</f>
        <v/>
      </c>
    </row>
    <row r="303">
      <c r="A303" s="14" t="n">
        <v>2324</v>
      </c>
      <c r="B303" s="14" t="inlineStr">
        <is>
          <t>NAVEL TARDIA</t>
        </is>
      </c>
      <c r="C303" s="15" t="n">
        <v>990</v>
      </c>
      <c r="D303" s="14" t="inlineStr">
        <is>
          <t>SANCHEZ PEREZ,ANTONIO</t>
        </is>
      </c>
      <c r="E303" s="14" t="inlineStr">
        <is>
          <t>LANE LATE</t>
        </is>
      </c>
      <c r="F303" s="15" t="n">
        <v>11720</v>
      </c>
      <c r="G303" s="16" t="n">
        <v>3633.2</v>
      </c>
      <c r="H303" s="17" t="n">
        <v>0.31</v>
      </c>
      <c r="I303" s="16" t="n">
        <v>732.5</v>
      </c>
      <c r="J303" s="16" t="n">
        <v>149.88</v>
      </c>
      <c r="K303" s="16" t="n">
        <v>0</v>
      </c>
      <c r="L303" s="16" t="n">
        <v>0</v>
      </c>
      <c r="M303" s="16" t="n">
        <v>0</v>
      </c>
      <c r="N303" s="16" t="n">
        <v>2750.82</v>
      </c>
      <c r="O303" s="17" t="n">
        <v>0.25762</v>
      </c>
      <c r="P303" s="18" t="n">
        <v>12</v>
      </c>
      <c r="Q303" s="18" t="n">
        <v>2</v>
      </c>
      <c r="R303" s="16" t="n">
        <v>3019.3</v>
      </c>
      <c r="S303" s="14" t="inlineStr">
        <is>
          <t>NAVEL TARDIA</t>
        </is>
      </c>
      <c r="T303" s="14" t="inlineStr">
        <is>
          <t>INDUSTRIA</t>
        </is>
      </c>
      <c r="U303" s="19">
        <f>IFERROR(166.386*I303/F303,0)</f>
        <v/>
      </c>
      <c r="V303" s="19">
        <f>IFERROR(166.386*M303/F303,0)</f>
        <v/>
      </c>
      <c r="W303" s="19">
        <f>IFERROR(166.386*L303/F303,0)</f>
        <v/>
      </c>
    </row>
    <row r="304">
      <c r="A304" s="14" t="n">
        <v>2324</v>
      </c>
      <c r="B304" s="14" t="inlineStr">
        <is>
          <t>NAVEL TARDIA</t>
        </is>
      </c>
      <c r="C304" s="15" t="n">
        <v>1178</v>
      </c>
      <c r="D304" s="14" t="inlineStr">
        <is>
          <t>CALZADO GARCIA,FRANCISCO JAVIER</t>
        </is>
      </c>
      <c r="E304" s="14" t="inlineStr">
        <is>
          <t>NAVEL POWEL</t>
        </is>
      </c>
      <c r="F304" s="15" t="n">
        <v>2948</v>
      </c>
      <c r="G304" s="16" t="n">
        <v>913.88</v>
      </c>
      <c r="H304" s="17" t="n">
        <v>0.31</v>
      </c>
      <c r="I304" s="16" t="n">
        <v>0</v>
      </c>
      <c r="J304" s="16" t="n">
        <v>36.3</v>
      </c>
      <c r="K304" s="16" t="n">
        <v>0</v>
      </c>
      <c r="L304" s="16" t="n">
        <v>0</v>
      </c>
      <c r="M304" s="16" t="n">
        <v>0</v>
      </c>
      <c r="N304" s="16" t="n">
        <v>877.58</v>
      </c>
      <c r="O304" s="17" t="n">
        <v>0.32674</v>
      </c>
      <c r="P304" s="18" t="n">
        <v>12</v>
      </c>
      <c r="Q304" s="18" t="n">
        <v>2</v>
      </c>
      <c r="R304" s="16" t="n">
        <v>963.23</v>
      </c>
      <c r="S304" s="14" t="inlineStr">
        <is>
          <t>NAVEL TARDIA</t>
        </is>
      </c>
      <c r="T304" s="14" t="inlineStr">
        <is>
          <t>INDUSTRIA</t>
        </is>
      </c>
      <c r="U304" s="19">
        <f>IFERROR(166.386*I304/F304,0)</f>
        <v/>
      </c>
      <c r="V304" s="19">
        <f>IFERROR(166.386*M304/F304,0)</f>
        <v/>
      </c>
      <c r="W304" s="19">
        <f>IFERROR(166.386*L304/F304,0)</f>
        <v/>
      </c>
    </row>
    <row r="305">
      <c r="A305" s="14" t="n">
        <v>2324</v>
      </c>
      <c r="B305" s="14" t="inlineStr">
        <is>
          <t>NAVEL TARDIA</t>
        </is>
      </c>
      <c r="C305" s="15" t="n">
        <v>1205</v>
      </c>
      <c r="D305" s="14" t="inlineStr">
        <is>
          <t>OLIVER JIMENEZ,MARIA MERCEDES</t>
        </is>
      </c>
      <c r="E305" s="14" t="inlineStr">
        <is>
          <t>LANE LATE</t>
        </is>
      </c>
      <c r="F305" s="15" t="n">
        <v>1413</v>
      </c>
      <c r="G305" s="16" t="n">
        <v>438.03</v>
      </c>
      <c r="H305" s="17" t="n">
        <v>0.31</v>
      </c>
      <c r="I305" s="16" t="n">
        <v>88.31</v>
      </c>
      <c r="J305" s="16" t="n">
        <v>11.76</v>
      </c>
      <c r="K305" s="16" t="n">
        <v>0</v>
      </c>
      <c r="L305" s="16" t="n">
        <v>-15.68</v>
      </c>
      <c r="M305" s="16" t="n">
        <v>0</v>
      </c>
      <c r="N305" s="16" t="n">
        <v>322.28</v>
      </c>
      <c r="O305" s="17" t="n">
        <v>0.25034</v>
      </c>
      <c r="P305" s="18" t="n">
        <v>12</v>
      </c>
      <c r="Q305" s="18" t="n">
        <v>2</v>
      </c>
      <c r="R305" s="16" t="n">
        <v>353.73</v>
      </c>
      <c r="S305" s="14" t="inlineStr">
        <is>
          <t>NAVEL TARDIA</t>
        </is>
      </c>
      <c r="T305" s="14" t="inlineStr">
        <is>
          <t>INDUSTRIA</t>
        </is>
      </c>
      <c r="U305" s="19">
        <f>IFERROR(166.386*I305/F305,0)</f>
        <v/>
      </c>
      <c r="V305" s="19">
        <f>IFERROR(166.386*M305/F305,0)</f>
        <v/>
      </c>
      <c r="W305" s="19">
        <f>IFERROR(166.386*L305/F305,0)</f>
        <v/>
      </c>
    </row>
    <row r="306">
      <c r="A306" s="14" t="n">
        <v>2324</v>
      </c>
      <c r="B306" s="14" t="inlineStr">
        <is>
          <t>NAVEL TARDIA</t>
        </is>
      </c>
      <c r="C306" s="15" t="n">
        <v>1255</v>
      </c>
      <c r="D306" s="14" t="inlineStr">
        <is>
          <t>CHAMIZO AGREDANO,JUAN</t>
        </is>
      </c>
      <c r="E306" s="14" t="inlineStr">
        <is>
          <t>LANE LATE</t>
        </is>
      </c>
      <c r="F306" s="15" t="n">
        <v>382</v>
      </c>
      <c r="G306" s="16" t="n">
        <v>118.42</v>
      </c>
      <c r="H306" s="17" t="n">
        <v>0.31</v>
      </c>
      <c r="I306" s="16" t="n">
        <v>23.87</v>
      </c>
      <c r="J306" s="16" t="n">
        <v>2.48</v>
      </c>
      <c r="K306" s="16" t="n">
        <v>0</v>
      </c>
      <c r="L306" s="16" t="n">
        <v>-4.24</v>
      </c>
      <c r="M306" s="16" t="n">
        <v>0</v>
      </c>
      <c r="N306" s="16" t="n">
        <v>87.83</v>
      </c>
      <c r="O306" s="17" t="n">
        <v>0.25236</v>
      </c>
      <c r="P306" s="18" t="n">
        <v>12</v>
      </c>
      <c r="Q306" s="18" t="n">
        <v>2</v>
      </c>
      <c r="R306" s="16" t="n">
        <v>96.40000000000001</v>
      </c>
      <c r="S306" s="14" t="inlineStr">
        <is>
          <t>NAVEL TARDIA</t>
        </is>
      </c>
      <c r="T306" s="14" t="inlineStr">
        <is>
          <t>INDUSTRIA</t>
        </is>
      </c>
      <c r="U306" s="19">
        <f>IFERROR(166.386*I306/F306,0)</f>
        <v/>
      </c>
      <c r="V306" s="19">
        <f>IFERROR(166.386*M306/F306,0)</f>
        <v/>
      </c>
      <c r="W306" s="19">
        <f>IFERROR(166.386*L306/F306,0)</f>
        <v/>
      </c>
    </row>
    <row r="307">
      <c r="A307" s="14" t="n">
        <v>2324</v>
      </c>
      <c r="B307" s="14" t="inlineStr">
        <is>
          <t>NAVEL TARDIA</t>
        </is>
      </c>
      <c r="C307" s="15" t="n">
        <v>1272</v>
      </c>
      <c r="D307" s="14" t="inlineStr">
        <is>
          <t>HERMANOS GONZALEZ ROLDAN,S.C.</t>
        </is>
      </c>
      <c r="E307" s="14" t="inlineStr">
        <is>
          <t>LANE LATE</t>
        </is>
      </c>
      <c r="F307" s="15" t="n">
        <v>955</v>
      </c>
      <c r="G307" s="16" t="n">
        <v>296.05</v>
      </c>
      <c r="H307" s="17" t="n">
        <v>0.31</v>
      </c>
      <c r="I307" s="16" t="n">
        <v>59.69</v>
      </c>
      <c r="J307" s="16" t="n">
        <v>17.55</v>
      </c>
      <c r="K307" s="16" t="n">
        <v>0</v>
      </c>
      <c r="L307" s="16" t="n">
        <v>0</v>
      </c>
      <c r="M307" s="16" t="n">
        <v>0</v>
      </c>
      <c r="N307" s="16" t="n">
        <v>218.81</v>
      </c>
      <c r="O307" s="17" t="n">
        <v>0.25149</v>
      </c>
      <c r="P307" s="18" t="n">
        <v>12</v>
      </c>
      <c r="Q307" s="18" t="n">
        <v>2</v>
      </c>
      <c r="R307" s="16" t="n">
        <v>240.17</v>
      </c>
      <c r="S307" s="14" t="inlineStr">
        <is>
          <t>NAVEL TARDIA</t>
        </is>
      </c>
      <c r="T307" s="14" t="inlineStr">
        <is>
          <t>INDUSTRIA</t>
        </is>
      </c>
      <c r="U307" s="19">
        <f>IFERROR(166.386*I307/F307,0)</f>
        <v/>
      </c>
      <c r="V307" s="19">
        <f>IFERROR(166.386*M307/F307,0)</f>
        <v/>
      </c>
      <c r="W307" s="19">
        <f>IFERROR(166.386*L307/F307,0)</f>
        <v/>
      </c>
    </row>
    <row r="308">
      <c r="A308" s="14" t="n">
        <v>2324</v>
      </c>
      <c r="B308" s="14" t="inlineStr">
        <is>
          <t>NAVEL TARDIA</t>
        </is>
      </c>
      <c r="C308" s="15" t="n">
        <v>1415</v>
      </c>
      <c r="D308" s="14" t="inlineStr">
        <is>
          <t>TOMENO SUAREZ,FERNANDO</t>
        </is>
      </c>
      <c r="E308" s="14" t="inlineStr">
        <is>
          <t>BARNFIELD</t>
        </is>
      </c>
      <c r="F308" s="15" t="n">
        <v>3543</v>
      </c>
      <c r="G308" s="16" t="n">
        <v>1098.33</v>
      </c>
      <c r="H308" s="17" t="n">
        <v>0.31</v>
      </c>
      <c r="I308" s="16" t="n">
        <v>0</v>
      </c>
      <c r="J308" s="16" t="n">
        <v>12.49</v>
      </c>
      <c r="K308" s="16" t="n">
        <v>0</v>
      </c>
      <c r="L308" s="16" t="n">
        <v>-12.01</v>
      </c>
      <c r="M308" s="16" t="n">
        <v>0</v>
      </c>
      <c r="N308" s="16" t="n">
        <v>1073.83</v>
      </c>
      <c r="O308" s="17" t="n">
        <v>0.33267</v>
      </c>
      <c r="P308" s="18" t="n">
        <v>12</v>
      </c>
      <c r="Q308" s="18" t="n">
        <v>2</v>
      </c>
      <c r="R308" s="16" t="n">
        <v>1178.64</v>
      </c>
      <c r="S308" s="14" t="inlineStr">
        <is>
          <t>NAVEL TARDIA</t>
        </is>
      </c>
      <c r="T308" s="14" t="inlineStr">
        <is>
          <t>INDUSTRIA</t>
        </is>
      </c>
      <c r="U308" s="19">
        <f>IFERROR(166.386*I308/F308,0)</f>
        <v/>
      </c>
      <c r="V308" s="19">
        <f>IFERROR(166.386*M308/F308,0)</f>
        <v/>
      </c>
      <c r="W308" s="19">
        <f>IFERROR(166.386*L308/F308,0)</f>
        <v/>
      </c>
    </row>
    <row r="309">
      <c r="A309" s="14" t="n">
        <v>2324</v>
      </c>
      <c r="B309" s="14" t="inlineStr">
        <is>
          <t>NAVEL TARDIA</t>
        </is>
      </c>
      <c r="C309" s="15" t="n">
        <v>1415</v>
      </c>
      <c r="D309" s="14" t="inlineStr">
        <is>
          <t>TOMENO SUAREZ,FERNANDO</t>
        </is>
      </c>
      <c r="E309" s="14" t="inlineStr">
        <is>
          <t>LANE LATE</t>
        </is>
      </c>
      <c r="F309" s="15" t="n">
        <v>6720</v>
      </c>
      <c r="G309" s="16" t="n">
        <v>2083.2</v>
      </c>
      <c r="H309" s="17" t="n">
        <v>0.31</v>
      </c>
      <c r="I309" s="16" t="n">
        <v>0</v>
      </c>
      <c r="J309" s="16" t="n">
        <v>23.68</v>
      </c>
      <c r="K309" s="16" t="n">
        <v>0</v>
      </c>
      <c r="L309" s="16" t="n">
        <v>-39.18</v>
      </c>
      <c r="M309" s="16" t="n">
        <v>0</v>
      </c>
      <c r="N309" s="16" t="n">
        <v>2020.34</v>
      </c>
      <c r="O309" s="17" t="n">
        <v>0.32999</v>
      </c>
      <c r="P309" s="18" t="n">
        <v>12</v>
      </c>
      <c r="Q309" s="18" t="n">
        <v>2</v>
      </c>
      <c r="R309" s="16" t="n">
        <v>2217.53</v>
      </c>
      <c r="S309" s="14" t="inlineStr">
        <is>
          <t>NAVEL TARDIA</t>
        </is>
      </c>
      <c r="T309" s="14" t="inlineStr">
        <is>
          <t>INDUSTRIA</t>
        </is>
      </c>
      <c r="U309" s="19">
        <f>IFERROR(166.386*I309/F309,0)</f>
        <v/>
      </c>
      <c r="V309" s="19">
        <f>IFERROR(166.386*M309/F309,0)</f>
        <v/>
      </c>
      <c r="W309" s="19">
        <f>IFERROR(166.386*L309/F309,0)</f>
        <v/>
      </c>
    </row>
    <row r="310">
      <c r="A310" s="14" t="n">
        <v>2324</v>
      </c>
      <c r="B310" s="14" t="inlineStr">
        <is>
          <t>NAVEL TARDIA</t>
        </is>
      </c>
      <c r="C310" s="15" t="n">
        <v>1445</v>
      </c>
      <c r="D310" s="14" t="inlineStr">
        <is>
          <t>REAL GARCIA,MIGUEL</t>
        </is>
      </c>
      <c r="E310" s="14" t="inlineStr">
        <is>
          <t>LANE LATE</t>
        </is>
      </c>
      <c r="F310" s="15" t="n">
        <v>2369</v>
      </c>
      <c r="G310" s="16" t="n">
        <v>734.39</v>
      </c>
      <c r="H310" s="17" t="n">
        <v>0.31</v>
      </c>
      <c r="I310" s="16" t="n">
        <v>148.06</v>
      </c>
      <c r="J310" s="16" t="n">
        <v>21.87</v>
      </c>
      <c r="K310" s="16" t="n">
        <v>0</v>
      </c>
      <c r="L310" s="16" t="n">
        <v>-26.3</v>
      </c>
      <c r="M310" s="16" t="n">
        <v>0</v>
      </c>
      <c r="N310" s="16" t="n">
        <v>538.16</v>
      </c>
      <c r="O310" s="17" t="n">
        <v>0.24934</v>
      </c>
      <c r="P310" s="18" t="n">
        <v>12</v>
      </c>
      <c r="Q310" s="18" t="n">
        <v>2</v>
      </c>
      <c r="R310" s="16" t="n">
        <v>590.6799999999999</v>
      </c>
      <c r="S310" s="14" t="inlineStr">
        <is>
          <t>NAVEL TARDIA</t>
        </is>
      </c>
      <c r="T310" s="14" t="inlineStr">
        <is>
          <t>INDUSTRIA</t>
        </is>
      </c>
      <c r="U310" s="19">
        <f>IFERROR(166.386*I310/F310,0)</f>
        <v/>
      </c>
      <c r="V310" s="19">
        <f>IFERROR(166.386*M310/F310,0)</f>
        <v/>
      </c>
      <c r="W310" s="19">
        <f>IFERROR(166.386*L310/F310,0)</f>
        <v/>
      </c>
    </row>
    <row r="311">
      <c r="A311" s="14" t="n">
        <v>2324</v>
      </c>
      <c r="B311" s="14" t="inlineStr">
        <is>
          <t>NAVEL TARDIA</t>
        </is>
      </c>
      <c r="C311" s="15" t="n">
        <v>1500</v>
      </c>
      <c r="D311" s="14" t="inlineStr">
        <is>
          <t>JIMENEZ MALDONADO, PEDRO</t>
        </is>
      </c>
      <c r="E311" s="14" t="inlineStr">
        <is>
          <t>CHISLETT SUMER</t>
        </is>
      </c>
      <c r="F311" s="15" t="n">
        <v>1243</v>
      </c>
      <c r="G311" s="16" t="n">
        <v>385.33</v>
      </c>
      <c r="H311" s="17" t="n">
        <v>0.31</v>
      </c>
      <c r="I311" s="16" t="n">
        <v>77.69</v>
      </c>
      <c r="J311" s="16" t="n">
        <v>4.35</v>
      </c>
      <c r="K311" s="16" t="n">
        <v>0</v>
      </c>
      <c r="L311" s="16" t="n">
        <v>-13.8</v>
      </c>
      <c r="M311" s="16" t="n">
        <v>0</v>
      </c>
      <c r="N311" s="16" t="n">
        <v>289.49</v>
      </c>
      <c r="O311" s="17" t="n">
        <v>0.25562</v>
      </c>
      <c r="P311" s="18" t="n">
        <v>12</v>
      </c>
      <c r="Q311" s="18" t="n">
        <v>2</v>
      </c>
      <c r="R311" s="16" t="n">
        <v>317.74</v>
      </c>
      <c r="S311" s="14" t="inlineStr">
        <is>
          <t>NAVEL TARDIA</t>
        </is>
      </c>
      <c r="T311" s="14" t="inlineStr">
        <is>
          <t>INDUSTRIA</t>
        </is>
      </c>
      <c r="U311" s="19">
        <f>IFERROR(166.386*I311/F311,0)</f>
        <v/>
      </c>
      <c r="V311" s="19">
        <f>IFERROR(166.386*M311/F311,0)</f>
        <v/>
      </c>
      <c r="W311" s="19">
        <f>IFERROR(166.386*L311/F311,0)</f>
        <v/>
      </c>
    </row>
    <row r="312">
      <c r="A312" s="14" t="n">
        <v>2324</v>
      </c>
      <c r="B312" s="14" t="inlineStr">
        <is>
          <t>NAVEL TARDIA</t>
        </is>
      </c>
      <c r="C312" s="15" t="n">
        <v>1507</v>
      </c>
      <c r="D312" s="14" t="inlineStr">
        <is>
          <t>ZAMBRANO HINOJOSA, Mª ÁNGELES</t>
        </is>
      </c>
      <c r="E312" s="14" t="inlineStr">
        <is>
          <t>LANE LATE</t>
        </is>
      </c>
      <c r="F312" s="15" t="n">
        <v>5539</v>
      </c>
      <c r="G312" s="16" t="n">
        <v>1717.09</v>
      </c>
      <c r="H312" s="17" t="n">
        <v>0.31</v>
      </c>
      <c r="I312" s="16" t="n">
        <v>271.5</v>
      </c>
      <c r="J312" s="16" t="n">
        <v>47.5</v>
      </c>
      <c r="K312" s="16" t="n">
        <v>0</v>
      </c>
      <c r="L312" s="16" t="n">
        <v>-58.43</v>
      </c>
      <c r="M312" s="16" t="n">
        <v>0</v>
      </c>
      <c r="N312" s="16" t="n">
        <v>1339.66</v>
      </c>
      <c r="O312" s="17" t="n">
        <v>0.26546</v>
      </c>
      <c r="P312" s="18" t="n">
        <v>12</v>
      </c>
      <c r="Q312" s="18" t="n">
        <v>2</v>
      </c>
      <c r="R312" s="16" t="n">
        <v>1470.41</v>
      </c>
      <c r="S312" s="14" t="inlineStr">
        <is>
          <t>NAVEL TARDIA</t>
        </is>
      </c>
      <c r="T312" s="14" t="inlineStr">
        <is>
          <t>INDUSTRIA</t>
        </is>
      </c>
      <c r="U312" s="19">
        <f>IFERROR(166.386*I312/F312,0)</f>
        <v/>
      </c>
      <c r="V312" s="19">
        <f>IFERROR(166.386*M312/F312,0)</f>
        <v/>
      </c>
      <c r="W312" s="19">
        <f>IFERROR(166.386*L312/F312,0)</f>
        <v/>
      </c>
    </row>
    <row r="313">
      <c r="A313" s="14" t="n">
        <v>2324</v>
      </c>
      <c r="B313" s="14" t="inlineStr">
        <is>
          <t>NAVEL TARDIA</t>
        </is>
      </c>
      <c r="C313" s="15" t="n">
        <v>1544</v>
      </c>
      <c r="D313" s="14" t="inlineStr">
        <is>
          <t>HARO ORDOÑO, ALVARO</t>
        </is>
      </c>
      <c r="E313" s="14" t="inlineStr">
        <is>
          <t>LANE LATE</t>
        </is>
      </c>
      <c r="F313" s="15" t="n">
        <v>3620</v>
      </c>
      <c r="G313" s="16" t="n">
        <v>1122.2</v>
      </c>
      <c r="H313" s="17" t="n">
        <v>0.31</v>
      </c>
      <c r="I313" s="16" t="n">
        <v>0</v>
      </c>
      <c r="J313" s="16" t="n">
        <v>20.37</v>
      </c>
      <c r="K313" s="16" t="n">
        <v>0</v>
      </c>
      <c r="L313" s="16" t="n">
        <v>-32.19</v>
      </c>
      <c r="M313" s="16" t="n">
        <v>0</v>
      </c>
      <c r="N313" s="16" t="n">
        <v>1069.64</v>
      </c>
      <c r="O313" s="17" t="n">
        <v>0.32432</v>
      </c>
      <c r="P313" s="18" t="n">
        <v>12</v>
      </c>
      <c r="Q313" s="18" t="n">
        <v>2</v>
      </c>
      <c r="R313" s="16" t="n">
        <v>1174.04</v>
      </c>
      <c r="S313" s="14" t="inlineStr">
        <is>
          <t>NAVEL TARDIA</t>
        </is>
      </c>
      <c r="T313" s="14" t="inlineStr">
        <is>
          <t>INDUSTRIA</t>
        </is>
      </c>
      <c r="U313" s="19">
        <f>IFERROR(166.386*I313/F313,0)</f>
        <v/>
      </c>
      <c r="V313" s="19">
        <f>IFERROR(166.386*M313/F313,0)</f>
        <v/>
      </c>
      <c r="W313" s="19">
        <f>IFERROR(166.386*L313/F313,0)</f>
        <v/>
      </c>
    </row>
    <row r="314">
      <c r="A314" s="14" t="n">
        <v>2324</v>
      </c>
      <c r="B314" s="14" t="inlineStr">
        <is>
          <t>NAVEL TARDIA</t>
        </is>
      </c>
      <c r="C314" s="15" t="n">
        <v>1597</v>
      </c>
      <c r="D314" s="14" t="inlineStr">
        <is>
          <t>CARBALLO SIRIA, ANTONIO JOSE</t>
        </is>
      </c>
      <c r="E314" s="14" t="inlineStr">
        <is>
          <t>LANE LATE</t>
        </is>
      </c>
      <c r="F314" s="15" t="n">
        <v>881</v>
      </c>
      <c r="G314" s="16" t="n">
        <v>273.11</v>
      </c>
      <c r="H314" s="17" t="n">
        <v>0.31</v>
      </c>
      <c r="I314" s="16" t="n">
        <v>55.06</v>
      </c>
      <c r="J314" s="16" t="n">
        <v>8.08</v>
      </c>
      <c r="K314" s="16" t="n">
        <v>0</v>
      </c>
      <c r="L314" s="16" t="n">
        <v>-9.779999999999999</v>
      </c>
      <c r="M314" s="16" t="n">
        <v>0</v>
      </c>
      <c r="N314" s="16" t="n">
        <v>200.19</v>
      </c>
      <c r="O314" s="17" t="n">
        <v>0.24941</v>
      </c>
      <c r="P314" s="18" t="n">
        <v>12</v>
      </c>
      <c r="Q314" s="18" t="n">
        <v>2</v>
      </c>
      <c r="R314" s="16" t="n">
        <v>219.73</v>
      </c>
      <c r="S314" s="14" t="inlineStr">
        <is>
          <t>NAVEL TARDIA</t>
        </is>
      </c>
      <c r="T314" s="14" t="inlineStr">
        <is>
          <t>INDUSTRIA</t>
        </is>
      </c>
      <c r="U314" s="19">
        <f>IFERROR(166.386*I314/F314,0)</f>
        <v/>
      </c>
      <c r="V314" s="19">
        <f>IFERROR(166.386*M314/F314,0)</f>
        <v/>
      </c>
      <c r="W314" s="19">
        <f>IFERROR(166.386*L314/F314,0)</f>
        <v/>
      </c>
    </row>
    <row r="315">
      <c r="A315" s="14" t="n">
        <v>2324</v>
      </c>
      <c r="B315" s="14" t="inlineStr">
        <is>
          <t>NAVEL TARDIA</t>
        </is>
      </c>
      <c r="C315" s="15" t="n">
        <v>1627</v>
      </c>
      <c r="D315" s="14" t="inlineStr">
        <is>
          <t>FRUTAS ANDALUZAS DE SEVILLA S.L.</t>
        </is>
      </c>
      <c r="E315" s="14" t="inlineStr">
        <is>
          <t>LANE LATE</t>
        </is>
      </c>
      <c r="F315" s="15" t="n">
        <v>4559</v>
      </c>
      <c r="G315" s="16" t="n">
        <v>1413.29</v>
      </c>
      <c r="H315" s="17" t="n">
        <v>0.31</v>
      </c>
      <c r="I315" s="16" t="n">
        <v>0</v>
      </c>
      <c r="J315" s="16" t="n">
        <v>46.1</v>
      </c>
      <c r="K315" s="16" t="n">
        <v>0</v>
      </c>
      <c r="L315" s="16" t="n">
        <v>-23.7</v>
      </c>
      <c r="M315" s="16" t="n">
        <v>0</v>
      </c>
      <c r="N315" s="16" t="n">
        <v>1343.49</v>
      </c>
      <c r="O315" s="17" t="n">
        <v>0.32345</v>
      </c>
      <c r="P315" s="18" t="n">
        <v>12</v>
      </c>
      <c r="Q315" s="18" t="n">
        <v>2</v>
      </c>
      <c r="R315" s="16" t="n">
        <v>1474.61</v>
      </c>
      <c r="S315" s="14" t="inlineStr">
        <is>
          <t>NAVEL TARDIA</t>
        </is>
      </c>
      <c r="T315" s="14" t="inlineStr">
        <is>
          <t>INDUSTRIA</t>
        </is>
      </c>
      <c r="U315" s="19">
        <f>IFERROR(166.386*I315/F315,0)</f>
        <v/>
      </c>
      <c r="V315" s="19">
        <f>IFERROR(166.386*M315/F315,0)</f>
        <v/>
      </c>
      <c r="W315" s="19">
        <f>IFERROR(166.386*L315/F315,0)</f>
        <v/>
      </c>
    </row>
    <row r="316">
      <c r="A316" s="14" t="n">
        <v>2325</v>
      </c>
      <c r="B316" s="14" t="inlineStr">
        <is>
          <t>NAVEL TEMPRANA</t>
        </is>
      </c>
      <c r="C316" s="15" t="n">
        <v>487</v>
      </c>
      <c r="D316" s="14" t="inlineStr">
        <is>
          <t>NUÑEZ ORDOÑEZ,ANGEL CUSTODIO</t>
        </is>
      </c>
      <c r="E316" s="14" t="inlineStr">
        <is>
          <t>NAVELINA</t>
        </is>
      </c>
      <c r="F316" s="15" t="n">
        <v>570</v>
      </c>
      <c r="G316" s="16" t="n">
        <v>176.7</v>
      </c>
      <c r="H316" s="17" t="n">
        <v>0.31</v>
      </c>
      <c r="I316" s="16" t="n">
        <v>35.62</v>
      </c>
      <c r="J316" s="16" t="n">
        <v>10.75</v>
      </c>
      <c r="K316" s="16" t="n">
        <v>0</v>
      </c>
      <c r="L316" s="16" t="n">
        <v>-6.33</v>
      </c>
      <c r="M316" s="16" t="n">
        <v>0</v>
      </c>
      <c r="N316" s="16" t="n">
        <v>124</v>
      </c>
      <c r="O316" s="17" t="n">
        <v>0.23877</v>
      </c>
      <c r="P316" s="18" t="n">
        <v>12</v>
      </c>
      <c r="Q316" s="18" t="n">
        <v>2</v>
      </c>
      <c r="R316" s="16" t="n">
        <v>136.1</v>
      </c>
      <c r="S316" s="14" t="inlineStr">
        <is>
          <t>NAVEL TEMPRANA</t>
        </is>
      </c>
      <c r="T316" s="14" t="inlineStr">
        <is>
          <t>INDUSTRIA</t>
        </is>
      </c>
      <c r="U316" s="19">
        <f>IFERROR(166.386*I316/F316,0)</f>
        <v/>
      </c>
      <c r="V316" s="19">
        <f>IFERROR(166.386*M316/F316,0)</f>
        <v/>
      </c>
      <c r="W316" s="19">
        <f>IFERROR(166.386*L316/F316,0)</f>
        <v/>
      </c>
    </row>
    <row r="317">
      <c r="A317" s="14" t="n">
        <v>2325</v>
      </c>
      <c r="B317" s="14" t="inlineStr">
        <is>
          <t>NAVEL TEMPRANA</t>
        </is>
      </c>
      <c r="C317" s="15" t="n">
        <v>716</v>
      </c>
      <c r="D317" s="14" t="inlineStr">
        <is>
          <t>MARTIN GARCIA,MARIANO</t>
        </is>
      </c>
      <c r="E317" s="14" t="inlineStr">
        <is>
          <t>NEWHALL</t>
        </is>
      </c>
      <c r="F317" s="15" t="n">
        <v>5700</v>
      </c>
      <c r="G317" s="16" t="n">
        <v>1767</v>
      </c>
      <c r="H317" s="17" t="n">
        <v>0.31</v>
      </c>
      <c r="I317" s="16" t="n">
        <v>356.25</v>
      </c>
      <c r="J317" s="16" t="n">
        <v>124.8</v>
      </c>
      <c r="K317" s="16" t="n">
        <v>0</v>
      </c>
      <c r="L317" s="16" t="n">
        <v>-63.27</v>
      </c>
      <c r="M317" s="16" t="n">
        <v>0</v>
      </c>
      <c r="N317" s="16" t="n">
        <v>1222.68</v>
      </c>
      <c r="O317" s="17" t="n">
        <v>0.23544</v>
      </c>
      <c r="P317" s="18" t="n">
        <v>12</v>
      </c>
      <c r="Q317" s="18" t="n">
        <v>2</v>
      </c>
      <c r="R317" s="16" t="n">
        <v>1342.01</v>
      </c>
      <c r="S317" s="14" t="inlineStr">
        <is>
          <t>NAVEL TEMPRANA</t>
        </is>
      </c>
      <c r="T317" s="14" t="inlineStr">
        <is>
          <t>INDUSTRIA</t>
        </is>
      </c>
      <c r="U317" s="19">
        <f>IFERROR(166.386*I317/F317,0)</f>
        <v/>
      </c>
      <c r="V317" s="19">
        <f>IFERROR(166.386*M317/F317,0)</f>
        <v/>
      </c>
      <c r="W317" s="19">
        <f>IFERROR(166.386*L317/F317,0)</f>
        <v/>
      </c>
    </row>
    <row r="318">
      <c r="A318" s="14" t="n">
        <v>2325</v>
      </c>
      <c r="B318" s="14" t="inlineStr">
        <is>
          <t>NAVEL TEMPRANA</t>
        </is>
      </c>
      <c r="C318" s="15" t="n">
        <v>877</v>
      </c>
      <c r="D318" s="14" t="inlineStr">
        <is>
          <t>AGRICOLAS RECUERO  S.C.</t>
        </is>
      </c>
      <c r="E318" s="14" t="inlineStr">
        <is>
          <t>NAVELINA</t>
        </is>
      </c>
      <c r="F318" s="15" t="n">
        <v>995</v>
      </c>
      <c r="G318" s="16" t="n">
        <v>308.45</v>
      </c>
      <c r="H318" s="17" t="n">
        <v>0.31</v>
      </c>
      <c r="I318" s="16" t="n">
        <v>62.19</v>
      </c>
      <c r="J318" s="16" t="n">
        <v>6.19</v>
      </c>
      <c r="K318" s="16" t="n">
        <v>0</v>
      </c>
      <c r="L318" s="16" t="n">
        <v>-11.04</v>
      </c>
      <c r="M318" s="16" t="n">
        <v>0</v>
      </c>
      <c r="N318" s="16" t="n">
        <v>229.03</v>
      </c>
      <c r="O318" s="17" t="n">
        <v>0.25264</v>
      </c>
      <c r="P318" s="18" t="n">
        <v>12</v>
      </c>
      <c r="Q318" s="18" t="n">
        <v>2</v>
      </c>
      <c r="R318" s="16" t="n">
        <v>251.38</v>
      </c>
      <c r="S318" s="14" t="inlineStr">
        <is>
          <t>NAVEL TEMPRANA</t>
        </is>
      </c>
      <c r="T318" s="14" t="inlineStr">
        <is>
          <t>INDUSTRIA</t>
        </is>
      </c>
      <c r="U318" s="19">
        <f>IFERROR(166.386*I318/F318,0)</f>
        <v/>
      </c>
      <c r="V318" s="19">
        <f>IFERROR(166.386*M318/F318,0)</f>
        <v/>
      </c>
      <c r="W318" s="19">
        <f>IFERROR(166.386*L318/F318,0)</f>
        <v/>
      </c>
    </row>
    <row r="319">
      <c r="A319" s="14" t="n">
        <v>2325</v>
      </c>
      <c r="B319" s="14" t="inlineStr">
        <is>
          <t>NAVEL TEMPRANA</t>
        </is>
      </c>
      <c r="C319" s="15" t="n">
        <v>886</v>
      </c>
      <c r="D319" s="14" t="inlineStr">
        <is>
          <t>IGEÑO LUQUE S.C.</t>
        </is>
      </c>
      <c r="E319" s="14" t="inlineStr">
        <is>
          <t>NAVELINA</t>
        </is>
      </c>
      <c r="F319" s="15" t="n">
        <v>277</v>
      </c>
      <c r="G319" s="16" t="n">
        <v>85.87</v>
      </c>
      <c r="H319" s="17" t="n">
        <v>0.31</v>
      </c>
      <c r="I319" s="16" t="n">
        <v>17.31</v>
      </c>
      <c r="J319" s="16" t="n">
        <v>1.41</v>
      </c>
      <c r="K319" s="16" t="n">
        <v>0</v>
      </c>
      <c r="L319" s="16" t="n">
        <v>0</v>
      </c>
      <c r="M319" s="16" t="n">
        <v>0</v>
      </c>
      <c r="N319" s="16" t="n">
        <v>67.15000000000001</v>
      </c>
      <c r="O319" s="17" t="n">
        <v>0.26606</v>
      </c>
      <c r="P319" s="18" t="n">
        <v>12</v>
      </c>
      <c r="Q319" s="18" t="n">
        <v>2</v>
      </c>
      <c r="R319" s="16" t="n">
        <v>73.7</v>
      </c>
      <c r="S319" s="14" t="inlineStr">
        <is>
          <t>NAVEL TEMPRANA</t>
        </is>
      </c>
      <c r="T319" s="14" t="inlineStr">
        <is>
          <t>INDUSTRIA</t>
        </is>
      </c>
      <c r="U319" s="19">
        <f>IFERROR(166.386*I319/F319,0)</f>
        <v/>
      </c>
      <c r="V319" s="19">
        <f>IFERROR(166.386*M319/F319,0)</f>
        <v/>
      </c>
      <c r="W319" s="19">
        <f>IFERROR(166.386*L319/F319,0)</f>
        <v/>
      </c>
    </row>
    <row r="320">
      <c r="A320" s="14" t="n">
        <v>2325</v>
      </c>
      <c r="B320" s="14" t="inlineStr">
        <is>
          <t>NAVEL TEMPRANA</t>
        </is>
      </c>
      <c r="C320" s="15" t="n">
        <v>886</v>
      </c>
      <c r="D320" s="14" t="inlineStr">
        <is>
          <t>IGEÑO LUQUE S.C.</t>
        </is>
      </c>
      <c r="E320" s="14" t="inlineStr">
        <is>
          <t>WASHINGTON</t>
        </is>
      </c>
      <c r="F320" s="15" t="n">
        <v>326</v>
      </c>
      <c r="G320" s="16" t="n">
        <v>101.06</v>
      </c>
      <c r="H320" s="17" t="n">
        <v>0.31</v>
      </c>
      <c r="I320" s="16" t="n">
        <v>20.38</v>
      </c>
      <c r="J320" s="16" t="n">
        <v>1.66</v>
      </c>
      <c r="K320" s="16" t="n">
        <v>0</v>
      </c>
      <c r="L320" s="16" t="n">
        <v>-1.81</v>
      </c>
      <c r="M320" s="16" t="n">
        <v>0</v>
      </c>
      <c r="N320" s="16" t="n">
        <v>77.20999999999999</v>
      </c>
      <c r="O320" s="17" t="n">
        <v>0.25997</v>
      </c>
      <c r="P320" s="18" t="n">
        <v>12</v>
      </c>
      <c r="Q320" s="18" t="n">
        <v>2</v>
      </c>
      <c r="R320" s="16" t="n">
        <v>84.75</v>
      </c>
      <c r="S320" s="14" t="inlineStr">
        <is>
          <t>NAVEL TEMPRANA</t>
        </is>
      </c>
      <c r="T320" s="14" t="inlineStr">
        <is>
          <t>INDUSTRIA</t>
        </is>
      </c>
      <c r="U320" s="19">
        <f>IFERROR(166.386*I320/F320,0)</f>
        <v/>
      </c>
      <c r="V320" s="19">
        <f>IFERROR(166.386*M320/F320,0)</f>
        <v/>
      </c>
      <c r="W320" s="19">
        <f>IFERROR(166.386*L320/F320,0)</f>
        <v/>
      </c>
    </row>
    <row r="321">
      <c r="A321" s="14" t="n">
        <v>2325</v>
      </c>
      <c r="B321" s="14" t="inlineStr">
        <is>
          <t>NAVEL TEMPRANA</t>
        </is>
      </c>
      <c r="C321" s="15" t="n">
        <v>1099</v>
      </c>
      <c r="D321" s="14" t="inlineStr">
        <is>
          <t>CUEVAS MORGADO,RAFAEL</t>
        </is>
      </c>
      <c r="E321" s="14" t="inlineStr">
        <is>
          <t>NAVELINA</t>
        </is>
      </c>
      <c r="F321" s="15" t="n">
        <v>1224</v>
      </c>
      <c r="G321" s="16" t="n">
        <v>379.44</v>
      </c>
      <c r="H321" s="17" t="n">
        <v>0.31</v>
      </c>
      <c r="I321" s="16" t="n">
        <v>0</v>
      </c>
      <c r="J321" s="16" t="n">
        <v>17.83</v>
      </c>
      <c r="K321" s="16" t="n">
        <v>0</v>
      </c>
      <c r="L321" s="16" t="n">
        <v>-13.59</v>
      </c>
      <c r="M321" s="16" t="n">
        <v>0</v>
      </c>
      <c r="N321" s="16" t="n">
        <v>348.02</v>
      </c>
      <c r="O321" s="17" t="n">
        <v>0.31208</v>
      </c>
      <c r="P321" s="18" t="n">
        <v>12</v>
      </c>
      <c r="Q321" s="18" t="n">
        <v>2</v>
      </c>
      <c r="R321" s="16" t="n">
        <v>381.99</v>
      </c>
      <c r="S321" s="14" t="inlineStr">
        <is>
          <t>NAVEL TEMPRANA</t>
        </is>
      </c>
      <c r="T321" s="14" t="inlineStr">
        <is>
          <t>INDUSTRIA</t>
        </is>
      </c>
      <c r="U321" s="19">
        <f>IFERROR(166.386*I321/F321,0)</f>
        <v/>
      </c>
      <c r="V321" s="19">
        <f>IFERROR(166.386*M321/F321,0)</f>
        <v/>
      </c>
      <c r="W321" s="19">
        <f>IFERROR(166.386*L321/F321,0)</f>
        <v/>
      </c>
    </row>
    <row r="322">
      <c r="A322" s="14" t="n">
        <v>2325</v>
      </c>
      <c r="B322" s="14" t="inlineStr">
        <is>
          <t>NAVEL TEMPRANA</t>
        </is>
      </c>
      <c r="C322" s="15" t="n">
        <v>1103</v>
      </c>
      <c r="D322" s="14" t="inlineStr">
        <is>
          <t>MARTIN RUIZ,JOSE</t>
        </is>
      </c>
      <c r="E322" s="14" t="inlineStr">
        <is>
          <t>NAVELINA</t>
        </is>
      </c>
      <c r="F322" s="15" t="n">
        <v>402</v>
      </c>
      <c r="G322" s="16" t="n">
        <v>124.62</v>
      </c>
      <c r="H322" s="17" t="n">
        <v>0.31</v>
      </c>
      <c r="I322" s="16" t="n">
        <v>24.92</v>
      </c>
      <c r="J322" s="16" t="n">
        <v>3.75</v>
      </c>
      <c r="K322" s="16" t="n">
        <v>0</v>
      </c>
      <c r="L322" s="16" t="n">
        <v>-4.46</v>
      </c>
      <c r="M322" s="16" t="n">
        <v>0</v>
      </c>
      <c r="N322" s="16" t="n">
        <v>91.48999999999999</v>
      </c>
      <c r="O322" s="17" t="n">
        <v>0.2498</v>
      </c>
      <c r="P322" s="18" t="n">
        <v>12</v>
      </c>
      <c r="Q322" s="18" t="n">
        <v>2</v>
      </c>
      <c r="R322" s="16" t="n">
        <v>100.42</v>
      </c>
      <c r="S322" s="14" t="inlineStr">
        <is>
          <t>NAVEL TEMPRANA</t>
        </is>
      </c>
      <c r="T322" s="14" t="inlineStr">
        <is>
          <t>INDUSTRIA</t>
        </is>
      </c>
      <c r="U322" s="19">
        <f>IFERROR(166.386*I322/F322,0)</f>
        <v/>
      </c>
      <c r="V322" s="19">
        <f>IFERROR(166.386*M322/F322,0)</f>
        <v/>
      </c>
      <c r="W322" s="19">
        <f>IFERROR(166.386*L322/F322,0)</f>
        <v/>
      </c>
    </row>
    <row r="323">
      <c r="A323" s="14" t="n">
        <v>2325</v>
      </c>
      <c r="B323" s="14" t="inlineStr">
        <is>
          <t>NAVEL TEMPRANA</t>
        </is>
      </c>
      <c r="C323" s="15" t="n">
        <v>1111</v>
      </c>
      <c r="D323" s="14" t="inlineStr">
        <is>
          <t>LACAL GUIL,MERCEDES</t>
        </is>
      </c>
      <c r="E323" s="14" t="inlineStr">
        <is>
          <t>WASHINGTON</t>
        </is>
      </c>
      <c r="F323" s="15" t="n">
        <v>8880</v>
      </c>
      <c r="G323" s="16" t="n">
        <v>2752.8</v>
      </c>
      <c r="H323" s="17" t="n">
        <v>0.31</v>
      </c>
      <c r="I323" s="16" t="n">
        <v>555</v>
      </c>
      <c r="J323" s="16" t="n">
        <v>72.73999999999999</v>
      </c>
      <c r="K323" s="16" t="n">
        <v>0</v>
      </c>
      <c r="L323" s="16" t="n">
        <v>0</v>
      </c>
      <c r="M323" s="16" t="n">
        <v>0</v>
      </c>
      <c r="N323" s="16" t="n">
        <v>2125.06</v>
      </c>
      <c r="O323" s="17" t="n">
        <v>0.26267</v>
      </c>
      <c r="P323" s="18" t="n">
        <v>12</v>
      </c>
      <c r="Q323" s="18" t="n">
        <v>2</v>
      </c>
      <c r="R323" s="16" t="n">
        <v>2332.47</v>
      </c>
      <c r="S323" s="14" t="inlineStr">
        <is>
          <t>NAVEL TEMPRANA</t>
        </is>
      </c>
      <c r="T323" s="14" t="inlineStr">
        <is>
          <t>INDUSTRIA</t>
        </is>
      </c>
      <c r="U323" s="19">
        <f>IFERROR(166.386*I323/F323,0)</f>
        <v/>
      </c>
      <c r="V323" s="19">
        <f>IFERROR(166.386*M323/F323,0)</f>
        <v/>
      </c>
      <c r="W323" s="19">
        <f>IFERROR(166.386*L323/F323,0)</f>
        <v/>
      </c>
    </row>
    <row r="324">
      <c r="A324" s="14" t="n">
        <v>2325</v>
      </c>
      <c r="B324" s="14" t="inlineStr">
        <is>
          <t>NAVEL TEMPRANA</t>
        </is>
      </c>
      <c r="C324" s="15" t="n">
        <v>1129</v>
      </c>
      <c r="D324" s="14" t="inlineStr">
        <is>
          <t>MIÑANA JARDON,JOSE MANUEL</t>
        </is>
      </c>
      <c r="E324" s="14" t="inlineStr">
        <is>
          <t>WASHINGTON</t>
        </is>
      </c>
      <c r="F324" s="15" t="n">
        <v>3902</v>
      </c>
      <c r="G324" s="16" t="n">
        <v>1209.62</v>
      </c>
      <c r="H324" s="17" t="n">
        <v>0.31</v>
      </c>
      <c r="I324" s="16" t="n">
        <v>258.57</v>
      </c>
      <c r="J324" s="16" t="n">
        <v>42.01</v>
      </c>
      <c r="K324" s="16" t="n">
        <v>0</v>
      </c>
      <c r="L324" s="16" t="n">
        <v>-26.14</v>
      </c>
      <c r="M324" s="16" t="n">
        <v>0</v>
      </c>
      <c r="N324" s="16" t="n">
        <v>882.9</v>
      </c>
      <c r="O324" s="17" t="n">
        <v>0.24835</v>
      </c>
      <c r="P324" s="18" t="n">
        <v>12</v>
      </c>
      <c r="Q324" s="18" t="n">
        <v>2</v>
      </c>
      <c r="R324" s="16" t="n">
        <v>969.0700000000001</v>
      </c>
      <c r="S324" s="14" t="inlineStr">
        <is>
          <t>NAVEL TEMPRANA</t>
        </is>
      </c>
      <c r="T324" s="14" t="inlineStr">
        <is>
          <t>INDUSTRIA</t>
        </is>
      </c>
      <c r="U324" s="19">
        <f>IFERROR(166.386*I324/F324,0)</f>
        <v/>
      </c>
      <c r="V324" s="19">
        <f>IFERROR(166.386*M324/F324,0)</f>
        <v/>
      </c>
      <c r="W324" s="19">
        <f>IFERROR(166.386*L324/F324,0)</f>
        <v/>
      </c>
    </row>
    <row r="325">
      <c r="A325" s="14" t="n">
        <v>2325</v>
      </c>
      <c r="B325" s="14" t="inlineStr">
        <is>
          <t>NAVEL TEMPRANA</t>
        </is>
      </c>
      <c r="C325" s="15" t="n">
        <v>1184</v>
      </c>
      <c r="D325" s="14" t="inlineStr">
        <is>
          <t>CLUB DE CAMPO LAS LAGUNAS</t>
        </is>
      </c>
      <c r="E325" s="14" t="inlineStr">
        <is>
          <t>NEWHALL</t>
        </is>
      </c>
      <c r="F325" s="15" t="n">
        <v>7593</v>
      </c>
      <c r="G325" s="16" t="n">
        <v>2353.83</v>
      </c>
      <c r="H325" s="17" t="n">
        <v>0.31</v>
      </c>
      <c r="I325" s="16" t="n">
        <v>484.31</v>
      </c>
      <c r="J325" s="16" t="n">
        <v>69.29000000000001</v>
      </c>
      <c r="K325" s="16" t="n">
        <v>0</v>
      </c>
      <c r="L325" s="16" t="n">
        <v>-84.28</v>
      </c>
      <c r="M325" s="16" t="n">
        <v>0</v>
      </c>
      <c r="N325" s="16" t="n">
        <v>1715.95</v>
      </c>
      <c r="O325" s="17" t="n">
        <v>0.23503</v>
      </c>
      <c r="P325" s="18" t="n">
        <v>4</v>
      </c>
      <c r="Q325" s="18" t="n">
        <v>0</v>
      </c>
      <c r="R325" s="16" t="n">
        <v>1784.59</v>
      </c>
      <c r="S325" s="14" t="inlineStr">
        <is>
          <t>NAVEL TEMPRANA</t>
        </is>
      </c>
      <c r="T325" s="14" t="inlineStr">
        <is>
          <t>INDUSTRIA</t>
        </is>
      </c>
      <c r="U325" s="19">
        <f>IFERROR(166.386*I325/F325,0)</f>
        <v/>
      </c>
      <c r="V325" s="19">
        <f>IFERROR(166.386*M325/F325,0)</f>
        <v/>
      </c>
      <c r="W325" s="19">
        <f>IFERROR(166.386*L325/F325,0)</f>
        <v/>
      </c>
    </row>
    <row r="326">
      <c r="A326" s="14" t="n">
        <v>2325</v>
      </c>
      <c r="B326" s="14" t="inlineStr">
        <is>
          <t>NAVEL TEMPRANA</t>
        </is>
      </c>
      <c r="C326" s="15" t="n">
        <v>1197</v>
      </c>
      <c r="D326" s="14" t="inlineStr">
        <is>
          <t>MUNZON FERNANDEZ,ANTONIO</t>
        </is>
      </c>
      <c r="E326" s="14" t="inlineStr">
        <is>
          <t>NAVELINA</t>
        </is>
      </c>
      <c r="F326" s="15" t="n">
        <v>1385</v>
      </c>
      <c r="G326" s="16" t="n">
        <v>429.35</v>
      </c>
      <c r="H326" s="17" t="n">
        <v>0.31</v>
      </c>
      <c r="I326" s="16" t="n">
        <v>86.56</v>
      </c>
      <c r="J326" s="16" t="n">
        <v>12.66</v>
      </c>
      <c r="K326" s="16" t="n">
        <v>0</v>
      </c>
      <c r="L326" s="16" t="n">
        <v>0</v>
      </c>
      <c r="M326" s="16" t="n">
        <v>0</v>
      </c>
      <c r="N326" s="16" t="n">
        <v>330.13</v>
      </c>
      <c r="O326" s="17" t="n">
        <v>0.26162</v>
      </c>
      <c r="P326" s="18" t="n">
        <v>12</v>
      </c>
      <c r="Q326" s="18" t="n">
        <v>2</v>
      </c>
      <c r="R326" s="16" t="n">
        <v>362.35</v>
      </c>
      <c r="S326" s="14" t="inlineStr">
        <is>
          <t>NAVEL TEMPRANA</t>
        </is>
      </c>
      <c r="T326" s="14" t="inlineStr">
        <is>
          <t>INDUSTRIA</t>
        </is>
      </c>
      <c r="U326" s="19">
        <f>IFERROR(166.386*I326/F326,0)</f>
        <v/>
      </c>
      <c r="V326" s="19">
        <f>IFERROR(166.386*M326/F326,0)</f>
        <v/>
      </c>
      <c r="W326" s="19">
        <f>IFERROR(166.386*L326/F326,0)</f>
        <v/>
      </c>
    </row>
    <row r="327">
      <c r="A327" s="14" t="n">
        <v>2325</v>
      </c>
      <c r="B327" s="14" t="inlineStr">
        <is>
          <t>NAVEL TEMPRANA</t>
        </is>
      </c>
      <c r="C327" s="15" t="n">
        <v>1197</v>
      </c>
      <c r="D327" s="14" t="inlineStr">
        <is>
          <t>MUNZON FERNANDEZ,ANTONIO</t>
        </is>
      </c>
      <c r="E327" s="14" t="inlineStr">
        <is>
          <t>NEWHALL</t>
        </is>
      </c>
      <c r="F327" s="15" t="n">
        <v>6418</v>
      </c>
      <c r="G327" s="16" t="n">
        <v>1989.58</v>
      </c>
      <c r="H327" s="17" t="n">
        <v>0.31</v>
      </c>
      <c r="I327" s="16" t="n">
        <v>401.13</v>
      </c>
      <c r="J327" s="16" t="n">
        <v>58.68</v>
      </c>
      <c r="K327" s="16" t="n">
        <v>0</v>
      </c>
      <c r="L327" s="16" t="n">
        <v>0</v>
      </c>
      <c r="M327" s="16" t="n">
        <v>0</v>
      </c>
      <c r="N327" s="16" t="n">
        <v>1529.77</v>
      </c>
      <c r="O327" s="17" t="n">
        <v>0.26162</v>
      </c>
      <c r="P327" s="18" t="n">
        <v>12</v>
      </c>
      <c r="Q327" s="18" t="n">
        <v>2</v>
      </c>
      <c r="R327" s="16" t="n">
        <v>1679.08</v>
      </c>
      <c r="S327" s="14" t="inlineStr">
        <is>
          <t>NAVEL TEMPRANA</t>
        </is>
      </c>
      <c r="T327" s="14" t="inlineStr">
        <is>
          <t>INDUSTRIA</t>
        </is>
      </c>
      <c r="U327" s="19">
        <f>IFERROR(166.386*I327/F327,0)</f>
        <v/>
      </c>
      <c r="V327" s="19">
        <f>IFERROR(166.386*M327/F327,0)</f>
        <v/>
      </c>
      <c r="W327" s="19">
        <f>IFERROR(166.386*L327/F327,0)</f>
        <v/>
      </c>
    </row>
    <row r="328">
      <c r="A328" s="14" t="n">
        <v>2325</v>
      </c>
      <c r="B328" s="14" t="inlineStr">
        <is>
          <t>NAVEL TEMPRANA</t>
        </is>
      </c>
      <c r="C328" s="15" t="n">
        <v>1272</v>
      </c>
      <c r="D328" s="14" t="inlineStr">
        <is>
          <t>HERMANOS GONZALEZ ROLDAN,S.C.</t>
        </is>
      </c>
      <c r="E328" s="14" t="inlineStr">
        <is>
          <t>NEWHALL</t>
        </is>
      </c>
      <c r="F328" s="15" t="n">
        <v>703</v>
      </c>
      <c r="G328" s="16" t="n">
        <v>217.93</v>
      </c>
      <c r="H328" s="17" t="n">
        <v>0.31</v>
      </c>
      <c r="I328" s="16" t="n">
        <v>43.94</v>
      </c>
      <c r="J328" s="16" t="n">
        <v>12.92</v>
      </c>
      <c r="K328" s="16" t="n">
        <v>0</v>
      </c>
      <c r="L328" s="16" t="n">
        <v>-7.8</v>
      </c>
      <c r="M328" s="16" t="n">
        <v>0</v>
      </c>
      <c r="N328" s="16" t="n">
        <v>153.27</v>
      </c>
      <c r="O328" s="17" t="n">
        <v>0.2393</v>
      </c>
      <c r="P328" s="18" t="n">
        <v>12</v>
      </c>
      <c r="Q328" s="18" t="n">
        <v>2</v>
      </c>
      <c r="R328" s="16" t="n">
        <v>168.23</v>
      </c>
      <c r="S328" s="14" t="inlineStr">
        <is>
          <t>NAVEL TEMPRANA</t>
        </is>
      </c>
      <c r="T328" s="14" t="inlineStr">
        <is>
          <t>INDUSTRIA</t>
        </is>
      </c>
      <c r="U328" s="19">
        <f>IFERROR(166.386*I328/F328,0)</f>
        <v/>
      </c>
      <c r="V328" s="19">
        <f>IFERROR(166.386*M328/F328,0)</f>
        <v/>
      </c>
      <c r="W328" s="19">
        <f>IFERROR(166.386*L328/F328,0)</f>
        <v/>
      </c>
    </row>
    <row r="329">
      <c r="A329" s="14" t="n">
        <v>2325</v>
      </c>
      <c r="B329" s="14" t="inlineStr">
        <is>
          <t>NAVEL TEMPRANA</t>
        </is>
      </c>
      <c r="C329" s="15" t="n">
        <v>1278</v>
      </c>
      <c r="D329" s="14" t="inlineStr">
        <is>
          <t>CALDERO PATO,ANGELES</t>
        </is>
      </c>
      <c r="E329" s="14" t="inlineStr">
        <is>
          <t>NAVELINA</t>
        </is>
      </c>
      <c r="F329" s="15" t="n">
        <v>225</v>
      </c>
      <c r="G329" s="16" t="n">
        <v>69.75</v>
      </c>
      <c r="H329" s="17" t="n">
        <v>0.31</v>
      </c>
      <c r="I329" s="16" t="n">
        <v>14.06</v>
      </c>
      <c r="J329" s="16" t="n">
        <v>2.37</v>
      </c>
      <c r="K329" s="16" t="n">
        <v>0</v>
      </c>
      <c r="L329" s="16" t="n">
        <v>-2.5</v>
      </c>
      <c r="M329" s="16" t="n">
        <v>0</v>
      </c>
      <c r="N329" s="16" t="n">
        <v>50.82</v>
      </c>
      <c r="O329" s="17" t="n">
        <v>0.24791</v>
      </c>
      <c r="P329" s="18" t="n">
        <v>12</v>
      </c>
      <c r="Q329" s="18" t="n">
        <v>2</v>
      </c>
      <c r="R329" s="16" t="n">
        <v>55.78</v>
      </c>
      <c r="S329" s="14" t="inlineStr">
        <is>
          <t>NAVEL TEMPRANA</t>
        </is>
      </c>
      <c r="T329" s="14" t="inlineStr">
        <is>
          <t>INDUSTRIA</t>
        </is>
      </c>
      <c r="U329" s="19">
        <f>IFERROR(166.386*I329/F329,0)</f>
        <v/>
      </c>
      <c r="V329" s="19">
        <f>IFERROR(166.386*M329/F329,0)</f>
        <v/>
      </c>
      <c r="W329" s="19">
        <f>IFERROR(166.386*L329/F329,0)</f>
        <v/>
      </c>
    </row>
    <row r="330">
      <c r="A330" s="14" t="n">
        <v>2325</v>
      </c>
      <c r="B330" s="14" t="inlineStr">
        <is>
          <t>NAVEL TEMPRANA</t>
        </is>
      </c>
      <c r="C330" s="15" t="n">
        <v>1301</v>
      </c>
      <c r="D330" s="14" t="inlineStr">
        <is>
          <t>BEREÑO REY,ENCARNACION</t>
        </is>
      </c>
      <c r="E330" s="14" t="inlineStr">
        <is>
          <t>NAVELINA</t>
        </is>
      </c>
      <c r="F330" s="15" t="n">
        <v>201</v>
      </c>
      <c r="G330" s="16" t="n">
        <v>62.31</v>
      </c>
      <c r="H330" s="17" t="n">
        <v>0.31</v>
      </c>
      <c r="I330" s="16" t="n">
        <v>12.56</v>
      </c>
      <c r="J330" s="16" t="n">
        <v>1.85</v>
      </c>
      <c r="K330" s="16" t="n">
        <v>0</v>
      </c>
      <c r="L330" s="16" t="n">
        <v>-2.23</v>
      </c>
      <c r="M330" s="16" t="n">
        <v>0</v>
      </c>
      <c r="N330" s="16" t="n">
        <v>45.67</v>
      </c>
      <c r="O330" s="17" t="n">
        <v>0.2494</v>
      </c>
      <c r="P330" s="18" t="n">
        <v>12</v>
      </c>
      <c r="Q330" s="18" t="n">
        <v>2</v>
      </c>
      <c r="R330" s="16" t="n">
        <v>50.13</v>
      </c>
      <c r="S330" s="14" t="inlineStr">
        <is>
          <t>NAVEL TEMPRANA</t>
        </is>
      </c>
      <c r="T330" s="14" t="inlineStr">
        <is>
          <t>INDUSTRIA</t>
        </is>
      </c>
      <c r="U330" s="19">
        <f>IFERROR(166.386*I330/F330,0)</f>
        <v/>
      </c>
      <c r="V330" s="19">
        <f>IFERROR(166.386*M330/F330,0)</f>
        <v/>
      </c>
      <c r="W330" s="19">
        <f>IFERROR(166.386*L330/F330,0)</f>
        <v/>
      </c>
    </row>
    <row r="331">
      <c r="A331" s="14" t="n">
        <v>2325</v>
      </c>
      <c r="B331" s="14" t="inlineStr">
        <is>
          <t>NAVEL TEMPRANA</t>
        </is>
      </c>
      <c r="C331" s="15" t="n">
        <v>1316</v>
      </c>
      <c r="D331" s="14" t="inlineStr">
        <is>
          <t>JIMENA GARCIA,JUAN MANUEL</t>
        </is>
      </c>
      <c r="E331" s="14" t="inlineStr">
        <is>
          <t>WASHINGTON</t>
        </is>
      </c>
      <c r="F331" s="15" t="n">
        <v>1156</v>
      </c>
      <c r="G331" s="16" t="n">
        <v>358.36</v>
      </c>
      <c r="H331" s="17" t="n">
        <v>0.31</v>
      </c>
      <c r="I331" s="16" t="n">
        <v>72</v>
      </c>
      <c r="J331" s="16" t="n">
        <v>7.77</v>
      </c>
      <c r="K331" s="16" t="n">
        <v>0</v>
      </c>
      <c r="L331" s="16" t="n">
        <v>-12.83</v>
      </c>
      <c r="M331" s="16" t="n">
        <v>0</v>
      </c>
      <c r="N331" s="16" t="n">
        <v>265.76</v>
      </c>
      <c r="O331" s="17" t="n">
        <v>0.25234</v>
      </c>
      <c r="P331" s="18" t="n">
        <v>12</v>
      </c>
      <c r="Q331" s="18" t="n">
        <v>2</v>
      </c>
      <c r="R331" s="16" t="n">
        <v>291.7</v>
      </c>
      <c r="S331" s="14" t="inlineStr">
        <is>
          <t>NAVEL TEMPRANA</t>
        </is>
      </c>
      <c r="T331" s="14" t="inlineStr">
        <is>
          <t>INDUSTRIA</t>
        </is>
      </c>
      <c r="U331" s="19">
        <f>IFERROR(166.386*I331/F331,0)</f>
        <v/>
      </c>
      <c r="V331" s="19">
        <f>IFERROR(166.386*M331/F331,0)</f>
        <v/>
      </c>
      <c r="W331" s="19">
        <f>IFERROR(166.386*L331/F331,0)</f>
        <v/>
      </c>
    </row>
    <row r="332">
      <c r="A332" s="14" t="n">
        <v>2325</v>
      </c>
      <c r="B332" s="14" t="inlineStr">
        <is>
          <t>NAVEL TEMPRANA</t>
        </is>
      </c>
      <c r="C332" s="15" t="n">
        <v>1350</v>
      </c>
      <c r="D332" s="14" t="inlineStr">
        <is>
          <t>FAMILIA GONZALEZ LACAL S.C.</t>
        </is>
      </c>
      <c r="E332" s="14" t="inlineStr">
        <is>
          <t>NEWHALL</t>
        </is>
      </c>
      <c r="F332" s="15" t="n">
        <v>5200</v>
      </c>
      <c r="G332" s="16" t="n">
        <v>1612</v>
      </c>
      <c r="H332" s="17" t="n">
        <v>0.31</v>
      </c>
      <c r="I332" s="16" t="n">
        <v>325</v>
      </c>
      <c r="J332" s="16" t="n">
        <v>72.63</v>
      </c>
      <c r="K332" s="16" t="n">
        <v>0</v>
      </c>
      <c r="L332" s="16" t="n">
        <v>0</v>
      </c>
      <c r="M332" s="16" t="n">
        <v>0</v>
      </c>
      <c r="N332" s="16" t="n">
        <v>1214.37</v>
      </c>
      <c r="O332" s="17" t="n">
        <v>0.25633</v>
      </c>
      <c r="P332" s="18" t="n">
        <v>12</v>
      </c>
      <c r="Q332" s="18" t="n">
        <v>2</v>
      </c>
      <c r="R332" s="16" t="n">
        <v>1332.89</v>
      </c>
      <c r="S332" s="14" t="inlineStr">
        <is>
          <t>NAVEL TEMPRANA</t>
        </is>
      </c>
      <c r="T332" s="14" t="inlineStr">
        <is>
          <t>INDUSTRIA</t>
        </is>
      </c>
      <c r="U332" s="19">
        <f>IFERROR(166.386*I332/F332,0)</f>
        <v/>
      </c>
      <c r="V332" s="19">
        <f>IFERROR(166.386*M332/F332,0)</f>
        <v/>
      </c>
      <c r="W332" s="19">
        <f>IFERROR(166.386*L332/F332,0)</f>
        <v/>
      </c>
    </row>
    <row r="333">
      <c r="A333" s="14" t="n">
        <v>2325</v>
      </c>
      <c r="B333" s="14" t="inlineStr">
        <is>
          <t>NAVEL TEMPRANA</t>
        </is>
      </c>
      <c r="C333" s="15" t="n">
        <v>1395</v>
      </c>
      <c r="D333" s="14" t="inlineStr">
        <is>
          <t>AGRICOLA HERMANOS BUIZA S.C.</t>
        </is>
      </c>
      <c r="E333" s="14" t="inlineStr">
        <is>
          <t>NAVELINA</t>
        </is>
      </c>
      <c r="F333" s="15" t="n">
        <v>325</v>
      </c>
      <c r="G333" s="16" t="n">
        <v>100.75</v>
      </c>
      <c r="H333" s="17" t="n">
        <v>0.31</v>
      </c>
      <c r="I333" s="16" t="n">
        <v>0</v>
      </c>
      <c r="J333" s="16" t="n">
        <v>1.23</v>
      </c>
      <c r="K333" s="16" t="n">
        <v>0</v>
      </c>
      <c r="L333" s="16" t="n">
        <v>0</v>
      </c>
      <c r="M333" s="16" t="n">
        <v>0</v>
      </c>
      <c r="N333" s="16" t="n">
        <v>99.52</v>
      </c>
      <c r="O333" s="17" t="n">
        <v>0.33609</v>
      </c>
      <c r="P333" s="18" t="n">
        <v>12</v>
      </c>
      <c r="Q333" s="18" t="n">
        <v>2</v>
      </c>
      <c r="R333" s="16" t="n">
        <v>109.23</v>
      </c>
      <c r="S333" s="14" t="inlineStr">
        <is>
          <t>NAVEL TEMPRANA</t>
        </is>
      </c>
      <c r="T333" s="14" t="inlineStr">
        <is>
          <t>INDUSTRIA</t>
        </is>
      </c>
      <c r="U333" s="19">
        <f>IFERROR(166.386*I333/F333,0)</f>
        <v/>
      </c>
      <c r="V333" s="19">
        <f>IFERROR(166.386*M333/F333,0)</f>
        <v/>
      </c>
      <c r="W333" s="19">
        <f>IFERROR(166.386*L333/F333,0)</f>
        <v/>
      </c>
    </row>
    <row r="334">
      <c r="A334" s="14" t="n">
        <v>2325</v>
      </c>
      <c r="B334" s="14" t="inlineStr">
        <is>
          <t>NAVEL TEMPRANA</t>
        </is>
      </c>
      <c r="C334" s="15" t="n">
        <v>1411</v>
      </c>
      <c r="D334" s="14" t="inlineStr">
        <is>
          <t>HERMANOS PEÑA GRIÑAN S.C.</t>
        </is>
      </c>
      <c r="E334" s="14" t="inlineStr">
        <is>
          <t>NAVELINA</t>
        </is>
      </c>
      <c r="F334" s="15" t="n">
        <v>61543</v>
      </c>
      <c r="G334" s="16" t="n">
        <v>19078.33</v>
      </c>
      <c r="H334" s="17" t="n">
        <v>0.31</v>
      </c>
      <c r="I334" s="16" t="n">
        <v>3843.81</v>
      </c>
      <c r="J334" s="16" t="n">
        <v>510.91</v>
      </c>
      <c r="K334" s="16" t="n">
        <v>0</v>
      </c>
      <c r="L334" s="16" t="n">
        <v>-683.13</v>
      </c>
      <c r="M334" s="16" t="n">
        <v>0</v>
      </c>
      <c r="N334" s="16" t="n">
        <v>14040.48</v>
      </c>
      <c r="O334" s="17" t="n">
        <v>0.25041</v>
      </c>
      <c r="P334" s="18" t="n">
        <v>12</v>
      </c>
      <c r="Q334" s="18" t="n">
        <v>2</v>
      </c>
      <c r="R334" s="16" t="n">
        <v>15410.83</v>
      </c>
      <c r="S334" s="14" t="inlineStr">
        <is>
          <t>NAVEL TEMPRANA</t>
        </is>
      </c>
      <c r="T334" s="14" t="inlineStr">
        <is>
          <t>INDUSTRIA</t>
        </is>
      </c>
      <c r="U334" s="19">
        <f>IFERROR(166.386*I334/F334,0)</f>
        <v/>
      </c>
      <c r="V334" s="19">
        <f>IFERROR(166.386*M334/F334,0)</f>
        <v/>
      </c>
      <c r="W334" s="19">
        <f>IFERROR(166.386*L334/F334,0)</f>
        <v/>
      </c>
    </row>
    <row r="335">
      <c r="A335" s="14" t="n">
        <v>2325</v>
      </c>
      <c r="B335" s="14" t="inlineStr">
        <is>
          <t>NAVEL TEMPRANA</t>
        </is>
      </c>
      <c r="C335" s="15" t="n">
        <v>1411</v>
      </c>
      <c r="D335" s="14" t="inlineStr">
        <is>
          <t>HERMANOS PEÑA GRIÑAN S.C.</t>
        </is>
      </c>
      <c r="E335" s="14" t="inlineStr">
        <is>
          <t>WASHINGTON</t>
        </is>
      </c>
      <c r="F335" s="15" t="n">
        <v>5410</v>
      </c>
      <c r="G335" s="16" t="n">
        <v>1677.1</v>
      </c>
      <c r="H335" s="17" t="n">
        <v>0.31</v>
      </c>
      <c r="I335" s="16" t="n">
        <v>338.13</v>
      </c>
      <c r="J335" s="16" t="n">
        <v>44.91</v>
      </c>
      <c r="K335" s="16" t="n">
        <v>0</v>
      </c>
      <c r="L335" s="16" t="n">
        <v>-60.05</v>
      </c>
      <c r="M335" s="16" t="n">
        <v>0</v>
      </c>
      <c r="N335" s="16" t="n">
        <v>1234.01</v>
      </c>
      <c r="O335" s="17" t="n">
        <v>0.25036</v>
      </c>
      <c r="P335" s="18" t="n">
        <v>12</v>
      </c>
      <c r="Q335" s="18" t="n">
        <v>2</v>
      </c>
      <c r="R335" s="16" t="n">
        <v>1354.45</v>
      </c>
      <c r="S335" s="14" t="inlineStr">
        <is>
          <t>NAVEL TEMPRANA</t>
        </is>
      </c>
      <c r="T335" s="14" t="inlineStr">
        <is>
          <t>INDUSTRIA</t>
        </is>
      </c>
      <c r="U335" s="19">
        <f>IFERROR(166.386*I335/F335,0)</f>
        <v/>
      </c>
      <c r="V335" s="19">
        <f>IFERROR(166.386*M335/F335,0)</f>
        <v/>
      </c>
      <c r="W335" s="19">
        <f>IFERROR(166.386*L335/F335,0)</f>
        <v/>
      </c>
    </row>
    <row r="336">
      <c r="A336" s="14" t="n">
        <v>2325</v>
      </c>
      <c r="B336" s="14" t="inlineStr">
        <is>
          <t>NAVEL TEMPRANA</t>
        </is>
      </c>
      <c r="C336" s="15" t="n">
        <v>1429</v>
      </c>
      <c r="D336" s="14" t="inlineStr">
        <is>
          <t>MARTINEZ LOPEZ DE ROZAS,JUAN</t>
        </is>
      </c>
      <c r="E336" s="14" t="inlineStr">
        <is>
          <t>NAVELATE</t>
        </is>
      </c>
      <c r="F336" s="15" t="n">
        <v>301</v>
      </c>
      <c r="G336" s="16" t="n">
        <v>93.31</v>
      </c>
      <c r="H336" s="17" t="n">
        <v>0.31</v>
      </c>
      <c r="I336" s="16" t="n">
        <v>18.81</v>
      </c>
      <c r="J336" s="16" t="n">
        <v>2.98</v>
      </c>
      <c r="K336" s="16" t="n">
        <v>0</v>
      </c>
      <c r="L336" s="16" t="n">
        <v>-3.34</v>
      </c>
      <c r="M336" s="16" t="n">
        <v>0</v>
      </c>
      <c r="N336" s="16" t="n">
        <v>68.18000000000001</v>
      </c>
      <c r="O336" s="17" t="n">
        <v>0.2486</v>
      </c>
      <c r="P336" s="18" t="n">
        <v>12</v>
      </c>
      <c r="Q336" s="18" t="n">
        <v>2</v>
      </c>
      <c r="R336" s="16" t="n">
        <v>74.83</v>
      </c>
      <c r="S336" s="14" t="inlineStr">
        <is>
          <t>NAVEL TEMPRANA</t>
        </is>
      </c>
      <c r="T336" s="14" t="inlineStr">
        <is>
          <t>INDUSTRIA</t>
        </is>
      </c>
      <c r="U336" s="19">
        <f>IFERROR(166.386*I336/F336,0)</f>
        <v/>
      </c>
      <c r="V336" s="19">
        <f>IFERROR(166.386*M336/F336,0)</f>
        <v/>
      </c>
      <c r="W336" s="19">
        <f>IFERROR(166.386*L336/F336,0)</f>
        <v/>
      </c>
    </row>
    <row r="337">
      <c r="A337" s="14" t="n">
        <v>2325</v>
      </c>
      <c r="B337" s="14" t="inlineStr">
        <is>
          <t>NAVEL TEMPRANA</t>
        </is>
      </c>
      <c r="C337" s="15" t="n">
        <v>1441</v>
      </c>
      <c r="D337" s="14" t="inlineStr">
        <is>
          <t>AGUILAR GAGO,MANUEL</t>
        </is>
      </c>
      <c r="E337" s="14" t="inlineStr">
        <is>
          <t>NAVELINA</t>
        </is>
      </c>
      <c r="F337" s="15" t="n">
        <v>4420</v>
      </c>
      <c r="G337" s="16" t="n">
        <v>1370.2</v>
      </c>
      <c r="H337" s="17" t="n">
        <v>0.31</v>
      </c>
      <c r="I337" s="16" t="n">
        <v>276.25</v>
      </c>
      <c r="J337" s="16" t="n">
        <v>84.63</v>
      </c>
      <c r="K337" s="16" t="n">
        <v>0</v>
      </c>
      <c r="L337" s="16" t="n">
        <v>-49.06</v>
      </c>
      <c r="M337" s="16" t="n">
        <v>0</v>
      </c>
      <c r="N337" s="16" t="n">
        <v>960.26</v>
      </c>
      <c r="O337" s="17" t="n">
        <v>0.23846</v>
      </c>
      <c r="P337" s="18" t="n">
        <v>12</v>
      </c>
      <c r="Q337" s="18" t="n">
        <v>2</v>
      </c>
      <c r="R337" s="16" t="n">
        <v>1053.98</v>
      </c>
      <c r="S337" s="14" t="inlineStr">
        <is>
          <t>NAVEL TEMPRANA</t>
        </is>
      </c>
      <c r="T337" s="14" t="inlineStr">
        <is>
          <t>INDUSTRIA</t>
        </is>
      </c>
      <c r="U337" s="19">
        <f>IFERROR(166.386*I337/F337,0)</f>
        <v/>
      </c>
      <c r="V337" s="19">
        <f>IFERROR(166.386*M337/F337,0)</f>
        <v/>
      </c>
      <c r="W337" s="19">
        <f>IFERROR(166.386*L337/F337,0)</f>
        <v/>
      </c>
    </row>
    <row r="338">
      <c r="A338" s="14" t="n">
        <v>2325</v>
      </c>
      <c r="B338" s="14" t="inlineStr">
        <is>
          <t>NAVEL TEMPRANA</t>
        </is>
      </c>
      <c r="C338" s="15" t="n">
        <v>1443</v>
      </c>
      <c r="D338" s="14" t="inlineStr">
        <is>
          <t>TOMENO SUAREZ,ALBERTO</t>
        </is>
      </c>
      <c r="E338" s="14" t="inlineStr">
        <is>
          <t>NAVELINA</t>
        </is>
      </c>
      <c r="F338" s="15" t="n">
        <v>1500</v>
      </c>
      <c r="G338" s="16" t="n">
        <v>465</v>
      </c>
      <c r="H338" s="17" t="n">
        <v>0.31</v>
      </c>
      <c r="I338" s="16" t="n">
        <v>0</v>
      </c>
      <c r="J338" s="16" t="n">
        <v>9.279999999999999</v>
      </c>
      <c r="K338" s="16" t="n">
        <v>0</v>
      </c>
      <c r="L338" s="16" t="n">
        <v>-16.65</v>
      </c>
      <c r="M338" s="16" t="n">
        <v>0</v>
      </c>
      <c r="N338" s="16" t="n">
        <v>439.07</v>
      </c>
      <c r="O338" s="17" t="n">
        <v>0.32128</v>
      </c>
      <c r="P338" s="18" t="n">
        <v>12</v>
      </c>
      <c r="Q338" s="18" t="n">
        <v>2</v>
      </c>
      <c r="R338" s="16" t="n">
        <v>481.92</v>
      </c>
      <c r="S338" s="14" t="inlineStr">
        <is>
          <t>NAVEL TEMPRANA</t>
        </is>
      </c>
      <c r="T338" s="14" t="inlineStr">
        <is>
          <t>INDUSTRIA</t>
        </is>
      </c>
      <c r="U338" s="19">
        <f>IFERROR(166.386*I338/F338,0)</f>
        <v/>
      </c>
      <c r="V338" s="19">
        <f>IFERROR(166.386*M338/F338,0)</f>
        <v/>
      </c>
      <c r="W338" s="19">
        <f>IFERROR(166.386*L338/F338,0)</f>
        <v/>
      </c>
    </row>
    <row r="339">
      <c r="A339" s="14" t="n">
        <v>2325</v>
      </c>
      <c r="B339" s="14" t="inlineStr">
        <is>
          <t>NAVEL TEMPRANA</t>
        </is>
      </c>
      <c r="C339" s="15" t="n">
        <v>1445</v>
      </c>
      <c r="D339" s="14" t="inlineStr">
        <is>
          <t>REAL GARCIA,MIGUEL</t>
        </is>
      </c>
      <c r="E339" s="14" t="inlineStr">
        <is>
          <t>NAVELINA</t>
        </is>
      </c>
      <c r="F339" s="15" t="n">
        <v>9498</v>
      </c>
      <c r="G339" s="16" t="n">
        <v>2944.38</v>
      </c>
      <c r="H339" s="17" t="n">
        <v>0.31</v>
      </c>
      <c r="I339" s="16" t="n">
        <v>593.62</v>
      </c>
      <c r="J339" s="16" t="n">
        <v>87.69</v>
      </c>
      <c r="K339" s="16" t="n">
        <v>0</v>
      </c>
      <c r="L339" s="16" t="n">
        <v>-105.43</v>
      </c>
      <c r="M339" s="16" t="n">
        <v>0</v>
      </c>
      <c r="N339" s="16" t="n">
        <v>2157.64</v>
      </c>
      <c r="O339" s="17" t="n">
        <v>0.24934</v>
      </c>
      <c r="P339" s="18" t="n">
        <v>12</v>
      </c>
      <c r="Q339" s="18" t="n">
        <v>2</v>
      </c>
      <c r="R339" s="16" t="n">
        <v>2368.23</v>
      </c>
      <c r="S339" s="14" t="inlineStr">
        <is>
          <t>NAVEL TEMPRANA</t>
        </is>
      </c>
      <c r="T339" s="14" t="inlineStr">
        <is>
          <t>INDUSTRIA</t>
        </is>
      </c>
      <c r="U339" s="19">
        <f>IFERROR(166.386*I339/F339,0)</f>
        <v/>
      </c>
      <c r="V339" s="19">
        <f>IFERROR(166.386*M339/F339,0)</f>
        <v/>
      </c>
      <c r="W339" s="19">
        <f>IFERROR(166.386*L339/F339,0)</f>
        <v/>
      </c>
    </row>
    <row r="340">
      <c r="A340" s="14" t="n">
        <v>2325</v>
      </c>
      <c r="B340" s="14" t="inlineStr">
        <is>
          <t>NAVEL TEMPRANA</t>
        </is>
      </c>
      <c r="C340" s="15" t="n">
        <v>1470</v>
      </c>
      <c r="D340" s="14" t="inlineStr">
        <is>
          <t>NIETO RAMIREZ,CARLOS EDUARDO</t>
        </is>
      </c>
      <c r="E340" s="14" t="inlineStr">
        <is>
          <t>WASHINGTON</t>
        </is>
      </c>
      <c r="F340" s="15" t="n">
        <v>44820</v>
      </c>
      <c r="G340" s="16" t="n">
        <v>13894.2</v>
      </c>
      <c r="H340" s="17" t="n">
        <v>0.31</v>
      </c>
      <c r="I340" s="16" t="n">
        <v>2801.25</v>
      </c>
      <c r="J340" s="16" t="n">
        <v>332.05</v>
      </c>
      <c r="K340" s="16" t="n">
        <v>0</v>
      </c>
      <c r="L340" s="16" t="n">
        <v>-182.04</v>
      </c>
      <c r="M340" s="16" t="n">
        <v>0</v>
      </c>
      <c r="N340" s="16" t="n">
        <v>10578.86</v>
      </c>
      <c r="O340" s="17" t="n">
        <v>0.24056</v>
      </c>
      <c r="P340" s="18" t="n">
        <v>4</v>
      </c>
      <c r="Q340" s="18" t="n">
        <v>2</v>
      </c>
      <c r="R340" s="16" t="n">
        <v>10781.97</v>
      </c>
      <c r="S340" s="14" t="inlineStr">
        <is>
          <t>NAVEL TEMPRANA</t>
        </is>
      </c>
      <c r="T340" s="14" t="inlineStr">
        <is>
          <t>INDUSTRIA</t>
        </is>
      </c>
      <c r="U340" s="19">
        <f>IFERROR(166.386*I340/F340,0)</f>
        <v/>
      </c>
      <c r="V340" s="19">
        <f>IFERROR(166.386*M340/F340,0)</f>
        <v/>
      </c>
      <c r="W340" s="19">
        <f>IFERROR(166.386*L340/F340,0)</f>
        <v/>
      </c>
    </row>
    <row r="341">
      <c r="A341" s="14" t="n">
        <v>2325</v>
      </c>
      <c r="B341" s="14" t="inlineStr">
        <is>
          <t>NAVEL TEMPRANA</t>
        </is>
      </c>
      <c r="C341" s="15" t="n">
        <v>1491</v>
      </c>
      <c r="D341" s="14" t="inlineStr">
        <is>
          <t>JIMENEZ LORENTE,SONIA</t>
        </is>
      </c>
      <c r="E341" s="14" t="inlineStr">
        <is>
          <t>NAVELINA</t>
        </is>
      </c>
      <c r="F341" s="15" t="n">
        <v>915</v>
      </c>
      <c r="G341" s="16" t="n">
        <v>283.65</v>
      </c>
      <c r="H341" s="17" t="n">
        <v>0.31</v>
      </c>
      <c r="I341" s="16" t="n">
        <v>57.19</v>
      </c>
      <c r="J341" s="16" t="n">
        <v>5.88</v>
      </c>
      <c r="K341" s="16" t="n">
        <v>0</v>
      </c>
      <c r="L341" s="16" t="n">
        <v>-10.16</v>
      </c>
      <c r="M341" s="16" t="n">
        <v>0</v>
      </c>
      <c r="N341" s="16" t="n">
        <v>210.42</v>
      </c>
      <c r="O341" s="17" t="n">
        <v>0.25242</v>
      </c>
      <c r="P341" s="18" t="n">
        <v>12</v>
      </c>
      <c r="Q341" s="18" t="n">
        <v>2</v>
      </c>
      <c r="R341" s="16" t="n">
        <v>230.96</v>
      </c>
      <c r="S341" s="14" t="inlineStr">
        <is>
          <t>NAVEL TEMPRANA</t>
        </is>
      </c>
      <c r="T341" s="14" t="inlineStr">
        <is>
          <t>INDUSTRIA</t>
        </is>
      </c>
      <c r="U341" s="19">
        <f>IFERROR(166.386*I341/F341,0)</f>
        <v/>
      </c>
      <c r="V341" s="19">
        <f>IFERROR(166.386*M341/F341,0)</f>
        <v/>
      </c>
      <c r="W341" s="19">
        <f>IFERROR(166.386*L341/F341,0)</f>
        <v/>
      </c>
    </row>
    <row r="342">
      <c r="A342" s="14" t="n">
        <v>2325</v>
      </c>
      <c r="B342" s="14" t="inlineStr">
        <is>
          <t>NAVEL TEMPRANA</t>
        </is>
      </c>
      <c r="C342" s="15" t="n">
        <v>1516</v>
      </c>
      <c r="D342" s="14" t="inlineStr">
        <is>
          <t>CALZADO RUIZ, YOLANDA</t>
        </is>
      </c>
      <c r="E342" s="14" t="inlineStr">
        <is>
          <t>NEWHALL</t>
        </is>
      </c>
      <c r="F342" s="15" t="n">
        <v>15330</v>
      </c>
      <c r="G342" s="16" t="n">
        <v>4752.3</v>
      </c>
      <c r="H342" s="17" t="n">
        <v>0.31</v>
      </c>
      <c r="I342" s="16" t="n">
        <v>0</v>
      </c>
      <c r="J342" s="16" t="n">
        <v>142.36</v>
      </c>
      <c r="K342" s="16" t="n">
        <v>0</v>
      </c>
      <c r="L342" s="16" t="n">
        <v>-64.54000000000001</v>
      </c>
      <c r="M342" s="16" t="n">
        <v>0</v>
      </c>
      <c r="N342" s="16" t="n">
        <v>4545.4</v>
      </c>
      <c r="O342" s="17" t="n">
        <v>0.32544</v>
      </c>
      <c r="P342" s="18" t="n">
        <v>12</v>
      </c>
      <c r="Q342" s="18" t="n">
        <v>2</v>
      </c>
      <c r="R342" s="16" t="n">
        <v>4989.03</v>
      </c>
      <c r="S342" s="14" t="inlineStr">
        <is>
          <t>NAVEL TEMPRANA</t>
        </is>
      </c>
      <c r="T342" s="14" t="inlineStr">
        <is>
          <t>INDUSTRIA</t>
        </is>
      </c>
      <c r="U342" s="19">
        <f>IFERROR(166.386*I342/F342,0)</f>
        <v/>
      </c>
      <c r="V342" s="19">
        <f>IFERROR(166.386*M342/F342,0)</f>
        <v/>
      </c>
      <c r="W342" s="19">
        <f>IFERROR(166.386*L342/F342,0)</f>
        <v/>
      </c>
    </row>
    <row r="343">
      <c r="A343" s="14" t="n">
        <v>2325</v>
      </c>
      <c r="B343" s="14" t="inlineStr">
        <is>
          <t>NAVEL TEMPRANA</t>
        </is>
      </c>
      <c r="C343" s="15" t="n">
        <v>1518</v>
      </c>
      <c r="D343" s="14" t="inlineStr">
        <is>
          <t>CALZADO ARGüELLES,MARIA</t>
        </is>
      </c>
      <c r="E343" s="14" t="inlineStr">
        <is>
          <t>NAVELINA</t>
        </is>
      </c>
      <c r="F343" s="15" t="n">
        <v>5311</v>
      </c>
      <c r="G343" s="16" t="n">
        <v>1646.41</v>
      </c>
      <c r="H343" s="17" t="n">
        <v>0.31</v>
      </c>
      <c r="I343" s="16" t="n">
        <v>331.94</v>
      </c>
      <c r="J343" s="16" t="n">
        <v>45.9</v>
      </c>
      <c r="K343" s="16" t="n">
        <v>0</v>
      </c>
      <c r="L343" s="16" t="n">
        <v>-58.95</v>
      </c>
      <c r="M343" s="16" t="n">
        <v>0</v>
      </c>
      <c r="N343" s="16" t="n">
        <v>1209.62</v>
      </c>
      <c r="O343" s="17" t="n">
        <v>0.24999</v>
      </c>
      <c r="P343" s="18" t="n">
        <v>12</v>
      </c>
      <c r="Q343" s="18" t="n">
        <v>2</v>
      </c>
      <c r="R343" s="16" t="n">
        <v>1327.68</v>
      </c>
      <c r="S343" s="14" t="inlineStr">
        <is>
          <t>NAVEL TEMPRANA</t>
        </is>
      </c>
      <c r="T343" s="14" t="inlineStr">
        <is>
          <t>INDUSTRIA</t>
        </is>
      </c>
      <c r="U343" s="19">
        <f>IFERROR(166.386*I343/F343,0)</f>
        <v/>
      </c>
      <c r="V343" s="19">
        <f>IFERROR(166.386*M343/F343,0)</f>
        <v/>
      </c>
      <c r="W343" s="19">
        <f>IFERROR(166.386*L343/F343,0)</f>
        <v/>
      </c>
    </row>
    <row r="344">
      <c r="A344" s="14" t="n">
        <v>2325</v>
      </c>
      <c r="B344" s="14" t="inlineStr">
        <is>
          <t>NAVEL TEMPRANA</t>
        </is>
      </c>
      <c r="C344" s="15" t="n">
        <v>1525</v>
      </c>
      <c r="D344" s="14" t="inlineStr">
        <is>
          <t>ECIJA BORREGO, DOLORES</t>
        </is>
      </c>
      <c r="E344" s="14" t="inlineStr">
        <is>
          <t>NAVELINA</t>
        </is>
      </c>
      <c r="F344" s="15" t="n">
        <v>640</v>
      </c>
      <c r="G344" s="16" t="n">
        <v>198.4</v>
      </c>
      <c r="H344" s="17" t="n">
        <v>0.31</v>
      </c>
      <c r="I344" s="16" t="n">
        <v>40</v>
      </c>
      <c r="J344" s="16" t="n">
        <v>6.52</v>
      </c>
      <c r="K344" s="16" t="n">
        <v>0</v>
      </c>
      <c r="L344" s="16" t="n">
        <v>-7.1</v>
      </c>
      <c r="M344" s="16" t="n">
        <v>0</v>
      </c>
      <c r="N344" s="16" t="n">
        <v>144.78</v>
      </c>
      <c r="O344" s="17" t="n">
        <v>0.2483</v>
      </c>
      <c r="P344" s="18" t="n">
        <v>12</v>
      </c>
      <c r="Q344" s="18" t="n">
        <v>2</v>
      </c>
      <c r="R344" s="16" t="n">
        <v>158.91</v>
      </c>
      <c r="S344" s="14" t="inlineStr">
        <is>
          <t>NAVEL TEMPRANA</t>
        </is>
      </c>
      <c r="T344" s="14" t="inlineStr">
        <is>
          <t>INDUSTRIA</t>
        </is>
      </c>
      <c r="U344" s="19">
        <f>IFERROR(166.386*I344/F344,0)</f>
        <v/>
      </c>
      <c r="V344" s="19">
        <f>IFERROR(166.386*M344/F344,0)</f>
        <v/>
      </c>
      <c r="W344" s="19">
        <f>IFERROR(166.386*L344/F344,0)</f>
        <v/>
      </c>
    </row>
    <row r="345">
      <c r="A345" s="14" t="n">
        <v>2325</v>
      </c>
      <c r="B345" s="14" t="inlineStr">
        <is>
          <t>NAVEL TEMPRANA</t>
        </is>
      </c>
      <c r="C345" s="15" t="n">
        <v>1527</v>
      </c>
      <c r="D345" s="14" t="inlineStr">
        <is>
          <t>MARQUEZ SOTILLO, ANTONIO</t>
        </is>
      </c>
      <c r="E345" s="14" t="inlineStr">
        <is>
          <t>NAVELINA</t>
        </is>
      </c>
      <c r="F345" s="15" t="n">
        <v>517</v>
      </c>
      <c r="G345" s="16" t="n">
        <v>160.27</v>
      </c>
      <c r="H345" s="17" t="n">
        <v>0.31</v>
      </c>
      <c r="I345" s="16" t="n">
        <v>32.31</v>
      </c>
      <c r="J345" s="16" t="n">
        <v>2.68</v>
      </c>
      <c r="K345" s="16" t="n">
        <v>0</v>
      </c>
      <c r="L345" s="16" t="n">
        <v>-5.74</v>
      </c>
      <c r="M345" s="16" t="n">
        <v>0</v>
      </c>
      <c r="N345" s="16" t="n">
        <v>119.54</v>
      </c>
      <c r="O345" s="17" t="n">
        <v>0.25379</v>
      </c>
      <c r="P345" s="18" t="n">
        <v>12</v>
      </c>
      <c r="Q345" s="18" t="n">
        <v>2</v>
      </c>
      <c r="R345" s="16" t="n">
        <v>131.21</v>
      </c>
      <c r="S345" s="14" t="inlineStr">
        <is>
          <t>NAVEL TEMPRANA</t>
        </is>
      </c>
      <c r="T345" s="14" t="inlineStr">
        <is>
          <t>INDUSTRIA</t>
        </is>
      </c>
      <c r="U345" s="19">
        <f>IFERROR(166.386*I345/F345,0)</f>
        <v/>
      </c>
      <c r="V345" s="19">
        <f>IFERROR(166.386*M345/F345,0)</f>
        <v/>
      </c>
      <c r="W345" s="19">
        <f>IFERROR(166.386*L345/F345,0)</f>
        <v/>
      </c>
    </row>
    <row r="346">
      <c r="A346" s="14" t="n">
        <v>2325</v>
      </c>
      <c r="B346" s="14" t="inlineStr">
        <is>
          <t>NAVEL TEMPRANA</t>
        </is>
      </c>
      <c r="C346" s="15" t="n">
        <v>1529</v>
      </c>
      <c r="D346" s="14" t="inlineStr">
        <is>
          <t>RAMOS BRUGAROLAS, JOSE</t>
        </is>
      </c>
      <c r="E346" s="14" t="inlineStr">
        <is>
          <t>NAVELINA</t>
        </is>
      </c>
      <c r="F346" s="15" t="n">
        <v>3833</v>
      </c>
      <c r="G346" s="16" t="n">
        <v>1188.23</v>
      </c>
      <c r="H346" s="17" t="n">
        <v>0.31</v>
      </c>
      <c r="I346" s="16" t="n">
        <v>287.48</v>
      </c>
      <c r="J346" s="16" t="n">
        <v>25.34</v>
      </c>
      <c r="K346" s="16" t="n">
        <v>0</v>
      </c>
      <c r="L346" s="16" t="n">
        <v>-42.55</v>
      </c>
      <c r="M346" s="16" t="n">
        <v>0</v>
      </c>
      <c r="N346" s="16" t="n">
        <v>832.86</v>
      </c>
      <c r="O346" s="17" t="n">
        <v>0.23849</v>
      </c>
      <c r="P346" s="18" t="n">
        <v>12</v>
      </c>
      <c r="Q346" s="18" t="n">
        <v>2</v>
      </c>
      <c r="R346" s="16" t="n">
        <v>914.15</v>
      </c>
      <c r="S346" s="14" t="inlineStr">
        <is>
          <t>NAVEL TEMPRANA</t>
        </is>
      </c>
      <c r="T346" s="14" t="inlineStr">
        <is>
          <t>INDUSTRIA</t>
        </is>
      </c>
      <c r="U346" s="19">
        <f>IFERROR(166.386*I346/F346,0)</f>
        <v/>
      </c>
      <c r="V346" s="19">
        <f>IFERROR(166.386*M346/F346,0)</f>
        <v/>
      </c>
      <c r="W346" s="19">
        <f>IFERROR(166.386*L346/F346,0)</f>
        <v/>
      </c>
    </row>
    <row r="347">
      <c r="A347" s="14" t="n">
        <v>2325</v>
      </c>
      <c r="B347" s="14" t="inlineStr">
        <is>
          <t>NAVEL TEMPRANA</t>
        </is>
      </c>
      <c r="C347" s="15" t="n">
        <v>1530</v>
      </c>
      <c r="D347" s="14" t="inlineStr">
        <is>
          <t>CABRERA BONILLA, GRACIA Mª</t>
        </is>
      </c>
      <c r="E347" s="14" t="inlineStr">
        <is>
          <t>NAVELINA</t>
        </is>
      </c>
      <c r="F347" s="15" t="n">
        <v>3445</v>
      </c>
      <c r="G347" s="16" t="n">
        <v>1067.95</v>
      </c>
      <c r="H347" s="17" t="n">
        <v>0.31</v>
      </c>
      <c r="I347" s="16" t="n">
        <v>162.88</v>
      </c>
      <c r="J347" s="16" t="n">
        <v>25.95</v>
      </c>
      <c r="K347" s="16" t="n">
        <v>0</v>
      </c>
      <c r="L347" s="16" t="n">
        <v>-38.24</v>
      </c>
      <c r="M347" s="16" t="n">
        <v>0</v>
      </c>
      <c r="N347" s="16" t="n">
        <v>840.88</v>
      </c>
      <c r="O347" s="17" t="n">
        <v>0.26791</v>
      </c>
      <c r="P347" s="18" t="n">
        <v>12</v>
      </c>
      <c r="Q347" s="18" t="n">
        <v>2</v>
      </c>
      <c r="R347" s="16" t="n">
        <v>922.95</v>
      </c>
      <c r="S347" s="14" t="inlineStr">
        <is>
          <t>NAVEL TEMPRANA</t>
        </is>
      </c>
      <c r="T347" s="14" t="inlineStr">
        <is>
          <t>INDUSTRIA</t>
        </is>
      </c>
      <c r="U347" s="19">
        <f>IFERROR(166.386*I347/F347,0)</f>
        <v/>
      </c>
      <c r="V347" s="19">
        <f>IFERROR(166.386*M347/F347,0)</f>
        <v/>
      </c>
      <c r="W347" s="19">
        <f>IFERROR(166.386*L347/F347,0)</f>
        <v/>
      </c>
    </row>
    <row r="348">
      <c r="A348" s="14" t="n">
        <v>2325</v>
      </c>
      <c r="B348" s="14" t="inlineStr">
        <is>
          <t>NAVEL TEMPRANA</t>
        </is>
      </c>
      <c r="C348" s="15" t="n">
        <v>1544</v>
      </c>
      <c r="D348" s="14" t="inlineStr">
        <is>
          <t>HARO ORDOÑO, ALVARO</t>
        </is>
      </c>
      <c r="E348" s="14" t="inlineStr">
        <is>
          <t>NAVELINA</t>
        </is>
      </c>
      <c r="F348" s="15" t="n">
        <v>690</v>
      </c>
      <c r="G348" s="16" t="n">
        <v>213.9</v>
      </c>
      <c r="H348" s="17" t="n">
        <v>0.31</v>
      </c>
      <c r="I348" s="16" t="n">
        <v>0</v>
      </c>
      <c r="J348" s="16" t="n">
        <v>3.88</v>
      </c>
      <c r="K348" s="16" t="n">
        <v>0</v>
      </c>
      <c r="L348" s="16" t="n">
        <v>-7.66</v>
      </c>
      <c r="M348" s="16" t="n">
        <v>0</v>
      </c>
      <c r="N348" s="16" t="n">
        <v>202.36</v>
      </c>
      <c r="O348" s="17" t="n">
        <v>0.3219</v>
      </c>
      <c r="P348" s="18" t="n">
        <v>12</v>
      </c>
      <c r="Q348" s="18" t="n">
        <v>2</v>
      </c>
      <c r="R348" s="16" t="n">
        <v>222.11</v>
      </c>
      <c r="S348" s="14" t="inlineStr">
        <is>
          <t>NAVEL TEMPRANA</t>
        </is>
      </c>
      <c r="T348" s="14" t="inlineStr">
        <is>
          <t>INDUSTRIA</t>
        </is>
      </c>
      <c r="U348" s="19">
        <f>IFERROR(166.386*I348/F348,0)</f>
        <v/>
      </c>
      <c r="V348" s="19">
        <f>IFERROR(166.386*M348/F348,0)</f>
        <v/>
      </c>
      <c r="W348" s="19">
        <f>IFERROR(166.386*L348/F348,0)</f>
        <v/>
      </c>
    </row>
    <row r="349">
      <c r="A349" s="14" t="n">
        <v>2325</v>
      </c>
      <c r="B349" s="14" t="inlineStr">
        <is>
          <t>NAVEL TEMPRANA</t>
        </is>
      </c>
      <c r="C349" s="15" t="n">
        <v>1546</v>
      </c>
      <c r="D349" s="14" t="inlineStr">
        <is>
          <t>GARCIA PELEGRIN, MANUEL</t>
        </is>
      </c>
      <c r="E349" s="14" t="inlineStr">
        <is>
          <t>NAVELINA</t>
        </is>
      </c>
      <c r="F349" s="15" t="n">
        <v>21515</v>
      </c>
      <c r="G349" s="16" t="n">
        <v>6669.65</v>
      </c>
      <c r="H349" s="17" t="n">
        <v>0.31</v>
      </c>
      <c r="I349" s="16" t="n">
        <v>1344.69</v>
      </c>
      <c r="J349" s="16" t="n">
        <v>154.33</v>
      </c>
      <c r="K349" s="16" t="n">
        <v>0</v>
      </c>
      <c r="L349" s="16" t="n">
        <v>-3.72</v>
      </c>
      <c r="M349" s="16" t="n">
        <v>0</v>
      </c>
      <c r="N349" s="16" t="n">
        <v>5166.91</v>
      </c>
      <c r="O349" s="17" t="n">
        <v>0.26359</v>
      </c>
      <c r="P349" s="18" t="n">
        <v>12</v>
      </c>
      <c r="Q349" s="18" t="n">
        <v>2</v>
      </c>
      <c r="R349" s="16" t="n">
        <v>5671.2</v>
      </c>
      <c r="S349" s="14" t="inlineStr">
        <is>
          <t>NAVEL TEMPRANA</t>
        </is>
      </c>
      <c r="T349" s="14" t="inlineStr">
        <is>
          <t>INDUSTRIA</t>
        </is>
      </c>
      <c r="U349" s="19">
        <f>IFERROR(166.386*I349/F349,0)</f>
        <v/>
      </c>
      <c r="V349" s="19">
        <f>IFERROR(166.386*M349/F349,0)</f>
        <v/>
      </c>
      <c r="W349" s="19">
        <f>IFERROR(166.386*L349/F349,0)</f>
        <v/>
      </c>
    </row>
    <row r="350">
      <c r="A350" s="14" t="n">
        <v>2325</v>
      </c>
      <c r="B350" s="14" t="inlineStr">
        <is>
          <t>NAVEL TEMPRANA</t>
        </is>
      </c>
      <c r="C350" s="15" t="n">
        <v>1550</v>
      </c>
      <c r="D350" s="14" t="inlineStr">
        <is>
          <t>CADORTAN S.L.</t>
        </is>
      </c>
      <c r="E350" s="14" t="inlineStr">
        <is>
          <t>NAVELINA</t>
        </is>
      </c>
      <c r="F350" s="15" t="n">
        <v>4036</v>
      </c>
      <c r="G350" s="16" t="n">
        <v>1251.16</v>
      </c>
      <c r="H350" s="17" t="n">
        <v>0.31</v>
      </c>
      <c r="I350" s="16" t="n">
        <v>252.25</v>
      </c>
      <c r="J350" s="16" t="n">
        <v>35.71</v>
      </c>
      <c r="K350" s="16" t="n">
        <v>0</v>
      </c>
      <c r="L350" s="16" t="n">
        <v>-44.8</v>
      </c>
      <c r="M350" s="16" t="n">
        <v>0</v>
      </c>
      <c r="N350" s="16" t="n">
        <v>918.4</v>
      </c>
      <c r="O350" s="17" t="n">
        <v>0.23666</v>
      </c>
      <c r="P350" s="18" t="n">
        <v>4</v>
      </c>
      <c r="Q350" s="18" t="n">
        <v>0</v>
      </c>
      <c r="R350" s="16" t="n">
        <v>955.14</v>
      </c>
      <c r="S350" s="14" t="inlineStr">
        <is>
          <t>NAVEL TEMPRANA</t>
        </is>
      </c>
      <c r="T350" s="14" t="inlineStr">
        <is>
          <t>INDUSTRIA</t>
        </is>
      </c>
      <c r="U350" s="19">
        <f>IFERROR(166.386*I350/F350,0)</f>
        <v/>
      </c>
      <c r="V350" s="19">
        <f>IFERROR(166.386*M350/F350,0)</f>
        <v/>
      </c>
      <c r="W350" s="19">
        <f>IFERROR(166.386*L350/F350,0)</f>
        <v/>
      </c>
    </row>
    <row r="351">
      <c r="A351" s="14" t="n">
        <v>2325</v>
      </c>
      <c r="B351" s="14" t="inlineStr">
        <is>
          <t>NAVEL TEMPRANA</t>
        </is>
      </c>
      <c r="C351" s="15" t="n">
        <v>1573</v>
      </c>
      <c r="D351" s="14" t="inlineStr">
        <is>
          <t>HNOS. JIMENEZ ARIZA C.B.</t>
        </is>
      </c>
      <c r="E351" s="14" t="inlineStr">
        <is>
          <t>NAVELINA</t>
        </is>
      </c>
      <c r="F351" s="15" t="n">
        <v>325</v>
      </c>
      <c r="G351" s="16" t="n">
        <v>100.75</v>
      </c>
      <c r="H351" s="17" t="n">
        <v>0.31</v>
      </c>
      <c r="I351" s="16" t="n">
        <v>20.31</v>
      </c>
      <c r="J351" s="16" t="n">
        <v>0</v>
      </c>
      <c r="K351" s="16" t="n">
        <v>0</v>
      </c>
      <c r="L351" s="16" t="n">
        <v>-3.61</v>
      </c>
      <c r="M351" s="16" t="n">
        <v>0</v>
      </c>
      <c r="N351" s="16" t="n">
        <v>76.83</v>
      </c>
      <c r="O351" s="17" t="n">
        <v>0.25948</v>
      </c>
      <c r="P351" s="18" t="n">
        <v>12</v>
      </c>
      <c r="Q351" s="18" t="n">
        <v>2</v>
      </c>
      <c r="R351" s="16" t="n">
        <v>84.33</v>
      </c>
      <c r="S351" s="14" t="inlineStr">
        <is>
          <t>NAVEL TEMPRANA</t>
        </is>
      </c>
      <c r="T351" s="14" t="inlineStr">
        <is>
          <t>INDUSTRIA</t>
        </is>
      </c>
      <c r="U351" s="19">
        <f>IFERROR(166.386*I351/F351,0)</f>
        <v/>
      </c>
      <c r="V351" s="19">
        <f>IFERROR(166.386*M351/F351,0)</f>
        <v/>
      </c>
      <c r="W351" s="19">
        <f>IFERROR(166.386*L351/F351,0)</f>
        <v/>
      </c>
    </row>
    <row r="352">
      <c r="A352" s="14" t="n">
        <v>2325</v>
      </c>
      <c r="B352" s="14" t="inlineStr">
        <is>
          <t>NAVEL TEMPRANA</t>
        </is>
      </c>
      <c r="C352" s="15" t="n">
        <v>1578</v>
      </c>
      <c r="D352" s="14" t="inlineStr">
        <is>
          <t>GARCIA CARRASCO, Mª ANGELES</t>
        </is>
      </c>
      <c r="E352" s="14" t="inlineStr">
        <is>
          <t>NAVELINA</t>
        </is>
      </c>
      <c r="F352" s="15" t="n">
        <v>3525</v>
      </c>
      <c r="G352" s="16" t="n">
        <v>1092.75</v>
      </c>
      <c r="H352" s="17" t="n">
        <v>0.31</v>
      </c>
      <c r="I352" s="16" t="n">
        <v>220.31</v>
      </c>
      <c r="J352" s="16" t="n">
        <v>32.92</v>
      </c>
      <c r="K352" s="16" t="n">
        <v>0</v>
      </c>
      <c r="L352" s="16" t="n">
        <v>-39.13</v>
      </c>
      <c r="M352" s="16" t="n">
        <v>0</v>
      </c>
      <c r="N352" s="16" t="n">
        <v>800.39</v>
      </c>
      <c r="O352" s="17" t="n">
        <v>0.24922</v>
      </c>
      <c r="P352" s="18" t="n">
        <v>12</v>
      </c>
      <c r="Q352" s="18" t="n">
        <v>2</v>
      </c>
      <c r="R352" s="16" t="n">
        <v>878.51</v>
      </c>
      <c r="S352" s="14" t="inlineStr">
        <is>
          <t>NAVEL TEMPRANA</t>
        </is>
      </c>
      <c r="T352" s="14" t="inlineStr">
        <is>
          <t>INDUSTRIA</t>
        </is>
      </c>
      <c r="U352" s="19">
        <f>IFERROR(166.386*I352/F352,0)</f>
        <v/>
      </c>
      <c r="V352" s="19">
        <f>IFERROR(166.386*M352/F352,0)</f>
        <v/>
      </c>
      <c r="W352" s="19">
        <f>IFERROR(166.386*L352/F352,0)</f>
        <v/>
      </c>
    </row>
    <row r="353">
      <c r="A353" s="14" t="n">
        <v>2325</v>
      </c>
      <c r="B353" s="14" t="inlineStr">
        <is>
          <t>NAVEL TEMPRANA</t>
        </is>
      </c>
      <c r="C353" s="15" t="n">
        <v>1587</v>
      </c>
      <c r="D353" s="14" t="inlineStr">
        <is>
          <t>SANTOS LARA, ISMAEL</t>
        </is>
      </c>
      <c r="E353" s="14" t="inlineStr">
        <is>
          <t>NAVELINA</t>
        </is>
      </c>
      <c r="F353" s="15" t="n">
        <v>2845</v>
      </c>
      <c r="G353" s="16" t="n">
        <v>881.95</v>
      </c>
      <c r="H353" s="17" t="n">
        <v>0.31</v>
      </c>
      <c r="I353" s="16" t="n">
        <v>0</v>
      </c>
      <c r="J353" s="16" t="n">
        <v>134.55</v>
      </c>
      <c r="K353" s="16" t="n">
        <v>0</v>
      </c>
      <c r="L353" s="16" t="n">
        <v>-27.58</v>
      </c>
      <c r="M353" s="16" t="n">
        <v>0</v>
      </c>
      <c r="N353" s="16" t="n">
        <v>719.8200000000001</v>
      </c>
      <c r="O353" s="17" t="n">
        <v>0.2777</v>
      </c>
      <c r="P353" s="18" t="n">
        <v>12</v>
      </c>
      <c r="Q353" s="18" t="n">
        <v>2</v>
      </c>
      <c r="R353" s="16" t="n">
        <v>790.0700000000001</v>
      </c>
      <c r="S353" s="14" t="inlineStr">
        <is>
          <t>NAVEL TEMPRANA</t>
        </is>
      </c>
      <c r="T353" s="14" t="inlineStr">
        <is>
          <t>INDUSTRIA</t>
        </is>
      </c>
      <c r="U353" s="19">
        <f>IFERROR(166.386*I353/F353,0)</f>
        <v/>
      </c>
      <c r="V353" s="19">
        <f>IFERROR(166.386*M353/F353,0)</f>
        <v/>
      </c>
      <c r="W353" s="19">
        <f>IFERROR(166.386*L353/F353,0)</f>
        <v/>
      </c>
    </row>
    <row r="354">
      <c r="A354" s="14" t="n">
        <v>2325</v>
      </c>
      <c r="B354" s="14" t="inlineStr">
        <is>
          <t>NAVEL TEMPRANA</t>
        </is>
      </c>
      <c r="C354" s="15" t="n">
        <v>1588</v>
      </c>
      <c r="D354" s="14" t="inlineStr">
        <is>
          <t>RAMOS GARCIA DE TEJADA, ALVARO</t>
        </is>
      </c>
      <c r="E354" s="14" t="inlineStr">
        <is>
          <t>NAVELINA</t>
        </is>
      </c>
      <c r="F354" s="15" t="n">
        <v>1235</v>
      </c>
      <c r="G354" s="16" t="n">
        <v>382.85</v>
      </c>
      <c r="H354" s="17" t="n">
        <v>0.31</v>
      </c>
      <c r="I354" s="16" t="n">
        <v>92.63</v>
      </c>
      <c r="J354" s="16" t="n">
        <v>7.08</v>
      </c>
      <c r="K354" s="16" t="n">
        <v>0</v>
      </c>
      <c r="L354" s="16" t="n">
        <v>-13.71</v>
      </c>
      <c r="M354" s="16" t="n">
        <v>0</v>
      </c>
      <c r="N354" s="16" t="n">
        <v>269.43</v>
      </c>
      <c r="O354" s="17" t="n">
        <v>0.23946</v>
      </c>
      <c r="P354" s="18" t="n">
        <v>12</v>
      </c>
      <c r="Q354" s="18" t="n">
        <v>2</v>
      </c>
      <c r="R354" s="16" t="n">
        <v>295.73</v>
      </c>
      <c r="S354" s="14" t="inlineStr">
        <is>
          <t>NAVEL TEMPRANA</t>
        </is>
      </c>
      <c r="T354" s="14" t="inlineStr">
        <is>
          <t>INDUSTRIA</t>
        </is>
      </c>
      <c r="U354" s="19">
        <f>IFERROR(166.386*I354/F354,0)</f>
        <v/>
      </c>
      <c r="V354" s="19">
        <f>IFERROR(166.386*M354/F354,0)</f>
        <v/>
      </c>
      <c r="W354" s="19">
        <f>IFERROR(166.386*L354/F354,0)</f>
        <v/>
      </c>
    </row>
    <row r="355">
      <c r="A355" s="14" t="n">
        <v>2325</v>
      </c>
      <c r="B355" s="14" t="inlineStr">
        <is>
          <t>NAVEL TEMPRANA</t>
        </is>
      </c>
      <c r="C355" s="15" t="n">
        <v>1608</v>
      </c>
      <c r="D355" s="14" t="inlineStr">
        <is>
          <t>ALVAREZ CUEVAS, MANUEL</t>
        </is>
      </c>
      <c r="E355" s="14" t="inlineStr">
        <is>
          <t>NAVELINA</t>
        </is>
      </c>
      <c r="F355" s="15" t="n">
        <v>9890</v>
      </c>
      <c r="G355" s="16" t="n">
        <v>3065.9</v>
      </c>
      <c r="H355" s="17" t="n">
        <v>0.31</v>
      </c>
      <c r="I355" s="16" t="n">
        <v>618.13</v>
      </c>
      <c r="J355" s="16" t="n">
        <v>0</v>
      </c>
      <c r="K355" s="16" t="n">
        <v>0</v>
      </c>
      <c r="L355" s="16" t="n">
        <v>-109.78</v>
      </c>
      <c r="M355" s="16" t="n">
        <v>0</v>
      </c>
      <c r="N355" s="16" t="n">
        <v>2337.99</v>
      </c>
      <c r="O355" s="17" t="n">
        <v>0.25947</v>
      </c>
      <c r="P355" s="18" t="n">
        <v>12</v>
      </c>
      <c r="Q355" s="18" t="n">
        <v>2</v>
      </c>
      <c r="R355" s="16" t="n">
        <v>2566.18</v>
      </c>
      <c r="S355" s="14" t="inlineStr">
        <is>
          <t>NAVEL TEMPRANA</t>
        </is>
      </c>
      <c r="T355" s="14" t="inlineStr">
        <is>
          <t>INDUSTRIA</t>
        </is>
      </c>
      <c r="U355" s="19">
        <f>IFERROR(166.386*I355/F355,0)</f>
        <v/>
      </c>
      <c r="V355" s="19">
        <f>IFERROR(166.386*M355/F355,0)</f>
        <v/>
      </c>
      <c r="W355" s="19">
        <f>IFERROR(166.386*L355/F355,0)</f>
        <v/>
      </c>
    </row>
    <row r="356">
      <c r="A356" s="14" t="n">
        <v>2325</v>
      </c>
      <c r="B356" s="14" t="inlineStr">
        <is>
          <t>NAVEL TEMPRANA</t>
        </is>
      </c>
      <c r="C356" s="15" t="n">
        <v>1613</v>
      </c>
      <c r="D356" s="14" t="inlineStr">
        <is>
          <t>MARTIN RUIZ, DOMINGO</t>
        </is>
      </c>
      <c r="E356" s="14" t="inlineStr">
        <is>
          <t>NAVELINA</t>
        </is>
      </c>
      <c r="F356" s="15" t="n">
        <v>3188</v>
      </c>
      <c r="G356" s="16" t="n">
        <v>988.28</v>
      </c>
      <c r="H356" s="17" t="n">
        <v>0.31</v>
      </c>
      <c r="I356" s="16" t="n">
        <v>199.25</v>
      </c>
      <c r="J356" s="16" t="n">
        <v>0</v>
      </c>
      <c r="K356" s="16" t="n">
        <v>0</v>
      </c>
      <c r="L356" s="16" t="n">
        <v>-35.39</v>
      </c>
      <c r="M356" s="16" t="n">
        <v>0</v>
      </c>
      <c r="N356" s="16" t="n">
        <v>753.64</v>
      </c>
      <c r="O356" s="17" t="n">
        <v>0.25947</v>
      </c>
      <c r="P356" s="18" t="n">
        <v>12</v>
      </c>
      <c r="Q356" s="18" t="n">
        <v>2</v>
      </c>
      <c r="R356" s="16" t="n">
        <v>827.2</v>
      </c>
      <c r="S356" s="14" t="inlineStr">
        <is>
          <t>NAVEL TEMPRANA</t>
        </is>
      </c>
      <c r="T356" s="14" t="inlineStr">
        <is>
          <t>INDUSTRIA</t>
        </is>
      </c>
      <c r="U356" s="19">
        <f>IFERROR(166.386*I356/F356,0)</f>
        <v/>
      </c>
      <c r="V356" s="19">
        <f>IFERROR(166.386*M356/F356,0)</f>
        <v/>
      </c>
      <c r="W356" s="19">
        <f>IFERROR(166.386*L356/F356,0)</f>
        <v/>
      </c>
    </row>
    <row r="357">
      <c r="A357" s="14" t="n">
        <v>2325</v>
      </c>
      <c r="B357" s="14" t="inlineStr">
        <is>
          <t>NAVEL TEMPRANA</t>
        </is>
      </c>
      <c r="C357" s="15" t="n">
        <v>1614</v>
      </c>
      <c r="D357" s="14" t="inlineStr">
        <is>
          <t>MARIN SERRANO 2025 S.C.</t>
        </is>
      </c>
      <c r="E357" s="14" t="inlineStr">
        <is>
          <t>NAVELINA</t>
        </is>
      </c>
      <c r="F357" s="15" t="n">
        <v>1025</v>
      </c>
      <c r="G357" s="16" t="n">
        <v>317.75</v>
      </c>
      <c r="H357" s="17" t="n">
        <v>0.31</v>
      </c>
      <c r="I357" s="16" t="n">
        <v>64.06</v>
      </c>
      <c r="J357" s="16" t="n">
        <v>1.96</v>
      </c>
      <c r="K357" s="16" t="n">
        <v>0</v>
      </c>
      <c r="L357" s="16" t="n">
        <v>-11.38</v>
      </c>
      <c r="M357" s="16" t="n">
        <v>0</v>
      </c>
      <c r="N357" s="16" t="n">
        <v>240.35</v>
      </c>
      <c r="O357" s="17" t="n">
        <v>0.25738</v>
      </c>
      <c r="P357" s="18" t="n">
        <v>12</v>
      </c>
      <c r="Q357" s="18" t="n">
        <v>2</v>
      </c>
      <c r="R357" s="16" t="n">
        <v>263.81</v>
      </c>
      <c r="S357" s="14" t="inlineStr">
        <is>
          <t>NAVEL TEMPRANA</t>
        </is>
      </c>
      <c r="T357" s="14" t="inlineStr">
        <is>
          <t>INDUSTRIA</t>
        </is>
      </c>
      <c r="U357" s="19">
        <f>IFERROR(166.386*I357/F357,0)</f>
        <v/>
      </c>
      <c r="V357" s="19">
        <f>IFERROR(166.386*M357/F357,0)</f>
        <v/>
      </c>
      <c r="W357" s="19">
        <f>IFERROR(166.386*L357/F357,0)</f>
        <v/>
      </c>
    </row>
    <row r="358">
      <c r="A358" s="14" t="n">
        <v>2325</v>
      </c>
      <c r="B358" s="14" t="inlineStr">
        <is>
          <t>NAVEL TEMPRANA</t>
        </is>
      </c>
      <c r="C358" s="15" t="n">
        <v>1617</v>
      </c>
      <c r="D358" s="14" t="inlineStr">
        <is>
          <t>MARZAL LLOP, Mª LUISA</t>
        </is>
      </c>
      <c r="E358" s="14" t="inlineStr">
        <is>
          <t>NAVELINA</t>
        </is>
      </c>
      <c r="F358" s="15" t="n">
        <v>4250</v>
      </c>
      <c r="G358" s="16" t="n">
        <v>1317.5</v>
      </c>
      <c r="H358" s="17" t="n">
        <v>0.31</v>
      </c>
      <c r="I358" s="16" t="n">
        <v>265.62</v>
      </c>
      <c r="J358" s="16" t="n">
        <v>39.1</v>
      </c>
      <c r="K358" s="16" t="n">
        <v>0</v>
      </c>
      <c r="L358" s="16" t="n">
        <v>-47.18</v>
      </c>
      <c r="M358" s="16" t="n">
        <v>0</v>
      </c>
      <c r="N358" s="16" t="n">
        <v>965.6</v>
      </c>
      <c r="O358" s="17" t="n">
        <v>0.24937</v>
      </c>
      <c r="P358" s="18" t="n">
        <v>12</v>
      </c>
      <c r="Q358" s="18" t="n">
        <v>2</v>
      </c>
      <c r="R358" s="16" t="n">
        <v>1059.84</v>
      </c>
      <c r="S358" s="14" t="inlineStr">
        <is>
          <t>NAVEL TEMPRANA</t>
        </is>
      </c>
      <c r="T358" s="14" t="inlineStr">
        <is>
          <t>INDUSTRIA</t>
        </is>
      </c>
      <c r="U358" s="19">
        <f>IFERROR(166.386*I358/F358,0)</f>
        <v/>
      </c>
      <c r="V358" s="19">
        <f>IFERROR(166.386*M358/F358,0)</f>
        <v/>
      </c>
      <c r="W358" s="19">
        <f>IFERROR(166.386*L358/F358,0)</f>
        <v/>
      </c>
    </row>
    <row r="359">
      <c r="A359" s="14" t="n">
        <v>2325</v>
      </c>
      <c r="B359" s="14" t="inlineStr">
        <is>
          <t>NAVEL TEMPRANA</t>
        </is>
      </c>
      <c r="C359" s="15" t="n">
        <v>1622</v>
      </c>
      <c r="D359" s="14" t="inlineStr">
        <is>
          <t>DURAN ELENA, JOSE VICENTE</t>
        </is>
      </c>
      <c r="E359" s="14" t="inlineStr">
        <is>
          <t>NAVELINA</t>
        </is>
      </c>
      <c r="F359" s="15" t="n">
        <v>31879</v>
      </c>
      <c r="G359" s="16" t="n">
        <v>9882.49</v>
      </c>
      <c r="H359" s="17" t="n">
        <v>0.31</v>
      </c>
      <c r="I359" s="16" t="n">
        <v>1992.44</v>
      </c>
      <c r="J359" s="16" t="n">
        <v>0</v>
      </c>
      <c r="K359" s="16" t="n">
        <v>0</v>
      </c>
      <c r="L359" s="16" t="n">
        <v>0</v>
      </c>
      <c r="M359" s="16" t="n">
        <v>0</v>
      </c>
      <c r="N359" s="16" t="n">
        <v>7890.05</v>
      </c>
      <c r="O359" s="17" t="n">
        <v>0.27166</v>
      </c>
      <c r="P359" s="18" t="n">
        <v>12</v>
      </c>
      <c r="Q359" s="18" t="n">
        <v>2</v>
      </c>
      <c r="R359" s="16" t="n">
        <v>8660.120000000001</v>
      </c>
      <c r="S359" s="14" t="inlineStr">
        <is>
          <t>NAVEL TEMPRANA</t>
        </is>
      </c>
      <c r="T359" s="14" t="inlineStr">
        <is>
          <t>INDUSTRIA</t>
        </is>
      </c>
      <c r="U359" s="19">
        <f>IFERROR(166.386*I359/F359,0)</f>
        <v/>
      </c>
      <c r="V359" s="19">
        <f>IFERROR(166.386*M359/F359,0)</f>
        <v/>
      </c>
      <c r="W359" s="19">
        <f>IFERROR(166.386*L359/F359,0)</f>
        <v/>
      </c>
    </row>
    <row r="360">
      <c r="A360" s="14" t="n">
        <v>2325</v>
      </c>
      <c r="B360" s="14" t="inlineStr">
        <is>
          <t>NAVEL TEMPRANA</t>
        </is>
      </c>
      <c r="C360" s="15" t="n">
        <v>1623</v>
      </c>
      <c r="D360" s="14" t="inlineStr">
        <is>
          <t>GALLEGO BARRERA, GUILLERMO</t>
        </is>
      </c>
      <c r="E360" s="14" t="inlineStr">
        <is>
          <t>NAVELINA</t>
        </is>
      </c>
      <c r="F360" s="15" t="n">
        <v>1586</v>
      </c>
      <c r="G360" s="16" t="n">
        <v>491.66</v>
      </c>
      <c r="H360" s="17" t="n">
        <v>0.31</v>
      </c>
      <c r="I360" s="16" t="n">
        <v>118.95</v>
      </c>
      <c r="J360" s="16" t="n">
        <v>2.89</v>
      </c>
      <c r="K360" s="16" t="n">
        <v>0</v>
      </c>
      <c r="L360" s="16" t="n">
        <v>-17.6</v>
      </c>
      <c r="M360" s="16" t="n">
        <v>0</v>
      </c>
      <c r="N360" s="16" t="n">
        <v>352.22</v>
      </c>
      <c r="O360" s="17" t="n">
        <v>0.24376</v>
      </c>
      <c r="P360" s="18" t="n">
        <v>12</v>
      </c>
      <c r="Q360" s="18" t="n">
        <v>2</v>
      </c>
      <c r="R360" s="16" t="n">
        <v>386.6</v>
      </c>
      <c r="S360" s="14" t="inlineStr">
        <is>
          <t>NAVEL TEMPRANA</t>
        </is>
      </c>
      <c r="T360" s="14" t="inlineStr">
        <is>
          <t>INDUSTRIA</t>
        </is>
      </c>
      <c r="U360" s="19">
        <f>IFERROR(166.386*I360/F360,0)</f>
        <v/>
      </c>
      <c r="V360" s="19">
        <f>IFERROR(166.386*M360/F360,0)</f>
        <v/>
      </c>
      <c r="W360" s="19">
        <f>IFERROR(166.386*L360/F360,0)</f>
        <v/>
      </c>
    </row>
    <row r="361">
      <c r="A361" s="14" t="n">
        <v>2148</v>
      </c>
      <c r="B361" s="14" t="inlineStr">
        <is>
          <t>Nadorcott Semana 5 NORMAL</t>
        </is>
      </c>
      <c r="C361" s="15" t="n">
        <v>886</v>
      </c>
      <c r="D361" s="14" t="inlineStr">
        <is>
          <t>IGEÑO LUQUE S.C.</t>
        </is>
      </c>
      <c r="E361" s="14" t="inlineStr">
        <is>
          <t>NADORCOTT</t>
        </is>
      </c>
      <c r="F361" s="15" t="n">
        <v>29231</v>
      </c>
      <c r="G361" s="16" t="n">
        <v>24653.35</v>
      </c>
      <c r="H361" s="17" t="n">
        <v>0.8433974205466799</v>
      </c>
      <c r="I361" s="16" t="n">
        <v>3653.88</v>
      </c>
      <c r="J361" s="16" t="n">
        <v>148.91</v>
      </c>
      <c r="K361" s="16" t="n">
        <v>0</v>
      </c>
      <c r="L361" s="16" t="n">
        <v>429.7</v>
      </c>
      <c r="M361" s="16" t="n">
        <v>499.54</v>
      </c>
      <c r="N361" s="16" t="n">
        <v>21779.8</v>
      </c>
      <c r="O361" s="17" t="n">
        <v>0.81781</v>
      </c>
      <c r="P361" s="18" t="n">
        <v>12</v>
      </c>
      <c r="Q361" s="18" t="n">
        <v>2</v>
      </c>
      <c r="R361" s="16" t="n">
        <v>23905.51</v>
      </c>
      <c r="S361" s="14" t="inlineStr">
        <is>
          <t>Nadorcott Semana 5 NORMAL</t>
        </is>
      </c>
      <c r="T361" s="14" t="inlineStr">
        <is>
          <t>MANDARINA</t>
        </is>
      </c>
      <c r="U361" s="19">
        <f>IFERROR(166.386*I361/F361,0)</f>
        <v/>
      </c>
      <c r="V361" s="19">
        <f>IFERROR(166.386*M361/F361,0)</f>
        <v/>
      </c>
      <c r="W361" s="19">
        <f>IFERROR(166.386*L361/F361,0)</f>
        <v/>
      </c>
    </row>
    <row r="362">
      <c r="A362" s="14" t="n">
        <v>2148</v>
      </c>
      <c r="B362" s="14" t="inlineStr">
        <is>
          <t>Nadorcott Semana 5 NORMAL</t>
        </is>
      </c>
      <c r="C362" s="15" t="n">
        <v>1443</v>
      </c>
      <c r="D362" s="14" t="inlineStr">
        <is>
          <t>TOMENO SUAREZ,ALBERTO</t>
        </is>
      </c>
      <c r="E362" s="14" t="inlineStr">
        <is>
          <t>NADORCOTT</t>
        </is>
      </c>
      <c r="F362" s="15" t="n">
        <v>61919</v>
      </c>
      <c r="G362" s="16" t="n">
        <v>42738.98</v>
      </c>
      <c r="H362" s="17" t="n">
        <v>0.6902401524572426</v>
      </c>
      <c r="I362" s="16" t="n">
        <v>0</v>
      </c>
      <c r="J362" s="16" t="n">
        <v>382.88</v>
      </c>
      <c r="K362" s="16" t="n">
        <v>0</v>
      </c>
      <c r="L362" s="16" t="n">
        <v>331.84</v>
      </c>
      <c r="M362" s="16" t="n">
        <v>933.37</v>
      </c>
      <c r="N362" s="16" t="n">
        <v>43621.31</v>
      </c>
      <c r="O362" s="17" t="n">
        <v>0.77325</v>
      </c>
      <c r="P362" s="18" t="n">
        <v>12</v>
      </c>
      <c r="Q362" s="18" t="n">
        <v>2</v>
      </c>
      <c r="R362" s="16" t="n">
        <v>47878.75</v>
      </c>
      <c r="S362" s="14" t="inlineStr">
        <is>
          <t>Nadorcott Semana 5 NORMAL</t>
        </is>
      </c>
      <c r="T362" s="14" t="inlineStr">
        <is>
          <t>MANDARINA</t>
        </is>
      </c>
      <c r="U362" s="19">
        <f>IFERROR(166.386*I362/F362,0)</f>
        <v/>
      </c>
      <c r="V362" s="19">
        <f>IFERROR(166.386*M362/F362,0)</f>
        <v/>
      </c>
      <c r="W362" s="19">
        <f>IFERROR(166.386*L362/F362,0)</f>
        <v/>
      </c>
    </row>
    <row r="363">
      <c r="A363" s="14" t="n">
        <v>2148</v>
      </c>
      <c r="B363" s="14" t="inlineStr">
        <is>
          <t>Nadorcott Semana 5 NORMAL</t>
        </is>
      </c>
      <c r="C363" s="15" t="n">
        <v>1478</v>
      </c>
      <c r="D363" s="14" t="inlineStr">
        <is>
          <t>AGROSERVICIOS LA CATRIA S.L.</t>
        </is>
      </c>
      <c r="E363" s="14" t="inlineStr">
        <is>
          <t>NADORCOTT</t>
        </is>
      </c>
      <c r="F363" s="15" t="n">
        <v>3338</v>
      </c>
      <c r="G363" s="16" t="n">
        <v>1863.9</v>
      </c>
      <c r="H363" s="17" t="n">
        <v>0.5583882564409827</v>
      </c>
      <c r="I363" s="16" t="n">
        <v>417.25</v>
      </c>
      <c r="J363" s="16" t="n">
        <v>81.88</v>
      </c>
      <c r="K363" s="16" t="n">
        <v>0</v>
      </c>
      <c r="L363" s="16" t="n">
        <v>49.07</v>
      </c>
      <c r="M363" s="16" t="n">
        <v>36.96</v>
      </c>
      <c r="N363" s="16" t="n">
        <v>1450.8</v>
      </c>
      <c r="O363" s="17" t="n">
        <v>0.45202</v>
      </c>
      <c r="P363" s="18" t="n">
        <v>4</v>
      </c>
      <c r="Q363" s="18" t="n">
        <v>0</v>
      </c>
      <c r="R363" s="16" t="n">
        <v>1508.83</v>
      </c>
      <c r="S363" s="14" t="inlineStr">
        <is>
          <t>Nadorcott Semana 5 NORMAL</t>
        </is>
      </c>
      <c r="T363" s="14" t="inlineStr">
        <is>
          <t>MANDARINA</t>
        </is>
      </c>
      <c r="U363" s="19">
        <f>IFERROR(166.386*I363/F363,0)</f>
        <v/>
      </c>
      <c r="V363" s="19">
        <f>IFERROR(166.386*M363/F363,0)</f>
        <v/>
      </c>
      <c r="W363" s="19">
        <f>IFERROR(166.386*L363/F363,0)</f>
        <v/>
      </c>
    </row>
    <row r="364">
      <c r="A364" s="14" t="n">
        <v>2148</v>
      </c>
      <c r="B364" s="14" t="inlineStr">
        <is>
          <t>Nadorcott Semana 5 NORMAL</t>
        </is>
      </c>
      <c r="C364" s="15" t="n">
        <v>1491</v>
      </c>
      <c r="D364" s="14" t="inlineStr">
        <is>
          <t>JIMENEZ LORENTE,SONIA</t>
        </is>
      </c>
      <c r="E364" s="14" t="inlineStr">
        <is>
          <t>NADORCOTT</t>
        </is>
      </c>
      <c r="F364" s="15" t="n">
        <v>22836</v>
      </c>
      <c r="G364" s="16" t="n">
        <v>18762.73</v>
      </c>
      <c r="H364" s="17" t="n">
        <v>0.8216294447363811</v>
      </c>
      <c r="I364" s="16" t="n">
        <v>2854.5</v>
      </c>
      <c r="J364" s="16" t="n">
        <v>146.67</v>
      </c>
      <c r="K364" s="16" t="n">
        <v>0</v>
      </c>
      <c r="L364" s="16" t="n">
        <v>0</v>
      </c>
      <c r="M364" s="16" t="n">
        <v>364.98</v>
      </c>
      <c r="N364" s="16" t="n">
        <v>16126.54</v>
      </c>
      <c r="O364" s="17" t="n">
        <v>0.77511</v>
      </c>
      <c r="P364" s="18" t="n">
        <v>12</v>
      </c>
      <c r="Q364" s="18" t="n">
        <v>2</v>
      </c>
      <c r="R364" s="16" t="n">
        <v>17700.49</v>
      </c>
      <c r="S364" s="14" t="inlineStr">
        <is>
          <t>Nadorcott Semana 5 NORMAL</t>
        </is>
      </c>
      <c r="T364" s="14" t="inlineStr">
        <is>
          <t>MANDARINA</t>
        </is>
      </c>
      <c r="U364" s="19">
        <f>IFERROR(166.386*I364/F364,0)</f>
        <v/>
      </c>
      <c r="V364" s="19">
        <f>IFERROR(166.386*M364/F364,0)</f>
        <v/>
      </c>
      <c r="W364" s="19">
        <f>IFERROR(166.386*L364/F364,0)</f>
        <v/>
      </c>
    </row>
    <row r="365">
      <c r="A365" s="14" t="n">
        <v>2149</v>
      </c>
      <c r="B365" s="14" t="inlineStr">
        <is>
          <t>Nadorcott Semana 7 NORMAL</t>
        </is>
      </c>
      <c r="C365" s="15" t="n">
        <v>1491</v>
      </c>
      <c r="D365" s="14" t="inlineStr">
        <is>
          <t>JIMENEZ LORENTE,SONIA</t>
        </is>
      </c>
      <c r="E365" s="14" t="inlineStr">
        <is>
          <t>NADORCOTT</t>
        </is>
      </c>
      <c r="F365" s="15" t="n">
        <v>22750</v>
      </c>
      <c r="G365" s="16" t="n">
        <v>17837.05</v>
      </c>
      <c r="H365" s="17" t="n">
        <v>0.7840461538461538</v>
      </c>
      <c r="I365" s="16" t="n">
        <v>2843.75</v>
      </c>
      <c r="J365" s="16" t="n">
        <v>146.12</v>
      </c>
      <c r="K365" s="16" t="n">
        <v>0</v>
      </c>
      <c r="L365" s="16" t="n">
        <v>0</v>
      </c>
      <c r="M365" s="16" t="n">
        <v>341.89</v>
      </c>
      <c r="N365" s="16" t="n">
        <v>15189.07</v>
      </c>
      <c r="O365" s="17" t="n">
        <v>0.73281</v>
      </c>
      <c r="P365" s="18" t="n">
        <v>12</v>
      </c>
      <c r="Q365" s="18" t="n">
        <v>2</v>
      </c>
      <c r="R365" s="16" t="n">
        <v>16671.52</v>
      </c>
      <c r="S365" s="14" t="inlineStr">
        <is>
          <t>Nadorcott Semana 7 NORMAL</t>
        </is>
      </c>
      <c r="T365" s="14" t="inlineStr">
        <is>
          <t>MANDARINA</t>
        </is>
      </c>
      <c r="U365" s="19">
        <f>IFERROR(166.386*I365/F365,0)</f>
        <v/>
      </c>
      <c r="V365" s="19">
        <f>IFERROR(166.386*M365/F365,0)</f>
        <v/>
      </c>
      <c r="W365" s="19">
        <f>IFERROR(166.386*L365/F365,0)</f>
        <v/>
      </c>
    </row>
    <row r="366">
      <c r="A366" s="14" t="n">
        <v>2150</v>
      </c>
      <c r="B366" s="14" t="inlineStr">
        <is>
          <t>Tango Semana 1 CON HOJAS</t>
        </is>
      </c>
      <c r="C366" s="15" t="n">
        <v>1566</v>
      </c>
      <c r="D366" s="14" t="inlineStr">
        <is>
          <t>GODOY MARTIN, FRANCISCO</t>
        </is>
      </c>
      <c r="E366" s="14" t="inlineStr">
        <is>
          <t>TANGO</t>
        </is>
      </c>
      <c r="F366" s="15" t="n">
        <v>2283</v>
      </c>
      <c r="G366" s="16" t="n">
        <v>1888.69</v>
      </c>
      <c r="H366" s="17" t="n">
        <v>0.8272842750766535</v>
      </c>
      <c r="I366" s="16" t="n">
        <v>285.38</v>
      </c>
      <c r="J366" s="16" t="n">
        <v>0</v>
      </c>
      <c r="K366" s="16" t="n">
        <v>0</v>
      </c>
      <c r="L366" s="16" t="n">
        <v>0</v>
      </c>
      <c r="M366" s="16" t="n">
        <v>37.08</v>
      </c>
      <c r="N366" s="16" t="n">
        <v>1640.39</v>
      </c>
      <c r="O366" s="17" t="n">
        <v>0.78865</v>
      </c>
      <c r="P366" s="18" t="n">
        <v>12</v>
      </c>
      <c r="Q366" s="18" t="n">
        <v>2</v>
      </c>
      <c r="R366" s="16" t="n">
        <v>1800.49</v>
      </c>
      <c r="S366" s="14" t="inlineStr">
        <is>
          <t>Tango Semana 1 CON HOJAS</t>
        </is>
      </c>
      <c r="T366" s="14" t="inlineStr">
        <is>
          <t>MANDARINA</t>
        </is>
      </c>
      <c r="U366" s="19">
        <f>IFERROR(166.386*I366/F366,0)</f>
        <v/>
      </c>
      <c r="V366" s="19">
        <f>IFERROR(166.386*M366/F366,0)</f>
        <v/>
      </c>
      <c r="W366" s="19">
        <f>IFERROR(166.386*L366/F366,0)</f>
        <v/>
      </c>
    </row>
    <row r="367">
      <c r="A367" s="14" t="n">
        <v>2151</v>
      </c>
      <c r="B367" s="14" t="inlineStr">
        <is>
          <t>Tango Semana 1 NORMAL</t>
        </is>
      </c>
      <c r="C367" s="15" t="n">
        <v>1178</v>
      </c>
      <c r="D367" s="14" t="inlineStr">
        <is>
          <t>CALZADO GARCIA,FRANCISCO JAVIER</t>
        </is>
      </c>
      <c r="E367" s="14" t="inlineStr">
        <is>
          <t>TANGO</t>
        </is>
      </c>
      <c r="F367" s="15" t="n">
        <v>10616</v>
      </c>
      <c r="G367" s="16" t="n">
        <v>8323.65</v>
      </c>
      <c r="H367" s="17" t="n">
        <v>0.7840665033911077</v>
      </c>
      <c r="I367" s="16" t="n">
        <v>1333</v>
      </c>
      <c r="J367" s="16" t="n">
        <v>130.72</v>
      </c>
      <c r="K367" s="16" t="n">
        <v>0</v>
      </c>
      <c r="L367" s="16" t="n">
        <v>0</v>
      </c>
      <c r="M367" s="16" t="n">
        <v>181.53</v>
      </c>
      <c r="N367" s="16" t="n">
        <v>7041.46</v>
      </c>
      <c r="O367" s="17" t="n">
        <v>0.72802</v>
      </c>
      <c r="P367" s="18" t="n">
        <v>12</v>
      </c>
      <c r="Q367" s="18" t="n">
        <v>2</v>
      </c>
      <c r="R367" s="16" t="n">
        <v>7728.71</v>
      </c>
      <c r="S367" s="14" t="inlineStr">
        <is>
          <t>Tango Semana 1 NORMAL</t>
        </is>
      </c>
      <c r="T367" s="14" t="inlineStr">
        <is>
          <t>MANDARINA</t>
        </is>
      </c>
      <c r="U367" s="19">
        <f>IFERROR(166.386*I367/F367,0)</f>
        <v/>
      </c>
      <c r="V367" s="19">
        <f>IFERROR(166.386*M367/F367,0)</f>
        <v/>
      </c>
      <c r="W367" s="19">
        <f>IFERROR(166.386*L367/F367,0)</f>
        <v/>
      </c>
    </row>
    <row r="368">
      <c r="A368" s="14" t="n">
        <v>2151</v>
      </c>
      <c r="B368" s="14" t="inlineStr">
        <is>
          <t>Tango Semana 1 NORMAL</t>
        </is>
      </c>
      <c r="C368" s="15" t="n">
        <v>1566</v>
      </c>
      <c r="D368" s="14" t="inlineStr">
        <is>
          <t>GODOY MARTIN, FRANCISCO</t>
        </is>
      </c>
      <c r="E368" s="14" t="inlineStr">
        <is>
          <t>TANGO</t>
        </is>
      </c>
      <c r="F368" s="15" t="n">
        <v>48469</v>
      </c>
      <c r="G368" s="16" t="n">
        <v>38382.64</v>
      </c>
      <c r="H368" s="17" t="n">
        <v>0.7919008025748416</v>
      </c>
      <c r="I368" s="16" t="n">
        <v>6058.63</v>
      </c>
      <c r="J368" s="16" t="n">
        <v>0</v>
      </c>
      <c r="K368" s="16" t="n">
        <v>0</v>
      </c>
      <c r="L368" s="16" t="n">
        <v>105.5</v>
      </c>
      <c r="M368" s="16" t="n">
        <v>826.78</v>
      </c>
      <c r="N368" s="16" t="n">
        <v>33256.29</v>
      </c>
      <c r="O368" s="17" t="n">
        <v>0.7531</v>
      </c>
      <c r="P368" s="18" t="n">
        <v>12</v>
      </c>
      <c r="Q368" s="18" t="n">
        <v>2</v>
      </c>
      <c r="R368" s="16" t="n">
        <v>36502.1</v>
      </c>
      <c r="S368" s="14" t="inlineStr">
        <is>
          <t>Tango Semana 1 NORMAL</t>
        </is>
      </c>
      <c r="T368" s="14" t="inlineStr">
        <is>
          <t>MANDARINA</t>
        </is>
      </c>
      <c r="U368" s="19">
        <f>IFERROR(166.386*I368/F368,0)</f>
        <v/>
      </c>
      <c r="V368" s="19">
        <f>IFERROR(166.386*M368/F368,0)</f>
        <v/>
      </c>
      <c r="W368" s="19">
        <f>IFERROR(166.386*L368/F368,0)</f>
        <v/>
      </c>
    </row>
    <row r="369">
      <c r="A369" s="14" t="n">
        <v>2152</v>
      </c>
      <c r="B369" s="14" t="inlineStr">
        <is>
          <t>Tango Semana 2 NORMAL</t>
        </is>
      </c>
      <c r="C369" s="15" t="n">
        <v>1133</v>
      </c>
      <c r="D369" s="14" t="inlineStr">
        <is>
          <t>MAYFE S.C.</t>
        </is>
      </c>
      <c r="E369" s="14" t="inlineStr">
        <is>
          <t>TANGO</t>
        </is>
      </c>
      <c r="F369" s="15" t="n">
        <v>41356</v>
      </c>
      <c r="G369" s="16" t="n">
        <v>32279.78</v>
      </c>
      <c r="H369" s="17" t="n">
        <v>0.7805343843698617</v>
      </c>
      <c r="I369" s="16" t="n">
        <v>5169.5</v>
      </c>
      <c r="J369" s="16" t="n">
        <v>392.9</v>
      </c>
      <c r="K369" s="16" t="n">
        <v>0</v>
      </c>
      <c r="L369" s="16" t="n">
        <v>309.82</v>
      </c>
      <c r="M369" s="16" t="n">
        <v>0</v>
      </c>
      <c r="N369" s="16" t="n">
        <v>27027.2</v>
      </c>
      <c r="O369" s="17" t="n">
        <v>0.71731</v>
      </c>
      <c r="P369" s="18" t="n">
        <v>12</v>
      </c>
      <c r="Q369" s="18" t="n">
        <v>2</v>
      </c>
      <c r="R369" s="16" t="n">
        <v>29665.05</v>
      </c>
      <c r="S369" s="14" t="inlineStr">
        <is>
          <t>Tango Semana 2 NORMAL</t>
        </is>
      </c>
      <c r="T369" s="14" t="inlineStr">
        <is>
          <t>MANDARINA</t>
        </is>
      </c>
      <c r="U369" s="19">
        <f>IFERROR(166.386*I369/F369,0)</f>
        <v/>
      </c>
      <c r="V369" s="19">
        <f>IFERROR(166.386*M369/F369,0)</f>
        <v/>
      </c>
      <c r="W369" s="19">
        <f>IFERROR(166.386*L369/F369,0)</f>
        <v/>
      </c>
    </row>
    <row r="370">
      <c r="A370" s="14" t="n">
        <v>2152</v>
      </c>
      <c r="B370" s="14" t="inlineStr">
        <is>
          <t>Tango Semana 2 NORMAL</t>
        </is>
      </c>
      <c r="C370" s="15" t="n">
        <v>1324</v>
      </c>
      <c r="D370" s="14" t="inlineStr">
        <is>
          <t>CANO MANZANARES,LUIS</t>
        </is>
      </c>
      <c r="E370" s="14" t="inlineStr">
        <is>
          <t>TANGO</t>
        </is>
      </c>
      <c r="F370" s="15" t="n">
        <v>19650</v>
      </c>
      <c r="G370" s="16" t="n">
        <v>15053.86</v>
      </c>
      <c r="H370" s="17" t="n">
        <v>0.7660997455470738</v>
      </c>
      <c r="I370" s="16" t="n">
        <v>2456.25</v>
      </c>
      <c r="J370" s="16" t="n">
        <v>68.12</v>
      </c>
      <c r="K370" s="16" t="n">
        <v>0</v>
      </c>
      <c r="L370" s="16" t="n">
        <v>288.86</v>
      </c>
      <c r="M370" s="16" t="n">
        <v>341.49</v>
      </c>
      <c r="N370" s="16" t="n">
        <v>13159.84</v>
      </c>
      <c r="O370" s="17" t="n">
        <v>0.73508</v>
      </c>
      <c r="P370" s="18" t="n">
        <v>12</v>
      </c>
      <c r="Q370" s="18" t="n">
        <v>2</v>
      </c>
      <c r="R370" s="16" t="n">
        <v>14444.24</v>
      </c>
      <c r="S370" s="14" t="inlineStr">
        <is>
          <t>Tango Semana 2 NORMAL</t>
        </is>
      </c>
      <c r="T370" s="14" t="inlineStr">
        <is>
          <t>MANDARINA</t>
        </is>
      </c>
      <c r="U370" s="19">
        <f>IFERROR(166.386*I370/F370,0)</f>
        <v/>
      </c>
      <c r="V370" s="19">
        <f>IFERROR(166.386*M370/F370,0)</f>
        <v/>
      </c>
      <c r="W370" s="19">
        <f>IFERROR(166.386*L370/F370,0)</f>
        <v/>
      </c>
    </row>
    <row r="371">
      <c r="A371" s="14" t="n">
        <v>2152</v>
      </c>
      <c r="B371" s="14" t="inlineStr">
        <is>
          <t>Tango Semana 2 NORMAL</t>
        </is>
      </c>
      <c r="C371" s="15" t="n">
        <v>1415</v>
      </c>
      <c r="D371" s="14" t="inlineStr">
        <is>
          <t>TOMENO SUAREZ,FERNANDO</t>
        </is>
      </c>
      <c r="E371" s="14" t="inlineStr">
        <is>
          <t>TANGO</t>
        </is>
      </c>
      <c r="F371" s="15" t="n">
        <v>16796</v>
      </c>
      <c r="G371" s="16" t="n">
        <v>12934.97</v>
      </c>
      <c r="H371" s="17" t="n">
        <v>0.7701220528697309</v>
      </c>
      <c r="I371" s="16" t="n">
        <v>0</v>
      </c>
      <c r="J371" s="16" t="n">
        <v>59.19</v>
      </c>
      <c r="K371" s="16" t="n">
        <v>0</v>
      </c>
      <c r="L371" s="16" t="n">
        <v>0</v>
      </c>
      <c r="M371" s="16" t="n">
        <v>280.82</v>
      </c>
      <c r="N371" s="16" t="n">
        <v>13156.6</v>
      </c>
      <c r="O371" s="17" t="n">
        <v>0.85977</v>
      </c>
      <c r="P371" s="18" t="n">
        <v>12</v>
      </c>
      <c r="Q371" s="18" t="n">
        <v>2</v>
      </c>
      <c r="R371" s="16" t="n">
        <v>14440.68</v>
      </c>
      <c r="S371" s="14" t="inlineStr">
        <is>
          <t>Tango Semana 2 NORMAL</t>
        </is>
      </c>
      <c r="T371" s="14" t="inlineStr">
        <is>
          <t>MANDARINA</t>
        </is>
      </c>
      <c r="U371" s="19">
        <f>IFERROR(166.386*I371/F371,0)</f>
        <v/>
      </c>
      <c r="V371" s="19">
        <f>IFERROR(166.386*M371/F371,0)</f>
        <v/>
      </c>
      <c r="W371" s="19">
        <f>IFERROR(166.386*L371/F371,0)</f>
        <v/>
      </c>
    </row>
    <row r="372">
      <c r="A372" s="14" t="n">
        <v>2152</v>
      </c>
      <c r="B372" s="14" t="inlineStr">
        <is>
          <t>Tango Semana 2 NORMAL</t>
        </is>
      </c>
      <c r="C372" s="15" t="n">
        <v>1561</v>
      </c>
      <c r="D372" s="14" t="inlineStr">
        <is>
          <t>SUAREZ SANCHEZ, Mª DEL PILAR</t>
        </is>
      </c>
      <c r="E372" s="14" t="inlineStr">
        <is>
          <t>TANGO</t>
        </is>
      </c>
      <c r="F372" s="15" t="n">
        <v>49948</v>
      </c>
      <c r="G372" s="16" t="n">
        <v>38715.7</v>
      </c>
      <c r="H372" s="17" t="n">
        <v>0.7751201249299271</v>
      </c>
      <c r="I372" s="16" t="n">
        <v>0</v>
      </c>
      <c r="J372" s="16" t="n">
        <v>406.11</v>
      </c>
      <c r="K372" s="16" t="n">
        <v>0</v>
      </c>
      <c r="L372" s="16" t="n">
        <v>442.15</v>
      </c>
      <c r="M372" s="16" t="n">
        <v>868.59</v>
      </c>
      <c r="N372" s="16" t="n">
        <v>39620.33</v>
      </c>
      <c r="O372" s="17" t="n">
        <v>0.87065</v>
      </c>
      <c r="P372" s="18" t="n">
        <v>12</v>
      </c>
      <c r="Q372" s="18" t="n">
        <v>2</v>
      </c>
      <c r="R372" s="16" t="n">
        <v>43487.27</v>
      </c>
      <c r="S372" s="14" t="inlineStr">
        <is>
          <t>Tango Semana 2 NORMAL</t>
        </is>
      </c>
      <c r="T372" s="14" t="inlineStr">
        <is>
          <t>MANDARINA</t>
        </is>
      </c>
      <c r="U372" s="19">
        <f>IFERROR(166.386*I372/F372,0)</f>
        <v/>
      </c>
      <c r="V372" s="19">
        <f>IFERROR(166.386*M372/F372,0)</f>
        <v/>
      </c>
      <c r="W372" s="19">
        <f>IFERROR(166.386*L372/F372,0)</f>
        <v/>
      </c>
    </row>
    <row r="373">
      <c r="A373" s="14" t="n">
        <v>2152</v>
      </c>
      <c r="B373" s="14" t="inlineStr">
        <is>
          <t>Tango Semana 2 NORMAL</t>
        </is>
      </c>
      <c r="C373" s="15" t="n">
        <v>1566</v>
      </c>
      <c r="D373" s="14" t="inlineStr">
        <is>
          <t>GODOY MARTIN, FRANCISCO</t>
        </is>
      </c>
      <c r="E373" s="14" t="inlineStr">
        <is>
          <t>TANGO</t>
        </is>
      </c>
      <c r="F373" s="15" t="n">
        <v>20860</v>
      </c>
      <c r="G373" s="16" t="n">
        <v>16227.86</v>
      </c>
      <c r="H373" s="17" t="n">
        <v>0.777941514860978</v>
      </c>
      <c r="I373" s="16" t="n">
        <v>2607.5</v>
      </c>
      <c r="J373" s="16" t="n">
        <v>0</v>
      </c>
      <c r="K373" s="16" t="n">
        <v>0</v>
      </c>
      <c r="L373" s="16" t="n">
        <v>306.64</v>
      </c>
      <c r="M373" s="16" t="n">
        <v>359.81</v>
      </c>
      <c r="N373" s="16" t="n">
        <v>14286.81</v>
      </c>
      <c r="O373" s="17" t="n">
        <v>0.75174</v>
      </c>
      <c r="P373" s="18" t="n">
        <v>12</v>
      </c>
      <c r="Q373" s="18" t="n">
        <v>2</v>
      </c>
      <c r="R373" s="16" t="n">
        <v>15681.2</v>
      </c>
      <c r="S373" s="14" t="inlineStr">
        <is>
          <t>Tango Semana 2 NORMAL</t>
        </is>
      </c>
      <c r="T373" s="14" t="inlineStr">
        <is>
          <t>MANDARINA</t>
        </is>
      </c>
      <c r="U373" s="19">
        <f>IFERROR(166.386*I373/F373,0)</f>
        <v/>
      </c>
      <c r="V373" s="19">
        <f>IFERROR(166.386*M373/F373,0)</f>
        <v/>
      </c>
      <c r="W373" s="19">
        <f>IFERROR(166.386*L373/F373,0)</f>
        <v/>
      </c>
    </row>
    <row r="374">
      <c r="A374" s="14" t="n">
        <v>2153</v>
      </c>
      <c r="B374" s="14" t="inlineStr">
        <is>
          <t>Tango Semana 3 NORMAL</t>
        </is>
      </c>
      <c r="C374" s="15" t="n">
        <v>1214</v>
      </c>
      <c r="D374" s="14" t="inlineStr">
        <is>
          <t>CALZADA GAMIZ,JOSE ANTONIO</t>
        </is>
      </c>
      <c r="E374" s="14" t="inlineStr">
        <is>
          <t>TANGO</t>
        </is>
      </c>
      <c r="F374" s="15" t="n">
        <v>18104</v>
      </c>
      <c r="G374" s="16" t="n">
        <v>14207.77</v>
      </c>
      <c r="H374" s="17" t="n">
        <v>0.7847862350861688</v>
      </c>
      <c r="I374" s="16" t="n">
        <v>2263</v>
      </c>
      <c r="J374" s="16" t="n">
        <v>164.37</v>
      </c>
      <c r="K374" s="16" t="n">
        <v>0</v>
      </c>
      <c r="L374" s="16" t="n">
        <v>0</v>
      </c>
      <c r="M374" s="16" t="n">
        <v>309.7</v>
      </c>
      <c r="N374" s="16" t="n">
        <v>12090.1</v>
      </c>
      <c r="O374" s="17" t="n">
        <v>0.73299</v>
      </c>
      <c r="P374" s="18" t="n">
        <v>12</v>
      </c>
      <c r="Q374" s="18" t="n">
        <v>2</v>
      </c>
      <c r="R374" s="16" t="n">
        <v>13270.09</v>
      </c>
      <c r="S374" s="14" t="inlineStr">
        <is>
          <t>Tango Semana 3 NORMAL</t>
        </is>
      </c>
      <c r="T374" s="14" t="inlineStr">
        <is>
          <t>MANDARINA</t>
        </is>
      </c>
      <c r="U374" s="19">
        <f>IFERROR(166.386*I374/F374,0)</f>
        <v/>
      </c>
      <c r="V374" s="19">
        <f>IFERROR(166.386*M374/F374,0)</f>
        <v/>
      </c>
      <c r="W374" s="19">
        <f>IFERROR(166.386*L374/F374,0)</f>
        <v/>
      </c>
    </row>
    <row r="375">
      <c r="A375" s="14" t="n">
        <v>2153</v>
      </c>
      <c r="B375" s="14" t="inlineStr">
        <is>
          <t>Tango Semana 3 NORMAL</t>
        </is>
      </c>
      <c r="C375" s="15" t="n">
        <v>1324</v>
      </c>
      <c r="D375" s="14" t="inlineStr">
        <is>
          <t>CANO MANZANARES,LUIS</t>
        </is>
      </c>
      <c r="E375" s="14" t="inlineStr">
        <is>
          <t>TANGO</t>
        </is>
      </c>
      <c r="F375" s="15" t="n">
        <v>99440</v>
      </c>
      <c r="G375" s="16" t="n">
        <v>80750.06</v>
      </c>
      <c r="H375" s="17" t="n">
        <v>0.8120480691874498</v>
      </c>
      <c r="I375" s="16" t="n">
        <v>12430.01</v>
      </c>
      <c r="J375" s="16" t="n">
        <v>344.75</v>
      </c>
      <c r="K375" s="16" t="n">
        <v>0</v>
      </c>
      <c r="L375" s="16" t="n">
        <v>0</v>
      </c>
      <c r="M375" s="16" t="n">
        <v>1705.2</v>
      </c>
      <c r="N375" s="16" t="n">
        <v>69680.5</v>
      </c>
      <c r="O375" s="17" t="n">
        <v>0.76912</v>
      </c>
      <c r="P375" s="18" t="n">
        <v>12</v>
      </c>
      <c r="Q375" s="18" t="n">
        <v>2</v>
      </c>
      <c r="R375" s="16" t="n">
        <v>76481.32000000001</v>
      </c>
      <c r="S375" s="14" t="inlineStr">
        <is>
          <t>Tango Semana 3 NORMAL</t>
        </is>
      </c>
      <c r="T375" s="14" t="inlineStr">
        <is>
          <t>MANDARINA</t>
        </is>
      </c>
      <c r="U375" s="19">
        <f>IFERROR(166.386*I375/F375,0)</f>
        <v/>
      </c>
      <c r="V375" s="19">
        <f>IFERROR(166.386*M375/F375,0)</f>
        <v/>
      </c>
      <c r="W375" s="19">
        <f>IFERROR(166.386*L375/F375,0)</f>
        <v/>
      </c>
    </row>
    <row r="376">
      <c r="A376" s="14" t="n">
        <v>2153</v>
      </c>
      <c r="B376" s="14" t="inlineStr">
        <is>
          <t>Tango Semana 3 NORMAL</t>
        </is>
      </c>
      <c r="C376" s="15" t="n">
        <v>1415</v>
      </c>
      <c r="D376" s="14" t="inlineStr">
        <is>
          <t>TOMENO SUAREZ,FERNANDO</t>
        </is>
      </c>
      <c r="E376" s="14" t="inlineStr">
        <is>
          <t>TANGO</t>
        </is>
      </c>
      <c r="F376" s="15" t="n">
        <v>24726</v>
      </c>
      <c r="G376" s="16" t="n">
        <v>20038.48</v>
      </c>
      <c r="H376" s="17" t="n">
        <v>0.8104214187494945</v>
      </c>
      <c r="I376" s="16" t="n">
        <v>0</v>
      </c>
      <c r="J376" s="16" t="n">
        <v>87.13</v>
      </c>
      <c r="K376" s="16" t="n">
        <v>0</v>
      </c>
      <c r="L376" s="16" t="n">
        <v>0</v>
      </c>
      <c r="M376" s="16" t="n">
        <v>426.05</v>
      </c>
      <c r="N376" s="16" t="n">
        <v>20377.4</v>
      </c>
      <c r="O376" s="17" t="n">
        <v>0.90456</v>
      </c>
      <c r="P376" s="18" t="n">
        <v>12</v>
      </c>
      <c r="Q376" s="18" t="n">
        <v>2</v>
      </c>
      <c r="R376" s="16" t="n">
        <v>22366.23</v>
      </c>
      <c r="S376" s="14" t="inlineStr">
        <is>
          <t>Tango Semana 3 NORMAL</t>
        </is>
      </c>
      <c r="T376" s="14" t="inlineStr">
        <is>
          <t>MANDARINA</t>
        </is>
      </c>
      <c r="U376" s="19">
        <f>IFERROR(166.386*I376/F376,0)</f>
        <v/>
      </c>
      <c r="V376" s="19">
        <f>IFERROR(166.386*M376/F376,0)</f>
        <v/>
      </c>
      <c r="W376" s="19">
        <f>IFERROR(166.386*L376/F376,0)</f>
        <v/>
      </c>
    </row>
    <row r="377">
      <c r="A377" s="14" t="n">
        <v>2153</v>
      </c>
      <c r="B377" s="14" t="inlineStr">
        <is>
          <t>Tango Semana 3 NORMAL</t>
        </is>
      </c>
      <c r="C377" s="15" t="n">
        <v>1443</v>
      </c>
      <c r="D377" s="14" t="inlineStr">
        <is>
          <t>TOMENO SUAREZ,ALBERTO</t>
        </is>
      </c>
      <c r="E377" s="14" t="inlineStr">
        <is>
          <t>TANGO</t>
        </is>
      </c>
      <c r="F377" s="15" t="n">
        <v>58340</v>
      </c>
      <c r="G377" s="16" t="n">
        <v>46782.33</v>
      </c>
      <c r="H377" s="17" t="n">
        <v>0.8018911552965375</v>
      </c>
      <c r="I377" s="16" t="n">
        <v>0</v>
      </c>
      <c r="J377" s="16" t="n">
        <v>360.75</v>
      </c>
      <c r="K377" s="16" t="n">
        <v>0</v>
      </c>
      <c r="L377" s="16" t="n">
        <v>0</v>
      </c>
      <c r="M377" s="16" t="n">
        <v>999.9299999999999</v>
      </c>
      <c r="N377" s="16" t="n">
        <v>47421.51</v>
      </c>
      <c r="O377" s="17" t="n">
        <v>0.89218</v>
      </c>
      <c r="P377" s="18" t="n">
        <v>12</v>
      </c>
      <c r="Q377" s="18" t="n">
        <v>2</v>
      </c>
      <c r="R377" s="16" t="n">
        <v>52049.85</v>
      </c>
      <c r="S377" s="14" t="inlineStr">
        <is>
          <t>Tango Semana 3 NORMAL</t>
        </is>
      </c>
      <c r="T377" s="14" t="inlineStr">
        <is>
          <t>MANDARINA</t>
        </is>
      </c>
      <c r="U377" s="19">
        <f>IFERROR(166.386*I377/F377,0)</f>
        <v/>
      </c>
      <c r="V377" s="19">
        <f>IFERROR(166.386*M377/F377,0)</f>
        <v/>
      </c>
      <c r="W377" s="19">
        <f>IFERROR(166.386*L377/F377,0)</f>
        <v/>
      </c>
    </row>
    <row r="378">
      <c r="A378" s="14" t="n">
        <v>2153</v>
      </c>
      <c r="B378" s="14" t="inlineStr">
        <is>
          <t>Tango Semana 3 NORMAL</t>
        </is>
      </c>
      <c r="C378" s="15" t="n">
        <v>1478</v>
      </c>
      <c r="D378" s="14" t="inlineStr">
        <is>
          <t>AGROSERVICIOS LA CATRIA S.L.</t>
        </is>
      </c>
      <c r="E378" s="14" t="inlineStr">
        <is>
          <t>TANGO</t>
        </is>
      </c>
      <c r="F378" s="15" t="n">
        <v>19050</v>
      </c>
      <c r="G378" s="16" t="n">
        <v>14248.28</v>
      </c>
      <c r="H378" s="17" t="n">
        <v>0.7479412073490813</v>
      </c>
      <c r="I378" s="16" t="n">
        <v>2381.25</v>
      </c>
      <c r="J378" s="16" t="n">
        <v>467.28</v>
      </c>
      <c r="K378" s="16" t="n">
        <v>0</v>
      </c>
      <c r="L378" s="16" t="n">
        <v>0</v>
      </c>
      <c r="M378" s="16" t="n">
        <v>303.3</v>
      </c>
      <c r="N378" s="16" t="n">
        <v>11703.05</v>
      </c>
      <c r="O378" s="17" t="n">
        <v>0.63891</v>
      </c>
      <c r="P378" s="18" t="n">
        <v>4</v>
      </c>
      <c r="Q378" s="18" t="n">
        <v>0</v>
      </c>
      <c r="R378" s="16" t="n">
        <v>12171.17</v>
      </c>
      <c r="S378" s="14" t="inlineStr">
        <is>
          <t>Tango Semana 3 NORMAL</t>
        </is>
      </c>
      <c r="T378" s="14" t="inlineStr">
        <is>
          <t>MANDARINA</t>
        </is>
      </c>
      <c r="U378" s="19">
        <f>IFERROR(166.386*I378/F378,0)</f>
        <v/>
      </c>
      <c r="V378" s="19">
        <f>IFERROR(166.386*M378/F378,0)</f>
        <v/>
      </c>
      <c r="W378" s="19">
        <f>IFERROR(166.386*L378/F378,0)</f>
        <v/>
      </c>
    </row>
    <row r="379">
      <c r="A379" s="14" t="n">
        <v>2153</v>
      </c>
      <c r="B379" s="14" t="inlineStr">
        <is>
          <t>Tango Semana 3 NORMAL</t>
        </is>
      </c>
      <c r="C379" s="15" t="n">
        <v>1523</v>
      </c>
      <c r="D379" s="14" t="inlineStr">
        <is>
          <t>RODRIGUEZ MEJÍAS, JOSE ANTONIO</t>
        </is>
      </c>
      <c r="E379" s="14" t="inlineStr">
        <is>
          <t>TANGO</t>
        </is>
      </c>
      <c r="F379" s="15" t="n">
        <v>19718</v>
      </c>
      <c r="G379" s="16" t="n">
        <v>15852.83</v>
      </c>
      <c r="H379" s="17" t="n">
        <v>0.8039775839334619</v>
      </c>
      <c r="I379" s="16" t="n">
        <v>2464.75</v>
      </c>
      <c r="J379" s="16" t="n">
        <v>143.26</v>
      </c>
      <c r="K379" s="16" t="n">
        <v>0</v>
      </c>
      <c r="L379" s="16" t="n">
        <v>0</v>
      </c>
      <c r="M379" s="16" t="n">
        <v>337.7</v>
      </c>
      <c r="N379" s="16" t="n">
        <v>13582.52</v>
      </c>
      <c r="O379" s="17" t="n">
        <v>0.75607</v>
      </c>
      <c r="P379" s="18" t="n">
        <v>12</v>
      </c>
      <c r="Q379" s="18" t="n">
        <v>2</v>
      </c>
      <c r="R379" s="16" t="n">
        <v>14908.17</v>
      </c>
      <c r="S379" s="14" t="inlineStr">
        <is>
          <t>Tango Semana 3 NORMAL</t>
        </is>
      </c>
      <c r="T379" s="14" t="inlineStr">
        <is>
          <t>MANDARINA</t>
        </is>
      </c>
      <c r="U379" s="19">
        <f>IFERROR(166.386*I379/F379,0)</f>
        <v/>
      </c>
      <c r="V379" s="19">
        <f>IFERROR(166.386*M379/F379,0)</f>
        <v/>
      </c>
      <c r="W379" s="19">
        <f>IFERROR(166.386*L379/F379,0)</f>
        <v/>
      </c>
    </row>
    <row r="380">
      <c r="A380" s="14" t="n">
        <v>2153</v>
      </c>
      <c r="B380" s="14" t="inlineStr">
        <is>
          <t>Tango Semana 3 NORMAL</t>
        </is>
      </c>
      <c r="C380" s="15" t="n">
        <v>1561</v>
      </c>
      <c r="D380" s="14" t="inlineStr">
        <is>
          <t>SUAREZ SANCHEZ, Mª DEL PILAR</t>
        </is>
      </c>
      <c r="E380" s="14" t="inlineStr">
        <is>
          <t>TANGO</t>
        </is>
      </c>
      <c r="F380" s="15" t="n">
        <v>37224</v>
      </c>
      <c r="G380" s="16" t="n">
        <v>31235.58</v>
      </c>
      <c r="H380" s="17" t="n">
        <v>0.8391247582205029</v>
      </c>
      <c r="I380" s="16" t="n">
        <v>0</v>
      </c>
      <c r="J380" s="16" t="n">
        <v>302.66</v>
      </c>
      <c r="K380" s="16" t="n">
        <v>0</v>
      </c>
      <c r="L380" s="16" t="n">
        <v>0</v>
      </c>
      <c r="M380" s="16" t="n">
        <v>646.95</v>
      </c>
      <c r="N380" s="16" t="n">
        <v>31579.87</v>
      </c>
      <c r="O380" s="17" t="n">
        <v>0.93118</v>
      </c>
      <c r="P380" s="18" t="n">
        <v>12</v>
      </c>
      <c r="Q380" s="18" t="n">
        <v>2</v>
      </c>
      <c r="R380" s="16" t="n">
        <v>34662.07</v>
      </c>
      <c r="S380" s="14" t="inlineStr">
        <is>
          <t>Tango Semana 3 NORMAL</t>
        </is>
      </c>
      <c r="T380" s="14" t="inlineStr">
        <is>
          <t>MANDARINA</t>
        </is>
      </c>
      <c r="U380" s="19">
        <f>IFERROR(166.386*I380/F380,0)</f>
        <v/>
      </c>
      <c r="V380" s="19">
        <f>IFERROR(166.386*M380/F380,0)</f>
        <v/>
      </c>
      <c r="W380" s="19">
        <f>IFERROR(166.386*L380/F380,0)</f>
        <v/>
      </c>
    </row>
    <row r="381">
      <c r="A381" s="14" t="n">
        <v>2154</v>
      </c>
      <c r="B381" s="14" t="inlineStr">
        <is>
          <t>Tango Semana 4 CON HOJAS</t>
        </is>
      </c>
      <c r="C381" s="15" t="n">
        <v>1214</v>
      </c>
      <c r="D381" s="14" t="inlineStr">
        <is>
          <t>CALZADA GAMIZ,JOSE ANTONIO</t>
        </is>
      </c>
      <c r="E381" s="14" t="inlineStr">
        <is>
          <t>TANGO</t>
        </is>
      </c>
      <c r="F381" s="15" t="n">
        <v>38454</v>
      </c>
      <c r="G381" s="16" t="n">
        <v>29851.22</v>
      </c>
      <c r="H381" s="17" t="n">
        <v>0.7762838716388412</v>
      </c>
      <c r="I381" s="16" t="n">
        <v>4806.75</v>
      </c>
      <c r="J381" s="16" t="n">
        <v>349.14</v>
      </c>
      <c r="K381" s="16" t="n">
        <v>0</v>
      </c>
      <c r="L381" s="16" t="n">
        <v>15.91</v>
      </c>
      <c r="M381" s="16" t="n">
        <v>645.27</v>
      </c>
      <c r="N381" s="16" t="n">
        <v>25356.51</v>
      </c>
      <c r="O381" s="17" t="n">
        <v>0.72376</v>
      </c>
      <c r="P381" s="18" t="n">
        <v>12</v>
      </c>
      <c r="Q381" s="18" t="n">
        <v>2</v>
      </c>
      <c r="R381" s="16" t="n">
        <v>27831.31</v>
      </c>
      <c r="S381" s="14" t="inlineStr">
        <is>
          <t>Tango Semana 4 CON HOJAS</t>
        </is>
      </c>
      <c r="T381" s="14" t="inlineStr">
        <is>
          <t>MANDARINA</t>
        </is>
      </c>
      <c r="U381" s="19">
        <f>IFERROR(166.386*I381/F381,0)</f>
        <v/>
      </c>
      <c r="V381" s="19">
        <f>IFERROR(166.386*M381/F381,0)</f>
        <v/>
      </c>
      <c r="W381" s="19">
        <f>IFERROR(166.386*L381/F381,0)</f>
        <v/>
      </c>
    </row>
    <row r="382">
      <c r="A382" s="14" t="n">
        <v>2155</v>
      </c>
      <c r="B382" s="14" t="inlineStr">
        <is>
          <t>Tango Semana 9 NORMAL</t>
        </is>
      </c>
      <c r="C382" s="15" t="n">
        <v>1133</v>
      </c>
      <c r="D382" s="14" t="inlineStr">
        <is>
          <t>MAYFE S.C.</t>
        </is>
      </c>
      <c r="E382" s="14" t="inlineStr">
        <is>
          <t>TANGO</t>
        </is>
      </c>
      <c r="F382" s="15" t="n">
        <v>17023</v>
      </c>
      <c r="G382" s="16" t="n">
        <v>11368.95</v>
      </c>
      <c r="H382" s="17" t="n">
        <v>0.6678581918580744</v>
      </c>
      <c r="I382" s="16" t="n">
        <v>1063.94</v>
      </c>
      <c r="J382" s="16" t="n">
        <v>161.72</v>
      </c>
      <c r="K382" s="16" t="n">
        <v>0</v>
      </c>
      <c r="L382" s="16" t="n">
        <v>0</v>
      </c>
      <c r="M382" s="16" t="n">
        <v>0</v>
      </c>
      <c r="N382" s="16" t="n">
        <v>10143.29</v>
      </c>
      <c r="O382" s="17" t="n">
        <v>0.65401</v>
      </c>
      <c r="P382" s="18" t="n">
        <v>12</v>
      </c>
      <c r="Q382" s="18" t="n">
        <v>2</v>
      </c>
      <c r="R382" s="16" t="n">
        <v>11133.28</v>
      </c>
      <c r="S382" s="14" t="inlineStr">
        <is>
          <t>Tango Semana 9 NORMAL</t>
        </is>
      </c>
      <c r="T382" s="14" t="inlineStr">
        <is>
          <t>MANDARINA</t>
        </is>
      </c>
      <c r="U382" s="19">
        <f>IFERROR(166.386*I382/F382,0)</f>
        <v/>
      </c>
      <c r="V382" s="19">
        <f>IFERROR(166.386*M382/F382,0)</f>
        <v/>
      </c>
      <c r="W382" s="19">
        <f>IFERROR(166.386*L382/F382,0)</f>
        <v/>
      </c>
    </row>
    <row r="383">
      <c r="A383" s="14" t="n">
        <v>2156</v>
      </c>
      <c r="B383" s="14" t="inlineStr">
        <is>
          <t>Tango Semana 5 NORMAL</t>
        </is>
      </c>
      <c r="C383" s="15" t="n">
        <v>1355</v>
      </c>
      <c r="D383" s="14" t="inlineStr">
        <is>
          <t>CANO MANZANARES,JUAN ANTONIO</t>
        </is>
      </c>
      <c r="E383" s="14" t="inlineStr">
        <is>
          <t>TANGO</t>
        </is>
      </c>
      <c r="F383" s="15" t="n">
        <v>62684</v>
      </c>
      <c r="G383" s="16" t="n">
        <v>46546.09</v>
      </c>
      <c r="H383" s="17" t="n">
        <v>0.7425513687703401</v>
      </c>
      <c r="I383" s="16" t="n">
        <v>7834</v>
      </c>
      <c r="J383" s="16" t="n">
        <v>246.36</v>
      </c>
      <c r="K383" s="16" t="n">
        <v>0</v>
      </c>
      <c r="L383" s="16" t="n">
        <v>0</v>
      </c>
      <c r="M383" s="16" t="n">
        <v>999.4</v>
      </c>
      <c r="N383" s="16" t="n">
        <v>39465.13</v>
      </c>
      <c r="O383" s="17" t="n">
        <v>0.69104</v>
      </c>
      <c r="P383" s="18" t="n">
        <v>12</v>
      </c>
      <c r="Q383" s="18" t="n">
        <v>2</v>
      </c>
      <c r="R383" s="16" t="n">
        <v>43316.93</v>
      </c>
      <c r="S383" s="14" t="inlineStr">
        <is>
          <t>Tango Semana 5 NORMAL</t>
        </is>
      </c>
      <c r="T383" s="14" t="inlineStr">
        <is>
          <t>MANDARINA</t>
        </is>
      </c>
      <c r="U383" s="19">
        <f>IFERROR(166.386*I383/F383,0)</f>
        <v/>
      </c>
      <c r="V383" s="19">
        <f>IFERROR(166.386*M383/F383,0)</f>
        <v/>
      </c>
      <c r="W383" s="19">
        <f>IFERROR(166.386*L383/F383,0)</f>
        <v/>
      </c>
    </row>
    <row r="384">
      <c r="A384" s="14" t="n">
        <v>2157</v>
      </c>
      <c r="B384" s="14" t="inlineStr">
        <is>
          <t>Tango Semana 4 NORMAL</t>
        </is>
      </c>
      <c r="C384" s="15" t="n">
        <v>1133</v>
      </c>
      <c r="D384" s="14" t="inlineStr">
        <is>
          <t>MAYFE S.C.</t>
        </is>
      </c>
      <c r="E384" s="14" t="inlineStr">
        <is>
          <t>TANGO</t>
        </is>
      </c>
      <c r="F384" s="15" t="n">
        <v>21256</v>
      </c>
      <c r="G384" s="16" t="n">
        <v>17042.68</v>
      </c>
      <c r="H384" s="17" t="n">
        <v>0.8017820850583365</v>
      </c>
      <c r="I384" s="16" t="n">
        <v>2657</v>
      </c>
      <c r="J384" s="16" t="n">
        <v>201.94</v>
      </c>
      <c r="K384" s="16" t="n">
        <v>0</v>
      </c>
      <c r="L384" s="16" t="n">
        <v>0</v>
      </c>
      <c r="M384" s="16" t="n">
        <v>0</v>
      </c>
      <c r="N384" s="16" t="n">
        <v>14183.74</v>
      </c>
      <c r="O384" s="17" t="n">
        <v>0.73241</v>
      </c>
      <c r="P384" s="18" t="n">
        <v>12</v>
      </c>
      <c r="Q384" s="18" t="n">
        <v>2</v>
      </c>
      <c r="R384" s="16" t="n">
        <v>15568.07</v>
      </c>
      <c r="S384" s="14" t="inlineStr">
        <is>
          <t>Tango Semana 4 NORMAL</t>
        </is>
      </c>
      <c r="T384" s="14" t="inlineStr">
        <is>
          <t>MANDARINA</t>
        </is>
      </c>
      <c r="U384" s="19">
        <f>IFERROR(166.386*I384/F384,0)</f>
        <v/>
      </c>
      <c r="V384" s="19">
        <f>IFERROR(166.386*M384/F384,0)</f>
        <v/>
      </c>
      <c r="W384" s="19">
        <f>IFERROR(166.386*L384/F384,0)</f>
        <v/>
      </c>
    </row>
    <row r="385">
      <c r="A385" s="14" t="n">
        <v>2157</v>
      </c>
      <c r="B385" s="14" t="inlineStr">
        <is>
          <t>Tango Semana 4 NORMAL</t>
        </is>
      </c>
      <c r="C385" s="15" t="n">
        <v>1324</v>
      </c>
      <c r="D385" s="14" t="inlineStr">
        <is>
          <t>CANO MANZANARES,LUIS</t>
        </is>
      </c>
      <c r="E385" s="14" t="inlineStr">
        <is>
          <t>TANGO</t>
        </is>
      </c>
      <c r="F385" s="15" t="n">
        <v>20400</v>
      </c>
      <c r="G385" s="16" t="n">
        <v>16517.73</v>
      </c>
      <c r="H385" s="17" t="n">
        <v>0.8096926470588235</v>
      </c>
      <c r="I385" s="16" t="n">
        <v>2550</v>
      </c>
      <c r="J385" s="16" t="n">
        <v>70.73</v>
      </c>
      <c r="K385" s="16" t="n">
        <v>0</v>
      </c>
      <c r="L385" s="16" t="n">
        <v>0</v>
      </c>
      <c r="M385" s="16" t="n">
        <v>352.88</v>
      </c>
      <c r="N385" s="16" t="n">
        <v>14249.88</v>
      </c>
      <c r="O385" s="17" t="n">
        <v>0.7667</v>
      </c>
      <c r="P385" s="18" t="n">
        <v>12</v>
      </c>
      <c r="Q385" s="18" t="n">
        <v>2</v>
      </c>
      <c r="R385" s="16" t="n">
        <v>15640.67</v>
      </c>
      <c r="S385" s="14" t="inlineStr">
        <is>
          <t>Tango Semana 4 NORMAL</t>
        </is>
      </c>
      <c r="T385" s="14" t="inlineStr">
        <is>
          <t>MANDARINA</t>
        </is>
      </c>
      <c r="U385" s="19">
        <f>IFERROR(166.386*I385/F385,0)</f>
        <v/>
      </c>
      <c r="V385" s="19">
        <f>IFERROR(166.386*M385/F385,0)</f>
        <v/>
      </c>
      <c r="W385" s="19">
        <f>IFERROR(166.386*L385/F385,0)</f>
        <v/>
      </c>
    </row>
    <row r="386">
      <c r="A386" s="14" t="n">
        <v>2157</v>
      </c>
      <c r="B386" s="14" t="inlineStr">
        <is>
          <t>Tango Semana 4 NORMAL</t>
        </is>
      </c>
      <c r="C386" s="15" t="n">
        <v>1355</v>
      </c>
      <c r="D386" s="14" t="inlineStr">
        <is>
          <t>CANO MANZANARES,JUAN ANTONIO</t>
        </is>
      </c>
      <c r="E386" s="14" t="inlineStr">
        <is>
          <t>TANGO</t>
        </is>
      </c>
      <c r="F386" s="15" t="n">
        <v>40830</v>
      </c>
      <c r="G386" s="16" t="n">
        <v>32195.07</v>
      </c>
      <c r="H386" s="17" t="n">
        <v>0.7885150624540779</v>
      </c>
      <c r="I386" s="16" t="n">
        <v>5103.75</v>
      </c>
      <c r="J386" s="16" t="n">
        <v>160.47</v>
      </c>
      <c r="K386" s="16" t="n">
        <v>0</v>
      </c>
      <c r="L386" s="16" t="n">
        <v>0</v>
      </c>
      <c r="M386" s="16" t="n">
        <v>685.23</v>
      </c>
      <c r="N386" s="16" t="n">
        <v>27616.08</v>
      </c>
      <c r="O386" s="17" t="n">
        <v>0.74238</v>
      </c>
      <c r="P386" s="18" t="n">
        <v>12</v>
      </c>
      <c r="Q386" s="18" t="n">
        <v>2</v>
      </c>
      <c r="R386" s="16" t="n">
        <v>30311.41</v>
      </c>
      <c r="S386" s="14" t="inlineStr">
        <is>
          <t>Tango Semana 4 NORMAL</t>
        </is>
      </c>
      <c r="T386" s="14" t="inlineStr">
        <is>
          <t>MANDARINA</t>
        </is>
      </c>
      <c r="U386" s="19">
        <f>IFERROR(166.386*I386/F386,0)</f>
        <v/>
      </c>
      <c r="V386" s="19">
        <f>IFERROR(166.386*M386/F386,0)</f>
        <v/>
      </c>
      <c r="W386" s="19">
        <f>IFERROR(166.386*L386/F386,0)</f>
        <v/>
      </c>
    </row>
    <row r="387">
      <c r="A387" s="14" t="n">
        <v>2157</v>
      </c>
      <c r="B387" s="14" t="inlineStr">
        <is>
          <t>Tango Semana 4 NORMAL</t>
        </is>
      </c>
      <c r="C387" s="15" t="n">
        <v>1443</v>
      </c>
      <c r="D387" s="14" t="inlineStr">
        <is>
          <t>TOMENO SUAREZ,ALBERTO</t>
        </is>
      </c>
      <c r="E387" s="14" t="inlineStr">
        <is>
          <t>TANGO</t>
        </is>
      </c>
      <c r="F387" s="15" t="n">
        <v>98320</v>
      </c>
      <c r="G387" s="16" t="n">
        <v>77807.3</v>
      </c>
      <c r="H387" s="17" t="n">
        <v>0.7913679820992677</v>
      </c>
      <c r="I387" s="16" t="n">
        <v>0</v>
      </c>
      <c r="J387" s="16" t="n">
        <v>607.97</v>
      </c>
      <c r="K387" s="16" t="n">
        <v>0</v>
      </c>
      <c r="L387" s="16" t="n">
        <v>0</v>
      </c>
      <c r="M387" s="16" t="n">
        <v>1657.73</v>
      </c>
      <c r="N387" s="16" t="n">
        <v>78857.06</v>
      </c>
      <c r="O387" s="17" t="n">
        <v>0.88032</v>
      </c>
      <c r="P387" s="18" t="n">
        <v>12</v>
      </c>
      <c r="Q387" s="18" t="n">
        <v>2</v>
      </c>
      <c r="R387" s="16" t="n">
        <v>86553.50999999999</v>
      </c>
      <c r="S387" s="14" t="inlineStr">
        <is>
          <t>Tango Semana 4 NORMAL</t>
        </is>
      </c>
      <c r="T387" s="14" t="inlineStr">
        <is>
          <t>MANDARINA</t>
        </is>
      </c>
      <c r="U387" s="19">
        <f>IFERROR(166.386*I387/F387,0)</f>
        <v/>
      </c>
      <c r="V387" s="19">
        <f>IFERROR(166.386*M387/F387,0)</f>
        <v/>
      </c>
      <c r="W387" s="19">
        <f>IFERROR(166.386*L387/F387,0)</f>
        <v/>
      </c>
    </row>
    <row r="388">
      <c r="A388" s="14" t="n">
        <v>2157</v>
      </c>
      <c r="B388" s="14" t="inlineStr">
        <is>
          <t>Tango Semana 4 NORMAL</t>
        </is>
      </c>
      <c r="C388" s="15" t="n">
        <v>1478</v>
      </c>
      <c r="D388" s="14" t="inlineStr">
        <is>
          <t>AGROSERVICIOS LA CATRIA S.L.</t>
        </is>
      </c>
      <c r="E388" s="14" t="inlineStr">
        <is>
          <t>TANGO</t>
        </is>
      </c>
      <c r="F388" s="15" t="n">
        <v>39210</v>
      </c>
      <c r="G388" s="16" t="n">
        <v>30004.32</v>
      </c>
      <c r="H388" s="17" t="n">
        <v>0.7652211170619739</v>
      </c>
      <c r="I388" s="16" t="n">
        <v>4901.25</v>
      </c>
      <c r="J388" s="16" t="n">
        <v>961.79</v>
      </c>
      <c r="K388" s="16" t="n">
        <v>0</v>
      </c>
      <c r="L388" s="16" t="n">
        <v>0</v>
      </c>
      <c r="M388" s="16" t="n">
        <v>634.64</v>
      </c>
      <c r="N388" s="16" t="n">
        <v>24775.92</v>
      </c>
      <c r="O388" s="17" t="n">
        <v>0.65715</v>
      </c>
      <c r="P388" s="18" t="n">
        <v>4</v>
      </c>
      <c r="Q388" s="18" t="n">
        <v>0</v>
      </c>
      <c r="R388" s="16" t="n">
        <v>25766.96</v>
      </c>
      <c r="S388" s="14" t="inlineStr">
        <is>
          <t>Tango Semana 4 NORMAL</t>
        </is>
      </c>
      <c r="T388" s="14" t="inlineStr">
        <is>
          <t>MANDARINA</t>
        </is>
      </c>
      <c r="U388" s="19">
        <f>IFERROR(166.386*I388/F388,0)</f>
        <v/>
      </c>
      <c r="V388" s="19">
        <f>IFERROR(166.386*M388/F388,0)</f>
        <v/>
      </c>
      <c r="W388" s="19">
        <f>IFERROR(166.386*L388/F388,0)</f>
        <v/>
      </c>
    </row>
    <row r="389">
      <c r="A389" s="14" t="n">
        <v>2157</v>
      </c>
      <c r="B389" s="14" t="inlineStr">
        <is>
          <t>Tango Semana 4 NORMAL</t>
        </is>
      </c>
      <c r="C389" s="15" t="n">
        <v>1523</v>
      </c>
      <c r="D389" s="14" t="inlineStr">
        <is>
          <t>RODRIGUEZ MEJÍAS, JOSE ANTONIO</t>
        </is>
      </c>
      <c r="E389" s="14" t="inlineStr">
        <is>
          <t>TANGO</t>
        </is>
      </c>
      <c r="F389" s="15" t="n">
        <v>38718</v>
      </c>
      <c r="G389" s="16" t="n">
        <v>29424.17</v>
      </c>
      <c r="H389" s="17" t="n">
        <v>0.7599610000516556</v>
      </c>
      <c r="I389" s="16" t="n">
        <v>4839.75</v>
      </c>
      <c r="J389" s="16" t="n">
        <v>281.31</v>
      </c>
      <c r="K389" s="16" t="n">
        <v>0</v>
      </c>
      <c r="L389" s="16" t="n">
        <v>0</v>
      </c>
      <c r="M389" s="16" t="n">
        <v>638.96</v>
      </c>
      <c r="N389" s="16" t="n">
        <v>24942.07</v>
      </c>
      <c r="O389" s="17" t="n">
        <v>0.70707</v>
      </c>
      <c r="P389" s="18" t="n">
        <v>12</v>
      </c>
      <c r="Q389" s="18" t="n">
        <v>2</v>
      </c>
      <c r="R389" s="16" t="n">
        <v>27376.42</v>
      </c>
      <c r="S389" s="14" t="inlineStr">
        <is>
          <t>Tango Semana 4 NORMAL</t>
        </is>
      </c>
      <c r="T389" s="14" t="inlineStr">
        <is>
          <t>MANDARINA</t>
        </is>
      </c>
      <c r="U389" s="19">
        <f>IFERROR(166.386*I389/F389,0)</f>
        <v/>
      </c>
      <c r="V389" s="19">
        <f>IFERROR(166.386*M389/F389,0)</f>
        <v/>
      </c>
      <c r="W389" s="19">
        <f>IFERROR(166.386*L389/F389,0)</f>
        <v/>
      </c>
    </row>
    <row r="390">
      <c r="A390" s="14" t="n">
        <v>2157</v>
      </c>
      <c r="B390" s="14" t="inlineStr">
        <is>
          <t>Tango Semana 4 NORMAL</t>
        </is>
      </c>
      <c r="C390" s="15" t="n">
        <v>1550</v>
      </c>
      <c r="D390" s="14" t="inlineStr">
        <is>
          <t>CADORTAN S.L.</t>
        </is>
      </c>
      <c r="E390" s="14" t="inlineStr">
        <is>
          <t>TANGO</t>
        </is>
      </c>
      <c r="F390" s="15" t="n">
        <v>10278</v>
      </c>
      <c r="G390" s="16" t="n">
        <v>8105.27</v>
      </c>
      <c r="H390" s="17" t="n">
        <v>0.7886038139715899</v>
      </c>
      <c r="I390" s="16" t="n">
        <v>1284.75</v>
      </c>
      <c r="J390" s="16" t="n">
        <v>90.93000000000001</v>
      </c>
      <c r="K390" s="16" t="n">
        <v>0</v>
      </c>
      <c r="L390" s="16" t="n">
        <v>0</v>
      </c>
      <c r="M390" s="16" t="n">
        <v>175.75</v>
      </c>
      <c r="N390" s="16" t="n">
        <v>6905.34</v>
      </c>
      <c r="O390" s="17" t="n">
        <v>0.69873</v>
      </c>
      <c r="P390" s="18" t="n">
        <v>4</v>
      </c>
      <c r="Q390" s="18" t="n">
        <v>0</v>
      </c>
      <c r="R390" s="16" t="n">
        <v>7181.55</v>
      </c>
      <c r="S390" s="14" t="inlineStr">
        <is>
          <t>Tango Semana 4 NORMAL</t>
        </is>
      </c>
      <c r="T390" s="14" t="inlineStr">
        <is>
          <t>MANDARINA</t>
        </is>
      </c>
      <c r="U390" s="19">
        <f>IFERROR(166.386*I390/F390,0)</f>
        <v/>
      </c>
      <c r="V390" s="19">
        <f>IFERROR(166.386*M390/F390,0)</f>
        <v/>
      </c>
      <c r="W390" s="19">
        <f>IFERROR(166.386*L390/F390,0)</f>
        <v/>
      </c>
    </row>
    <row r="391">
      <c r="A391" s="14" t="n">
        <v>2158</v>
      </c>
      <c r="B391" s="14" t="inlineStr">
        <is>
          <t>Tango Semana 7 NORMAL</t>
        </is>
      </c>
      <c r="C391" s="15" t="n">
        <v>1355</v>
      </c>
      <c r="D391" s="14" t="inlineStr">
        <is>
          <t>CANO MANZANARES,JUAN ANTONIO</t>
        </is>
      </c>
      <c r="E391" s="14" t="inlineStr">
        <is>
          <t>TANGO</t>
        </is>
      </c>
      <c r="F391" s="15" t="n">
        <v>17488</v>
      </c>
      <c r="G391" s="16" t="n">
        <v>11989.13</v>
      </c>
      <c r="H391" s="17" t="n">
        <v>0.6855632433668801</v>
      </c>
      <c r="I391" s="16" t="n">
        <v>2186</v>
      </c>
      <c r="J391" s="16" t="n">
        <v>68.73</v>
      </c>
      <c r="K391" s="16" t="n">
        <v>0</v>
      </c>
      <c r="L391" s="16" t="n">
        <v>0</v>
      </c>
      <c r="M391" s="16" t="n">
        <v>262.09</v>
      </c>
      <c r="N391" s="16" t="n">
        <v>9996.49</v>
      </c>
      <c r="O391" s="17" t="n">
        <v>0.62741</v>
      </c>
      <c r="P391" s="18" t="n">
        <v>12</v>
      </c>
      <c r="Q391" s="18" t="n">
        <v>2</v>
      </c>
      <c r="R391" s="16" t="n">
        <v>10972.15</v>
      </c>
      <c r="S391" s="14" t="inlineStr">
        <is>
          <t>Tango Semana 7 NORMAL</t>
        </is>
      </c>
      <c r="T391" s="14" t="inlineStr">
        <is>
          <t>MANDARINA</t>
        </is>
      </c>
      <c r="U391" s="19">
        <f>IFERROR(166.386*I391/F391,0)</f>
        <v/>
      </c>
      <c r="V391" s="19">
        <f>IFERROR(166.386*M391/F391,0)</f>
        <v/>
      </c>
      <c r="W391" s="19">
        <f>IFERROR(166.386*L391/F391,0)</f>
        <v/>
      </c>
    </row>
    <row r="392">
      <c r="A392" s="14" t="n">
        <v>2158</v>
      </c>
      <c r="B392" s="14" t="inlineStr">
        <is>
          <t>Tango Semana 7 NORMAL</t>
        </is>
      </c>
      <c r="C392" s="15" t="n">
        <v>1443</v>
      </c>
      <c r="D392" s="14" t="inlineStr">
        <is>
          <t>TOMENO SUAREZ,ALBERTO</t>
        </is>
      </c>
      <c r="E392" s="14" t="inlineStr">
        <is>
          <t>TANGO</t>
        </is>
      </c>
      <c r="F392" s="15" t="n">
        <v>25834</v>
      </c>
      <c r="G392" s="16" t="n">
        <v>17673.1</v>
      </c>
      <c r="H392" s="17" t="n">
        <v>0.6841023457459162</v>
      </c>
      <c r="I392" s="16" t="n">
        <v>0</v>
      </c>
      <c r="J392" s="16" t="n">
        <v>159.75</v>
      </c>
      <c r="K392" s="16" t="n">
        <v>0</v>
      </c>
      <c r="L392" s="16" t="n">
        <v>0</v>
      </c>
      <c r="M392" s="16" t="n">
        <v>398.27</v>
      </c>
      <c r="N392" s="16" t="n">
        <v>17911.62</v>
      </c>
      <c r="O392" s="17" t="n">
        <v>0.761</v>
      </c>
      <c r="P392" s="18" t="n">
        <v>12</v>
      </c>
      <c r="Q392" s="18" t="n">
        <v>2</v>
      </c>
      <c r="R392" s="16" t="n">
        <v>19659.79</v>
      </c>
      <c r="S392" s="14" t="inlineStr">
        <is>
          <t>Tango Semana 7 NORMAL</t>
        </is>
      </c>
      <c r="T392" s="14" t="inlineStr">
        <is>
          <t>MANDARINA</t>
        </is>
      </c>
      <c r="U392" s="19">
        <f>IFERROR(166.386*I392/F392,0)</f>
        <v/>
      </c>
      <c r="V392" s="19">
        <f>IFERROR(166.386*M392/F392,0)</f>
        <v/>
      </c>
      <c r="W392" s="19">
        <f>IFERROR(166.386*L392/F392,0)</f>
        <v/>
      </c>
    </row>
    <row r="393">
      <c r="A393" s="14" t="n">
        <v>2158</v>
      </c>
      <c r="B393" s="14" t="inlineStr">
        <is>
          <t>Tango Semana 7 NORMAL</t>
        </is>
      </c>
      <c r="C393" s="15" t="n">
        <v>1561</v>
      </c>
      <c r="D393" s="14" t="inlineStr">
        <is>
          <t>SUAREZ SANCHEZ, Mª DEL PILAR</t>
        </is>
      </c>
      <c r="E393" s="14" t="inlineStr">
        <is>
          <t>TANGO</t>
        </is>
      </c>
      <c r="F393" s="15" t="n">
        <v>94563</v>
      </c>
      <c r="G393" s="16" t="n">
        <v>56263.83</v>
      </c>
      <c r="H393" s="17" t="n">
        <v>0.5949877859204974</v>
      </c>
      <c r="I393" s="16" t="n">
        <v>0</v>
      </c>
      <c r="J393" s="16" t="n">
        <v>768.86</v>
      </c>
      <c r="K393" s="16" t="n">
        <v>0</v>
      </c>
      <c r="L393" s="16" t="n">
        <v>0</v>
      </c>
      <c r="M393" s="16" t="n">
        <v>1394.63</v>
      </c>
      <c r="N393" s="16" t="n">
        <v>56889.6</v>
      </c>
      <c r="O393" s="17" t="n">
        <v>0.66032</v>
      </c>
      <c r="P393" s="18" t="n">
        <v>12</v>
      </c>
      <c r="Q393" s="18" t="n">
        <v>2</v>
      </c>
      <c r="R393" s="16" t="n">
        <v>62442.02</v>
      </c>
      <c r="S393" s="14" t="inlineStr">
        <is>
          <t>Tango Semana 7 NORMAL</t>
        </is>
      </c>
      <c r="T393" s="14" t="inlineStr">
        <is>
          <t>MANDARINA</t>
        </is>
      </c>
      <c r="U393" s="19">
        <f>IFERROR(166.386*I393/F393,0)</f>
        <v/>
      </c>
      <c r="V393" s="19">
        <f>IFERROR(166.386*M393/F393,0)</f>
        <v/>
      </c>
      <c r="W393" s="19">
        <f>IFERROR(166.386*L393/F393,0)</f>
        <v/>
      </c>
    </row>
    <row r="394">
      <c r="A394" s="14" t="n">
        <v>2159</v>
      </c>
      <c r="B394" s="14" t="inlineStr">
        <is>
          <t>Tango Semana 8 NORMAL</t>
        </is>
      </c>
      <c r="C394" s="15" t="n">
        <v>1478</v>
      </c>
      <c r="D394" s="14" t="inlineStr">
        <is>
          <t>AGROSERVICIOS LA CATRIA S.L.</t>
        </is>
      </c>
      <c r="E394" s="14" t="inlineStr">
        <is>
          <t>TANGO</t>
        </is>
      </c>
      <c r="F394" s="15" t="n">
        <v>862</v>
      </c>
      <c r="G394" s="16" t="n">
        <v>544.91</v>
      </c>
      <c r="H394" s="17" t="n">
        <v>0.6321461716937355</v>
      </c>
      <c r="I394" s="16" t="n">
        <v>107.75</v>
      </c>
      <c r="J394" s="16" t="n">
        <v>21.14</v>
      </c>
      <c r="K394" s="16" t="n">
        <v>0</v>
      </c>
      <c r="L394" s="16" t="n">
        <v>0</v>
      </c>
      <c r="M394" s="16" t="n">
        <v>13.03</v>
      </c>
      <c r="N394" s="16" t="n">
        <v>429.05</v>
      </c>
      <c r="O394" s="17" t="n">
        <v>0.5176500000000001</v>
      </c>
      <c r="P394" s="18" t="n">
        <v>4</v>
      </c>
      <c r="Q394" s="18" t="n">
        <v>0</v>
      </c>
      <c r="R394" s="16" t="n">
        <v>446.21</v>
      </c>
      <c r="S394" s="14" t="inlineStr">
        <is>
          <t>Tango Semana 8 NORMAL</t>
        </is>
      </c>
      <c r="T394" s="14" t="inlineStr">
        <is>
          <t>MANDARINA</t>
        </is>
      </c>
      <c r="U394" s="19">
        <f>IFERROR(166.386*I394/F394,0)</f>
        <v/>
      </c>
      <c r="V394" s="19">
        <f>IFERROR(166.386*M394/F394,0)</f>
        <v/>
      </c>
      <c r="W394" s="19">
        <f>IFERROR(166.386*L394/F394,0)</f>
        <v/>
      </c>
    </row>
    <row r="395">
      <c r="A395" s="14" t="n">
        <v>2159</v>
      </c>
      <c r="B395" s="14" t="inlineStr">
        <is>
          <t>Tango Semana 8 NORMAL</t>
        </is>
      </c>
      <c r="C395" s="15" t="n">
        <v>1561</v>
      </c>
      <c r="D395" s="14" t="inlineStr">
        <is>
          <t>SUAREZ SANCHEZ, Mª DEL PILAR</t>
        </is>
      </c>
      <c r="E395" s="14" t="inlineStr">
        <is>
          <t>TANGO</t>
        </is>
      </c>
      <c r="F395" s="15" t="n">
        <v>7324</v>
      </c>
      <c r="G395" s="16" t="n">
        <v>5382.55</v>
      </c>
      <c r="H395" s="17" t="n">
        <v>0.7349194429273621</v>
      </c>
      <c r="I395" s="16" t="n">
        <v>0</v>
      </c>
      <c r="J395" s="16" t="n">
        <v>59.55</v>
      </c>
      <c r="K395" s="16" t="n">
        <v>0</v>
      </c>
      <c r="L395" s="16" t="n">
        <v>107.66</v>
      </c>
      <c r="M395" s="16" t="n">
        <v>118.67</v>
      </c>
      <c r="N395" s="16" t="n">
        <v>5549.33</v>
      </c>
      <c r="O395" s="17" t="n">
        <v>0.83164</v>
      </c>
      <c r="P395" s="18" t="n">
        <v>12</v>
      </c>
      <c r="Q395" s="18" t="n">
        <v>2</v>
      </c>
      <c r="R395" s="16" t="n">
        <v>6090.94</v>
      </c>
      <c r="S395" s="14" t="inlineStr">
        <is>
          <t>Tango Semana 8 NORMAL</t>
        </is>
      </c>
      <c r="T395" s="14" t="inlineStr">
        <is>
          <t>MANDARINA</t>
        </is>
      </c>
      <c r="U395" s="19">
        <f>IFERROR(166.386*I395/F395,0)</f>
        <v/>
      </c>
      <c r="V395" s="19">
        <f>IFERROR(166.386*M395/F395,0)</f>
        <v/>
      </c>
      <c r="W395" s="19">
        <f>IFERROR(166.386*L395/F395,0)</f>
        <v/>
      </c>
    </row>
    <row r="396">
      <c r="A396" s="14" t="n">
        <v>2187</v>
      </c>
      <c r="B396" s="14" t="inlineStr">
        <is>
          <t>Tango Semana 52 NORMAL</t>
        </is>
      </c>
      <c r="C396" s="15" t="n">
        <v>1178</v>
      </c>
      <c r="D396" s="14" t="inlineStr">
        <is>
          <t>CALZADO GARCIA,FRANCISCO JAVIER</t>
        </is>
      </c>
      <c r="E396" s="14" t="inlineStr">
        <is>
          <t>TANGO</t>
        </is>
      </c>
      <c r="F396" s="15" t="n">
        <v>42552</v>
      </c>
      <c r="G396" s="16" t="n">
        <v>38125.21</v>
      </c>
      <c r="H396" s="17" t="n">
        <v>0.8959675220906186</v>
      </c>
      <c r="I396" s="16" t="n">
        <v>5319</v>
      </c>
      <c r="J396" s="16" t="n">
        <v>523.96</v>
      </c>
      <c r="K396" s="16" t="n">
        <v>0</v>
      </c>
      <c r="L396" s="16" t="n">
        <v>0</v>
      </c>
      <c r="M396" s="16" t="n">
        <v>726.55</v>
      </c>
      <c r="N396" s="16" t="n">
        <v>33008.8</v>
      </c>
      <c r="O396" s="17" t="n">
        <v>0.85144</v>
      </c>
      <c r="P396" s="18" t="n">
        <v>12</v>
      </c>
      <c r="Q396" s="18" t="n">
        <v>2</v>
      </c>
      <c r="R396" s="16" t="n">
        <v>36230.46</v>
      </c>
      <c r="S396" s="14" t="inlineStr">
        <is>
          <t>Tango Semana 52 NORMAL</t>
        </is>
      </c>
      <c r="T396" s="14" t="inlineStr">
        <is>
          <t>MANDARINA</t>
        </is>
      </c>
      <c r="U396" s="19">
        <f>IFERROR(166.386*I396/F396,0)</f>
        <v/>
      </c>
      <c r="V396" s="19">
        <f>IFERROR(166.386*M396/F396,0)</f>
        <v/>
      </c>
      <c r="W396" s="19">
        <f>IFERROR(166.386*L396/F396,0)</f>
        <v/>
      </c>
    </row>
    <row r="397">
      <c r="A397" s="14" t="n">
        <v>2188</v>
      </c>
      <c r="B397" s="14" t="inlineStr">
        <is>
          <t>Tango Semana 6 NORMAL</t>
        </is>
      </c>
      <c r="C397" s="15" t="n">
        <v>1355</v>
      </c>
      <c r="D397" s="14" t="inlineStr">
        <is>
          <t>CANO MANZANARES,JUAN ANTONIO</t>
        </is>
      </c>
      <c r="E397" s="14" t="inlineStr">
        <is>
          <t>TANGO</t>
        </is>
      </c>
      <c r="F397" s="15" t="n">
        <v>20648</v>
      </c>
      <c r="G397" s="16" t="n">
        <v>13878.49</v>
      </c>
      <c r="H397" s="17" t="n">
        <v>0.672146939170864</v>
      </c>
      <c r="I397" s="16" t="n">
        <v>2581</v>
      </c>
      <c r="J397" s="16" t="n">
        <v>81.15000000000001</v>
      </c>
      <c r="K397" s="16" t="n">
        <v>0</v>
      </c>
      <c r="L397" s="16" t="n">
        <v>0</v>
      </c>
      <c r="M397" s="16" t="n">
        <v>309.29</v>
      </c>
      <c r="N397" s="16" t="n">
        <v>11525.63</v>
      </c>
      <c r="O397" s="17" t="n">
        <v>0.61268</v>
      </c>
      <c r="P397" s="18" t="n">
        <v>12</v>
      </c>
      <c r="Q397" s="18" t="n">
        <v>2</v>
      </c>
      <c r="R397" s="16" t="n">
        <v>12650.53</v>
      </c>
      <c r="S397" s="14" t="inlineStr">
        <is>
          <t>Tango Semana 6 NORMAL</t>
        </is>
      </c>
      <c r="T397" s="14" t="inlineStr">
        <is>
          <t>MANDARINA</t>
        </is>
      </c>
      <c r="U397" s="19">
        <f>IFERROR(166.386*I397/F397,0)</f>
        <v/>
      </c>
      <c r="V397" s="19">
        <f>IFERROR(166.386*M397/F397,0)</f>
        <v/>
      </c>
      <c r="W397" s="19">
        <f>IFERROR(166.386*L397/F397,0)</f>
        <v/>
      </c>
    </row>
    <row r="398">
      <c r="A398" s="14" t="n">
        <v>2188</v>
      </c>
      <c r="B398" s="14" t="inlineStr">
        <is>
          <t>Tango Semana 6 NORMAL</t>
        </is>
      </c>
      <c r="C398" s="15" t="n">
        <v>1443</v>
      </c>
      <c r="D398" s="14" t="inlineStr">
        <is>
          <t>TOMENO SUAREZ,ALBERTO</t>
        </is>
      </c>
      <c r="E398" s="14" t="inlineStr">
        <is>
          <t>TANGO</t>
        </is>
      </c>
      <c r="F398" s="15" t="n">
        <v>20180</v>
      </c>
      <c r="G398" s="16" t="n">
        <v>13447.5</v>
      </c>
      <c r="H398" s="17" t="n">
        <v>0.6663776015857285</v>
      </c>
      <c r="I398" s="16" t="n">
        <v>0</v>
      </c>
      <c r="J398" s="16" t="n">
        <v>124.78</v>
      </c>
      <c r="K398" s="16" t="n">
        <v>0</v>
      </c>
      <c r="L398" s="16" t="n">
        <v>0</v>
      </c>
      <c r="M398" s="16" t="n">
        <v>302.68</v>
      </c>
      <c r="N398" s="16" t="n">
        <v>13625.4</v>
      </c>
      <c r="O398" s="17" t="n">
        <v>0.74109</v>
      </c>
      <c r="P398" s="18" t="n">
        <v>12</v>
      </c>
      <c r="Q398" s="18" t="n">
        <v>2</v>
      </c>
      <c r="R398" s="16" t="n">
        <v>14955.24</v>
      </c>
      <c r="S398" s="14" t="inlineStr">
        <is>
          <t>Tango Semana 6 NORMAL</t>
        </is>
      </c>
      <c r="T398" s="14" t="inlineStr">
        <is>
          <t>MANDARINA</t>
        </is>
      </c>
      <c r="U398" s="19">
        <f>IFERROR(166.386*I398/F398,0)</f>
        <v/>
      </c>
      <c r="V398" s="19">
        <f>IFERROR(166.386*M398/F398,0)</f>
        <v/>
      </c>
      <c r="W398" s="19">
        <f>IFERROR(166.386*L398/F398,0)</f>
        <v/>
      </c>
    </row>
    <row r="399">
      <c r="A399" s="14" t="n">
        <v>2189</v>
      </c>
      <c r="B399" s="14" t="inlineStr">
        <is>
          <t>Nadorcott Semana 2 NORMAL</t>
        </is>
      </c>
      <c r="C399" s="15" t="n">
        <v>1214</v>
      </c>
      <c r="D399" s="14" t="inlineStr">
        <is>
          <t>CALZADA GAMIZ,JOSE ANTONIO</t>
        </is>
      </c>
      <c r="E399" s="14" t="inlineStr">
        <is>
          <t>NADORCOTT</t>
        </is>
      </c>
      <c r="F399" s="15" t="n">
        <v>79393</v>
      </c>
      <c r="G399" s="16" t="n">
        <v>62462.6</v>
      </c>
      <c r="H399" s="17" t="n">
        <v>0.7867519806532062</v>
      </c>
      <c r="I399" s="16" t="n">
        <v>9924.129999999999</v>
      </c>
      <c r="J399" s="16" t="n">
        <v>720.84</v>
      </c>
      <c r="K399" s="16" t="n">
        <v>0</v>
      </c>
      <c r="L399" s="16" t="n">
        <v>0</v>
      </c>
      <c r="M399" s="16" t="n">
        <v>1335.76</v>
      </c>
      <c r="N399" s="16" t="n">
        <v>53153.39</v>
      </c>
      <c r="O399" s="17" t="n">
        <v>0.73484</v>
      </c>
      <c r="P399" s="18" t="n">
        <v>12</v>
      </c>
      <c r="Q399" s="18" t="n">
        <v>2</v>
      </c>
      <c r="R399" s="16" t="n">
        <v>58341.16</v>
      </c>
      <c r="S399" s="14" t="inlineStr">
        <is>
          <t>Nadorcott Semana 2 NORMAL</t>
        </is>
      </c>
      <c r="T399" s="14" t="inlineStr">
        <is>
          <t>MANDARINA</t>
        </is>
      </c>
      <c r="U399" s="19">
        <f>IFERROR(166.386*I399/F399,0)</f>
        <v/>
      </c>
      <c r="V399" s="19">
        <f>IFERROR(166.386*M399/F399,0)</f>
        <v/>
      </c>
      <c r="W399" s="19">
        <f>IFERROR(166.386*L399/F399,0)</f>
        <v/>
      </c>
    </row>
    <row r="400">
      <c r="A400" s="14" t="n">
        <v>2189</v>
      </c>
      <c r="B400" s="14" t="inlineStr">
        <is>
          <t>Nadorcott Semana 2 NORMAL</t>
        </is>
      </c>
      <c r="C400" s="15" t="n">
        <v>1514</v>
      </c>
      <c r="D400" s="14" t="inlineStr">
        <is>
          <t>PRIETO ROMERO, JAVIER</t>
        </is>
      </c>
      <c r="E400" s="14" t="inlineStr">
        <is>
          <t>NADORCOTT</t>
        </is>
      </c>
      <c r="F400" s="15" t="n">
        <v>22076</v>
      </c>
      <c r="G400" s="16" t="n">
        <v>15743.38</v>
      </c>
      <c r="H400" s="17" t="n">
        <v>0.7131445914114876</v>
      </c>
      <c r="I400" s="16" t="n">
        <v>2759.5</v>
      </c>
      <c r="J400" s="16" t="n">
        <v>488.57</v>
      </c>
      <c r="K400" s="16" t="n">
        <v>0</v>
      </c>
      <c r="L400" s="16" t="n">
        <v>0</v>
      </c>
      <c r="M400" s="16" t="n">
        <v>352.63</v>
      </c>
      <c r="N400" s="16" t="n">
        <v>12847.94</v>
      </c>
      <c r="O400" s="17" t="n">
        <v>0.63879</v>
      </c>
      <c r="P400" s="18" t="n">
        <v>12</v>
      </c>
      <c r="Q400" s="18" t="n">
        <v>2</v>
      </c>
      <c r="R400" s="16" t="n">
        <v>14101.9</v>
      </c>
      <c r="S400" s="14" t="inlineStr">
        <is>
          <t>Nadorcott Semana 2 NORMAL</t>
        </is>
      </c>
      <c r="T400" s="14" t="inlineStr">
        <is>
          <t>MANDARINA</t>
        </is>
      </c>
      <c r="U400" s="19">
        <f>IFERROR(166.386*I400/F400,0)</f>
        <v/>
      </c>
      <c r="V400" s="19">
        <f>IFERROR(166.386*M400/F400,0)</f>
        <v/>
      </c>
      <c r="W400" s="19">
        <f>IFERROR(166.386*L400/F400,0)</f>
        <v/>
      </c>
    </row>
    <row r="401">
      <c r="A401" s="14" t="n">
        <v>2189</v>
      </c>
      <c r="B401" s="14" t="inlineStr">
        <is>
          <t>Nadorcott Semana 2 NORMAL</t>
        </is>
      </c>
      <c r="C401" s="15" t="n">
        <v>1550</v>
      </c>
      <c r="D401" s="14" t="inlineStr">
        <is>
          <t>CADORTAN S.L.</t>
        </is>
      </c>
      <c r="E401" s="14" t="inlineStr">
        <is>
          <t>NADORCOTT</t>
        </is>
      </c>
      <c r="F401" s="15" t="n">
        <v>34624</v>
      </c>
      <c r="G401" s="16" t="n">
        <v>26673.22</v>
      </c>
      <c r="H401" s="17" t="n">
        <v>0.7703679528650647</v>
      </c>
      <c r="I401" s="16" t="n">
        <v>4328</v>
      </c>
      <c r="J401" s="16" t="n">
        <v>306.34</v>
      </c>
      <c r="K401" s="16" t="n">
        <v>0</v>
      </c>
      <c r="L401" s="16" t="n">
        <v>0</v>
      </c>
      <c r="M401" s="16" t="n">
        <v>561.79</v>
      </c>
      <c r="N401" s="16" t="n">
        <v>22600.67</v>
      </c>
      <c r="O401" s="17" t="n">
        <v>0.67886</v>
      </c>
      <c r="P401" s="18" t="n">
        <v>4</v>
      </c>
      <c r="Q401" s="18" t="n">
        <v>0</v>
      </c>
      <c r="R401" s="16" t="n">
        <v>23504.7</v>
      </c>
      <c r="S401" s="14" t="inlineStr">
        <is>
          <t>Nadorcott Semana 2 NORMAL</t>
        </is>
      </c>
      <c r="T401" s="14" t="inlineStr">
        <is>
          <t>MANDARINA</t>
        </is>
      </c>
      <c r="U401" s="19">
        <f>IFERROR(166.386*I401/F401,0)</f>
        <v/>
      </c>
      <c r="V401" s="19">
        <f>IFERROR(166.386*M401/F401,0)</f>
        <v/>
      </c>
      <c r="W401" s="19">
        <f>IFERROR(166.386*L401/F401,0)</f>
        <v/>
      </c>
    </row>
    <row r="402">
      <c r="A402" s="14" t="n">
        <v>2190</v>
      </c>
      <c r="B402" s="14" t="inlineStr">
        <is>
          <t>Nadorcott Semana 1 NORMAL</t>
        </is>
      </c>
      <c r="C402" s="15" t="n">
        <v>886</v>
      </c>
      <c r="D402" s="14" t="inlineStr">
        <is>
          <t>IGEÑO LUQUE S.C.</t>
        </is>
      </c>
      <c r="E402" s="14" t="inlineStr">
        <is>
          <t>NADORCOTT</t>
        </is>
      </c>
      <c r="F402" s="15" t="n">
        <v>34416</v>
      </c>
      <c r="G402" s="16" t="n">
        <v>29602.08</v>
      </c>
      <c r="H402" s="17" t="n">
        <v>0.8601255230125523</v>
      </c>
      <c r="I402" s="16" t="n">
        <v>4302.5</v>
      </c>
      <c r="J402" s="16" t="n">
        <v>175.32</v>
      </c>
      <c r="K402" s="16" t="n">
        <v>0</v>
      </c>
      <c r="L402" s="16" t="n">
        <v>331.51</v>
      </c>
      <c r="M402" s="16" t="n">
        <v>592.54</v>
      </c>
      <c r="N402" s="16" t="n">
        <v>26048.31</v>
      </c>
      <c r="O402" s="17" t="n">
        <v>0.83074</v>
      </c>
      <c r="P402" s="18" t="n">
        <v>12</v>
      </c>
      <c r="Q402" s="18" t="n">
        <v>2</v>
      </c>
      <c r="R402" s="16" t="n">
        <v>28590.63</v>
      </c>
      <c r="S402" s="14" t="inlineStr">
        <is>
          <t>Nadorcott Semana 1 NORMAL</t>
        </is>
      </c>
      <c r="T402" s="14" t="inlineStr">
        <is>
          <t>MANDARINA</t>
        </is>
      </c>
      <c r="U402" s="19">
        <f>IFERROR(166.386*I402/F402,0)</f>
        <v/>
      </c>
      <c r="V402" s="19">
        <f>IFERROR(166.386*M402/F402,0)</f>
        <v/>
      </c>
      <c r="W402" s="19">
        <f>IFERROR(166.386*L402/F402,0)</f>
        <v/>
      </c>
    </row>
    <row r="403">
      <c r="A403" s="14" t="n">
        <v>2190</v>
      </c>
      <c r="B403" s="14" t="inlineStr">
        <is>
          <t>Nadorcott Semana 1 NORMAL</t>
        </is>
      </c>
      <c r="C403" s="15" t="n">
        <v>1443</v>
      </c>
      <c r="D403" s="14" t="inlineStr">
        <is>
          <t>TOMENO SUAREZ,ALBERTO</t>
        </is>
      </c>
      <c r="E403" s="14" t="inlineStr">
        <is>
          <t>NADORCOTT</t>
        </is>
      </c>
      <c r="F403" s="15" t="n">
        <v>45450</v>
      </c>
      <c r="G403" s="16" t="n">
        <v>40332.98</v>
      </c>
      <c r="H403" s="17" t="n">
        <v>0.887414301430143</v>
      </c>
      <c r="I403" s="16" t="n">
        <v>0</v>
      </c>
      <c r="J403" s="16" t="n">
        <v>281.04</v>
      </c>
      <c r="K403" s="16" t="n">
        <v>0</v>
      </c>
      <c r="L403" s="16" t="n">
        <v>668.12</v>
      </c>
      <c r="M403" s="16" t="n">
        <v>799.17</v>
      </c>
      <c r="N403" s="16" t="n">
        <v>41519.23</v>
      </c>
      <c r="O403" s="17" t="n">
        <v>1.00267</v>
      </c>
      <c r="P403" s="18" t="n">
        <v>12</v>
      </c>
      <c r="Q403" s="18" t="n">
        <v>2</v>
      </c>
      <c r="R403" s="16" t="n">
        <v>45571.51</v>
      </c>
      <c r="S403" s="14" t="inlineStr">
        <is>
          <t>Nadorcott Semana 1 NORMAL</t>
        </is>
      </c>
      <c r="T403" s="14" t="inlineStr">
        <is>
          <t>MANDARINA</t>
        </is>
      </c>
      <c r="U403" s="19">
        <f>IFERROR(166.386*I403/F403,0)</f>
        <v/>
      </c>
      <c r="V403" s="19">
        <f>IFERROR(166.386*M403/F403,0)</f>
        <v/>
      </c>
      <c r="W403" s="19">
        <f>IFERROR(166.386*L403/F403,0)</f>
        <v/>
      </c>
    </row>
    <row r="404">
      <c r="A404" s="14" t="n">
        <v>2190</v>
      </c>
      <c r="B404" s="14" t="inlineStr">
        <is>
          <t>Nadorcott Semana 1 NORMAL</t>
        </is>
      </c>
      <c r="C404" s="15" t="n">
        <v>1491</v>
      </c>
      <c r="D404" s="14" t="inlineStr">
        <is>
          <t>JIMENEZ LORENTE,SONIA</t>
        </is>
      </c>
      <c r="E404" s="14" t="inlineStr">
        <is>
          <t>NADORCOTT</t>
        </is>
      </c>
      <c r="F404" s="15" t="n">
        <v>24754</v>
      </c>
      <c r="G404" s="16" t="n">
        <v>22654.9</v>
      </c>
      <c r="H404" s="17" t="n">
        <v>0.9152015835824513</v>
      </c>
      <c r="I404" s="16" t="n">
        <v>3094.25</v>
      </c>
      <c r="J404" s="16" t="n">
        <v>158.99</v>
      </c>
      <c r="K404" s="16" t="n">
        <v>0</v>
      </c>
      <c r="L404" s="16" t="n">
        <v>0</v>
      </c>
      <c r="M404" s="16" t="n">
        <v>426.67</v>
      </c>
      <c r="N404" s="16" t="n">
        <v>19828.33</v>
      </c>
      <c r="O404" s="17" t="n">
        <v>0.87919</v>
      </c>
      <c r="P404" s="18" t="n">
        <v>12</v>
      </c>
      <c r="Q404" s="18" t="n">
        <v>2</v>
      </c>
      <c r="R404" s="16" t="n">
        <v>21763.58</v>
      </c>
      <c r="S404" s="14" t="inlineStr">
        <is>
          <t>Nadorcott Semana 1 NORMAL</t>
        </is>
      </c>
      <c r="T404" s="14" t="inlineStr">
        <is>
          <t>MANDARINA</t>
        </is>
      </c>
      <c r="U404" s="19">
        <f>IFERROR(166.386*I404/F404,0)</f>
        <v/>
      </c>
      <c r="V404" s="19">
        <f>IFERROR(166.386*M404/F404,0)</f>
        <v/>
      </c>
      <c r="W404" s="19">
        <f>IFERROR(166.386*L404/F404,0)</f>
        <v/>
      </c>
    </row>
    <row r="405">
      <c r="A405" s="14" t="n">
        <v>2190</v>
      </c>
      <c r="B405" s="14" t="inlineStr">
        <is>
          <t>Nadorcott Semana 1 NORMAL</t>
        </is>
      </c>
      <c r="C405" s="15" t="n">
        <v>1550</v>
      </c>
      <c r="D405" s="14" t="inlineStr">
        <is>
          <t>CADORTAN S.L.</t>
        </is>
      </c>
      <c r="E405" s="14" t="inlineStr">
        <is>
          <t>NADORCOTT</t>
        </is>
      </c>
      <c r="F405" s="15" t="n">
        <v>32500</v>
      </c>
      <c r="G405" s="16" t="n">
        <v>28661.34</v>
      </c>
      <c r="H405" s="17" t="n">
        <v>0.8818873846153846</v>
      </c>
      <c r="I405" s="16" t="n">
        <v>4036.5</v>
      </c>
      <c r="J405" s="16" t="n">
        <v>287.54</v>
      </c>
      <c r="K405" s="16" t="n">
        <v>0</v>
      </c>
      <c r="L405" s="16" t="n">
        <v>0</v>
      </c>
      <c r="M405" s="16" t="n">
        <v>565.62</v>
      </c>
      <c r="N405" s="16" t="n">
        <v>24902.92</v>
      </c>
      <c r="O405" s="17" t="n">
        <v>0.79689</v>
      </c>
      <c r="P405" s="18" t="n">
        <v>4</v>
      </c>
      <c r="Q405" s="18" t="n">
        <v>0</v>
      </c>
      <c r="R405" s="16" t="n">
        <v>25899.04</v>
      </c>
      <c r="S405" s="14" t="inlineStr">
        <is>
          <t>Nadorcott Semana 1 NORMAL</t>
        </is>
      </c>
      <c r="T405" s="14" t="inlineStr">
        <is>
          <t>MANDARINA</t>
        </is>
      </c>
      <c r="U405" s="19">
        <f>IFERROR(166.386*I405/F405,0)</f>
        <v/>
      </c>
      <c r="V405" s="19">
        <f>IFERROR(166.386*M405/F405,0)</f>
        <v/>
      </c>
      <c r="W405" s="19">
        <f>IFERROR(166.386*L405/F405,0)</f>
        <v/>
      </c>
    </row>
    <row r="406">
      <c r="A406" s="14" t="n">
        <v>2191</v>
      </c>
      <c r="B406" s="14" t="inlineStr">
        <is>
          <t>Nadorcott Semana 3 CON HOJAS</t>
        </is>
      </c>
      <c r="C406" s="15" t="n">
        <v>1214</v>
      </c>
      <c r="D406" s="14" t="inlineStr">
        <is>
          <t>CALZADA GAMIZ,JOSE ANTONIO</t>
        </is>
      </c>
      <c r="E406" s="14" t="inlineStr">
        <is>
          <t>NADORCOTT</t>
        </is>
      </c>
      <c r="F406" s="15" t="n">
        <v>13566</v>
      </c>
      <c r="G406" s="16" t="n">
        <v>11050.83</v>
      </c>
      <c r="H406" s="17" t="n">
        <v>0.8145975232198143</v>
      </c>
      <c r="I406" s="16" t="n">
        <v>1695.75</v>
      </c>
      <c r="J406" s="16" t="n">
        <v>123.17</v>
      </c>
      <c r="K406" s="16" t="n">
        <v>0</v>
      </c>
      <c r="L406" s="16" t="n">
        <v>0</v>
      </c>
      <c r="M406" s="16" t="n">
        <v>235.8</v>
      </c>
      <c r="N406" s="16" t="n">
        <v>9467.709999999999</v>
      </c>
      <c r="O406" s="17" t="n">
        <v>0.76602</v>
      </c>
      <c r="P406" s="18" t="n">
        <v>12</v>
      </c>
      <c r="Q406" s="18" t="n">
        <v>2</v>
      </c>
      <c r="R406" s="16" t="n">
        <v>10391.76</v>
      </c>
      <c r="S406" s="14" t="inlineStr">
        <is>
          <t>Nadorcott Semana 3 CON HOJAS</t>
        </is>
      </c>
      <c r="T406" s="14" t="inlineStr">
        <is>
          <t>MANDARINA</t>
        </is>
      </c>
      <c r="U406" s="19">
        <f>IFERROR(166.386*I406/F406,0)</f>
        <v/>
      </c>
      <c r="V406" s="19">
        <f>IFERROR(166.386*M406/F406,0)</f>
        <v/>
      </c>
      <c r="W406" s="19">
        <f>IFERROR(166.386*L406/F406,0)</f>
        <v/>
      </c>
    </row>
    <row r="407">
      <c r="A407" s="14" t="n">
        <v>2191</v>
      </c>
      <c r="B407" s="14" t="inlineStr">
        <is>
          <t>Nadorcott Semana 3 CON HOJAS</t>
        </is>
      </c>
      <c r="C407" s="15" t="n">
        <v>1443</v>
      </c>
      <c r="D407" s="14" t="inlineStr">
        <is>
          <t>TOMENO SUAREZ,ALBERTO</t>
        </is>
      </c>
      <c r="E407" s="14" t="inlineStr">
        <is>
          <t>NADORCOTT</t>
        </is>
      </c>
      <c r="F407" s="15" t="n">
        <v>14557</v>
      </c>
      <c r="G407" s="16" t="n">
        <v>12034.86</v>
      </c>
      <c r="H407" s="17" t="n">
        <v>0.8267403998076527</v>
      </c>
      <c r="I407" s="16" t="n">
        <v>0</v>
      </c>
      <c r="J407" s="16" t="n">
        <v>90.01000000000001</v>
      </c>
      <c r="K407" s="16" t="n">
        <v>0</v>
      </c>
      <c r="L407" s="16" t="n">
        <v>213.99</v>
      </c>
      <c r="M407" s="16" t="n">
        <v>251.89</v>
      </c>
      <c r="N407" s="16" t="n">
        <v>12410.73</v>
      </c>
      <c r="O407" s="17" t="n">
        <v>0.93577</v>
      </c>
      <c r="P407" s="18" t="n">
        <v>12</v>
      </c>
      <c r="Q407" s="18" t="n">
        <v>2</v>
      </c>
      <c r="R407" s="16" t="n">
        <v>13622.02</v>
      </c>
      <c r="S407" s="14" t="inlineStr">
        <is>
          <t>Nadorcott Semana 3 CON HOJAS</t>
        </is>
      </c>
      <c r="T407" s="14" t="inlineStr">
        <is>
          <t>MANDARINA</t>
        </is>
      </c>
      <c r="U407" s="19">
        <f>IFERROR(166.386*I407/F407,0)</f>
        <v/>
      </c>
      <c r="V407" s="19">
        <f>IFERROR(166.386*M407/F407,0)</f>
        <v/>
      </c>
      <c r="W407" s="19">
        <f>IFERROR(166.386*L407/F407,0)</f>
        <v/>
      </c>
    </row>
    <row r="408">
      <c r="A408" s="14" t="n">
        <v>2191</v>
      </c>
      <c r="B408" s="14" t="inlineStr">
        <is>
          <t>Nadorcott Semana 3 CON HOJAS</t>
        </is>
      </c>
      <c r="C408" s="15" t="n">
        <v>1550</v>
      </c>
      <c r="D408" s="14" t="inlineStr">
        <is>
          <t>CADORTAN S.L.</t>
        </is>
      </c>
      <c r="E408" s="14" t="inlineStr">
        <is>
          <t>NADORCOTT</t>
        </is>
      </c>
      <c r="F408" s="15" t="n">
        <v>17754</v>
      </c>
      <c r="G408" s="16" t="n">
        <v>13749.19</v>
      </c>
      <c r="H408" s="17" t="n">
        <v>0.7744277345950208</v>
      </c>
      <c r="I408" s="16" t="n">
        <v>2219.25</v>
      </c>
      <c r="J408" s="16" t="n">
        <v>157.08</v>
      </c>
      <c r="K408" s="16" t="n">
        <v>0</v>
      </c>
      <c r="L408" s="16" t="n">
        <v>0</v>
      </c>
      <c r="M408" s="16" t="n">
        <v>305.44</v>
      </c>
      <c r="N408" s="16" t="n">
        <v>11678.3</v>
      </c>
      <c r="O408" s="17" t="n">
        <v>0.6841</v>
      </c>
      <c r="P408" s="18" t="n">
        <v>4</v>
      </c>
      <c r="Q408" s="18" t="n">
        <v>0</v>
      </c>
      <c r="R408" s="16" t="n">
        <v>12145.43</v>
      </c>
      <c r="S408" s="14" t="inlineStr">
        <is>
          <t>Nadorcott Semana 3 CON HOJAS</t>
        </is>
      </c>
      <c r="T408" s="14" t="inlineStr">
        <is>
          <t>MANDARINA</t>
        </is>
      </c>
      <c r="U408" s="19">
        <f>IFERROR(166.386*I408/F408,0)</f>
        <v/>
      </c>
      <c r="V408" s="19">
        <f>IFERROR(166.386*M408/F408,0)</f>
        <v/>
      </c>
      <c r="W408" s="19">
        <f>IFERROR(166.386*L408/F408,0)</f>
        <v/>
      </c>
    </row>
    <row r="409">
      <c r="A409" s="14" t="n">
        <v>2192</v>
      </c>
      <c r="B409" s="14" t="inlineStr">
        <is>
          <t>Nadorcott Semana 3 NORMAL</t>
        </is>
      </c>
      <c r="C409" s="15" t="n">
        <v>1214</v>
      </c>
      <c r="D409" s="14" t="inlineStr">
        <is>
          <t>CALZADA GAMIZ,JOSE ANTONIO</t>
        </is>
      </c>
      <c r="E409" s="14" t="inlineStr">
        <is>
          <t>NADORCOTT</t>
        </is>
      </c>
      <c r="F409" s="15" t="n">
        <v>66628</v>
      </c>
      <c r="G409" s="16" t="n">
        <v>46205.91</v>
      </c>
      <c r="H409" s="17" t="n">
        <v>0.6934908747073303</v>
      </c>
      <c r="I409" s="16" t="n">
        <v>8328.5</v>
      </c>
      <c r="J409" s="16" t="n">
        <v>604.9400000000001</v>
      </c>
      <c r="K409" s="16" t="n">
        <v>0</v>
      </c>
      <c r="L409" s="16" t="n">
        <v>0</v>
      </c>
      <c r="M409" s="16" t="n">
        <v>1134.82</v>
      </c>
      <c r="N409" s="16" t="n">
        <v>38407.29</v>
      </c>
      <c r="O409" s="17" t="n">
        <v>0.6327</v>
      </c>
      <c r="P409" s="18" t="n">
        <v>12</v>
      </c>
      <c r="Q409" s="18" t="n">
        <v>2</v>
      </c>
      <c r="R409" s="16" t="n">
        <v>42155.84</v>
      </c>
      <c r="S409" s="14" t="inlineStr">
        <is>
          <t>Nadorcott Semana 3 NORMAL</t>
        </is>
      </c>
      <c r="T409" s="14" t="inlineStr">
        <is>
          <t>MANDARINA</t>
        </is>
      </c>
      <c r="U409" s="19">
        <f>IFERROR(166.386*I409/F409,0)</f>
        <v/>
      </c>
      <c r="V409" s="19">
        <f>IFERROR(166.386*M409/F409,0)</f>
        <v/>
      </c>
      <c r="W409" s="19">
        <f>IFERROR(166.386*L409/F409,0)</f>
        <v/>
      </c>
    </row>
    <row r="410">
      <c r="A410" s="14" t="n">
        <v>2192</v>
      </c>
      <c r="B410" s="14" t="inlineStr">
        <is>
          <t>Nadorcott Semana 3 NORMAL</t>
        </is>
      </c>
      <c r="C410" s="15" t="n">
        <v>1443</v>
      </c>
      <c r="D410" s="14" t="inlineStr">
        <is>
          <t>TOMENO SUAREZ,ALBERTO</t>
        </is>
      </c>
      <c r="E410" s="14" t="inlineStr">
        <is>
          <t>NADORCOTT</t>
        </is>
      </c>
      <c r="F410" s="15" t="n">
        <v>48467</v>
      </c>
      <c r="G410" s="16" t="n">
        <v>34887.49</v>
      </c>
      <c r="H410" s="17" t="n">
        <v>0.719819464790476</v>
      </c>
      <c r="I410" s="16" t="n">
        <v>0</v>
      </c>
      <c r="J410" s="16" t="n">
        <v>299.7</v>
      </c>
      <c r="K410" s="16" t="n">
        <v>0</v>
      </c>
      <c r="L410" s="16" t="n">
        <v>430.34</v>
      </c>
      <c r="M410" s="16" t="n">
        <v>784.88</v>
      </c>
      <c r="N410" s="16" t="n">
        <v>35803.01</v>
      </c>
      <c r="O410" s="17" t="n">
        <v>0.81081</v>
      </c>
      <c r="P410" s="18" t="n">
        <v>12</v>
      </c>
      <c r="Q410" s="18" t="n">
        <v>2</v>
      </c>
      <c r="R410" s="16" t="n">
        <v>39297.38</v>
      </c>
      <c r="S410" s="14" t="inlineStr">
        <is>
          <t>Nadorcott Semana 3 NORMAL</t>
        </is>
      </c>
      <c r="T410" s="14" t="inlineStr">
        <is>
          <t>MANDARINA</t>
        </is>
      </c>
      <c r="U410" s="19">
        <f>IFERROR(166.386*I410/F410,0)</f>
        <v/>
      </c>
      <c r="V410" s="19">
        <f>IFERROR(166.386*M410/F410,0)</f>
        <v/>
      </c>
      <c r="W410" s="19">
        <f>IFERROR(166.386*L410/F410,0)</f>
        <v/>
      </c>
    </row>
    <row r="411">
      <c r="A411" s="14" t="n">
        <v>2192</v>
      </c>
      <c r="B411" s="14" t="inlineStr">
        <is>
          <t>Nadorcott Semana 3 NORMAL</t>
        </is>
      </c>
      <c r="C411" s="15" t="n">
        <v>1491</v>
      </c>
      <c r="D411" s="14" t="inlineStr">
        <is>
          <t>JIMENEZ LORENTE,SONIA</t>
        </is>
      </c>
      <c r="E411" s="14" t="inlineStr">
        <is>
          <t>NADORCOTT</t>
        </is>
      </c>
      <c r="F411" s="15" t="n">
        <v>49910</v>
      </c>
      <c r="G411" s="16" t="n">
        <v>39264.46</v>
      </c>
      <c r="H411" s="17" t="n">
        <v>0.7867052694850731</v>
      </c>
      <c r="I411" s="16" t="n">
        <v>6238.75</v>
      </c>
      <c r="J411" s="16" t="n">
        <v>320.57</v>
      </c>
      <c r="K411" s="16" t="n">
        <v>0</v>
      </c>
      <c r="L411" s="16" t="n">
        <v>0</v>
      </c>
      <c r="M411" s="16" t="n">
        <v>812.51</v>
      </c>
      <c r="N411" s="16" t="n">
        <v>33517.65</v>
      </c>
      <c r="O411" s="17" t="n">
        <v>0.73711</v>
      </c>
      <c r="P411" s="18" t="n">
        <v>12</v>
      </c>
      <c r="Q411" s="18" t="n">
        <v>2</v>
      </c>
      <c r="R411" s="16" t="n">
        <v>36788.97</v>
      </c>
      <c r="S411" s="14" t="inlineStr">
        <is>
          <t>Nadorcott Semana 3 NORMAL</t>
        </is>
      </c>
      <c r="T411" s="14" t="inlineStr">
        <is>
          <t>MANDARINA</t>
        </is>
      </c>
      <c r="U411" s="19">
        <f>IFERROR(166.386*I411/F411,0)</f>
        <v/>
      </c>
      <c r="V411" s="19">
        <f>IFERROR(166.386*M411/F411,0)</f>
        <v/>
      </c>
      <c r="W411" s="19">
        <f>IFERROR(166.386*L411/F411,0)</f>
        <v/>
      </c>
    </row>
    <row r="412">
      <c r="A412" s="14" t="n">
        <v>2192</v>
      </c>
      <c r="B412" s="14" t="inlineStr">
        <is>
          <t>Nadorcott Semana 3 NORMAL</t>
        </is>
      </c>
      <c r="C412" s="15" t="n">
        <v>1514</v>
      </c>
      <c r="D412" s="14" t="inlineStr">
        <is>
          <t>PRIETO ROMERO, JAVIER</t>
        </is>
      </c>
      <c r="E412" s="14" t="inlineStr">
        <is>
          <t>NADORCOTT</t>
        </is>
      </c>
      <c r="F412" s="15" t="n">
        <v>19038</v>
      </c>
      <c r="G412" s="16" t="n">
        <v>13150.07</v>
      </c>
      <c r="H412" s="17" t="n">
        <v>0.6907274923836537</v>
      </c>
      <c r="I412" s="16" t="n">
        <v>2379.75</v>
      </c>
      <c r="J412" s="16" t="n">
        <v>421.33</v>
      </c>
      <c r="K412" s="16" t="n">
        <v>0</v>
      </c>
      <c r="L412" s="16" t="n">
        <v>0</v>
      </c>
      <c r="M412" s="16" t="n">
        <v>292.05</v>
      </c>
      <c r="N412" s="16" t="n">
        <v>10641.04</v>
      </c>
      <c r="O412" s="17" t="n">
        <v>0.61349</v>
      </c>
      <c r="P412" s="18" t="n">
        <v>12</v>
      </c>
      <c r="Q412" s="18" t="n">
        <v>2</v>
      </c>
      <c r="R412" s="16" t="n">
        <v>11679.61</v>
      </c>
      <c r="S412" s="14" t="inlineStr">
        <is>
          <t>Nadorcott Semana 3 NORMAL</t>
        </is>
      </c>
      <c r="T412" s="14" t="inlineStr">
        <is>
          <t>MANDARINA</t>
        </is>
      </c>
      <c r="U412" s="19">
        <f>IFERROR(166.386*I412/F412,0)</f>
        <v/>
      </c>
      <c r="V412" s="19">
        <f>IFERROR(166.386*M412/F412,0)</f>
        <v/>
      </c>
      <c r="W412" s="19">
        <f>IFERROR(166.386*L412/F412,0)</f>
        <v/>
      </c>
    </row>
    <row r="413">
      <c r="A413" s="14" t="n">
        <v>2193</v>
      </c>
      <c r="B413" s="14" t="inlineStr">
        <is>
          <t>Nadorcott Semana 6 NORMAL</t>
        </is>
      </c>
      <c r="C413" s="15" t="n">
        <v>1478</v>
      </c>
      <c r="D413" s="14" t="inlineStr">
        <is>
          <t>AGROSERVICIOS LA CATRIA S.L.</t>
        </is>
      </c>
      <c r="E413" s="14" t="inlineStr">
        <is>
          <t>NADORCOTT</t>
        </is>
      </c>
      <c r="F413" s="15" t="n">
        <v>35685</v>
      </c>
      <c r="G413" s="16" t="n">
        <v>22067.55</v>
      </c>
      <c r="H413" s="17" t="n">
        <v>0.6183984867591426</v>
      </c>
      <c r="I413" s="16" t="n">
        <v>4460.63</v>
      </c>
      <c r="J413" s="16" t="n">
        <v>875.3200000000001</v>
      </c>
      <c r="K413" s="16" t="n">
        <v>0</v>
      </c>
      <c r="L413" s="16" t="n">
        <v>524.5700000000001</v>
      </c>
      <c r="M413" s="16" t="n">
        <v>508.43</v>
      </c>
      <c r="N413" s="16" t="n">
        <v>17764.6</v>
      </c>
      <c r="O413" s="17" t="n">
        <v>0.51773</v>
      </c>
      <c r="P413" s="18" t="n">
        <v>4</v>
      </c>
      <c r="Q413" s="18" t="n">
        <v>0</v>
      </c>
      <c r="R413" s="16" t="n">
        <v>18475.18</v>
      </c>
      <c r="S413" s="14" t="inlineStr">
        <is>
          <t>Nadorcott Semana 6 NORMAL</t>
        </is>
      </c>
      <c r="T413" s="14" t="inlineStr">
        <is>
          <t>MANDARINA</t>
        </is>
      </c>
      <c r="U413" s="19">
        <f>IFERROR(166.386*I413/F413,0)</f>
        <v/>
      </c>
      <c r="V413" s="19">
        <f>IFERROR(166.386*M413/F413,0)</f>
        <v/>
      </c>
      <c r="W413" s="19">
        <f>IFERROR(166.386*L413/F413,0)</f>
        <v/>
      </c>
    </row>
    <row r="414">
      <c r="A414" s="14" t="n">
        <v>2194</v>
      </c>
      <c r="B414" s="14" t="inlineStr">
        <is>
          <t>Nadorcott Semana 4 NORMAL</t>
        </is>
      </c>
      <c r="C414" s="15" t="n">
        <v>1214</v>
      </c>
      <c r="D414" s="14" t="inlineStr">
        <is>
          <t>CALZADA GAMIZ,JOSE ANTONIO</t>
        </is>
      </c>
      <c r="E414" s="14" t="inlineStr">
        <is>
          <t>NADORCOTT</t>
        </is>
      </c>
      <c r="F414" s="15" t="n">
        <v>19460</v>
      </c>
      <c r="G414" s="16" t="n">
        <v>14754.67</v>
      </c>
      <c r="H414" s="17" t="n">
        <v>0.758205035971223</v>
      </c>
      <c r="I414" s="16" t="n">
        <v>2432.5</v>
      </c>
      <c r="J414" s="16" t="n">
        <v>176.68</v>
      </c>
      <c r="K414" s="16" t="n">
        <v>0</v>
      </c>
      <c r="L414" s="16" t="n">
        <v>0</v>
      </c>
      <c r="M414" s="16" t="n">
        <v>325.53</v>
      </c>
      <c r="N414" s="16" t="n">
        <v>12471.02</v>
      </c>
      <c r="O414" s="17" t="n">
        <v>0.7034</v>
      </c>
      <c r="P414" s="18" t="n">
        <v>12</v>
      </c>
      <c r="Q414" s="18" t="n">
        <v>2</v>
      </c>
      <c r="R414" s="16" t="n">
        <v>13688.19</v>
      </c>
      <c r="S414" s="14" t="inlineStr">
        <is>
          <t>Nadorcott Semana 4 NORMAL</t>
        </is>
      </c>
      <c r="T414" s="14" t="inlineStr">
        <is>
          <t>MANDARINA</t>
        </is>
      </c>
      <c r="U414" s="19">
        <f>IFERROR(166.386*I414/F414,0)</f>
        <v/>
      </c>
      <c r="V414" s="19">
        <f>IFERROR(166.386*M414/F414,0)</f>
        <v/>
      </c>
      <c r="W414" s="19">
        <f>IFERROR(166.386*L414/F414,0)</f>
        <v/>
      </c>
    </row>
    <row r="415">
      <c r="A415" s="14" t="n">
        <v>2194</v>
      </c>
      <c r="B415" s="14" t="inlineStr">
        <is>
          <t>Nadorcott Semana 4 NORMAL</t>
        </is>
      </c>
      <c r="C415" s="15" t="n">
        <v>1329</v>
      </c>
      <c r="D415" s="14" t="inlineStr">
        <is>
          <t>AGRICOLA LOS MAJADALES S.L.</t>
        </is>
      </c>
      <c r="E415" s="14" t="inlineStr">
        <is>
          <t>NADORCOTT</t>
        </is>
      </c>
      <c r="F415" s="15" t="n">
        <v>10852</v>
      </c>
      <c r="G415" s="16" t="n">
        <v>8425.01</v>
      </c>
      <c r="H415" s="17" t="n">
        <v>0.7763555105049761</v>
      </c>
      <c r="I415" s="16" t="n">
        <v>1356.5</v>
      </c>
      <c r="J415" s="16" t="n">
        <v>286.65</v>
      </c>
      <c r="K415" s="16" t="n">
        <v>0</v>
      </c>
      <c r="L415" s="16" t="n">
        <v>0</v>
      </c>
      <c r="M415" s="16" t="n">
        <v>183.8</v>
      </c>
      <c r="N415" s="16" t="n">
        <v>6965.66</v>
      </c>
      <c r="O415" s="17" t="n">
        <v>0.66755</v>
      </c>
      <c r="P415" s="18" t="n">
        <v>4</v>
      </c>
      <c r="Q415" s="18" t="n">
        <v>0</v>
      </c>
      <c r="R415" s="16" t="n">
        <v>7244.29</v>
      </c>
      <c r="S415" s="14" t="inlineStr">
        <is>
          <t>Nadorcott Semana 4 NORMAL</t>
        </is>
      </c>
      <c r="T415" s="14" t="inlineStr">
        <is>
          <t>MANDARINA</t>
        </is>
      </c>
      <c r="U415" s="19">
        <f>IFERROR(166.386*I415/F415,0)</f>
        <v/>
      </c>
      <c r="V415" s="19">
        <f>IFERROR(166.386*M415/F415,0)</f>
        <v/>
      </c>
      <c r="W415" s="19">
        <f>IFERROR(166.386*L415/F415,0)</f>
        <v/>
      </c>
    </row>
    <row r="416">
      <c r="A416" s="14" t="n">
        <v>2194</v>
      </c>
      <c r="B416" s="14" t="inlineStr">
        <is>
          <t>Nadorcott Semana 4 NORMAL</t>
        </is>
      </c>
      <c r="C416" s="15" t="n">
        <v>1443</v>
      </c>
      <c r="D416" s="14" t="inlineStr">
        <is>
          <t>TOMENO SUAREZ,ALBERTO</t>
        </is>
      </c>
      <c r="E416" s="14" t="inlineStr">
        <is>
          <t>NADORCOTT</t>
        </is>
      </c>
      <c r="F416" s="15" t="n">
        <v>51632</v>
      </c>
      <c r="G416" s="16" t="n">
        <v>38068.51</v>
      </c>
      <c r="H416" s="17" t="n">
        <v>0.7373045785559343</v>
      </c>
      <c r="I416" s="16" t="n">
        <v>0</v>
      </c>
      <c r="J416" s="16" t="n">
        <v>319.27</v>
      </c>
      <c r="K416" s="16" t="n">
        <v>0</v>
      </c>
      <c r="L416" s="16" t="n">
        <v>0</v>
      </c>
      <c r="M416" s="16" t="n">
        <v>887.14</v>
      </c>
      <c r="N416" s="16" t="n">
        <v>38636.38</v>
      </c>
      <c r="O416" s="17" t="n">
        <v>0.82134</v>
      </c>
      <c r="P416" s="18" t="n">
        <v>12</v>
      </c>
      <c r="Q416" s="18" t="n">
        <v>2</v>
      </c>
      <c r="R416" s="16" t="n">
        <v>42407.29</v>
      </c>
      <c r="S416" s="14" t="inlineStr">
        <is>
          <t>Nadorcott Semana 4 NORMAL</t>
        </is>
      </c>
      <c r="T416" s="14" t="inlineStr">
        <is>
          <t>MANDARINA</t>
        </is>
      </c>
      <c r="U416" s="19">
        <f>IFERROR(166.386*I416/F416,0)</f>
        <v/>
      </c>
      <c r="V416" s="19">
        <f>IFERROR(166.386*M416/F416,0)</f>
        <v/>
      </c>
      <c r="W416" s="19">
        <f>IFERROR(166.386*L416/F416,0)</f>
        <v/>
      </c>
    </row>
    <row r="417">
      <c r="A417" s="14" t="n">
        <v>2194</v>
      </c>
      <c r="B417" s="14" t="inlineStr">
        <is>
          <t>Nadorcott Semana 4 NORMAL</t>
        </is>
      </c>
      <c r="C417" s="15" t="n">
        <v>1574</v>
      </c>
      <c r="D417" s="14" t="inlineStr">
        <is>
          <t>FERNANDEZ ONETTI, JOSE LUIS</t>
        </is>
      </c>
      <c r="E417" s="14" t="inlineStr">
        <is>
          <t>NADORCOTT</t>
        </is>
      </c>
      <c r="F417" s="15" t="n">
        <v>18786</v>
      </c>
      <c r="G417" s="16" t="n">
        <v>14098.65</v>
      </c>
      <c r="H417" s="17" t="n">
        <v>0.7504870648355159</v>
      </c>
      <c r="I417" s="16" t="n">
        <v>2348.25</v>
      </c>
      <c r="J417" s="16" t="n">
        <v>124.8</v>
      </c>
      <c r="K417" s="16" t="n">
        <v>0</v>
      </c>
      <c r="L417" s="16" t="n">
        <v>0</v>
      </c>
      <c r="M417" s="16" t="n">
        <v>0</v>
      </c>
      <c r="N417" s="16" t="n">
        <v>11625.6</v>
      </c>
      <c r="O417" s="17" t="n">
        <v>0.67924</v>
      </c>
      <c r="P417" s="18" t="n">
        <v>12</v>
      </c>
      <c r="Q417" s="18" t="n">
        <v>2</v>
      </c>
      <c r="R417" s="16" t="n">
        <v>12760.26</v>
      </c>
      <c r="S417" s="14" t="inlineStr">
        <is>
          <t>Nadorcott Semana 4 NORMAL</t>
        </is>
      </c>
      <c r="T417" s="14" t="inlineStr">
        <is>
          <t>MANDARINA</t>
        </is>
      </c>
      <c r="U417" s="19">
        <f>IFERROR(166.386*I417/F417,0)</f>
        <v/>
      </c>
      <c r="V417" s="19">
        <f>IFERROR(166.386*M417/F417,0)</f>
        <v/>
      </c>
      <c r="W417" s="19">
        <f>IFERROR(166.386*L417/F417,0)</f>
        <v/>
      </c>
    </row>
    <row r="418">
      <c r="A418" s="14" t="n">
        <v>2195</v>
      </c>
      <c r="B418" s="14" t="inlineStr">
        <is>
          <t>Nadorcott Semana 8 NORMAL</t>
        </is>
      </c>
      <c r="C418" s="15" t="n">
        <v>1478</v>
      </c>
      <c r="D418" s="14" t="inlineStr">
        <is>
          <t>AGROSERVICIOS LA CATRIA S.L.</t>
        </is>
      </c>
      <c r="E418" s="14" t="inlineStr">
        <is>
          <t>NADORCOTT</t>
        </is>
      </c>
      <c r="F418" s="15" t="n">
        <v>11720</v>
      </c>
      <c r="G418" s="16" t="n">
        <v>6138.49</v>
      </c>
      <c r="H418" s="17" t="n">
        <v>0.5237619453924914</v>
      </c>
      <c r="I418" s="16" t="n">
        <v>1465</v>
      </c>
      <c r="J418" s="16" t="n">
        <v>287.48</v>
      </c>
      <c r="K418" s="16" t="n">
        <v>0</v>
      </c>
      <c r="L418" s="16" t="n">
        <v>172.28</v>
      </c>
      <c r="M418" s="16" t="n">
        <v>164.79</v>
      </c>
      <c r="N418" s="16" t="n">
        <v>4723.08</v>
      </c>
      <c r="O418" s="17" t="n">
        <v>0.41911</v>
      </c>
      <c r="P418" s="18" t="n">
        <v>4</v>
      </c>
      <c r="Q418" s="18" t="n">
        <v>0</v>
      </c>
      <c r="R418" s="16" t="n">
        <v>4912</v>
      </c>
      <c r="S418" s="14" t="inlineStr">
        <is>
          <t>Nadorcott Semana 8 NORMAL</t>
        </is>
      </c>
      <c r="T418" s="14" t="inlineStr">
        <is>
          <t>MANDARINA</t>
        </is>
      </c>
      <c r="U418" s="19">
        <f>IFERROR(166.386*I418/F418,0)</f>
        <v/>
      </c>
      <c r="V418" s="19">
        <f>IFERROR(166.386*M418/F418,0)</f>
        <v/>
      </c>
      <c r="W418" s="19">
        <f>IFERROR(166.386*L418/F418,0)</f>
        <v/>
      </c>
    </row>
    <row r="419">
      <c r="A419" s="14" t="n">
        <v>2196</v>
      </c>
      <c r="B419" s="14" t="inlineStr">
        <is>
          <t>Nadorcott Semana 52 NORMAL</t>
        </is>
      </c>
      <c r="C419" s="15" t="n">
        <v>1252</v>
      </c>
      <c r="D419" s="14" t="inlineStr">
        <is>
          <t>CRESPO RINCON,PURIFICACION</t>
        </is>
      </c>
      <c r="E419" s="14" t="inlineStr">
        <is>
          <t>NADORCOTT</t>
        </is>
      </c>
      <c r="F419" s="15" t="n">
        <v>21578</v>
      </c>
      <c r="G419" s="16" t="n">
        <v>19197.88</v>
      </c>
      <c r="H419" s="17" t="n">
        <v>0.8896969135230327</v>
      </c>
      <c r="I419" s="16" t="n">
        <v>2671.25</v>
      </c>
      <c r="J419" s="16" t="n">
        <v>300.14</v>
      </c>
      <c r="K419" s="16" t="n">
        <v>0</v>
      </c>
      <c r="L419" s="16" t="n">
        <v>0</v>
      </c>
      <c r="M419" s="16" t="n">
        <v>374.9</v>
      </c>
      <c r="N419" s="16" t="n">
        <v>16601.39</v>
      </c>
      <c r="O419" s="17" t="n">
        <v>0.84446</v>
      </c>
      <c r="P419" s="18" t="n">
        <v>12</v>
      </c>
      <c r="Q419" s="18" t="n">
        <v>2</v>
      </c>
      <c r="R419" s="16" t="n">
        <v>18221.69</v>
      </c>
      <c r="S419" s="14" t="inlineStr">
        <is>
          <t>Nadorcott Semana 52 NORMAL</t>
        </is>
      </c>
      <c r="T419" s="14" t="inlineStr">
        <is>
          <t>MANDARINA</t>
        </is>
      </c>
      <c r="U419" s="19">
        <f>IFERROR(166.386*I419/F419,0)</f>
        <v/>
      </c>
      <c r="V419" s="19">
        <f>IFERROR(166.386*M419/F419,0)</f>
        <v/>
      </c>
      <c r="W419" s="19">
        <f>IFERROR(166.386*L419/F419,0)</f>
        <v/>
      </c>
    </row>
    <row r="420">
      <c r="A420" s="14" t="n">
        <v>2196</v>
      </c>
      <c r="B420" s="14" t="inlineStr">
        <is>
          <t>Nadorcott Semana 52 NORMAL</t>
        </is>
      </c>
      <c r="C420" s="15" t="n">
        <v>1443</v>
      </c>
      <c r="D420" s="14" t="inlineStr">
        <is>
          <t>TOMENO SUAREZ,ALBERTO</t>
        </is>
      </c>
      <c r="E420" s="14" t="inlineStr">
        <is>
          <t>NADORCOTT</t>
        </is>
      </c>
      <c r="F420" s="15" t="n">
        <v>22316</v>
      </c>
      <c r="G420" s="16" t="n">
        <v>19759.25</v>
      </c>
      <c r="H420" s="17" t="n">
        <v>0.8854297365119197</v>
      </c>
      <c r="I420" s="16" t="n">
        <v>0</v>
      </c>
      <c r="J420" s="16" t="n">
        <v>137.99</v>
      </c>
      <c r="K420" s="16" t="n">
        <v>0</v>
      </c>
      <c r="L420" s="16" t="n">
        <v>328.05</v>
      </c>
      <c r="M420" s="16" t="n">
        <v>397.27</v>
      </c>
      <c r="N420" s="16" t="n">
        <v>20346.58</v>
      </c>
      <c r="O420" s="17" t="n">
        <v>1.00074</v>
      </c>
      <c r="P420" s="18" t="n">
        <v>12</v>
      </c>
      <c r="Q420" s="18" t="n">
        <v>2</v>
      </c>
      <c r="R420" s="16" t="n">
        <v>22332.41</v>
      </c>
      <c r="S420" s="14" t="inlineStr">
        <is>
          <t>Nadorcott Semana 52 NORMAL</t>
        </is>
      </c>
      <c r="T420" s="14" t="inlineStr">
        <is>
          <t>MANDARINA</t>
        </is>
      </c>
      <c r="U420" s="19">
        <f>IFERROR(166.386*I420/F420,0)</f>
        <v/>
      </c>
      <c r="V420" s="19">
        <f>IFERROR(166.386*M420/F420,0)</f>
        <v/>
      </c>
      <c r="W420" s="19">
        <f>IFERROR(166.386*L420/F420,0)</f>
        <v/>
      </c>
    </row>
    <row r="421">
      <c r="A421" s="14" t="n">
        <v>2196</v>
      </c>
      <c r="B421" s="14" t="inlineStr">
        <is>
          <t>Nadorcott Semana 52 NORMAL</t>
        </is>
      </c>
      <c r="C421" s="15" t="n">
        <v>1550</v>
      </c>
      <c r="D421" s="14" t="inlineStr">
        <is>
          <t>CADORTAN S.L.</t>
        </is>
      </c>
      <c r="E421" s="14" t="inlineStr">
        <is>
          <t>NADORCOTT</t>
        </is>
      </c>
      <c r="F421" s="15" t="n">
        <v>53440</v>
      </c>
      <c r="G421" s="16" t="n">
        <v>48454.58</v>
      </c>
      <c r="H421" s="17" t="n">
        <v>0.9067099550898203</v>
      </c>
      <c r="I421" s="16" t="n">
        <v>6665.5</v>
      </c>
      <c r="J421" s="16" t="n">
        <v>472.81</v>
      </c>
      <c r="K421" s="16" t="n">
        <v>0</v>
      </c>
      <c r="L421" s="16" t="n">
        <v>0</v>
      </c>
      <c r="M421" s="16" t="n">
        <v>942.2</v>
      </c>
      <c r="N421" s="16" t="n">
        <v>42258.47</v>
      </c>
      <c r="O421" s="17" t="n">
        <v>0.8224</v>
      </c>
      <c r="P421" s="18" t="n">
        <v>4</v>
      </c>
      <c r="Q421" s="18" t="n">
        <v>0</v>
      </c>
      <c r="R421" s="16" t="n">
        <v>43948.81</v>
      </c>
      <c r="S421" s="14" t="inlineStr">
        <is>
          <t>Nadorcott Semana 52 NORMAL</t>
        </is>
      </c>
      <c r="T421" s="14" t="inlineStr">
        <is>
          <t>MANDARINA</t>
        </is>
      </c>
      <c r="U421" s="19">
        <f>IFERROR(166.386*I421/F421,0)</f>
        <v/>
      </c>
      <c r="V421" s="19">
        <f>IFERROR(166.386*M421/F421,0)</f>
        <v/>
      </c>
      <c r="W421" s="19">
        <f>IFERROR(166.386*L421/F421,0)</f>
        <v/>
      </c>
    </row>
    <row r="422">
      <c r="A422" s="20" t="n"/>
      <c r="B422" s="20" t="n"/>
      <c r="C422" s="21" t="n"/>
      <c r="D422" s="20" t="inlineStr">
        <is>
          <t>TOTAL GENERAL</t>
        </is>
      </c>
      <c r="E422" s="20" t="n"/>
      <c r="F422" s="21" t="n">
        <v>17373362</v>
      </c>
      <c r="G422" s="22" t="n">
        <v>7316730.67</v>
      </c>
      <c r="H422" s="23" t="n"/>
      <c r="I422" s="22" t="n">
        <v>940035.74</v>
      </c>
      <c r="J422" s="22" t="n">
        <v>136360.92</v>
      </c>
      <c r="K422" s="22" t="n">
        <v>8786.979615811</v>
      </c>
      <c r="L422" s="22" t="n">
        <v>17633.51</v>
      </c>
      <c r="M422" s="22" t="n">
        <v>97053.91</v>
      </c>
      <c r="N422" s="22" t="n">
        <v>6363808.41</v>
      </c>
      <c r="O422" s="23" t="n">
        <v>0.4006804255848695</v>
      </c>
      <c r="P422" s="24" t="n"/>
      <c r="Q422" s="24" t="n"/>
      <c r="R422" s="22" t="n">
        <v>6961166.08</v>
      </c>
      <c r="S422" s="20" t="n"/>
      <c r="T422" s="20" t="n"/>
      <c r="U422" s="25" t="n"/>
      <c r="V422" s="25" t="n"/>
      <c r="W422" s="25" t="n"/>
    </row>
  </sheetData>
  <autoFilter ref="A1:W422"/>
  <pageMargins left="0.25" right="0.25" top="0.5" bottom="0.5"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G570"/>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15" customWidth="1" min="4" max="4"/>
    <col width="45" customWidth="1" min="5" max="5"/>
    <col width="28" customWidth="1" min="6" max="6"/>
    <col width="12" customWidth="1" min="7" max="7"/>
  </cols>
  <sheetData>
    <row r="1">
      <c r="A1" s="1" t="inlineStr">
        <is>
          <t>Id Remesa</t>
        </is>
      </c>
      <c r="B1" s="1" t="inlineStr">
        <is>
          <t>Remesa</t>
        </is>
      </c>
      <c r="C1" s="1" t="inlineStr">
        <is>
          <t>Fase</t>
        </is>
      </c>
      <c r="D1" s="1" t="inlineStr">
        <is>
          <t>Tipo de error</t>
        </is>
      </c>
      <c r="E1" s="1" t="inlineStr">
        <is>
          <t>Mensaje</t>
        </is>
      </c>
      <c r="F1" s="2" t="inlineStr">
        <is>
          <t>Fecha y hora</t>
        </is>
      </c>
      <c r="G1" s="1" t="inlineStr">
        <is>
          <t>Estado</t>
        </is>
      </c>
    </row>
    <row r="2">
      <c r="A2" s="5" t="n">
        <v>2197</v>
      </c>
      <c r="B2" s="5" t="inlineStr">
        <is>
          <t>NAVEL TEMPRANA sem1</t>
        </is>
      </c>
      <c r="C2" s="5" t="inlineStr">
        <is>
          <t>WARNING</t>
        </is>
      </c>
      <c r="D2" s="5" t="inlineStr">
        <is>
          <t>Warning</t>
        </is>
      </c>
      <c r="E2" s="5" t="inlineStr">
        <is>
          <t>44 entregas ya figuran como liquidadas.</t>
        </is>
      </c>
      <c r="F2" s="6" t="n">
        <v>46231.74836732359</v>
      </c>
      <c r="G2" s="5" t="inlineStr">
        <is>
          <t>WARNING</t>
        </is>
      </c>
    </row>
    <row r="3">
      <c r="A3" s="5" t="n">
        <v>2197</v>
      </c>
      <c r="B3" s="5" t="inlineStr">
        <is>
          <t>NAVEL TEMPRANA sem1</t>
        </is>
      </c>
      <c r="C3" s="5" t="inlineStr">
        <is>
          <t>WARNING</t>
        </is>
      </c>
      <c r="D3" s="5" t="inlineStr">
        <is>
          <t>Warning</t>
        </is>
      </c>
      <c r="E3" s="5" t="inlineStr">
        <is>
          <t>No existe tarifa BonCalidad para socio=818 campaña=2026 empresa=1 cultivo=CITRICOS.</t>
        </is>
      </c>
      <c r="F3" s="6" t="n">
        <v>46231.74836732359</v>
      </c>
      <c r="G3" s="5" t="inlineStr">
        <is>
          <t>WARNING</t>
        </is>
      </c>
    </row>
    <row r="4">
      <c r="A4" s="5" t="n">
        <v>2197</v>
      </c>
      <c r="B4" s="5" t="inlineStr">
        <is>
          <t>NAVEL TEMPRANA sem1</t>
        </is>
      </c>
      <c r="C4" s="5" t="inlineStr">
        <is>
          <t>WARNING</t>
        </is>
      </c>
      <c r="D4" s="5" t="inlineStr">
        <is>
          <t>Warning</t>
        </is>
      </c>
      <c r="E4" s="5" t="inlineStr">
        <is>
          <t>No existe fuente acumulada disponible; saldo informativo calculado con cuota ya aplicada = 0.</t>
        </is>
      </c>
      <c r="F4" s="6" t="n">
        <v>46231.74836732359</v>
      </c>
      <c r="G4" s="5" t="inlineStr">
        <is>
          <t>WARNING</t>
        </is>
      </c>
    </row>
    <row r="5">
      <c r="A5" s="5" t="n">
        <v>2197</v>
      </c>
      <c r="B5" s="5" t="inlineStr">
        <is>
          <t>NAVEL TEMPRANA sem1</t>
        </is>
      </c>
      <c r="C5" s="5" t="inlineStr">
        <is>
          <t>WARNING</t>
        </is>
      </c>
      <c r="D5" s="5" t="inlineStr">
        <is>
          <t>Warning</t>
        </is>
      </c>
      <c r="E5" s="5" t="inlineStr">
        <is>
          <t>No existe tarifa BonCalidad para socio=1184 campaña=2026 empresa=1 cultivo=CITRICOS.</t>
        </is>
      </c>
      <c r="F5" s="6" t="n">
        <v>46231.74836732359</v>
      </c>
      <c r="G5" s="5" t="inlineStr">
        <is>
          <t>WARNING</t>
        </is>
      </c>
    </row>
    <row r="6">
      <c r="A6" s="5" t="n">
        <v>2197</v>
      </c>
      <c r="B6" s="5" t="inlineStr">
        <is>
          <t>NAVEL TEMPRANA sem1</t>
        </is>
      </c>
      <c r="C6" s="5" t="inlineStr">
        <is>
          <t>WARNING</t>
        </is>
      </c>
      <c r="D6" s="5" t="inlineStr">
        <is>
          <t>Warning</t>
        </is>
      </c>
      <c r="E6" s="5" t="inlineStr">
        <is>
          <t>No existe tarifa BonCalidad para socio=1395 campaña=2026 empresa=1 cultivo=CITRICOS.</t>
        </is>
      </c>
      <c r="F6" s="6" t="n">
        <v>46231.74836732359</v>
      </c>
      <c r="G6" s="5" t="inlineStr">
        <is>
          <t>WARNING</t>
        </is>
      </c>
    </row>
    <row r="7">
      <c r="A7" s="5" t="n">
        <v>2197</v>
      </c>
      <c r="B7" s="5" t="inlineStr">
        <is>
          <t>NAVEL TEMPRANA sem1</t>
        </is>
      </c>
      <c r="C7" s="5" t="inlineStr">
        <is>
          <t>WARNING</t>
        </is>
      </c>
      <c r="D7" s="5" t="inlineStr">
        <is>
          <t>Warning</t>
        </is>
      </c>
      <c r="E7" s="5" t="inlineStr">
        <is>
          <t>No existe tarifa BonCalidad para socio=1529 campaña=2026 empresa=1 cultivo=CITRICOS.</t>
        </is>
      </c>
      <c r="F7" s="6" t="n">
        <v>46231.74836732359</v>
      </c>
      <c r="G7" s="5" t="inlineStr">
        <is>
          <t>WARNING</t>
        </is>
      </c>
    </row>
    <row r="8">
      <c r="A8" s="5" t="n">
        <v>2197</v>
      </c>
      <c r="B8" s="5" t="inlineStr">
        <is>
          <t>NAVEL TEMPRANA sem1</t>
        </is>
      </c>
      <c r="C8" s="5" t="inlineStr">
        <is>
          <t>WARNING</t>
        </is>
      </c>
      <c r="D8" s="5" t="inlineStr">
        <is>
          <t>Warning</t>
        </is>
      </c>
      <c r="E8" s="5" t="inlineStr">
        <is>
          <t>No existe tarifa BonCalidad para socio=1530 campaña=2026 empresa=1 cultivo=CITRICOS.</t>
        </is>
      </c>
      <c r="F8" s="6" t="n">
        <v>46231.74836732359</v>
      </c>
      <c r="G8" s="5" t="inlineStr">
        <is>
          <t>WARNING</t>
        </is>
      </c>
    </row>
    <row r="9">
      <c r="A9" s="5" t="n">
        <v>2197</v>
      </c>
      <c r="B9" s="5" t="inlineStr">
        <is>
          <t>NAVEL TEMPRANA sem1</t>
        </is>
      </c>
      <c r="C9" s="5" t="inlineStr">
        <is>
          <t>WARNING</t>
        </is>
      </c>
      <c r="D9" s="5" t="inlineStr">
        <is>
          <t>Warning</t>
        </is>
      </c>
      <c r="E9" s="5" t="inlineStr">
        <is>
          <t>No existe tarifa BonCalidad para socio=1588 campaña=2026 empresa=1 cultivo=CITRICOS.</t>
        </is>
      </c>
      <c r="F9" s="6" t="n">
        <v>46231.74836732359</v>
      </c>
      <c r="G9" s="5" t="inlineStr">
        <is>
          <t>WARNING</t>
        </is>
      </c>
    </row>
    <row r="10">
      <c r="A10" s="5" t="n">
        <v>2198</v>
      </c>
      <c r="B10" s="5" t="inlineStr">
        <is>
          <t>NAVEL TEMPRANA sem2</t>
        </is>
      </c>
      <c r="C10" s="5" t="inlineStr">
        <is>
          <t>WARNING</t>
        </is>
      </c>
      <c r="D10" s="5" t="inlineStr">
        <is>
          <t>Warning</t>
        </is>
      </c>
      <c r="E10" s="5" t="inlineStr">
        <is>
          <t>26 entregas ya figuran como liquidadas.</t>
        </is>
      </c>
      <c r="F10" s="6" t="n">
        <v>46231.74836732359</v>
      </c>
      <c r="G10" s="5" t="inlineStr">
        <is>
          <t>WARNING</t>
        </is>
      </c>
    </row>
    <row r="11">
      <c r="A11" s="5" t="n">
        <v>2198</v>
      </c>
      <c r="B11" s="5" t="inlineStr">
        <is>
          <t>NAVEL TEMPRANA sem2</t>
        </is>
      </c>
      <c r="C11" s="5" t="inlineStr">
        <is>
          <t>WARNING</t>
        </is>
      </c>
      <c r="D11" s="5" t="inlineStr">
        <is>
          <t>Warning</t>
        </is>
      </c>
      <c r="E11" s="5" t="inlineStr">
        <is>
          <t>No existe tarifa BonCalidad para socio=818 campaña=2026 empresa=1 cultivo=CITRICOS.</t>
        </is>
      </c>
      <c r="F11" s="6" t="n">
        <v>46231.74836732359</v>
      </c>
      <c r="G11" s="5" t="inlineStr">
        <is>
          <t>WARNING</t>
        </is>
      </c>
    </row>
    <row r="12">
      <c r="A12" s="5" t="n">
        <v>2198</v>
      </c>
      <c r="B12" s="5" t="inlineStr">
        <is>
          <t>NAVEL TEMPRANA sem2</t>
        </is>
      </c>
      <c r="C12" s="5" t="inlineStr">
        <is>
          <t>WARNING</t>
        </is>
      </c>
      <c r="D12" s="5" t="inlineStr">
        <is>
          <t>Warning</t>
        </is>
      </c>
      <c r="E12" s="5" t="inlineStr">
        <is>
          <t>No existe fuente acumulada disponible; saldo informativo calculado con cuota ya aplicada = 0.</t>
        </is>
      </c>
      <c r="F12" s="6" t="n">
        <v>46231.74836732359</v>
      </c>
      <c r="G12" s="5" t="inlineStr">
        <is>
          <t>WARNING</t>
        </is>
      </c>
    </row>
    <row r="13">
      <c r="A13" s="5" t="n">
        <v>2198</v>
      </c>
      <c r="B13" s="5" t="inlineStr">
        <is>
          <t>NAVEL TEMPRANA sem2</t>
        </is>
      </c>
      <c r="C13" s="5" t="inlineStr">
        <is>
          <t>WARNING</t>
        </is>
      </c>
      <c r="D13" s="5" t="inlineStr">
        <is>
          <t>Warning</t>
        </is>
      </c>
      <c r="E13" s="5" t="inlineStr">
        <is>
          <t>No existe tarifa BonCalidad para socio=1395 campaña=2026 empresa=1 cultivo=CITRICOS.</t>
        </is>
      </c>
      <c r="F13" s="6" t="n">
        <v>46231.74836732359</v>
      </c>
      <c r="G13" s="5" t="inlineStr">
        <is>
          <t>WARNING</t>
        </is>
      </c>
    </row>
    <row r="14">
      <c r="A14" s="5" t="n">
        <v>2198</v>
      </c>
      <c r="B14" s="5" t="inlineStr">
        <is>
          <t>NAVEL TEMPRANA sem2</t>
        </is>
      </c>
      <c r="C14" s="5" t="inlineStr">
        <is>
          <t>WARNING</t>
        </is>
      </c>
      <c r="D14" s="5" t="inlineStr">
        <is>
          <t>Warning</t>
        </is>
      </c>
      <c r="E14" s="5" t="inlineStr">
        <is>
          <t>No existe tarifa BonCalidad para socio=1499 campaña=2026 empresa=1 cultivo=CITRICOS.</t>
        </is>
      </c>
      <c r="F14" s="6" t="n">
        <v>46231.74836732359</v>
      </c>
      <c r="G14" s="5" t="inlineStr">
        <is>
          <t>WARNING</t>
        </is>
      </c>
    </row>
    <row r="15">
      <c r="A15" s="5" t="n">
        <v>2198</v>
      </c>
      <c r="B15" s="5" t="inlineStr">
        <is>
          <t>NAVEL TEMPRANA sem2</t>
        </is>
      </c>
      <c r="C15" s="5" t="inlineStr">
        <is>
          <t>WARNING</t>
        </is>
      </c>
      <c r="D15" s="5" t="inlineStr">
        <is>
          <t>Warning</t>
        </is>
      </c>
      <c r="E15" s="5" t="inlineStr">
        <is>
          <t>No existe tarifa BonCalidad para socio=1529 campaña=2026 empresa=1 cultivo=CITRICOS.</t>
        </is>
      </c>
      <c r="F15" s="6" t="n">
        <v>46231.74836732359</v>
      </c>
      <c r="G15" s="5" t="inlineStr">
        <is>
          <t>WARNING</t>
        </is>
      </c>
    </row>
    <row r="16">
      <c r="A16" s="5" t="n">
        <v>2198</v>
      </c>
      <c r="B16" s="5" t="inlineStr">
        <is>
          <t>NAVEL TEMPRANA sem2</t>
        </is>
      </c>
      <c r="C16" s="5" t="inlineStr">
        <is>
          <t>WARNING</t>
        </is>
      </c>
      <c r="D16" s="5" t="inlineStr">
        <is>
          <t>Warning</t>
        </is>
      </c>
      <c r="E16" s="5" t="inlineStr">
        <is>
          <t>No existe tarifa BonCalidad para socio=1530 campaña=2026 empresa=1 cultivo=CITRICOS.</t>
        </is>
      </c>
      <c r="F16" s="6" t="n">
        <v>46231.74836732359</v>
      </c>
      <c r="G16" s="5" t="inlineStr">
        <is>
          <t>WARNING</t>
        </is>
      </c>
    </row>
    <row r="17">
      <c r="A17" s="5" t="n">
        <v>2198</v>
      </c>
      <c r="B17" s="5" t="inlineStr">
        <is>
          <t>NAVEL TEMPRANA sem2</t>
        </is>
      </c>
      <c r="C17" s="5" t="inlineStr">
        <is>
          <t>WARNING</t>
        </is>
      </c>
      <c r="D17" s="5" t="inlineStr">
        <is>
          <t>Warning</t>
        </is>
      </c>
      <c r="E17" s="5" t="inlineStr">
        <is>
          <t>No existe tarifa BonCalidad para socio=1588 campaña=2026 empresa=1 cultivo=CITRICOS.</t>
        </is>
      </c>
      <c r="F17" s="6" t="n">
        <v>46231.74836732359</v>
      </c>
      <c r="G17" s="5" t="inlineStr">
        <is>
          <t>WARNING</t>
        </is>
      </c>
    </row>
    <row r="18">
      <c r="A18" s="5" t="n">
        <v>2199</v>
      </c>
      <c r="B18" s="5" t="inlineStr">
        <is>
          <t>NAVEL TEMPRANA sem 3</t>
        </is>
      </c>
      <c r="C18" s="5" t="inlineStr">
        <is>
          <t>WARNING</t>
        </is>
      </c>
      <c r="D18" s="5" t="inlineStr">
        <is>
          <t>Warning</t>
        </is>
      </c>
      <c r="E18" s="5" t="inlineStr">
        <is>
          <t>43 entregas ya figuran como liquidadas.</t>
        </is>
      </c>
      <c r="F18" s="6" t="n">
        <v>46231.74836732359</v>
      </c>
      <c r="G18" s="5" t="inlineStr">
        <is>
          <t>WARNING</t>
        </is>
      </c>
    </row>
    <row r="19">
      <c r="A19" s="5" t="n">
        <v>2199</v>
      </c>
      <c r="B19" s="5" t="inlineStr">
        <is>
          <t>NAVEL TEMPRANA sem 3</t>
        </is>
      </c>
      <c r="C19" s="5" t="inlineStr">
        <is>
          <t>WARNING</t>
        </is>
      </c>
      <c r="D19" s="5" t="inlineStr">
        <is>
          <t>Warning</t>
        </is>
      </c>
      <c r="E19" s="5" t="inlineStr">
        <is>
          <t>No existe tarifa BonCalidad para socio=1040 campaña=2026 empresa=1 cultivo=CITRICOS.</t>
        </is>
      </c>
      <c r="F19" s="6" t="n">
        <v>46231.74836732359</v>
      </c>
      <c r="G19" s="5" t="inlineStr">
        <is>
          <t>WARNING</t>
        </is>
      </c>
    </row>
    <row r="20">
      <c r="A20" s="5" t="n">
        <v>2199</v>
      </c>
      <c r="B20" s="5" t="inlineStr">
        <is>
          <t>NAVEL TEMPRANA sem 3</t>
        </is>
      </c>
      <c r="C20" s="5" t="inlineStr">
        <is>
          <t>WARNING</t>
        </is>
      </c>
      <c r="D20" s="5" t="inlineStr">
        <is>
          <t>Warning</t>
        </is>
      </c>
      <c r="E20" s="5" t="inlineStr">
        <is>
          <t>No existe fuente acumulada disponible; saldo informativo calculado con cuota ya aplicada = 0.</t>
        </is>
      </c>
      <c r="F20" s="6" t="n">
        <v>46231.74836732359</v>
      </c>
      <c r="G20" s="5" t="inlineStr">
        <is>
          <t>WARNING</t>
        </is>
      </c>
    </row>
    <row r="21">
      <c r="A21" s="5" t="n">
        <v>2199</v>
      </c>
      <c r="B21" s="5" t="inlineStr">
        <is>
          <t>NAVEL TEMPRANA sem 3</t>
        </is>
      </c>
      <c r="C21" s="5" t="inlineStr">
        <is>
          <t>WARNING</t>
        </is>
      </c>
      <c r="D21" s="5" t="inlineStr">
        <is>
          <t>Warning</t>
        </is>
      </c>
      <c r="E21" s="5" t="inlineStr">
        <is>
          <t>No existe tarifa BonCalidad para socio=1395 campaña=2026 empresa=1 cultivo=CITRICOS.</t>
        </is>
      </c>
      <c r="F21" s="6" t="n">
        <v>46231.74836732359</v>
      </c>
      <c r="G21" s="5" t="inlineStr">
        <is>
          <t>WARNING</t>
        </is>
      </c>
    </row>
    <row r="22">
      <c r="A22" s="5" t="n">
        <v>2199</v>
      </c>
      <c r="B22" s="5" t="inlineStr">
        <is>
          <t>NAVEL TEMPRANA sem 3</t>
        </is>
      </c>
      <c r="C22" s="5" t="inlineStr">
        <is>
          <t>WARNING</t>
        </is>
      </c>
      <c r="D22" s="5" t="inlineStr">
        <is>
          <t>Warning</t>
        </is>
      </c>
      <c r="E22" s="5" t="inlineStr">
        <is>
          <t>No existe tarifa BonCalidad para socio=1499 campaña=2026 empresa=1 cultivo=CITRICOS.</t>
        </is>
      </c>
      <c r="F22" s="6" t="n">
        <v>46231.74836732359</v>
      </c>
      <c r="G22" s="5" t="inlineStr">
        <is>
          <t>WARNING</t>
        </is>
      </c>
    </row>
    <row r="23">
      <c r="A23" s="5" t="n">
        <v>2199</v>
      </c>
      <c r="B23" s="5" t="inlineStr">
        <is>
          <t>NAVEL TEMPRANA sem 3</t>
        </is>
      </c>
      <c r="C23" s="5" t="inlineStr">
        <is>
          <t>WARNING</t>
        </is>
      </c>
      <c r="D23" s="5" t="inlineStr">
        <is>
          <t>Warning</t>
        </is>
      </c>
      <c r="E23" s="5" t="inlineStr">
        <is>
          <t>No existe tarifa BonCalidad para socio=1525 campaña=2026 empresa=1 cultivo=CITRICOS.</t>
        </is>
      </c>
      <c r="F23" s="6" t="n">
        <v>46231.74836732359</v>
      </c>
      <c r="G23" s="5" t="inlineStr">
        <is>
          <t>WARNING</t>
        </is>
      </c>
    </row>
    <row r="24">
      <c r="A24" s="5" t="n">
        <v>2199</v>
      </c>
      <c r="B24" s="5" t="inlineStr">
        <is>
          <t>NAVEL TEMPRANA sem 3</t>
        </is>
      </c>
      <c r="C24" s="5" t="inlineStr">
        <is>
          <t>WARNING</t>
        </is>
      </c>
      <c r="D24" s="5" t="inlineStr">
        <is>
          <t>Warning</t>
        </is>
      </c>
      <c r="E24" s="5" t="inlineStr">
        <is>
          <t>No existe tarifa BonCalidad para socio=1529 campaña=2026 empresa=1 cultivo=CITRICOS.</t>
        </is>
      </c>
      <c r="F24" s="6" t="n">
        <v>46231.74836732359</v>
      </c>
      <c r="G24" s="5" t="inlineStr">
        <is>
          <t>WARNING</t>
        </is>
      </c>
    </row>
    <row r="25">
      <c r="A25" s="5" t="n">
        <v>2199</v>
      </c>
      <c r="B25" s="5" t="inlineStr">
        <is>
          <t>NAVEL TEMPRANA sem 3</t>
        </is>
      </c>
      <c r="C25" s="5" t="inlineStr">
        <is>
          <t>WARNING</t>
        </is>
      </c>
      <c r="D25" s="5" t="inlineStr">
        <is>
          <t>Warning</t>
        </is>
      </c>
      <c r="E25" s="5" t="inlineStr">
        <is>
          <t>No existe tarifa BonCalidad para socio=1530 campaña=2026 empresa=1 cultivo=CITRICOS.</t>
        </is>
      </c>
      <c r="F25" s="6" t="n">
        <v>46231.74836732359</v>
      </c>
      <c r="G25" s="5" t="inlineStr">
        <is>
          <t>WARNING</t>
        </is>
      </c>
    </row>
    <row r="26">
      <c r="A26" s="5" t="n">
        <v>2199</v>
      </c>
      <c r="B26" s="5" t="inlineStr">
        <is>
          <t>NAVEL TEMPRANA sem 3</t>
        </is>
      </c>
      <c r="C26" s="5" t="inlineStr">
        <is>
          <t>WARNING</t>
        </is>
      </c>
      <c r="D26" s="5" t="inlineStr">
        <is>
          <t>Warning</t>
        </is>
      </c>
      <c r="E26" s="5" t="inlineStr">
        <is>
          <t>No existe tarifa BonCalidad para socio=1537 campaña=2026 empresa=1 cultivo=CITRICOS.</t>
        </is>
      </c>
      <c r="F26" s="6" t="n">
        <v>46231.74836732359</v>
      </c>
      <c r="G26" s="5" t="inlineStr">
        <is>
          <t>WARNING</t>
        </is>
      </c>
    </row>
    <row r="27">
      <c r="A27" s="5" t="n">
        <v>2200</v>
      </c>
      <c r="B27" s="5" t="inlineStr">
        <is>
          <t>NAVEL TEMPRANA sem 4 y +</t>
        </is>
      </c>
      <c r="C27" s="5" t="inlineStr">
        <is>
          <t>WARNING</t>
        </is>
      </c>
      <c r="D27" s="5" t="inlineStr">
        <is>
          <t>Warning</t>
        </is>
      </c>
      <c r="E27" s="5" t="inlineStr">
        <is>
          <t>222 entregas ya figuran como liquidadas.</t>
        </is>
      </c>
      <c r="F27" s="6" t="n">
        <v>46231.74836732359</v>
      </c>
      <c r="G27" s="5" t="inlineStr">
        <is>
          <t>WARNING</t>
        </is>
      </c>
    </row>
    <row r="28">
      <c r="A28" s="5" t="n">
        <v>2200</v>
      </c>
      <c r="B28" s="5" t="inlineStr">
        <is>
          <t>NAVEL TEMPRANA sem 4 y +</t>
        </is>
      </c>
      <c r="C28" s="5" t="inlineStr">
        <is>
          <t>WARNING</t>
        </is>
      </c>
      <c r="D28" s="5" t="inlineStr">
        <is>
          <t>Warning</t>
        </is>
      </c>
      <c r="E28" s="5" t="inlineStr">
        <is>
          <t>No existe tarifa BonCalidad para socio=487 campaña=2026 empresa=1 cultivo=CITRICOS.</t>
        </is>
      </c>
      <c r="F28" s="6" t="n">
        <v>46231.74836732359</v>
      </c>
      <c r="G28" s="5" t="inlineStr">
        <is>
          <t>WARNING</t>
        </is>
      </c>
    </row>
    <row r="29">
      <c r="A29" s="5" t="n">
        <v>2200</v>
      </c>
      <c r="B29" s="5" t="inlineStr">
        <is>
          <t>NAVEL TEMPRANA sem 4 y +</t>
        </is>
      </c>
      <c r="C29" s="5" t="inlineStr">
        <is>
          <t>WARNING</t>
        </is>
      </c>
      <c r="D29" s="5" t="inlineStr">
        <is>
          <t>Warning</t>
        </is>
      </c>
      <c r="E29" s="5" t="inlineStr">
        <is>
          <t>No existe fuente acumulada disponible; saldo informativo calculado con cuota ya aplicada = 0.</t>
        </is>
      </c>
      <c r="F29" s="6" t="n">
        <v>46231.74836732359</v>
      </c>
      <c r="G29" s="5" t="inlineStr">
        <is>
          <t>WARNING</t>
        </is>
      </c>
    </row>
    <row r="30">
      <c r="A30" s="5" t="n">
        <v>2200</v>
      </c>
      <c r="B30" s="5" t="inlineStr">
        <is>
          <t>NAVEL TEMPRANA sem 4 y +</t>
        </is>
      </c>
      <c r="C30" s="5" t="inlineStr">
        <is>
          <t>WARNING</t>
        </is>
      </c>
      <c r="D30" s="5" t="inlineStr">
        <is>
          <t>Warning</t>
        </is>
      </c>
      <c r="E30" s="5" t="inlineStr">
        <is>
          <t>No existe tarifa BonCalidad para socio=877 campaña=2026 empresa=1 cultivo=CITRICOS.</t>
        </is>
      </c>
      <c r="F30" s="6" t="n">
        <v>46231.74836732359</v>
      </c>
      <c r="G30" s="5" t="inlineStr">
        <is>
          <t>WARNING</t>
        </is>
      </c>
    </row>
    <row r="31">
      <c r="A31" s="5" t="n">
        <v>2200</v>
      </c>
      <c r="B31" s="5" t="inlineStr">
        <is>
          <t>NAVEL TEMPRANA sem 4 y +</t>
        </is>
      </c>
      <c r="C31" s="5" t="inlineStr">
        <is>
          <t>WARNING</t>
        </is>
      </c>
      <c r="D31" s="5" t="inlineStr">
        <is>
          <t>Warning</t>
        </is>
      </c>
      <c r="E31" s="5" t="inlineStr">
        <is>
          <t>No existe tarifa BonCalidad para socio=886 campaña=2026 empresa=1 cultivo=CITRICOS.</t>
        </is>
      </c>
      <c r="F31" s="6" t="n">
        <v>46231.74836732359</v>
      </c>
      <c r="G31" s="5" t="inlineStr">
        <is>
          <t>WARNING</t>
        </is>
      </c>
    </row>
    <row r="32">
      <c r="A32" s="5" t="n">
        <v>2200</v>
      </c>
      <c r="B32" s="5" t="inlineStr">
        <is>
          <t>NAVEL TEMPRANA sem 4 y +</t>
        </is>
      </c>
      <c r="C32" s="5" t="inlineStr">
        <is>
          <t>WARNING</t>
        </is>
      </c>
      <c r="D32" s="5" t="inlineStr">
        <is>
          <t>Warning</t>
        </is>
      </c>
      <c r="E32" s="5" t="inlineStr">
        <is>
          <t>El socio 886 figura certificado GlobalGAP en CITRICOS, KAKIS, MANDARINA pero no en KAKIS. Se ha aplicado la certificación global del socio. Revise DEEPP.</t>
        </is>
      </c>
      <c r="F32" s="6" t="n">
        <v>46231.74836732359</v>
      </c>
      <c r="G32" s="5" t="inlineStr">
        <is>
          <t>WARNING</t>
        </is>
      </c>
    </row>
    <row r="33">
      <c r="A33" s="5" t="n">
        <v>2200</v>
      </c>
      <c r="B33" s="5" t="inlineStr">
        <is>
          <t>NAVEL TEMPRANA sem 4 y +</t>
        </is>
      </c>
      <c r="C33" s="5" t="inlineStr">
        <is>
          <t>WARNING</t>
        </is>
      </c>
      <c r="D33" s="5" t="inlineStr">
        <is>
          <t>Warning</t>
        </is>
      </c>
      <c r="E33" s="5" t="inlineStr">
        <is>
          <t>No existe tarifa BonCalidad para socio=994 campaña=2026 empresa=1 cultivo=CITRICOS.</t>
        </is>
      </c>
      <c r="F33" s="6" t="n">
        <v>46231.74836732359</v>
      </c>
      <c r="G33" s="5" t="inlineStr">
        <is>
          <t>WARNING</t>
        </is>
      </c>
    </row>
    <row r="34">
      <c r="A34" s="5" t="n">
        <v>2200</v>
      </c>
      <c r="B34" s="5" t="inlineStr">
        <is>
          <t>NAVEL TEMPRANA sem 4 y +</t>
        </is>
      </c>
      <c r="C34" s="5" t="inlineStr">
        <is>
          <t>WARNING</t>
        </is>
      </c>
      <c r="D34" s="5" t="inlineStr">
        <is>
          <t>Warning</t>
        </is>
      </c>
      <c r="E34" s="5" t="inlineStr">
        <is>
          <t>No existe tarifa BonCalidad para socio=1099 campaña=2026 empresa=1 cultivo=CITRICOS.</t>
        </is>
      </c>
      <c r="F34" s="6" t="n">
        <v>46231.74836732359</v>
      </c>
      <c r="G34" s="5" t="inlineStr">
        <is>
          <t>WARNING</t>
        </is>
      </c>
    </row>
    <row r="35">
      <c r="A35" s="5" t="n">
        <v>2200</v>
      </c>
      <c r="B35" s="5" t="inlineStr">
        <is>
          <t>NAVEL TEMPRANA sem 4 y +</t>
        </is>
      </c>
      <c r="C35" s="5" t="inlineStr">
        <is>
          <t>WARNING</t>
        </is>
      </c>
      <c r="D35" s="5" t="inlineStr">
        <is>
          <t>Warning</t>
        </is>
      </c>
      <c r="E35" s="5" t="inlineStr">
        <is>
          <t>No existe tarifa BonCalidad para socio=1103 campaña=2026 empresa=1 cultivo=CITRICOS.</t>
        </is>
      </c>
      <c r="F35" s="6" t="n">
        <v>46231.74836732359</v>
      </c>
      <c r="G35" s="5" t="inlineStr">
        <is>
          <t>WARNING</t>
        </is>
      </c>
    </row>
    <row r="36">
      <c r="A36" s="5" t="n">
        <v>2200</v>
      </c>
      <c r="B36" s="5" t="inlineStr">
        <is>
          <t>NAVEL TEMPRANA sem 4 y +</t>
        </is>
      </c>
      <c r="C36" s="5" t="inlineStr">
        <is>
          <t>WARNING</t>
        </is>
      </c>
      <c r="D36" s="5" t="inlineStr">
        <is>
          <t>Warning</t>
        </is>
      </c>
      <c r="E36" s="5" t="inlineStr">
        <is>
          <t>No existe tarifa BonCalidad para socio=1129 campaña=2026 empresa=1 cultivo=CITRICOS.</t>
        </is>
      </c>
      <c r="F36" s="6" t="n">
        <v>46231.74836732359</v>
      </c>
      <c r="G36" s="5" t="inlineStr">
        <is>
          <t>WARNING</t>
        </is>
      </c>
    </row>
    <row r="37">
      <c r="A37" s="5" t="n">
        <v>2200</v>
      </c>
      <c r="B37" s="5" t="inlineStr">
        <is>
          <t>NAVEL TEMPRANA sem 4 y +</t>
        </is>
      </c>
      <c r="C37" s="5" t="inlineStr">
        <is>
          <t>WARNING</t>
        </is>
      </c>
      <c r="D37" s="5" t="inlineStr">
        <is>
          <t>Warning</t>
        </is>
      </c>
      <c r="E37" s="5" t="inlineStr">
        <is>
          <t>No existe tarifa BonCalidad para socio=1158 campaña=2026 empresa=1 cultivo=CITRICOS.</t>
        </is>
      </c>
      <c r="F37" s="6" t="n">
        <v>46231.74836732359</v>
      </c>
      <c r="G37" s="5" t="inlineStr">
        <is>
          <t>WARNING</t>
        </is>
      </c>
    </row>
    <row r="38">
      <c r="A38" s="5" t="n">
        <v>2200</v>
      </c>
      <c r="B38" s="5" t="inlineStr">
        <is>
          <t>NAVEL TEMPRANA sem 4 y +</t>
        </is>
      </c>
      <c r="C38" s="5" t="inlineStr">
        <is>
          <t>WARNING</t>
        </is>
      </c>
      <c r="D38" s="5" t="inlineStr">
        <is>
          <t>Warning</t>
        </is>
      </c>
      <c r="E38" s="5" t="inlineStr">
        <is>
          <t>No existe tarifa BonCalidad para socio=1197 campaña=2026 empresa=1 cultivo=CITRICOS.</t>
        </is>
      </c>
      <c r="F38" s="6" t="n">
        <v>46231.74836732359</v>
      </c>
      <c r="G38" s="5" t="inlineStr">
        <is>
          <t>WARNING</t>
        </is>
      </c>
    </row>
    <row r="39">
      <c r="A39" s="5" t="n">
        <v>2200</v>
      </c>
      <c r="B39" s="5" t="inlineStr">
        <is>
          <t>NAVEL TEMPRANA sem 4 y +</t>
        </is>
      </c>
      <c r="C39" s="5" t="inlineStr">
        <is>
          <t>WARNING</t>
        </is>
      </c>
      <c r="D39" s="5" t="inlineStr">
        <is>
          <t>Warning</t>
        </is>
      </c>
      <c r="E39" s="5" t="inlineStr">
        <is>
          <t>No existe tarifa BonCalidad para socio=1243 campaña=2026 empresa=1 cultivo=CITRICOS.</t>
        </is>
      </c>
      <c r="F39" s="6" t="n">
        <v>46231.74836732359</v>
      </c>
      <c r="G39" s="5" t="inlineStr">
        <is>
          <t>WARNING</t>
        </is>
      </c>
    </row>
    <row r="40">
      <c r="A40" s="5" t="n">
        <v>2200</v>
      </c>
      <c r="B40" s="5" t="inlineStr">
        <is>
          <t>NAVEL TEMPRANA sem 4 y +</t>
        </is>
      </c>
      <c r="C40" s="5" t="inlineStr">
        <is>
          <t>WARNING</t>
        </is>
      </c>
      <c r="D40" s="5" t="inlineStr">
        <is>
          <t>Warning</t>
        </is>
      </c>
      <c r="E40" s="5" t="inlineStr">
        <is>
          <t>No existe tarifa BonCalidad para socio=1252 campaña=2026 empresa=1 cultivo=CITRICOS.</t>
        </is>
      </c>
      <c r="F40" s="6" t="n">
        <v>46231.74836732359</v>
      </c>
      <c r="G40" s="5" t="inlineStr">
        <is>
          <t>WARNING</t>
        </is>
      </c>
    </row>
    <row r="41">
      <c r="A41" s="5" t="n">
        <v>2200</v>
      </c>
      <c r="B41" s="5" t="inlineStr">
        <is>
          <t>NAVEL TEMPRANA sem 4 y +</t>
        </is>
      </c>
      <c r="C41" s="5" t="inlineStr">
        <is>
          <t>WARNING</t>
        </is>
      </c>
      <c r="D41" s="5" t="inlineStr">
        <is>
          <t>Warning</t>
        </is>
      </c>
      <c r="E41" s="5" t="inlineStr">
        <is>
          <t>No existe tarifa BonCalidad para socio=1272 campaña=2026 empresa=1 cultivo=CITRICOS.</t>
        </is>
      </c>
      <c r="F41" s="6" t="n">
        <v>46231.74836732359</v>
      </c>
      <c r="G41" s="5" t="inlineStr">
        <is>
          <t>WARNING</t>
        </is>
      </c>
    </row>
    <row r="42">
      <c r="A42" s="5" t="n">
        <v>2200</v>
      </c>
      <c r="B42" s="5" t="inlineStr">
        <is>
          <t>NAVEL TEMPRANA sem 4 y +</t>
        </is>
      </c>
      <c r="C42" s="5" t="inlineStr">
        <is>
          <t>WARNING</t>
        </is>
      </c>
      <c r="D42" s="5" t="inlineStr">
        <is>
          <t>Warning</t>
        </is>
      </c>
      <c r="E42" s="5" t="inlineStr">
        <is>
          <t>No existe tarifa BonCalidad para socio=1278 campaña=2026 empresa=1 cultivo=CITRICOS.</t>
        </is>
      </c>
      <c r="F42" s="6" t="n">
        <v>46231.74836732359</v>
      </c>
      <c r="G42" s="5" t="inlineStr">
        <is>
          <t>WARNING</t>
        </is>
      </c>
    </row>
    <row r="43">
      <c r="A43" s="5" t="n">
        <v>2200</v>
      </c>
      <c r="B43" s="5" t="inlineStr">
        <is>
          <t>NAVEL TEMPRANA sem 4 y +</t>
        </is>
      </c>
      <c r="C43" s="5" t="inlineStr">
        <is>
          <t>WARNING</t>
        </is>
      </c>
      <c r="D43" s="5" t="inlineStr">
        <is>
          <t>Warning</t>
        </is>
      </c>
      <c r="E43" s="5" t="inlineStr">
        <is>
          <t>No existe tarifa BonCalidad para socio=1301 campaña=2026 empresa=1 cultivo=CITRICOS.</t>
        </is>
      </c>
      <c r="F43" s="6" t="n">
        <v>46231.74836732359</v>
      </c>
      <c r="G43" s="5" t="inlineStr">
        <is>
          <t>WARNING</t>
        </is>
      </c>
    </row>
    <row r="44">
      <c r="A44" s="5" t="n">
        <v>2200</v>
      </c>
      <c r="B44" s="5" t="inlineStr">
        <is>
          <t>NAVEL TEMPRANA sem 4 y +</t>
        </is>
      </c>
      <c r="C44" s="5" t="inlineStr">
        <is>
          <t>WARNING</t>
        </is>
      </c>
      <c r="D44" s="5" t="inlineStr">
        <is>
          <t>Warning</t>
        </is>
      </c>
      <c r="E44" s="5" t="inlineStr">
        <is>
          <t>No existe tarifa BonCalidad para socio=1309 campaña=2026 empresa=1 cultivo=CITRICOS.</t>
        </is>
      </c>
      <c r="F44" s="6" t="n">
        <v>46231.74836732359</v>
      </c>
      <c r="G44" s="5" t="inlineStr">
        <is>
          <t>WARNING</t>
        </is>
      </c>
    </row>
    <row r="45">
      <c r="A45" s="5" t="n">
        <v>2200</v>
      </c>
      <c r="B45" s="5" t="inlineStr">
        <is>
          <t>NAVEL TEMPRANA sem 4 y +</t>
        </is>
      </c>
      <c r="C45" s="5" t="inlineStr">
        <is>
          <t>WARNING</t>
        </is>
      </c>
      <c r="D45" s="5" t="inlineStr">
        <is>
          <t>Warning</t>
        </is>
      </c>
      <c r="E45" s="5" t="inlineStr">
        <is>
          <t>No existe tarifa BonCalidad para socio=1316 campaña=2026 empresa=1 cultivo=CITRICOS.</t>
        </is>
      </c>
      <c r="F45" s="6" t="n">
        <v>46231.74836732359</v>
      </c>
      <c r="G45" s="5" t="inlineStr">
        <is>
          <t>WARNING</t>
        </is>
      </c>
    </row>
    <row r="46">
      <c r="A46" s="5" t="n">
        <v>2200</v>
      </c>
      <c r="B46" s="5" t="inlineStr">
        <is>
          <t>NAVEL TEMPRANA sem 4 y +</t>
        </is>
      </c>
      <c r="C46" s="5" t="inlineStr">
        <is>
          <t>WARNING</t>
        </is>
      </c>
      <c r="D46" s="5" t="inlineStr">
        <is>
          <t>Warning</t>
        </is>
      </c>
      <c r="E46" s="5" t="inlineStr">
        <is>
          <t>No existe tarifa BonCalidad para socio=1395 campaña=2026 empresa=1 cultivo=CITRICOS.</t>
        </is>
      </c>
      <c r="F46" s="6" t="n">
        <v>46231.74836732359</v>
      </c>
      <c r="G46" s="5" t="inlineStr">
        <is>
          <t>WARNING</t>
        </is>
      </c>
    </row>
    <row r="47">
      <c r="A47" s="5" t="n">
        <v>2200</v>
      </c>
      <c r="B47" s="5" t="inlineStr">
        <is>
          <t>NAVEL TEMPRANA sem 4 y +</t>
        </is>
      </c>
      <c r="C47" s="5" t="inlineStr">
        <is>
          <t>WARNING</t>
        </is>
      </c>
      <c r="D47" s="5" t="inlineStr">
        <is>
          <t>Warning</t>
        </is>
      </c>
      <c r="E47" s="5" t="inlineStr">
        <is>
          <t>No existe tarifa BonCalidad para socio=1411 campaña=2026 empresa=1 cultivo=CITRICOS.</t>
        </is>
      </c>
      <c r="F47" s="6" t="n">
        <v>46231.74836732359</v>
      </c>
      <c r="G47" s="5" t="inlineStr">
        <is>
          <t>WARNING</t>
        </is>
      </c>
    </row>
    <row r="48">
      <c r="A48" s="5" t="n">
        <v>2200</v>
      </c>
      <c r="B48" s="5" t="inlineStr">
        <is>
          <t>NAVEL TEMPRANA sem 4 y +</t>
        </is>
      </c>
      <c r="C48" s="5" t="inlineStr">
        <is>
          <t>WARNING</t>
        </is>
      </c>
      <c r="D48" s="5" t="inlineStr">
        <is>
          <t>Warning</t>
        </is>
      </c>
      <c r="E48" s="5" t="inlineStr">
        <is>
          <t>No existe tarifa BonCalidad para socio=1416 campaña=2026 empresa=1 cultivo=CITRICOS.</t>
        </is>
      </c>
      <c r="F48" s="6" t="n">
        <v>46231.74836732359</v>
      </c>
      <c r="G48" s="5" t="inlineStr">
        <is>
          <t>WARNING</t>
        </is>
      </c>
    </row>
    <row r="49">
      <c r="A49" s="5" t="n">
        <v>2200</v>
      </c>
      <c r="B49" s="5" t="inlineStr">
        <is>
          <t>NAVEL TEMPRANA sem 4 y +</t>
        </is>
      </c>
      <c r="C49" s="5" t="inlineStr">
        <is>
          <t>WARNING</t>
        </is>
      </c>
      <c r="D49" s="5" t="inlineStr">
        <is>
          <t>Warning</t>
        </is>
      </c>
      <c r="E49" s="5" t="inlineStr">
        <is>
          <t>No existe tarifa BonCalidad para socio=1419 campaña=2026 empresa=1 cultivo=CITRICOS.</t>
        </is>
      </c>
      <c r="F49" s="6" t="n">
        <v>46231.74836732359</v>
      </c>
      <c r="G49" s="5" t="inlineStr">
        <is>
          <t>WARNING</t>
        </is>
      </c>
    </row>
    <row r="50">
      <c r="A50" s="5" t="n">
        <v>2200</v>
      </c>
      <c r="B50" s="5" t="inlineStr">
        <is>
          <t>NAVEL TEMPRANA sem 4 y +</t>
        </is>
      </c>
      <c r="C50" s="5" t="inlineStr">
        <is>
          <t>WARNING</t>
        </is>
      </c>
      <c r="D50" s="5" t="inlineStr">
        <is>
          <t>Warning</t>
        </is>
      </c>
      <c r="E50" s="5" t="inlineStr">
        <is>
          <t>No existe tarifa BonCalidad para socio=1443 campaña=2026 empresa=1 cultivo=CITRICOS.</t>
        </is>
      </c>
      <c r="F50" s="6" t="n">
        <v>46231.74836732359</v>
      </c>
      <c r="G50" s="5" t="inlineStr">
        <is>
          <t>WARNING</t>
        </is>
      </c>
    </row>
    <row r="51">
      <c r="A51" s="5" t="n">
        <v>2200</v>
      </c>
      <c r="B51" s="5" t="inlineStr">
        <is>
          <t>NAVEL TEMPRANA sem 4 y +</t>
        </is>
      </c>
      <c r="C51" s="5" t="inlineStr">
        <is>
          <t>WARNING</t>
        </is>
      </c>
      <c r="D51" s="5" t="inlineStr">
        <is>
          <t>Warning</t>
        </is>
      </c>
      <c r="E51" s="5" t="inlineStr">
        <is>
          <t>No existe tarifa BonCalidad para socio=1445 campaña=2026 empresa=1 cultivo=CITRICOS.</t>
        </is>
      </c>
      <c r="F51" s="6" t="n">
        <v>46231.74836732359</v>
      </c>
      <c r="G51" s="5" t="inlineStr">
        <is>
          <t>WARNING</t>
        </is>
      </c>
    </row>
    <row r="52">
      <c r="A52" s="5" t="n">
        <v>2200</v>
      </c>
      <c r="B52" s="5" t="inlineStr">
        <is>
          <t>NAVEL TEMPRANA sem 4 y +</t>
        </is>
      </c>
      <c r="C52" s="5" t="inlineStr">
        <is>
          <t>WARNING</t>
        </is>
      </c>
      <c r="D52" s="5" t="inlineStr">
        <is>
          <t>Warning</t>
        </is>
      </c>
      <c r="E52" s="5" t="inlineStr">
        <is>
          <t>No existe tarifa BonCalidad para socio=1456 campaña=2026 empresa=1 cultivo=CITRICOS.</t>
        </is>
      </c>
      <c r="F52" s="6" t="n">
        <v>46231.74836732359</v>
      </c>
      <c r="G52" s="5" t="inlineStr">
        <is>
          <t>WARNING</t>
        </is>
      </c>
    </row>
    <row r="53">
      <c r="A53" s="5" t="n">
        <v>2200</v>
      </c>
      <c r="B53" s="5" t="inlineStr">
        <is>
          <t>NAVEL TEMPRANA sem 4 y +</t>
        </is>
      </c>
      <c r="C53" s="5" t="inlineStr">
        <is>
          <t>WARNING</t>
        </is>
      </c>
      <c r="D53" s="5" t="inlineStr">
        <is>
          <t>Warning</t>
        </is>
      </c>
      <c r="E53" s="5" t="inlineStr">
        <is>
          <t>No existe tarifa BonCalidad para socio=1488 campaña=2026 empresa=1 cultivo=CITRICOS.</t>
        </is>
      </c>
      <c r="F53" s="6" t="n">
        <v>46231.74836732359</v>
      </c>
      <c r="G53" s="5" t="inlineStr">
        <is>
          <t>WARNING</t>
        </is>
      </c>
    </row>
    <row r="54">
      <c r="A54" s="5" t="n">
        <v>2200</v>
      </c>
      <c r="B54" s="5" t="inlineStr">
        <is>
          <t>NAVEL TEMPRANA sem 4 y +</t>
        </is>
      </c>
      <c r="C54" s="5" t="inlineStr">
        <is>
          <t>WARNING</t>
        </is>
      </c>
      <c r="D54" s="5" t="inlineStr">
        <is>
          <t>Warning</t>
        </is>
      </c>
      <c r="E54" s="5" t="inlineStr">
        <is>
          <t>No existe tarifa BonCalidad para socio=1491 campaña=2026 empresa=1 cultivo=CITRICOS.</t>
        </is>
      </c>
      <c r="F54" s="6" t="n">
        <v>46231.74836732359</v>
      </c>
      <c r="G54" s="5" t="inlineStr">
        <is>
          <t>WARNING</t>
        </is>
      </c>
    </row>
    <row r="55">
      <c r="A55" s="5" t="n">
        <v>2200</v>
      </c>
      <c r="B55" s="5" t="inlineStr">
        <is>
          <t>NAVEL TEMPRANA sem 4 y +</t>
        </is>
      </c>
      <c r="C55" s="5" t="inlineStr">
        <is>
          <t>WARNING</t>
        </is>
      </c>
      <c r="D55" s="5" t="inlineStr">
        <is>
          <t>Warning</t>
        </is>
      </c>
      <c r="E55" s="5" t="inlineStr">
        <is>
          <t>No existe tarifa BonCalidad para socio=1499 campaña=2026 empresa=1 cultivo=CITRICOS.</t>
        </is>
      </c>
      <c r="F55" s="6" t="n">
        <v>46231.74836732359</v>
      </c>
      <c r="G55" s="5" t="inlineStr">
        <is>
          <t>WARNING</t>
        </is>
      </c>
    </row>
    <row r="56">
      <c r="A56" s="5" t="n">
        <v>2200</v>
      </c>
      <c r="B56" s="5" t="inlineStr">
        <is>
          <t>NAVEL TEMPRANA sem 4 y +</t>
        </is>
      </c>
      <c r="C56" s="5" t="inlineStr">
        <is>
          <t>WARNING</t>
        </is>
      </c>
      <c r="D56" s="5" t="inlineStr">
        <is>
          <t>Warning</t>
        </is>
      </c>
      <c r="E56" s="5" t="inlineStr">
        <is>
          <t>No existe tarifa BonCalidad para socio=1518 campaña=2026 empresa=1 cultivo=CITRICOS.</t>
        </is>
      </c>
      <c r="F56" s="6" t="n">
        <v>46231.74836732359</v>
      </c>
      <c r="G56" s="5" t="inlineStr">
        <is>
          <t>WARNING</t>
        </is>
      </c>
    </row>
    <row r="57">
      <c r="A57" s="5" t="n">
        <v>2200</v>
      </c>
      <c r="B57" s="5" t="inlineStr">
        <is>
          <t>NAVEL TEMPRANA sem 4 y +</t>
        </is>
      </c>
      <c r="C57" s="5" t="inlineStr">
        <is>
          <t>WARNING</t>
        </is>
      </c>
      <c r="D57" s="5" t="inlineStr">
        <is>
          <t>Warning</t>
        </is>
      </c>
      <c r="E57" s="5" t="inlineStr">
        <is>
          <t>No existe tarifa BonCalidad para socio=1520 campaña=2026 empresa=1 cultivo=CITRICOS.</t>
        </is>
      </c>
      <c r="F57" s="6" t="n">
        <v>46231.74836732359</v>
      </c>
      <c r="G57" s="5" t="inlineStr">
        <is>
          <t>WARNING</t>
        </is>
      </c>
    </row>
    <row r="58">
      <c r="A58" s="5" t="n">
        <v>2200</v>
      </c>
      <c r="B58" s="5" t="inlineStr">
        <is>
          <t>NAVEL TEMPRANA sem 4 y +</t>
        </is>
      </c>
      <c r="C58" s="5" t="inlineStr">
        <is>
          <t>WARNING</t>
        </is>
      </c>
      <c r="D58" s="5" t="inlineStr">
        <is>
          <t>Warning</t>
        </is>
      </c>
      <c r="E58" s="5" t="inlineStr">
        <is>
          <t>No existe tarifa BonCalidad para socio=1521 campaña=2026 empresa=1 cultivo=CITRICOS.</t>
        </is>
      </c>
      <c r="F58" s="6" t="n">
        <v>46231.74836732359</v>
      </c>
      <c r="G58" s="5" t="inlineStr">
        <is>
          <t>WARNING</t>
        </is>
      </c>
    </row>
    <row r="59">
      <c r="A59" s="5" t="n">
        <v>2200</v>
      </c>
      <c r="B59" s="5" t="inlineStr">
        <is>
          <t>NAVEL TEMPRANA sem 4 y +</t>
        </is>
      </c>
      <c r="C59" s="5" t="inlineStr">
        <is>
          <t>WARNING</t>
        </is>
      </c>
      <c r="D59" s="5" t="inlineStr">
        <is>
          <t>Warning</t>
        </is>
      </c>
      <c r="E59" s="5" t="inlineStr">
        <is>
          <t>No existe tarifa BonCalidad para socio=1525 campaña=2026 empresa=1 cultivo=CITRICOS.</t>
        </is>
      </c>
      <c r="F59" s="6" t="n">
        <v>46231.74836732359</v>
      </c>
      <c r="G59" s="5" t="inlineStr">
        <is>
          <t>WARNING</t>
        </is>
      </c>
    </row>
    <row r="60">
      <c r="A60" s="5" t="n">
        <v>2200</v>
      </c>
      <c r="B60" s="5" t="inlineStr">
        <is>
          <t>NAVEL TEMPRANA sem 4 y +</t>
        </is>
      </c>
      <c r="C60" s="5" t="inlineStr">
        <is>
          <t>WARNING</t>
        </is>
      </c>
      <c r="D60" s="5" t="inlineStr">
        <is>
          <t>Warning</t>
        </is>
      </c>
      <c r="E60" s="5" t="inlineStr">
        <is>
          <t>No existe tarifa BonCalidad para socio=1527 campaña=2026 empresa=1 cultivo=CITRICOS.</t>
        </is>
      </c>
      <c r="F60" s="6" t="n">
        <v>46231.74836732359</v>
      </c>
      <c r="G60" s="5" t="inlineStr">
        <is>
          <t>WARNING</t>
        </is>
      </c>
    </row>
    <row r="61">
      <c r="A61" s="5" t="n">
        <v>2200</v>
      </c>
      <c r="B61" s="5" t="inlineStr">
        <is>
          <t>NAVEL TEMPRANA sem 4 y +</t>
        </is>
      </c>
      <c r="C61" s="5" t="inlineStr">
        <is>
          <t>WARNING</t>
        </is>
      </c>
      <c r="D61" s="5" t="inlineStr">
        <is>
          <t>Warning</t>
        </is>
      </c>
      <c r="E61" s="5" t="inlineStr">
        <is>
          <t>No existe tarifa BonCalidad para socio=1529 campaña=2026 empresa=1 cultivo=CITRICOS.</t>
        </is>
      </c>
      <c r="F61" s="6" t="n">
        <v>46231.74836732359</v>
      </c>
      <c r="G61" s="5" t="inlineStr">
        <is>
          <t>WARNING</t>
        </is>
      </c>
    </row>
    <row r="62">
      <c r="A62" s="5" t="n">
        <v>2200</v>
      </c>
      <c r="B62" s="5" t="inlineStr">
        <is>
          <t>NAVEL TEMPRANA sem 4 y +</t>
        </is>
      </c>
      <c r="C62" s="5" t="inlineStr">
        <is>
          <t>WARNING</t>
        </is>
      </c>
      <c r="D62" s="5" t="inlineStr">
        <is>
          <t>Warning</t>
        </is>
      </c>
      <c r="E62" s="5" t="inlineStr">
        <is>
          <t>No existe tarifa BonCalidad para socio=1545 campaña=2026 empresa=1 cultivo=CITRICOS.</t>
        </is>
      </c>
      <c r="F62" s="6" t="n">
        <v>46231.74836732359</v>
      </c>
      <c r="G62" s="5" t="inlineStr">
        <is>
          <t>WARNING</t>
        </is>
      </c>
    </row>
    <row r="63">
      <c r="A63" s="5" t="n">
        <v>2200</v>
      </c>
      <c r="B63" s="5" t="inlineStr">
        <is>
          <t>NAVEL TEMPRANA sem 4 y +</t>
        </is>
      </c>
      <c r="C63" s="5" t="inlineStr">
        <is>
          <t>WARNING</t>
        </is>
      </c>
      <c r="D63" s="5" t="inlineStr">
        <is>
          <t>Warning</t>
        </is>
      </c>
      <c r="E63" s="5" t="inlineStr">
        <is>
          <t>No existe tarifa BonCalidad para socio=1546 campaña=2026 empresa=1 cultivo=CITRICOS.</t>
        </is>
      </c>
      <c r="F63" s="6" t="n">
        <v>46231.74836732359</v>
      </c>
      <c r="G63" s="5" t="inlineStr">
        <is>
          <t>WARNING</t>
        </is>
      </c>
    </row>
    <row r="64">
      <c r="A64" s="5" t="n">
        <v>2200</v>
      </c>
      <c r="B64" s="5" t="inlineStr">
        <is>
          <t>NAVEL TEMPRANA sem 4 y +</t>
        </is>
      </c>
      <c r="C64" s="5" t="inlineStr">
        <is>
          <t>WARNING</t>
        </is>
      </c>
      <c r="D64" s="5" t="inlineStr">
        <is>
          <t>Warning</t>
        </is>
      </c>
      <c r="E64" s="5" t="inlineStr">
        <is>
          <t>No existe tarifa BonCalidad para socio=1548 campaña=2026 empresa=1 cultivo=CITRICOS.</t>
        </is>
      </c>
      <c r="F64" s="6" t="n">
        <v>46231.74836732359</v>
      </c>
      <c r="G64" s="5" t="inlineStr">
        <is>
          <t>WARNING</t>
        </is>
      </c>
    </row>
    <row r="65">
      <c r="A65" s="5" t="n">
        <v>2200</v>
      </c>
      <c r="B65" s="5" t="inlineStr">
        <is>
          <t>NAVEL TEMPRANA sem 4 y +</t>
        </is>
      </c>
      <c r="C65" s="5" t="inlineStr">
        <is>
          <t>WARNING</t>
        </is>
      </c>
      <c r="D65" s="5" t="inlineStr">
        <is>
          <t>Warning</t>
        </is>
      </c>
      <c r="E65" s="5" t="inlineStr">
        <is>
          <t>No existe tarifa BonCalidad para socio=1572 campaña=2026 empresa=1 cultivo=CITRICOS.</t>
        </is>
      </c>
      <c r="F65" s="6" t="n">
        <v>46231.74836732359</v>
      </c>
      <c r="G65" s="5" t="inlineStr">
        <is>
          <t>WARNING</t>
        </is>
      </c>
    </row>
    <row r="66">
      <c r="A66" s="5" t="n">
        <v>2200</v>
      </c>
      <c r="B66" s="5" t="inlineStr">
        <is>
          <t>NAVEL TEMPRANA sem 4 y +</t>
        </is>
      </c>
      <c r="C66" s="5" t="inlineStr">
        <is>
          <t>WARNING</t>
        </is>
      </c>
      <c r="D66" s="5" t="inlineStr">
        <is>
          <t>Warning</t>
        </is>
      </c>
      <c r="E66" s="5" t="inlineStr">
        <is>
          <t>Cuota Ha no aplicable: sin superficie sujeta a cuota.</t>
        </is>
      </c>
      <c r="F66" s="6" t="n">
        <v>46231.74836732359</v>
      </c>
      <c r="G66" s="5" t="inlineStr">
        <is>
          <t>WARNING</t>
        </is>
      </c>
    </row>
    <row r="67">
      <c r="A67" s="5" t="n">
        <v>2200</v>
      </c>
      <c r="B67" s="5" t="inlineStr">
        <is>
          <t>NAVEL TEMPRANA sem 4 y +</t>
        </is>
      </c>
      <c r="C67" s="5" t="inlineStr">
        <is>
          <t>WARNING</t>
        </is>
      </c>
      <c r="D67" s="5" t="inlineStr">
        <is>
          <t>Warning</t>
        </is>
      </c>
      <c r="E67" s="5" t="inlineStr">
        <is>
          <t>No existe tarifa BonCalidad para socio=1573 campaña=2026 empresa=1 cultivo=CITRICOS.</t>
        </is>
      </c>
      <c r="F67" s="6" t="n">
        <v>46231.74836732359</v>
      </c>
      <c r="G67" s="5" t="inlineStr">
        <is>
          <t>WARNING</t>
        </is>
      </c>
    </row>
    <row r="68">
      <c r="A68" s="5" t="n">
        <v>2200</v>
      </c>
      <c r="B68" s="5" t="inlineStr">
        <is>
          <t>NAVEL TEMPRANA sem 4 y +</t>
        </is>
      </c>
      <c r="C68" s="5" t="inlineStr">
        <is>
          <t>WARNING</t>
        </is>
      </c>
      <c r="D68" s="5" t="inlineStr">
        <is>
          <t>Warning</t>
        </is>
      </c>
      <c r="E68" s="5" t="inlineStr">
        <is>
          <t>No existe tarifa BonCalidad para socio=1588 campaña=2026 empresa=1 cultivo=CITRICOS.</t>
        </is>
      </c>
      <c r="F68" s="6" t="n">
        <v>46231.74836732359</v>
      </c>
      <c r="G68" s="5" t="inlineStr">
        <is>
          <t>WARNING</t>
        </is>
      </c>
    </row>
    <row r="69">
      <c r="A69" s="5" t="n">
        <v>2200</v>
      </c>
      <c r="B69" s="5" t="inlineStr">
        <is>
          <t>NAVEL TEMPRANA sem 4 y +</t>
        </is>
      </c>
      <c r="C69" s="5" t="inlineStr">
        <is>
          <t>WARNING</t>
        </is>
      </c>
      <c r="D69" s="5" t="inlineStr">
        <is>
          <t>Warning</t>
        </is>
      </c>
      <c r="E69" s="5" t="inlineStr">
        <is>
          <t>No existe tarifa BonCalidad para socio=1592 campaña=2026 empresa=1 cultivo=CITRICOS.</t>
        </is>
      </c>
      <c r="F69" s="6" t="n">
        <v>46231.74836732359</v>
      </c>
      <c r="G69" s="5" t="inlineStr">
        <is>
          <t>WARNING</t>
        </is>
      </c>
    </row>
    <row r="70">
      <c r="A70" s="5" t="n">
        <v>2200</v>
      </c>
      <c r="B70" s="5" t="inlineStr">
        <is>
          <t>NAVEL TEMPRANA sem 4 y +</t>
        </is>
      </c>
      <c r="C70" s="5" t="inlineStr">
        <is>
          <t>WARNING</t>
        </is>
      </c>
      <c r="D70" s="5" t="inlineStr">
        <is>
          <t>Warning</t>
        </is>
      </c>
      <c r="E70" s="5" t="inlineStr">
        <is>
          <t>No existe tarifa BonCalidad para socio=1595 campaña=2026 empresa=1 cultivo=CITRICOS.</t>
        </is>
      </c>
      <c r="F70" s="6" t="n">
        <v>46231.74836732359</v>
      </c>
      <c r="G70" s="5" t="inlineStr">
        <is>
          <t>WARNING</t>
        </is>
      </c>
    </row>
    <row r="71">
      <c r="A71" s="5" t="n">
        <v>2200</v>
      </c>
      <c r="B71" s="5" t="inlineStr">
        <is>
          <t>NAVEL TEMPRANA sem 4 y +</t>
        </is>
      </c>
      <c r="C71" s="5" t="inlineStr">
        <is>
          <t>WARNING</t>
        </is>
      </c>
      <c r="D71" s="5" t="inlineStr">
        <is>
          <t>Warning</t>
        </is>
      </c>
      <c r="E71" s="5" t="inlineStr">
        <is>
          <t>No existe tarifa BonCalidad para socio=1598 campaña=2026 empresa=1 cultivo=CITRICOS.</t>
        </is>
      </c>
      <c r="F71" s="6" t="n">
        <v>46231.74836732359</v>
      </c>
      <c r="G71" s="5" t="inlineStr">
        <is>
          <t>WARNING</t>
        </is>
      </c>
    </row>
    <row r="72">
      <c r="A72" s="5" t="n">
        <v>2200</v>
      </c>
      <c r="B72" s="5" t="inlineStr">
        <is>
          <t>NAVEL TEMPRANA sem 4 y +</t>
        </is>
      </c>
      <c r="C72" s="5" t="inlineStr">
        <is>
          <t>WARNING</t>
        </is>
      </c>
      <c r="D72" s="5" t="inlineStr">
        <is>
          <t>Warning</t>
        </is>
      </c>
      <c r="E72" s="5" t="inlineStr">
        <is>
          <t>No existe tarifa BonCalidad para socio=1607 campaña=2026 empresa=1 cultivo=CITRICOS.</t>
        </is>
      </c>
      <c r="F72" s="6" t="n">
        <v>46231.74836732359</v>
      </c>
      <c r="G72" s="5" t="inlineStr">
        <is>
          <t>WARNING</t>
        </is>
      </c>
    </row>
    <row r="73">
      <c r="A73" s="5" t="n">
        <v>2200</v>
      </c>
      <c r="B73" s="5" t="inlineStr">
        <is>
          <t>NAVEL TEMPRANA sem 4 y +</t>
        </is>
      </c>
      <c r="C73" s="5" t="inlineStr">
        <is>
          <t>WARNING</t>
        </is>
      </c>
      <c r="D73" s="5" t="inlineStr">
        <is>
          <t>Warning</t>
        </is>
      </c>
      <c r="E73" s="5" t="inlineStr">
        <is>
          <t>No existe tarifa BonCalidad para socio=1608 campaña=2026 empresa=1 cultivo=CITRICOS.</t>
        </is>
      </c>
      <c r="F73" s="6" t="n">
        <v>46231.74836732359</v>
      </c>
      <c r="G73" s="5" t="inlineStr">
        <is>
          <t>WARNING</t>
        </is>
      </c>
    </row>
    <row r="74">
      <c r="A74" s="5" t="n">
        <v>2200</v>
      </c>
      <c r="B74" s="5" t="inlineStr">
        <is>
          <t>NAVEL TEMPRANA sem 4 y +</t>
        </is>
      </c>
      <c r="C74" s="5" t="inlineStr">
        <is>
          <t>WARNING</t>
        </is>
      </c>
      <c r="D74" s="5" t="inlineStr">
        <is>
          <t>Warning</t>
        </is>
      </c>
      <c r="E74" s="5" t="inlineStr">
        <is>
          <t>No existe tarifa BonCalidad para socio=1610 campaña=2026 empresa=1 cultivo=CITRICOS.</t>
        </is>
      </c>
      <c r="F74" s="6" t="n">
        <v>46231.74836732359</v>
      </c>
      <c r="G74" s="5" t="inlineStr">
        <is>
          <t>WARNING</t>
        </is>
      </c>
    </row>
    <row r="75">
      <c r="A75" s="5" t="n">
        <v>2200</v>
      </c>
      <c r="B75" s="5" t="inlineStr">
        <is>
          <t>NAVEL TEMPRANA sem 4 y +</t>
        </is>
      </c>
      <c r="C75" s="5" t="inlineStr">
        <is>
          <t>WARNING</t>
        </is>
      </c>
      <c r="D75" s="5" t="inlineStr">
        <is>
          <t>Warning</t>
        </is>
      </c>
      <c r="E75" s="5" t="inlineStr">
        <is>
          <t>No existe tarifa BonCalidad para socio=1613 campaña=2026 empresa=1 cultivo=CITRICOS.</t>
        </is>
      </c>
      <c r="F75" s="6" t="n">
        <v>46231.74836732359</v>
      </c>
      <c r="G75" s="5" t="inlineStr">
        <is>
          <t>WARNING</t>
        </is>
      </c>
    </row>
    <row r="76">
      <c r="A76" s="5" t="n">
        <v>2200</v>
      </c>
      <c r="B76" s="5" t="inlineStr">
        <is>
          <t>NAVEL TEMPRANA sem 4 y +</t>
        </is>
      </c>
      <c r="C76" s="5" t="inlineStr">
        <is>
          <t>WARNING</t>
        </is>
      </c>
      <c r="D76" s="5" t="inlineStr">
        <is>
          <t>Warning</t>
        </is>
      </c>
      <c r="E76" s="5" t="inlineStr">
        <is>
          <t>No existe tarifa BonCalidad para socio=1614 campaña=2026 empresa=1 cultivo=CITRICOS.</t>
        </is>
      </c>
      <c r="F76" s="6" t="n">
        <v>46231.74836732359</v>
      </c>
      <c r="G76" s="5" t="inlineStr">
        <is>
          <t>WARNING</t>
        </is>
      </c>
    </row>
    <row r="77">
      <c r="A77" s="5" t="n">
        <v>2200</v>
      </c>
      <c r="B77" s="5" t="inlineStr">
        <is>
          <t>NAVEL TEMPRANA sem 4 y +</t>
        </is>
      </c>
      <c r="C77" s="5" t="inlineStr">
        <is>
          <t>WARNING</t>
        </is>
      </c>
      <c r="D77" s="5" t="inlineStr">
        <is>
          <t>Warning</t>
        </is>
      </c>
      <c r="E77" s="5" t="inlineStr">
        <is>
          <t>No existe tarifa BonCalidad para socio=1617 campaña=2026 empresa=1 cultivo=CITRICOS.</t>
        </is>
      </c>
      <c r="F77" s="6" t="n">
        <v>46231.74836732359</v>
      </c>
      <c r="G77" s="5" t="inlineStr">
        <is>
          <t>WARNING</t>
        </is>
      </c>
    </row>
    <row r="78">
      <c r="A78" s="5" t="n">
        <v>2200</v>
      </c>
      <c r="B78" s="5" t="inlineStr">
        <is>
          <t>NAVEL TEMPRANA sem 4 y +</t>
        </is>
      </c>
      <c r="C78" s="5" t="inlineStr">
        <is>
          <t>WARNING</t>
        </is>
      </c>
      <c r="D78" s="5" t="inlineStr">
        <is>
          <t>Warning</t>
        </is>
      </c>
      <c r="E78" s="5" t="inlineStr">
        <is>
          <t>No existe tarifa BonCalidad para socio=1623 campaña=2026 empresa=1 cultivo=CITRICOS.</t>
        </is>
      </c>
      <c r="F78" s="6" t="n">
        <v>46231.74836732359</v>
      </c>
      <c r="G78" s="5" t="inlineStr">
        <is>
          <t>WARNING</t>
        </is>
      </c>
    </row>
    <row r="79">
      <c r="A79" s="5" t="n">
        <v>2202</v>
      </c>
      <c r="B79" s="5" t="inlineStr">
        <is>
          <t>NAVEL TEMPRANA sem ultim</t>
        </is>
      </c>
      <c r="C79" s="5" t="inlineStr">
        <is>
          <t>WARNING</t>
        </is>
      </c>
      <c r="D79" s="5" t="inlineStr">
        <is>
          <t>Warning</t>
        </is>
      </c>
      <c r="E79" s="5" t="inlineStr">
        <is>
          <t>3 entregas ya figuran como liquidadas.</t>
        </is>
      </c>
      <c r="F79" s="6" t="n">
        <v>46231.74836732359</v>
      </c>
      <c r="G79" s="5" t="inlineStr">
        <is>
          <t>WARNING</t>
        </is>
      </c>
    </row>
    <row r="80">
      <c r="A80" s="5" t="n">
        <v>2202</v>
      </c>
      <c r="B80" s="5" t="inlineStr">
        <is>
          <t>NAVEL TEMPRANA sem ultim</t>
        </is>
      </c>
      <c r="C80" s="5" t="inlineStr">
        <is>
          <t>WARNING</t>
        </is>
      </c>
      <c r="D80" s="5" t="inlineStr">
        <is>
          <t>Warning</t>
        </is>
      </c>
      <c r="E80" s="5" t="inlineStr">
        <is>
          <t>No existe tarifa BonCalidad para socio=1429 campaña=2026 empresa=1 cultivo=CITRICOS.</t>
        </is>
      </c>
      <c r="F80" s="6" t="n">
        <v>46231.74836732359</v>
      </c>
      <c r="G80" s="5" t="inlineStr">
        <is>
          <t>WARNING</t>
        </is>
      </c>
    </row>
    <row r="81">
      <c r="A81" s="5" t="n">
        <v>2202</v>
      </c>
      <c r="B81" s="5" t="inlineStr">
        <is>
          <t>NAVEL TEMPRANA sem ultim</t>
        </is>
      </c>
      <c r="C81" s="5" t="inlineStr">
        <is>
          <t>WARNING</t>
        </is>
      </c>
      <c r="D81" s="5" t="inlineStr">
        <is>
          <t>Warning</t>
        </is>
      </c>
      <c r="E81" s="5" t="inlineStr">
        <is>
          <t>No existe fuente acumulada disponible; saldo informativo calculado con cuota ya aplicada = 0.</t>
        </is>
      </c>
      <c r="F81" s="6" t="n">
        <v>46231.74836732359</v>
      </c>
      <c r="G81" s="5" t="inlineStr">
        <is>
          <t>WARNING</t>
        </is>
      </c>
    </row>
    <row r="82">
      <c r="A82" s="5" t="n">
        <v>2203</v>
      </c>
      <c r="B82" s="5" t="inlineStr">
        <is>
          <t>BLANCA TEMPRANA sem2</t>
        </is>
      </c>
      <c r="C82" s="5" t="inlineStr">
        <is>
          <t>WARNING</t>
        </is>
      </c>
      <c r="D82" s="5" t="inlineStr">
        <is>
          <t>Warning</t>
        </is>
      </c>
      <c r="E82" s="5" t="inlineStr">
        <is>
          <t>32 entregas ya figuran como liquidadas.</t>
        </is>
      </c>
      <c r="F82" s="6" t="n">
        <v>46231.74836732359</v>
      </c>
      <c r="G82" s="5" t="inlineStr">
        <is>
          <t>WARNING</t>
        </is>
      </c>
    </row>
    <row r="83">
      <c r="A83" s="5" t="n">
        <v>2203</v>
      </c>
      <c r="B83" s="5" t="inlineStr">
        <is>
          <t>BLANCA TEMPRANA sem2</t>
        </is>
      </c>
      <c r="C83" s="5" t="inlineStr">
        <is>
          <t>WARNING</t>
        </is>
      </c>
      <c r="D83" s="5" t="inlineStr">
        <is>
          <t>Warning</t>
        </is>
      </c>
      <c r="E83" s="5" t="inlineStr">
        <is>
          <t>No existe tarifa BonCalidad para socio=1177 campaña=2026 empresa=1 cultivo=CITRICOS.</t>
        </is>
      </c>
      <c r="F83" s="6" t="n">
        <v>46231.74836732359</v>
      </c>
      <c r="G83" s="5" t="inlineStr">
        <is>
          <t>WARNING</t>
        </is>
      </c>
    </row>
    <row r="84">
      <c r="A84" s="5" t="n">
        <v>2203</v>
      </c>
      <c r="B84" s="5" t="inlineStr">
        <is>
          <t>BLANCA TEMPRANA sem2</t>
        </is>
      </c>
      <c r="C84" s="5" t="inlineStr">
        <is>
          <t>WARNING</t>
        </is>
      </c>
      <c r="D84" s="5" t="inlineStr">
        <is>
          <t>Warning</t>
        </is>
      </c>
      <c r="E84" s="5" t="inlineStr">
        <is>
          <t>No existe fuente acumulada disponible; saldo informativo calculado con cuota ya aplicada = 0.</t>
        </is>
      </c>
      <c r="F84" s="6" t="n">
        <v>46231.74836732359</v>
      </c>
      <c r="G84" s="5" t="inlineStr">
        <is>
          <t>WARNING</t>
        </is>
      </c>
    </row>
    <row r="85">
      <c r="A85" s="5" t="n">
        <v>2203</v>
      </c>
      <c r="B85" s="5" t="inlineStr">
        <is>
          <t>BLANCA TEMPRANA sem2</t>
        </is>
      </c>
      <c r="C85" s="5" t="inlineStr">
        <is>
          <t>WARNING</t>
        </is>
      </c>
      <c r="D85" s="5" t="inlineStr">
        <is>
          <t>Warning</t>
        </is>
      </c>
      <c r="E85" s="5" t="inlineStr">
        <is>
          <t>No existe tarifa BonCalidad para socio=1384 campaña=2026 empresa=1 cultivo=CITRICOS.</t>
        </is>
      </c>
      <c r="F85" s="6" t="n">
        <v>46231.74836732359</v>
      </c>
      <c r="G85" s="5" t="inlineStr">
        <is>
          <t>WARNING</t>
        </is>
      </c>
    </row>
    <row r="86">
      <c r="A86" s="5" t="n">
        <v>2203</v>
      </c>
      <c r="B86" s="5" t="inlineStr">
        <is>
          <t>BLANCA TEMPRANA sem2</t>
        </is>
      </c>
      <c r="C86" s="5" t="inlineStr">
        <is>
          <t>WARNING</t>
        </is>
      </c>
      <c r="D86" s="5" t="inlineStr">
        <is>
          <t>Warning</t>
        </is>
      </c>
      <c r="E86" s="5" t="inlineStr">
        <is>
          <t>No existe tarifa BonCalidad para socio=1585 campaña=2026 empresa=1 cultivo=CITRICOS.</t>
        </is>
      </c>
      <c r="F86" s="6" t="n">
        <v>46231.74836732359</v>
      </c>
      <c r="G86" s="5" t="inlineStr">
        <is>
          <t>WARNING</t>
        </is>
      </c>
    </row>
    <row r="87">
      <c r="A87" s="5" t="n">
        <v>2203</v>
      </c>
      <c r="B87" s="5" t="inlineStr">
        <is>
          <t>BLANCA TEMPRANA sem2</t>
        </is>
      </c>
      <c r="C87" s="5" t="inlineStr">
        <is>
          <t>WARNING</t>
        </is>
      </c>
      <c r="D87" s="5" t="inlineStr">
        <is>
          <t>Warning</t>
        </is>
      </c>
      <c r="E87" s="5" t="inlineStr">
        <is>
          <t>No existe tarifa BonCalidad para socio=1614 campaña=2026 empresa=1 cultivo=CITRICOS.</t>
        </is>
      </c>
      <c r="F87" s="6" t="n">
        <v>46231.74836732359</v>
      </c>
      <c r="G87" s="5" t="inlineStr">
        <is>
          <t>WARNING</t>
        </is>
      </c>
    </row>
    <row r="88">
      <c r="A88" s="5" t="n">
        <v>2204</v>
      </c>
      <c r="B88" s="5" t="inlineStr">
        <is>
          <t>NAVEL TARDIA</t>
        </is>
      </c>
      <c r="C88" s="5" t="inlineStr">
        <is>
          <t>WARNING</t>
        </is>
      </c>
      <c r="D88" s="5" t="inlineStr">
        <is>
          <t>Warning</t>
        </is>
      </c>
      <c r="E88" s="5" t="inlineStr">
        <is>
          <t>No existe tarifa BonCalidad para socio=798 campaña=2026 empresa=1 cultivo=CITRICOS.</t>
        </is>
      </c>
      <c r="F88" s="6" t="n">
        <v>46231.74836732359</v>
      </c>
      <c r="G88" s="5" t="inlineStr">
        <is>
          <t>WARNING</t>
        </is>
      </c>
    </row>
    <row r="89">
      <c r="A89" s="5" t="n">
        <v>2204</v>
      </c>
      <c r="B89" s="5" t="inlineStr">
        <is>
          <t>NAVEL TARDIA</t>
        </is>
      </c>
      <c r="C89" s="5" t="inlineStr">
        <is>
          <t>WARNING</t>
        </is>
      </c>
      <c r="D89" s="5" t="inlineStr">
        <is>
          <t>Warning</t>
        </is>
      </c>
      <c r="E89" s="5" t="inlineStr">
        <is>
          <t>No existe fuente acumulada disponible; saldo informativo calculado con cuota ya aplicada = 0.</t>
        </is>
      </c>
      <c r="F89" s="6" t="n">
        <v>46231.74836732359</v>
      </c>
      <c r="G89" s="5" t="inlineStr">
        <is>
          <t>WARNING</t>
        </is>
      </c>
    </row>
    <row r="90">
      <c r="A90" s="5" t="n">
        <v>2204</v>
      </c>
      <c r="B90" s="5" t="inlineStr">
        <is>
          <t>NAVEL TARDIA</t>
        </is>
      </c>
      <c r="C90" s="5" t="inlineStr">
        <is>
          <t>WARNING</t>
        </is>
      </c>
      <c r="D90" s="5" t="inlineStr">
        <is>
          <t>Warning</t>
        </is>
      </c>
      <c r="E90" s="5" t="inlineStr">
        <is>
          <t>No existe tarifa BonCalidad para socio=818 campaña=2026 empresa=1 cultivo=CITRICOS.</t>
        </is>
      </c>
      <c r="F90" s="6" t="n">
        <v>46231.74836732359</v>
      </c>
      <c r="G90" s="5" t="inlineStr">
        <is>
          <t>WARNING</t>
        </is>
      </c>
    </row>
    <row r="91">
      <c r="A91" s="5" t="n">
        <v>2204</v>
      </c>
      <c r="B91" s="5" t="inlineStr">
        <is>
          <t>NAVEL TARDIA</t>
        </is>
      </c>
      <c r="C91" s="5" t="inlineStr">
        <is>
          <t>WARNING</t>
        </is>
      </c>
      <c r="D91" s="5" t="inlineStr">
        <is>
          <t>Warning</t>
        </is>
      </c>
      <c r="E91" s="5" t="inlineStr">
        <is>
          <t>No existe tarifa BonCalidad para socio=904 campaña=2026 empresa=1 cultivo=CITRICOS.</t>
        </is>
      </c>
      <c r="F91" s="6" t="n">
        <v>46231.74836732359</v>
      </c>
      <c r="G91" s="5" t="inlineStr">
        <is>
          <t>WARNING</t>
        </is>
      </c>
    </row>
    <row r="92">
      <c r="A92" s="5" t="n">
        <v>2204</v>
      </c>
      <c r="B92" s="5" t="inlineStr">
        <is>
          <t>NAVEL TARDIA</t>
        </is>
      </c>
      <c r="C92" s="5" t="inlineStr">
        <is>
          <t>WARNING</t>
        </is>
      </c>
      <c r="D92" s="5" t="inlineStr">
        <is>
          <t>Warning</t>
        </is>
      </c>
      <c r="E92" s="5" t="inlineStr">
        <is>
          <t>No existe tarifa BonCalidad para socio=937 campaña=2026 empresa=1 cultivo=CITRICOS.</t>
        </is>
      </c>
      <c r="F92" s="6" t="n">
        <v>46231.74836732359</v>
      </c>
      <c r="G92" s="5" t="inlineStr">
        <is>
          <t>WARNING</t>
        </is>
      </c>
    </row>
    <row r="93">
      <c r="A93" s="5" t="n">
        <v>2204</v>
      </c>
      <c r="B93" s="5" t="inlineStr">
        <is>
          <t>NAVEL TARDIA</t>
        </is>
      </c>
      <c r="C93" s="5" t="inlineStr">
        <is>
          <t>WARNING</t>
        </is>
      </c>
      <c r="D93" s="5" t="inlineStr">
        <is>
          <t>Warning</t>
        </is>
      </c>
      <c r="E93" s="5" t="inlineStr">
        <is>
          <t>No existe tarifa BonCalidad para socio=994 campaña=2026 empresa=1 cultivo=CITRICOS.</t>
        </is>
      </c>
      <c r="F93" s="6" t="n">
        <v>46231.74836732359</v>
      </c>
      <c r="G93" s="5" t="inlineStr">
        <is>
          <t>WARNING</t>
        </is>
      </c>
    </row>
    <row r="94">
      <c r="A94" s="5" t="n">
        <v>2204</v>
      </c>
      <c r="B94" s="5" t="inlineStr">
        <is>
          <t>NAVEL TARDIA</t>
        </is>
      </c>
      <c r="C94" s="5" t="inlineStr">
        <is>
          <t>WARNING</t>
        </is>
      </c>
      <c r="D94" s="5" t="inlineStr">
        <is>
          <t>Warning</t>
        </is>
      </c>
      <c r="E94" s="5" t="inlineStr">
        <is>
          <t>No existe tarifa BonCalidad para socio=1133 campaña=2026 empresa=1 cultivo=CITRICOS.</t>
        </is>
      </c>
      <c r="F94" s="6" t="n">
        <v>46231.74836732359</v>
      </c>
      <c r="G94" s="5" t="inlineStr">
        <is>
          <t>WARNING</t>
        </is>
      </c>
    </row>
    <row r="95">
      <c r="A95" s="5" t="n">
        <v>2204</v>
      </c>
      <c r="B95" s="5" t="inlineStr">
        <is>
          <t>NAVEL TARDIA</t>
        </is>
      </c>
      <c r="C95" s="5" t="inlineStr">
        <is>
          <t>WARNING</t>
        </is>
      </c>
      <c r="D95" s="5" t="inlineStr">
        <is>
          <t>Warning</t>
        </is>
      </c>
      <c r="E95" s="5" t="inlineStr">
        <is>
          <t>No existe tarifa BonCalidad para socio=1205 campaña=2026 empresa=1 cultivo=CITRICOS.</t>
        </is>
      </c>
      <c r="F95" s="6" t="n">
        <v>46231.74836732359</v>
      </c>
      <c r="G95" s="5" t="inlineStr">
        <is>
          <t>WARNING</t>
        </is>
      </c>
    </row>
    <row r="96">
      <c r="A96" s="5" t="n">
        <v>2204</v>
      </c>
      <c r="B96" s="5" t="inlineStr">
        <is>
          <t>NAVEL TARDIA</t>
        </is>
      </c>
      <c r="C96" s="5" t="inlineStr">
        <is>
          <t>WARNING</t>
        </is>
      </c>
      <c r="D96" s="5" t="inlineStr">
        <is>
          <t>Warning</t>
        </is>
      </c>
      <c r="E96" s="5" t="inlineStr">
        <is>
          <t>No existe tarifa BonCalidad para socio=1252 campaña=2026 empresa=1 cultivo=CITRICOS.</t>
        </is>
      </c>
      <c r="F96" s="6" t="n">
        <v>46231.74836732359</v>
      </c>
      <c r="G96" s="5" t="inlineStr">
        <is>
          <t>WARNING</t>
        </is>
      </c>
    </row>
    <row r="97">
      <c r="A97" s="5" t="n">
        <v>2204</v>
      </c>
      <c r="B97" s="5" t="inlineStr">
        <is>
          <t>NAVEL TARDIA</t>
        </is>
      </c>
      <c r="C97" s="5" t="inlineStr">
        <is>
          <t>WARNING</t>
        </is>
      </c>
      <c r="D97" s="5" t="inlineStr">
        <is>
          <t>Warning</t>
        </is>
      </c>
      <c r="E97" s="5" t="inlineStr">
        <is>
          <t>No existe tarifa BonCalidad para socio=1255 campaña=2026 empresa=1 cultivo=CITRICOS.</t>
        </is>
      </c>
      <c r="F97" s="6" t="n">
        <v>46231.74836732359</v>
      </c>
      <c r="G97" s="5" t="inlineStr">
        <is>
          <t>WARNING</t>
        </is>
      </c>
    </row>
    <row r="98">
      <c r="A98" s="5" t="n">
        <v>2204</v>
      </c>
      <c r="B98" s="5" t="inlineStr">
        <is>
          <t>NAVEL TARDIA</t>
        </is>
      </c>
      <c r="C98" s="5" t="inlineStr">
        <is>
          <t>WARNING</t>
        </is>
      </c>
      <c r="D98" s="5" t="inlineStr">
        <is>
          <t>Warning</t>
        </is>
      </c>
      <c r="E98" s="5" t="inlineStr">
        <is>
          <t>No existe tarifa BonCalidad para socio=1272 campaña=2026 empresa=1 cultivo=CITRICOS.</t>
        </is>
      </c>
      <c r="F98" s="6" t="n">
        <v>46231.74836732359</v>
      </c>
      <c r="G98" s="5" t="inlineStr">
        <is>
          <t>WARNING</t>
        </is>
      </c>
    </row>
    <row r="99">
      <c r="A99" s="5" t="n">
        <v>2204</v>
      </c>
      <c r="B99" s="5" t="inlineStr">
        <is>
          <t>NAVEL TARDIA</t>
        </is>
      </c>
      <c r="C99" s="5" t="inlineStr">
        <is>
          <t>WARNING</t>
        </is>
      </c>
      <c r="D99" s="5" t="inlineStr">
        <is>
          <t>Warning</t>
        </is>
      </c>
      <c r="E99" s="5" t="inlineStr">
        <is>
          <t>No existe tarifa BonCalidad para socio=1389 campaña=2026 empresa=1 cultivo=CITRICOS.</t>
        </is>
      </c>
      <c r="F99" s="6" t="n">
        <v>46231.74836732359</v>
      </c>
      <c r="G99" s="5" t="inlineStr">
        <is>
          <t>WARNING</t>
        </is>
      </c>
    </row>
    <row r="100">
      <c r="A100" s="5" t="n">
        <v>2204</v>
      </c>
      <c r="B100" s="5" t="inlineStr">
        <is>
          <t>NAVEL TARDIA</t>
        </is>
      </c>
      <c r="C100" s="5" t="inlineStr">
        <is>
          <t>WARNING</t>
        </is>
      </c>
      <c r="D100" s="5" t="inlineStr">
        <is>
          <t>Warning</t>
        </is>
      </c>
      <c r="E100" s="5" t="inlineStr">
        <is>
          <t>No existe tarifa BonCalidad para socio=1415 campaña=2026 empresa=1 cultivo=CITRICOS.</t>
        </is>
      </c>
      <c r="F100" s="6" t="n">
        <v>46231.74836732359</v>
      </c>
      <c r="G100" s="5" t="inlineStr">
        <is>
          <t>WARNING</t>
        </is>
      </c>
    </row>
    <row r="101">
      <c r="A101" s="5" t="n">
        <v>2204</v>
      </c>
      <c r="B101" s="5" t="inlineStr">
        <is>
          <t>NAVEL TARDIA</t>
        </is>
      </c>
      <c r="C101" s="5" t="inlineStr">
        <is>
          <t>WARNING</t>
        </is>
      </c>
      <c r="D101" s="5" t="inlineStr">
        <is>
          <t>Warning</t>
        </is>
      </c>
      <c r="E101" s="5" t="inlineStr">
        <is>
          <t>No existe tarifa BonCalidad para socio=1445 campaña=2026 empresa=1 cultivo=CITRICOS.</t>
        </is>
      </c>
      <c r="F101" s="6" t="n">
        <v>46231.74836732359</v>
      </c>
      <c r="G101" s="5" t="inlineStr">
        <is>
          <t>WARNING</t>
        </is>
      </c>
    </row>
    <row r="102">
      <c r="A102" s="5" t="n">
        <v>2204</v>
      </c>
      <c r="B102" s="5" t="inlineStr">
        <is>
          <t>NAVEL TARDIA</t>
        </is>
      </c>
      <c r="C102" s="5" t="inlineStr">
        <is>
          <t>WARNING</t>
        </is>
      </c>
      <c r="D102" s="5" t="inlineStr">
        <is>
          <t>Warning</t>
        </is>
      </c>
      <c r="E102" s="5" t="inlineStr">
        <is>
          <t>No existe tarifa BonCalidad para socio=1466 campaña=2026 empresa=1 cultivo=CITRICOS.</t>
        </is>
      </c>
      <c r="F102" s="6" t="n">
        <v>46231.74836732359</v>
      </c>
      <c r="G102" s="5" t="inlineStr">
        <is>
          <t>WARNING</t>
        </is>
      </c>
    </row>
    <row r="103">
      <c r="A103" s="5" t="n">
        <v>2204</v>
      </c>
      <c r="B103" s="5" t="inlineStr">
        <is>
          <t>NAVEL TARDIA</t>
        </is>
      </c>
      <c r="C103" s="5" t="inlineStr">
        <is>
          <t>WARNING</t>
        </is>
      </c>
      <c r="D103" s="5" t="inlineStr">
        <is>
          <t>Warning</t>
        </is>
      </c>
      <c r="E103" s="5" t="inlineStr">
        <is>
          <t>No existe tarifa BonCalidad para socio=1491 campaña=2026 empresa=1 cultivo=CITRICOS.</t>
        </is>
      </c>
      <c r="F103" s="6" t="n">
        <v>46231.74836732359</v>
      </c>
      <c r="G103" s="5" t="inlineStr">
        <is>
          <t>WARNING</t>
        </is>
      </c>
    </row>
    <row r="104">
      <c r="A104" s="5" t="n">
        <v>2204</v>
      </c>
      <c r="B104" s="5" t="inlineStr">
        <is>
          <t>NAVEL TARDIA</t>
        </is>
      </c>
      <c r="C104" s="5" t="inlineStr">
        <is>
          <t>WARNING</t>
        </is>
      </c>
      <c r="D104" s="5" t="inlineStr">
        <is>
          <t>Warning</t>
        </is>
      </c>
      <c r="E104" s="5" t="inlineStr">
        <is>
          <t>No existe tarifa BonCalidad para socio=1500 campaña=2026 empresa=1 cultivo=CITRICOS.</t>
        </is>
      </c>
      <c r="F104" s="6" t="n">
        <v>46231.74836732359</v>
      </c>
      <c r="G104" s="5" t="inlineStr">
        <is>
          <t>WARNING</t>
        </is>
      </c>
    </row>
    <row r="105">
      <c r="A105" s="5" t="n">
        <v>2204</v>
      </c>
      <c r="B105" s="5" t="inlineStr">
        <is>
          <t>NAVEL TARDIA</t>
        </is>
      </c>
      <c r="C105" s="5" t="inlineStr">
        <is>
          <t>WARNING</t>
        </is>
      </c>
      <c r="D105" s="5" t="inlineStr">
        <is>
          <t>Warning</t>
        </is>
      </c>
      <c r="E105" s="5" t="inlineStr">
        <is>
          <t>No existe tarifa BonCalidad para socio=1523 campaña=2026 empresa=1 cultivo=CITRICOS.</t>
        </is>
      </c>
      <c r="F105" s="6" t="n">
        <v>46231.74836732359</v>
      </c>
      <c r="G105" s="5" t="inlineStr">
        <is>
          <t>WARNING</t>
        </is>
      </c>
    </row>
    <row r="106">
      <c r="A106" s="5" t="n">
        <v>2204</v>
      </c>
      <c r="B106" s="5" t="inlineStr">
        <is>
          <t>NAVEL TARDIA</t>
        </is>
      </c>
      <c r="C106" s="5" t="inlineStr">
        <is>
          <t>WARNING</t>
        </is>
      </c>
      <c r="D106" s="5" t="inlineStr">
        <is>
          <t>Warning</t>
        </is>
      </c>
      <c r="E106" s="5" t="inlineStr">
        <is>
          <t>El socio 1523 figura certificado GlobalGAP en CITRICOS, KAKIS, MANDARINA pero no en CITRICOS. Se ha aplicado la certificación global del socio. Revise DEEPP.</t>
        </is>
      </c>
      <c r="F106" s="6" t="n">
        <v>46231.74836732359</v>
      </c>
      <c r="G106" s="5" t="inlineStr">
        <is>
          <t>WARNING</t>
        </is>
      </c>
    </row>
    <row r="107">
      <c r="A107" s="5" t="n">
        <v>2204</v>
      </c>
      <c r="B107" s="5" t="inlineStr">
        <is>
          <t>NAVEL TARDIA</t>
        </is>
      </c>
      <c r="C107" s="5" t="inlineStr">
        <is>
          <t>WARNING</t>
        </is>
      </c>
      <c r="D107" s="5" t="inlineStr">
        <is>
          <t>Warning</t>
        </is>
      </c>
      <c r="E107" s="5" t="inlineStr">
        <is>
          <t>No existe tarifa BonCalidad para socio=1528 campaña=2026 empresa=1 cultivo=CITRICOS.</t>
        </is>
      </c>
      <c r="F107" s="6" t="n">
        <v>46231.74836732359</v>
      </c>
      <c r="G107" s="5" t="inlineStr">
        <is>
          <t>WARNING</t>
        </is>
      </c>
    </row>
    <row r="108">
      <c r="A108" s="5" t="n">
        <v>2204</v>
      </c>
      <c r="B108" s="5" t="inlineStr">
        <is>
          <t>NAVEL TARDIA</t>
        </is>
      </c>
      <c r="C108" s="5" t="inlineStr">
        <is>
          <t>WARNING</t>
        </is>
      </c>
      <c r="D108" s="5" t="inlineStr">
        <is>
          <t>Warning</t>
        </is>
      </c>
      <c r="E108" s="5" t="inlineStr">
        <is>
          <t>No existe tarifa BonCalidad para socio=1529 campaña=2026 empresa=1 cultivo=CITRICOS.</t>
        </is>
      </c>
      <c r="F108" s="6" t="n">
        <v>46231.74836732359</v>
      </c>
      <c r="G108" s="5" t="inlineStr">
        <is>
          <t>WARNING</t>
        </is>
      </c>
    </row>
    <row r="109">
      <c r="A109" s="5" t="n">
        <v>2204</v>
      </c>
      <c r="B109" s="5" t="inlineStr">
        <is>
          <t>NAVEL TARDIA</t>
        </is>
      </c>
      <c r="C109" s="5" t="inlineStr">
        <is>
          <t>WARNING</t>
        </is>
      </c>
      <c r="D109" s="5" t="inlineStr">
        <is>
          <t>Warning</t>
        </is>
      </c>
      <c r="E109" s="5" t="inlineStr">
        <is>
          <t>No existe tarifa BonCalidad para socio=1534 campaña=2026 empresa=1 cultivo=CITRICOS.</t>
        </is>
      </c>
      <c r="F109" s="6" t="n">
        <v>46231.74836732359</v>
      </c>
      <c r="G109" s="5" t="inlineStr">
        <is>
          <t>WARNING</t>
        </is>
      </c>
    </row>
    <row r="110">
      <c r="A110" s="5" t="n">
        <v>2204</v>
      </c>
      <c r="B110" s="5" t="inlineStr">
        <is>
          <t>NAVEL TARDIA</t>
        </is>
      </c>
      <c r="C110" s="5" t="inlineStr">
        <is>
          <t>WARNING</t>
        </is>
      </c>
      <c r="D110" s="5" t="inlineStr">
        <is>
          <t>Warning</t>
        </is>
      </c>
      <c r="E110" s="5" t="inlineStr">
        <is>
          <t>No existe tarifa BonCalidad para socio=1550 campaña=2026 empresa=1 cultivo=CITRICOS.</t>
        </is>
      </c>
      <c r="F110" s="6" t="n">
        <v>46231.74836732359</v>
      </c>
      <c r="G110" s="5" t="inlineStr">
        <is>
          <t>WARNING</t>
        </is>
      </c>
    </row>
    <row r="111">
      <c r="A111" s="5" t="n">
        <v>2204</v>
      </c>
      <c r="B111" s="5" t="inlineStr">
        <is>
          <t>NAVEL TARDIA</t>
        </is>
      </c>
      <c r="C111" s="5" t="inlineStr">
        <is>
          <t>WARNING</t>
        </is>
      </c>
      <c r="D111" s="5" t="inlineStr">
        <is>
          <t>Warning</t>
        </is>
      </c>
      <c r="E111" s="5" t="inlineStr">
        <is>
          <t>El socio 1550 figura certificado GlobalGAP en CITRICOS, MANDARINA pero no en CITRICOS, MANDARINA. Se ha aplicado la certificación global del socio. Revise DEEPP.</t>
        </is>
      </c>
      <c r="F111" s="6" t="n">
        <v>46231.74836732359</v>
      </c>
      <c r="G111" s="5" t="inlineStr">
        <is>
          <t>WARNING</t>
        </is>
      </c>
    </row>
    <row r="112">
      <c r="A112" s="5" t="n">
        <v>2204</v>
      </c>
      <c r="B112" s="5" t="inlineStr">
        <is>
          <t>NAVEL TARDIA</t>
        </is>
      </c>
      <c r="C112" s="5" t="inlineStr">
        <is>
          <t>WARNING</t>
        </is>
      </c>
      <c r="D112" s="5" t="inlineStr">
        <is>
          <t>Warning</t>
        </is>
      </c>
      <c r="E112" s="5" t="inlineStr">
        <is>
          <t>No existe tarifa BonCalidad para socio=1583 campaña=2026 empresa=1 cultivo=CITRICOS.</t>
        </is>
      </c>
      <c r="F112" s="6" t="n">
        <v>46231.74836732359</v>
      </c>
      <c r="G112" s="5" t="inlineStr">
        <is>
          <t>WARNING</t>
        </is>
      </c>
    </row>
    <row r="113">
      <c r="A113" s="5" t="n">
        <v>2204</v>
      </c>
      <c r="B113" s="5" t="inlineStr">
        <is>
          <t>NAVEL TARDIA</t>
        </is>
      </c>
      <c r="C113" s="5" t="inlineStr">
        <is>
          <t>WARNING</t>
        </is>
      </c>
      <c r="D113" s="5" t="inlineStr">
        <is>
          <t>Warning</t>
        </is>
      </c>
      <c r="E113" s="5" t="inlineStr">
        <is>
          <t>No existe tarifa BonCalidad para socio=1591 campaña=2026 empresa=1 cultivo=CITRICOS.</t>
        </is>
      </c>
      <c r="F113" s="6" t="n">
        <v>46231.74836732359</v>
      </c>
      <c r="G113" s="5" t="inlineStr">
        <is>
          <t>WARNING</t>
        </is>
      </c>
    </row>
    <row r="114">
      <c r="A114" s="5" t="n">
        <v>2204</v>
      </c>
      <c r="B114" s="5" t="inlineStr">
        <is>
          <t>NAVEL TARDIA</t>
        </is>
      </c>
      <c r="C114" s="5" t="inlineStr">
        <is>
          <t>WARNING</t>
        </is>
      </c>
      <c r="D114" s="5" t="inlineStr">
        <is>
          <t>Warning</t>
        </is>
      </c>
      <c r="E114" s="5" t="inlineStr">
        <is>
          <t>No existe tarifa BonCalidad para socio=1597 campaña=2026 empresa=1 cultivo=CITRICOS.</t>
        </is>
      </c>
      <c r="F114" s="6" t="n">
        <v>46231.74836732359</v>
      </c>
      <c r="G114" s="5" t="inlineStr">
        <is>
          <t>WARNING</t>
        </is>
      </c>
    </row>
    <row r="115">
      <c r="A115" s="5" t="n">
        <v>2204</v>
      </c>
      <c r="B115" s="5" t="inlineStr">
        <is>
          <t>NAVEL TARDIA</t>
        </is>
      </c>
      <c r="C115" s="5" t="inlineStr">
        <is>
          <t>WARNING</t>
        </is>
      </c>
      <c r="D115" s="5" t="inlineStr">
        <is>
          <t>Warning</t>
        </is>
      </c>
      <c r="E115" s="5" t="inlineStr">
        <is>
          <t>No existe tarifa BonCalidad para socio=1610 campaña=2026 empresa=1 cultivo=CITRICOS.</t>
        </is>
      </c>
      <c r="F115" s="6" t="n">
        <v>46231.74836732359</v>
      </c>
      <c r="G115" s="5" t="inlineStr">
        <is>
          <t>WARNING</t>
        </is>
      </c>
    </row>
    <row r="116">
      <c r="A116" s="5" t="n">
        <v>2204</v>
      </c>
      <c r="B116" s="5" t="inlineStr">
        <is>
          <t>NAVEL TARDIA</t>
        </is>
      </c>
      <c r="C116" s="5" t="inlineStr">
        <is>
          <t>WARNING</t>
        </is>
      </c>
      <c r="D116" s="5" t="inlineStr">
        <is>
          <t>Warning</t>
        </is>
      </c>
      <c r="E116" s="5" t="inlineStr">
        <is>
          <t>Cuota Ha no aplicable: sin superficie sujeta a cuota.</t>
        </is>
      </c>
      <c r="F116" s="6" t="n">
        <v>46231.74836732359</v>
      </c>
      <c r="G116" s="5" t="inlineStr">
        <is>
          <t>WARNING</t>
        </is>
      </c>
    </row>
    <row r="117">
      <c r="A117" s="5" t="n">
        <v>2204</v>
      </c>
      <c r="B117" s="5" t="inlineStr">
        <is>
          <t>NAVEL TARDIA</t>
        </is>
      </c>
      <c r="C117" s="5" t="inlineStr">
        <is>
          <t>WARNING</t>
        </is>
      </c>
      <c r="D117" s="5" t="inlineStr">
        <is>
          <t>Warning</t>
        </is>
      </c>
      <c r="E117" s="5" t="inlineStr">
        <is>
          <t>No existe tarifa BonCalidad para socio=1614 campaña=2026 empresa=1 cultivo=CITRICOS.</t>
        </is>
      </c>
      <c r="F117" s="6" t="n">
        <v>46231.74836732359</v>
      </c>
      <c r="G117" s="5" t="inlineStr">
        <is>
          <t>WARNING</t>
        </is>
      </c>
    </row>
    <row r="118">
      <c r="A118" s="5" t="n">
        <v>2204</v>
      </c>
      <c r="B118" s="5" t="inlineStr">
        <is>
          <t>NAVEL TARDIA</t>
        </is>
      </c>
      <c r="C118" s="5" t="inlineStr">
        <is>
          <t>WARNING</t>
        </is>
      </c>
      <c r="D118" s="5" t="inlineStr">
        <is>
          <t>Warning</t>
        </is>
      </c>
      <c r="E118" s="5" t="inlineStr">
        <is>
          <t>No existe tarifa BonCalidad para socio=1627 campaña=2026 empresa=1 cultivo=CITRICOS.</t>
        </is>
      </c>
      <c r="F118" s="6" t="n">
        <v>46231.74836732359</v>
      </c>
      <c r="G118" s="5" t="inlineStr">
        <is>
          <t>WARNING</t>
        </is>
      </c>
    </row>
    <row r="119">
      <c r="A119" s="5" t="n">
        <v>2205</v>
      </c>
      <c r="B119" s="5" t="inlineStr">
        <is>
          <t>BLANCA TARDIA</t>
        </is>
      </c>
      <c r="C119" s="5" t="inlineStr">
        <is>
          <t>WARNING</t>
        </is>
      </c>
      <c r="D119" s="5" t="inlineStr">
        <is>
          <t>Warning</t>
        </is>
      </c>
      <c r="E119" s="5" t="inlineStr">
        <is>
          <t>No existe tarifa BonCalidad para socio=909 campaña=2026 empresa=1 cultivo=CITRICOS.</t>
        </is>
      </c>
      <c r="F119" s="6" t="n">
        <v>46231.74836732359</v>
      </c>
      <c r="G119" s="5" t="inlineStr">
        <is>
          <t>WARNING</t>
        </is>
      </c>
    </row>
    <row r="120">
      <c r="A120" s="5" t="n">
        <v>2205</v>
      </c>
      <c r="B120" s="5" t="inlineStr">
        <is>
          <t>BLANCA TARDIA</t>
        </is>
      </c>
      <c r="C120" s="5" t="inlineStr">
        <is>
          <t>WARNING</t>
        </is>
      </c>
      <c r="D120" s="5" t="inlineStr">
        <is>
          <t>Warning</t>
        </is>
      </c>
      <c r="E120" s="5" t="inlineStr">
        <is>
          <t>No existe fuente acumulada disponible; saldo informativo calculado con cuota ya aplicada = 0.</t>
        </is>
      </c>
      <c r="F120" s="6" t="n">
        <v>46231.74836732359</v>
      </c>
      <c r="G120" s="5" t="inlineStr">
        <is>
          <t>WARNING</t>
        </is>
      </c>
    </row>
    <row r="121">
      <c r="A121" s="5" t="n">
        <v>2205</v>
      </c>
      <c r="B121" s="5" t="inlineStr">
        <is>
          <t>BLANCA TARDIA</t>
        </is>
      </c>
      <c r="C121" s="5" t="inlineStr">
        <is>
          <t>WARNING</t>
        </is>
      </c>
      <c r="D121" s="5" t="inlineStr">
        <is>
          <t>Warning</t>
        </is>
      </c>
      <c r="E121" s="5" t="inlineStr">
        <is>
          <t>No existe tarifa BonCalidad para socio=1072 campaña=2026 empresa=1 cultivo=CITRICOS.</t>
        </is>
      </c>
      <c r="F121" s="6" t="n">
        <v>46231.74836732359</v>
      </c>
      <c r="G121" s="5" t="inlineStr">
        <is>
          <t>WARNING</t>
        </is>
      </c>
    </row>
    <row r="122">
      <c r="A122" s="5" t="n">
        <v>2205</v>
      </c>
      <c r="B122" s="5" t="inlineStr">
        <is>
          <t>BLANCA TARDIA</t>
        </is>
      </c>
      <c r="C122" s="5" t="inlineStr">
        <is>
          <t>WARNING</t>
        </is>
      </c>
      <c r="D122" s="5" t="inlineStr">
        <is>
          <t>Warning</t>
        </is>
      </c>
      <c r="E122" s="5" t="inlineStr">
        <is>
          <t>No existe tarifa BonCalidad para socio=1426 campaña=2026 empresa=1 cultivo=CITRICOS.</t>
        </is>
      </c>
      <c r="F122" s="6" t="n">
        <v>46231.74836732359</v>
      </c>
      <c r="G122" s="5" t="inlineStr">
        <is>
          <t>WARNING</t>
        </is>
      </c>
    </row>
    <row r="123">
      <c r="A123" s="5" t="n">
        <v>2205</v>
      </c>
      <c r="B123" s="5" t="inlineStr">
        <is>
          <t>BLANCA TARDIA</t>
        </is>
      </c>
      <c r="C123" s="5" t="inlineStr">
        <is>
          <t>WARNING</t>
        </is>
      </c>
      <c r="D123" s="5" t="inlineStr">
        <is>
          <t>Warning</t>
        </is>
      </c>
      <c r="E123" s="5" t="inlineStr">
        <is>
          <t>No existe tarifa BonCalidad para socio=1491 campaña=2026 empresa=1 cultivo=CITRICOS.</t>
        </is>
      </c>
      <c r="F123" s="6" t="n">
        <v>46231.74836732359</v>
      </c>
      <c r="G123" s="5" t="inlineStr">
        <is>
          <t>WARNING</t>
        </is>
      </c>
    </row>
    <row r="124">
      <c r="A124" s="5" t="n">
        <v>2205</v>
      </c>
      <c r="B124" s="5" t="inlineStr">
        <is>
          <t>BLANCA TARDIA</t>
        </is>
      </c>
      <c r="C124" s="5" t="inlineStr">
        <is>
          <t>WARNING</t>
        </is>
      </c>
      <c r="D124" s="5" t="inlineStr">
        <is>
          <t>Warning</t>
        </is>
      </c>
      <c r="E124" s="5" t="inlineStr">
        <is>
          <t>No existe tarifa BonCalidad para socio=1528 campaña=2026 empresa=1 cultivo=CITRICOS.</t>
        </is>
      </c>
      <c r="F124" s="6" t="n">
        <v>46231.74836732359</v>
      </c>
      <c r="G124" s="5" t="inlineStr">
        <is>
          <t>WARNING</t>
        </is>
      </c>
    </row>
    <row r="125">
      <c r="A125" s="5" t="n">
        <v>2205</v>
      </c>
      <c r="B125" s="5" t="inlineStr">
        <is>
          <t>BLANCA TARDIA</t>
        </is>
      </c>
      <c r="C125" s="5" t="inlineStr">
        <is>
          <t>WARNING</t>
        </is>
      </c>
      <c r="D125" s="5" t="inlineStr">
        <is>
          <t>Warning</t>
        </is>
      </c>
      <c r="E125" s="5" t="inlineStr">
        <is>
          <t>No existe tarifa BonCalidad para socio=1534 campaña=2026 empresa=1 cultivo=CITRICOS.</t>
        </is>
      </c>
      <c r="F125" s="6" t="n">
        <v>46231.74836732359</v>
      </c>
      <c r="G125" s="5" t="inlineStr">
        <is>
          <t>WARNING</t>
        </is>
      </c>
    </row>
    <row r="126">
      <c r="A126" s="5" t="n">
        <v>2205</v>
      </c>
      <c r="B126" s="5" t="inlineStr">
        <is>
          <t>BLANCA TARDIA</t>
        </is>
      </c>
      <c r="C126" s="5" t="inlineStr">
        <is>
          <t>WARNING</t>
        </is>
      </c>
      <c r="D126" s="5" t="inlineStr">
        <is>
          <t>Warning</t>
        </is>
      </c>
      <c r="E126" s="5" t="inlineStr">
        <is>
          <t>No existe tarifa BonCalidad para socio=1592 campaña=2026 empresa=1 cultivo=CITRICOS.</t>
        </is>
      </c>
      <c r="F126" s="6" t="n">
        <v>46231.74836732359</v>
      </c>
      <c r="G126" s="5" t="inlineStr">
        <is>
          <t>WARNING</t>
        </is>
      </c>
    </row>
    <row r="127">
      <c r="A127" s="5" t="n">
        <v>2205</v>
      </c>
      <c r="B127" s="5" t="inlineStr">
        <is>
          <t>BLANCA TARDIA</t>
        </is>
      </c>
      <c r="C127" s="5" t="inlineStr">
        <is>
          <t>WARNING</t>
        </is>
      </c>
      <c r="D127" s="5" t="inlineStr">
        <is>
          <t>Warning</t>
        </is>
      </c>
      <c r="E127" s="5" t="inlineStr">
        <is>
          <t>No existe tarifa BonCalidad para socio=1594 campaña=2026 empresa=1 cultivo=CITRICOS.</t>
        </is>
      </c>
      <c r="F127" s="6" t="n">
        <v>46231.74836732359</v>
      </c>
      <c r="G127" s="5" t="inlineStr">
        <is>
          <t>WARNING</t>
        </is>
      </c>
    </row>
    <row r="128">
      <c r="A128" s="5" t="n">
        <v>2205</v>
      </c>
      <c r="B128" s="5" t="inlineStr">
        <is>
          <t>BLANCA TARDIA</t>
        </is>
      </c>
      <c r="C128" s="5" t="inlineStr">
        <is>
          <t>WARNING</t>
        </is>
      </c>
      <c r="D128" s="5" t="inlineStr">
        <is>
          <t>Warning</t>
        </is>
      </c>
      <c r="E128" s="5" t="inlineStr">
        <is>
          <t>No existe tarifa BonCalidad para socio=1596 campaña=2026 empresa=1 cultivo=CITRICOS.</t>
        </is>
      </c>
      <c r="F128" s="6" t="n">
        <v>46231.74836732359</v>
      </c>
      <c r="G128" s="5" t="inlineStr">
        <is>
          <t>WARNING</t>
        </is>
      </c>
    </row>
    <row r="129">
      <c r="A129" s="5" t="n">
        <v>2205</v>
      </c>
      <c r="B129" s="5" t="inlineStr">
        <is>
          <t>BLANCA TARDIA</t>
        </is>
      </c>
      <c r="C129" s="5" t="inlineStr">
        <is>
          <t>WARNING</t>
        </is>
      </c>
      <c r="D129" s="5" t="inlineStr">
        <is>
          <t>Warning</t>
        </is>
      </c>
      <c r="E129" s="5" t="inlineStr">
        <is>
          <t>No existe tarifa BonCalidad para socio=1609 campaña=2026 empresa=1 cultivo=CITRICOS.</t>
        </is>
      </c>
      <c r="F129" s="6" t="n">
        <v>46231.74836732359</v>
      </c>
      <c r="G129" s="5" t="inlineStr">
        <is>
          <t>WARNING</t>
        </is>
      </c>
    </row>
    <row r="130">
      <c r="A130" s="5" t="n">
        <v>2205</v>
      </c>
      <c r="B130" s="5" t="inlineStr">
        <is>
          <t>BLANCA TARDIA</t>
        </is>
      </c>
      <c r="C130" s="5" t="inlineStr">
        <is>
          <t>WARNING</t>
        </is>
      </c>
      <c r="D130" s="5" t="inlineStr">
        <is>
          <t>Warning</t>
        </is>
      </c>
      <c r="E130" s="5" t="inlineStr">
        <is>
          <t>Socio=1609: no existe registro activo; se utiliza el único disponible.</t>
        </is>
      </c>
      <c r="F130" s="6" t="n">
        <v>46231.74836732359</v>
      </c>
      <c r="G130" s="5" t="inlineStr">
        <is>
          <t>WARNING</t>
        </is>
      </c>
    </row>
    <row r="131">
      <c r="A131" s="5" t="n">
        <v>2205</v>
      </c>
      <c r="B131" s="5" t="inlineStr">
        <is>
          <t>BLANCA TARDIA</t>
        </is>
      </c>
      <c r="C131" s="5" t="inlineStr">
        <is>
          <t>WARNING</t>
        </is>
      </c>
      <c r="D131" s="5" t="inlineStr">
        <is>
          <t>Warning</t>
        </is>
      </c>
      <c r="E131" s="5" t="inlineStr">
        <is>
          <t>No existe tarifa BonCalidad para socio=1614 campaña=2026 empresa=1 cultivo=CITRICOS.</t>
        </is>
      </c>
      <c r="F131" s="6" t="n">
        <v>46231.74836732359</v>
      </c>
      <c r="G131" s="5" t="inlineStr">
        <is>
          <t>WARNING</t>
        </is>
      </c>
    </row>
    <row r="132">
      <c r="A132" s="5" t="n">
        <v>2205</v>
      </c>
      <c r="B132" s="5" t="inlineStr">
        <is>
          <t>BLANCA TARDIA</t>
        </is>
      </c>
      <c r="C132" s="5" t="inlineStr">
        <is>
          <t>WARNING</t>
        </is>
      </c>
      <c r="D132" s="5" t="inlineStr">
        <is>
          <t>Warning</t>
        </is>
      </c>
      <c r="E132" s="5" t="inlineStr">
        <is>
          <t>No existe tarifa BonCalidad para socio=1615 campaña=2026 empresa=1 cultivo=CITRICOS.</t>
        </is>
      </c>
      <c r="F132" s="6" t="n">
        <v>46231.74836732359</v>
      </c>
      <c r="G132" s="5" t="inlineStr">
        <is>
          <t>WARNING</t>
        </is>
      </c>
    </row>
    <row r="133">
      <c r="A133" s="5" t="n">
        <v>2205</v>
      </c>
      <c r="B133" s="5" t="inlineStr">
        <is>
          <t>BLANCA TARDIA</t>
        </is>
      </c>
      <c r="C133" s="5" t="inlineStr">
        <is>
          <t>WARNING</t>
        </is>
      </c>
      <c r="D133" s="5" t="inlineStr">
        <is>
          <t>Warning</t>
        </is>
      </c>
      <c r="E133" s="5" t="inlineStr">
        <is>
          <t>Cuota Ha no aplicable: sin superficie sujeta a cuota.</t>
        </is>
      </c>
      <c r="F133" s="6" t="n">
        <v>46231.74836732359</v>
      </c>
      <c r="G133" s="5" t="inlineStr">
        <is>
          <t>WARNING</t>
        </is>
      </c>
    </row>
    <row r="134">
      <c r="A134" s="5" t="n">
        <v>2206</v>
      </c>
      <c r="B134" s="5" t="inlineStr">
        <is>
          <t>BLANCA TEMPRANA sem 3</t>
        </is>
      </c>
      <c r="C134" s="5" t="inlineStr">
        <is>
          <t>WARNING</t>
        </is>
      </c>
      <c r="D134" s="5" t="inlineStr">
        <is>
          <t>Warning</t>
        </is>
      </c>
      <c r="E134" s="5" t="inlineStr">
        <is>
          <t>14 entregas ya figuran como liquidadas.</t>
        </is>
      </c>
      <c r="F134" s="6" t="n">
        <v>46231.74836732359</v>
      </c>
      <c r="G134" s="5" t="inlineStr">
        <is>
          <t>WARNING</t>
        </is>
      </c>
    </row>
    <row r="135">
      <c r="A135" s="5" t="n">
        <v>2206</v>
      </c>
      <c r="B135" s="5" t="inlineStr">
        <is>
          <t>BLANCA TEMPRANA sem 3</t>
        </is>
      </c>
      <c r="C135" s="5" t="inlineStr">
        <is>
          <t>WARNING</t>
        </is>
      </c>
      <c r="D135" s="5" t="inlineStr">
        <is>
          <t>Warning</t>
        </is>
      </c>
      <c r="E135" s="5" t="inlineStr">
        <is>
          <t>No existe tarifa BonCalidad para socio=1384 campaña=2026 empresa=1 cultivo=CITRICOS.</t>
        </is>
      </c>
      <c r="F135" s="6" t="n">
        <v>46231.74836732359</v>
      </c>
      <c r="G135" s="5" t="inlineStr">
        <is>
          <t>WARNING</t>
        </is>
      </c>
    </row>
    <row r="136">
      <c r="A136" s="5" t="n">
        <v>2206</v>
      </c>
      <c r="B136" s="5" t="inlineStr">
        <is>
          <t>BLANCA TEMPRANA sem 3</t>
        </is>
      </c>
      <c r="C136" s="5" t="inlineStr">
        <is>
          <t>WARNING</t>
        </is>
      </c>
      <c r="D136" s="5" t="inlineStr">
        <is>
          <t>Warning</t>
        </is>
      </c>
      <c r="E136" s="5" t="inlineStr">
        <is>
          <t>No existe fuente acumulada disponible; saldo informativo calculado con cuota ya aplicada = 0.</t>
        </is>
      </c>
      <c r="F136" s="6" t="n">
        <v>46231.74836732359</v>
      </c>
      <c r="G136" s="5" t="inlineStr">
        <is>
          <t>WARNING</t>
        </is>
      </c>
    </row>
    <row r="137">
      <c r="A137" s="5" t="n">
        <v>2206</v>
      </c>
      <c r="B137" s="5" t="inlineStr">
        <is>
          <t>BLANCA TEMPRANA sem 3</t>
        </is>
      </c>
      <c r="C137" s="5" t="inlineStr">
        <is>
          <t>WARNING</t>
        </is>
      </c>
      <c r="D137" s="5" t="inlineStr">
        <is>
          <t>Warning</t>
        </is>
      </c>
      <c r="E137" s="5" t="inlineStr">
        <is>
          <t>No existe tarifa BonCalidad para socio=1411 campaña=2026 empresa=1 cultivo=CITRICOS.</t>
        </is>
      </c>
      <c r="F137" s="6" t="n">
        <v>46231.74836732359</v>
      </c>
      <c r="G137" s="5" t="inlineStr">
        <is>
          <t>WARNING</t>
        </is>
      </c>
    </row>
    <row r="138">
      <c r="A138" s="5" t="n">
        <v>2206</v>
      </c>
      <c r="B138" s="5" t="inlineStr">
        <is>
          <t>BLANCA TEMPRANA sem 3</t>
        </is>
      </c>
      <c r="C138" s="5" t="inlineStr">
        <is>
          <t>WARNING</t>
        </is>
      </c>
      <c r="D138" s="5" t="inlineStr">
        <is>
          <t>Warning</t>
        </is>
      </c>
      <c r="E138" s="5" t="inlineStr">
        <is>
          <t>No existe tarifa BonCalidad para socio=1540 campaña=2026 empresa=1 cultivo=CITRICOS.</t>
        </is>
      </c>
      <c r="F138" s="6" t="n">
        <v>46231.74836732359</v>
      </c>
      <c r="G138" s="5" t="inlineStr">
        <is>
          <t>WARNING</t>
        </is>
      </c>
    </row>
    <row r="139">
      <c r="A139" s="5" t="n">
        <v>2206</v>
      </c>
      <c r="B139" s="5" t="inlineStr">
        <is>
          <t>BLANCA TEMPRANA sem 3</t>
        </is>
      </c>
      <c r="C139" s="5" t="inlineStr">
        <is>
          <t>WARNING</t>
        </is>
      </c>
      <c r="D139" s="5" t="inlineStr">
        <is>
          <t>Warning</t>
        </is>
      </c>
      <c r="E139" s="5" t="inlineStr">
        <is>
          <t>No existe tarifa BonCalidad para socio=1570 campaña=2026 empresa=1 cultivo=CITRICOS.</t>
        </is>
      </c>
      <c r="F139" s="6" t="n">
        <v>46231.74836732359</v>
      </c>
      <c r="G139" s="5" t="inlineStr">
        <is>
          <t>WARNING</t>
        </is>
      </c>
    </row>
    <row r="140">
      <c r="A140" s="5" t="n">
        <v>2206</v>
      </c>
      <c r="B140" s="5" t="inlineStr">
        <is>
          <t>BLANCA TEMPRANA sem 3</t>
        </is>
      </c>
      <c r="C140" s="5" t="inlineStr">
        <is>
          <t>WARNING</t>
        </is>
      </c>
      <c r="D140" s="5" t="inlineStr">
        <is>
          <t>Warning</t>
        </is>
      </c>
      <c r="E140" s="5" t="inlineStr">
        <is>
          <t>No existe tarifa BonCalidad para socio=1582 campaña=2026 empresa=1 cultivo=CITRICOS.</t>
        </is>
      </c>
      <c r="F140" s="6" t="n">
        <v>46231.74836732359</v>
      </c>
      <c r="G140" s="5" t="inlineStr">
        <is>
          <t>WARNING</t>
        </is>
      </c>
    </row>
    <row r="141">
      <c r="A141" s="5" t="n">
        <v>2206</v>
      </c>
      <c r="B141" s="5" t="inlineStr">
        <is>
          <t>BLANCA TEMPRANA sem 3</t>
        </is>
      </c>
      <c r="C141" s="5" t="inlineStr">
        <is>
          <t>WARNING</t>
        </is>
      </c>
      <c r="D141" s="5" t="inlineStr">
        <is>
          <t>Warning</t>
        </is>
      </c>
      <c r="E141" s="5" t="inlineStr">
        <is>
          <t>No existe tarifa BonCalidad para socio=1585 campaña=2026 empresa=1 cultivo=CITRICOS.</t>
        </is>
      </c>
      <c r="F141" s="6" t="n">
        <v>46231.74836732359</v>
      </c>
      <c r="G141" s="5" t="inlineStr">
        <is>
          <t>WARNING</t>
        </is>
      </c>
    </row>
    <row r="142">
      <c r="A142" s="5" t="n">
        <v>2207</v>
      </c>
      <c r="B142" s="5" t="inlineStr">
        <is>
          <t>BLANCA TEMPRANA sem 4 y +</t>
        </is>
      </c>
      <c r="C142" s="5" t="inlineStr">
        <is>
          <t>WARNING</t>
        </is>
      </c>
      <c r="D142" s="5" t="inlineStr">
        <is>
          <t>Warning</t>
        </is>
      </c>
      <c r="E142" s="5" t="inlineStr">
        <is>
          <t>312 entregas ya figuran como liquidadas.</t>
        </is>
      </c>
      <c r="F142" s="6" t="n">
        <v>46231.74836732359</v>
      </c>
      <c r="G142" s="5" t="inlineStr">
        <is>
          <t>WARNING</t>
        </is>
      </c>
    </row>
    <row r="143">
      <c r="A143" s="5" t="n">
        <v>2207</v>
      </c>
      <c r="B143" s="5" t="inlineStr">
        <is>
          <t>BLANCA TEMPRANA sem 4 y +</t>
        </is>
      </c>
      <c r="C143" s="5" t="inlineStr">
        <is>
          <t>WARNING</t>
        </is>
      </c>
      <c r="D143" s="5" t="inlineStr">
        <is>
          <t>Warning</t>
        </is>
      </c>
      <c r="E143" s="5" t="inlineStr">
        <is>
          <t>No existe tarifa BonCalidad para socio=869 campaña=2026 empresa=1 cultivo=CITRICOS.</t>
        </is>
      </c>
      <c r="F143" s="6" t="n">
        <v>46231.74836732359</v>
      </c>
      <c r="G143" s="5" t="inlineStr">
        <is>
          <t>WARNING</t>
        </is>
      </c>
    </row>
    <row r="144">
      <c r="A144" s="5" t="n">
        <v>2207</v>
      </c>
      <c r="B144" s="5" t="inlineStr">
        <is>
          <t>BLANCA TEMPRANA sem 4 y +</t>
        </is>
      </c>
      <c r="C144" s="5" t="inlineStr">
        <is>
          <t>WARNING</t>
        </is>
      </c>
      <c r="D144" s="5" t="inlineStr">
        <is>
          <t>Warning</t>
        </is>
      </c>
      <c r="E144" s="5" t="inlineStr">
        <is>
          <t>No existe fuente acumulada disponible; saldo informativo calculado con cuota ya aplicada = 0.</t>
        </is>
      </c>
      <c r="F144" s="6" t="n">
        <v>46231.74836732359</v>
      </c>
      <c r="G144" s="5" t="inlineStr">
        <is>
          <t>WARNING</t>
        </is>
      </c>
    </row>
    <row r="145">
      <c r="A145" s="5" t="n">
        <v>2207</v>
      </c>
      <c r="B145" s="5" t="inlineStr">
        <is>
          <t>BLANCA TEMPRANA sem 4 y +</t>
        </is>
      </c>
      <c r="C145" s="5" t="inlineStr">
        <is>
          <t>WARNING</t>
        </is>
      </c>
      <c r="D145" s="5" t="inlineStr">
        <is>
          <t>Warning</t>
        </is>
      </c>
      <c r="E145" s="5" t="inlineStr">
        <is>
          <t>No existe tarifa BonCalidad para socio=883 campaña=2026 empresa=1 cultivo=CITRICOS.</t>
        </is>
      </c>
      <c r="F145" s="6" t="n">
        <v>46231.74836732359</v>
      </c>
      <c r="G145" s="5" t="inlineStr">
        <is>
          <t>WARNING</t>
        </is>
      </c>
    </row>
    <row r="146">
      <c r="A146" s="5" t="n">
        <v>2207</v>
      </c>
      <c r="B146" s="5" t="inlineStr">
        <is>
          <t>BLANCA TEMPRANA sem 4 y +</t>
        </is>
      </c>
      <c r="C146" s="5" t="inlineStr">
        <is>
          <t>WARNING</t>
        </is>
      </c>
      <c r="D146" s="5" t="inlineStr">
        <is>
          <t>Warning</t>
        </is>
      </c>
      <c r="E146" s="5" t="inlineStr">
        <is>
          <t>No existe tarifa BonCalidad para socio=937 campaña=2026 empresa=1 cultivo=CITRICOS.</t>
        </is>
      </c>
      <c r="F146" s="6" t="n">
        <v>46231.74836732359</v>
      </c>
      <c r="G146" s="5" t="inlineStr">
        <is>
          <t>WARNING</t>
        </is>
      </c>
    </row>
    <row r="147">
      <c r="A147" s="5" t="n">
        <v>2207</v>
      </c>
      <c r="B147" s="5" t="inlineStr">
        <is>
          <t>BLANCA TEMPRANA sem 4 y +</t>
        </is>
      </c>
      <c r="C147" s="5" t="inlineStr">
        <is>
          <t>WARNING</t>
        </is>
      </c>
      <c r="D147" s="5" t="inlineStr">
        <is>
          <t>Warning</t>
        </is>
      </c>
      <c r="E147" s="5" t="inlineStr">
        <is>
          <t>No existe tarifa BonCalidad para socio=1072 campaña=2026 empresa=1 cultivo=CITRICOS.</t>
        </is>
      </c>
      <c r="F147" s="6" t="n">
        <v>46231.74836732359</v>
      </c>
      <c r="G147" s="5" t="inlineStr">
        <is>
          <t>WARNING</t>
        </is>
      </c>
    </row>
    <row r="148">
      <c r="A148" s="5" t="n">
        <v>2207</v>
      </c>
      <c r="B148" s="5" t="inlineStr">
        <is>
          <t>BLANCA TEMPRANA sem 4 y +</t>
        </is>
      </c>
      <c r="C148" s="5" t="inlineStr">
        <is>
          <t>WARNING</t>
        </is>
      </c>
      <c r="D148" s="5" t="inlineStr">
        <is>
          <t>Warning</t>
        </is>
      </c>
      <c r="E148" s="5" t="inlineStr">
        <is>
          <t>No existe tarifa BonCalidad para socio=1128 campaña=2026 empresa=1 cultivo=CITRICOS.</t>
        </is>
      </c>
      <c r="F148" s="6" t="n">
        <v>46231.74836732359</v>
      </c>
      <c r="G148" s="5" t="inlineStr">
        <is>
          <t>WARNING</t>
        </is>
      </c>
    </row>
    <row r="149">
      <c r="A149" s="5" t="n">
        <v>2207</v>
      </c>
      <c r="B149" s="5" t="inlineStr">
        <is>
          <t>BLANCA TEMPRANA sem 4 y +</t>
        </is>
      </c>
      <c r="C149" s="5" t="inlineStr">
        <is>
          <t>WARNING</t>
        </is>
      </c>
      <c r="D149" s="5" t="inlineStr">
        <is>
          <t>Warning</t>
        </is>
      </c>
      <c r="E149" s="5" t="inlineStr">
        <is>
          <t>No existe tarifa BonCalidad para socio=1133 campaña=2026 empresa=1 cultivo=CITRICOS.</t>
        </is>
      </c>
      <c r="F149" s="6" t="n">
        <v>46231.74836732359</v>
      </c>
      <c r="G149" s="5" t="inlineStr">
        <is>
          <t>WARNING</t>
        </is>
      </c>
    </row>
    <row r="150">
      <c r="A150" s="5" t="n">
        <v>2207</v>
      </c>
      <c r="B150" s="5" t="inlineStr">
        <is>
          <t>BLANCA TEMPRANA sem 4 y +</t>
        </is>
      </c>
      <c r="C150" s="5" t="inlineStr">
        <is>
          <t>WARNING</t>
        </is>
      </c>
      <c r="D150" s="5" t="inlineStr">
        <is>
          <t>Warning</t>
        </is>
      </c>
      <c r="E150" s="5" t="inlineStr">
        <is>
          <t>No existe tarifa BonCalidad para socio=1178 campaña=2026 empresa=1 cultivo=CITRICOS.</t>
        </is>
      </c>
      <c r="F150" s="6" t="n">
        <v>46231.74836732359</v>
      </c>
      <c r="G150" s="5" t="inlineStr">
        <is>
          <t>WARNING</t>
        </is>
      </c>
    </row>
    <row r="151">
      <c r="A151" s="5" t="n">
        <v>2207</v>
      </c>
      <c r="B151" s="5" t="inlineStr">
        <is>
          <t>BLANCA TEMPRANA sem 4 y +</t>
        </is>
      </c>
      <c r="C151" s="5" t="inlineStr">
        <is>
          <t>WARNING</t>
        </is>
      </c>
      <c r="D151" s="5" t="inlineStr">
        <is>
          <t>Warning</t>
        </is>
      </c>
      <c r="E151" s="5" t="inlineStr">
        <is>
          <t>No existe tarifa BonCalidad para socio=1202 campaña=2026 empresa=1 cultivo=CITRICOS.</t>
        </is>
      </c>
      <c r="F151" s="6" t="n">
        <v>46231.74836732359</v>
      </c>
      <c r="G151" s="5" t="inlineStr">
        <is>
          <t>WARNING</t>
        </is>
      </c>
    </row>
    <row r="152">
      <c r="A152" s="5" t="n">
        <v>2207</v>
      </c>
      <c r="B152" s="5" t="inlineStr">
        <is>
          <t>BLANCA TEMPRANA sem 4 y +</t>
        </is>
      </c>
      <c r="C152" s="5" t="inlineStr">
        <is>
          <t>WARNING</t>
        </is>
      </c>
      <c r="D152" s="5" t="inlineStr">
        <is>
          <t>Warning</t>
        </is>
      </c>
      <c r="E152" s="5" t="inlineStr">
        <is>
          <t>No existe tarifa BonCalidad para socio=1219 campaña=2026 empresa=1 cultivo=CITRICOS.</t>
        </is>
      </c>
      <c r="F152" s="6" t="n">
        <v>46231.74836732359</v>
      </c>
      <c r="G152" s="5" t="inlineStr">
        <is>
          <t>WARNING</t>
        </is>
      </c>
    </row>
    <row r="153">
      <c r="A153" s="5" t="n">
        <v>2207</v>
      </c>
      <c r="B153" s="5" t="inlineStr">
        <is>
          <t>BLANCA TEMPRANA sem 4 y +</t>
        </is>
      </c>
      <c r="C153" s="5" t="inlineStr">
        <is>
          <t>WARNING</t>
        </is>
      </c>
      <c r="D153" s="5" t="inlineStr">
        <is>
          <t>Warning</t>
        </is>
      </c>
      <c r="E153" s="5" t="inlineStr">
        <is>
          <t>No existe tarifa BonCalidad para socio=1251 campaña=2026 empresa=1 cultivo=CITRICOS.</t>
        </is>
      </c>
      <c r="F153" s="6" t="n">
        <v>46231.74836732359</v>
      </c>
      <c r="G153" s="5" t="inlineStr">
        <is>
          <t>WARNING</t>
        </is>
      </c>
    </row>
    <row r="154">
      <c r="A154" s="5" t="n">
        <v>2207</v>
      </c>
      <c r="B154" s="5" t="inlineStr">
        <is>
          <t>BLANCA TEMPRANA sem 4 y +</t>
        </is>
      </c>
      <c r="C154" s="5" t="inlineStr">
        <is>
          <t>WARNING</t>
        </is>
      </c>
      <c r="D154" s="5" t="inlineStr">
        <is>
          <t>Warning</t>
        </is>
      </c>
      <c r="E154" s="5" t="inlineStr">
        <is>
          <t>No existe tarifa BonCalidad para socio=1316 campaña=2026 empresa=1 cultivo=CITRICOS.</t>
        </is>
      </c>
      <c r="F154" s="6" t="n">
        <v>46231.74836732359</v>
      </c>
      <c r="G154" s="5" t="inlineStr">
        <is>
          <t>WARNING</t>
        </is>
      </c>
    </row>
    <row r="155">
      <c r="A155" s="5" t="n">
        <v>2207</v>
      </c>
      <c r="B155" s="5" t="inlineStr">
        <is>
          <t>BLANCA TEMPRANA sem 4 y +</t>
        </is>
      </c>
      <c r="C155" s="5" t="inlineStr">
        <is>
          <t>WARNING</t>
        </is>
      </c>
      <c r="D155" s="5" t="inlineStr">
        <is>
          <t>Warning</t>
        </is>
      </c>
      <c r="E155" s="5" t="inlineStr">
        <is>
          <t>No existe tarifa BonCalidad para socio=1350 campaña=2026 empresa=1 cultivo=CITRICOS.</t>
        </is>
      </c>
      <c r="F155" s="6" t="n">
        <v>46231.74836732359</v>
      </c>
      <c r="G155" s="5" t="inlineStr">
        <is>
          <t>WARNING</t>
        </is>
      </c>
    </row>
    <row r="156">
      <c r="A156" s="5" t="n">
        <v>2207</v>
      </c>
      <c r="B156" s="5" t="inlineStr">
        <is>
          <t>BLANCA TEMPRANA sem 4 y +</t>
        </is>
      </c>
      <c r="C156" s="5" t="inlineStr">
        <is>
          <t>WARNING</t>
        </is>
      </c>
      <c r="D156" s="5" t="inlineStr">
        <is>
          <t>Warning</t>
        </is>
      </c>
      <c r="E156" s="5" t="inlineStr">
        <is>
          <t>El socio 1350 figura certificado GlobalGAP en CITRICOS pero no en CITRICOS. Se ha aplicado la certificación global del socio. Revise DEEPP.</t>
        </is>
      </c>
      <c r="F156" s="6" t="n">
        <v>46231.74836732359</v>
      </c>
      <c r="G156" s="5" t="inlineStr">
        <is>
          <t>WARNING</t>
        </is>
      </c>
    </row>
    <row r="157">
      <c r="A157" s="5" t="n">
        <v>2207</v>
      </c>
      <c r="B157" s="5" t="inlineStr">
        <is>
          <t>BLANCA TEMPRANA sem 4 y +</t>
        </is>
      </c>
      <c r="C157" s="5" t="inlineStr">
        <is>
          <t>WARNING</t>
        </is>
      </c>
      <c r="D157" s="5" t="inlineStr">
        <is>
          <t>Warning</t>
        </is>
      </c>
      <c r="E157" s="5" t="inlineStr">
        <is>
          <t>No existe tarifa BonCalidad para socio=1354 campaña=2026 empresa=1 cultivo=CITRICOS.</t>
        </is>
      </c>
      <c r="F157" s="6" t="n">
        <v>46231.74836732359</v>
      </c>
      <c r="G157" s="5" t="inlineStr">
        <is>
          <t>WARNING</t>
        </is>
      </c>
    </row>
    <row r="158">
      <c r="A158" s="5" t="n">
        <v>2207</v>
      </c>
      <c r="B158" s="5" t="inlineStr">
        <is>
          <t>BLANCA TEMPRANA sem 4 y +</t>
        </is>
      </c>
      <c r="C158" s="5" t="inlineStr">
        <is>
          <t>WARNING</t>
        </is>
      </c>
      <c r="D158" s="5" t="inlineStr">
        <is>
          <t>Warning</t>
        </is>
      </c>
      <c r="E158" s="5" t="inlineStr">
        <is>
          <t>No existe tarifa BonCalidad para socio=1355 campaña=2026 empresa=1 cultivo=CITRICOS.</t>
        </is>
      </c>
      <c r="F158" s="6" t="n">
        <v>46231.74836732359</v>
      </c>
      <c r="G158" s="5" t="inlineStr">
        <is>
          <t>WARNING</t>
        </is>
      </c>
    </row>
    <row r="159">
      <c r="A159" s="5" t="n">
        <v>2207</v>
      </c>
      <c r="B159" s="5" t="inlineStr">
        <is>
          <t>BLANCA TEMPRANA sem 4 y +</t>
        </is>
      </c>
      <c r="C159" s="5" t="inlineStr">
        <is>
          <t>WARNING</t>
        </is>
      </c>
      <c r="D159" s="5" t="inlineStr">
        <is>
          <t>Warning</t>
        </is>
      </c>
      <c r="E159" s="5" t="inlineStr">
        <is>
          <t>No existe tarifa BonCalidad para socio=1374 campaña=2026 empresa=1 cultivo=CITRICOS.</t>
        </is>
      </c>
      <c r="F159" s="6" t="n">
        <v>46231.74836732359</v>
      </c>
      <c r="G159" s="5" t="inlineStr">
        <is>
          <t>WARNING</t>
        </is>
      </c>
    </row>
    <row r="160">
      <c r="A160" s="5" t="n">
        <v>2207</v>
      </c>
      <c r="B160" s="5" t="inlineStr">
        <is>
          <t>BLANCA TEMPRANA sem 4 y +</t>
        </is>
      </c>
      <c r="C160" s="5" t="inlineStr">
        <is>
          <t>WARNING</t>
        </is>
      </c>
      <c r="D160" s="5" t="inlineStr">
        <is>
          <t>Warning</t>
        </is>
      </c>
      <c r="E160" s="5" t="inlineStr">
        <is>
          <t>No existe tarifa BonCalidad para socio=1389 campaña=2026 empresa=1 cultivo=CITRICOS.</t>
        </is>
      </c>
      <c r="F160" s="6" t="n">
        <v>46231.74836732359</v>
      </c>
      <c r="G160" s="5" t="inlineStr">
        <is>
          <t>WARNING</t>
        </is>
      </c>
    </row>
    <row r="161">
      <c r="A161" s="5" t="n">
        <v>2207</v>
      </c>
      <c r="B161" s="5" t="inlineStr">
        <is>
          <t>BLANCA TEMPRANA sem 4 y +</t>
        </is>
      </c>
      <c r="C161" s="5" t="inlineStr">
        <is>
          <t>WARNING</t>
        </is>
      </c>
      <c r="D161" s="5" t="inlineStr">
        <is>
          <t>Warning</t>
        </is>
      </c>
      <c r="E161" s="5" t="inlineStr">
        <is>
          <t>No existe tarifa BonCalidad para socio=1395 campaña=2026 empresa=1 cultivo=CITRICOS.</t>
        </is>
      </c>
      <c r="F161" s="6" t="n">
        <v>46231.74836732359</v>
      </c>
      <c r="G161" s="5" t="inlineStr">
        <is>
          <t>WARNING</t>
        </is>
      </c>
    </row>
    <row r="162">
      <c r="A162" s="5" t="n">
        <v>2207</v>
      </c>
      <c r="B162" s="5" t="inlineStr">
        <is>
          <t>BLANCA TEMPRANA sem 4 y +</t>
        </is>
      </c>
      <c r="C162" s="5" t="inlineStr">
        <is>
          <t>WARNING</t>
        </is>
      </c>
      <c r="D162" s="5" t="inlineStr">
        <is>
          <t>Warning</t>
        </is>
      </c>
      <c r="E162" s="5" t="inlineStr">
        <is>
          <t>No existe tarifa BonCalidad para socio=1411 campaña=2026 empresa=1 cultivo=CITRICOS.</t>
        </is>
      </c>
      <c r="F162" s="6" t="n">
        <v>46231.74836732359</v>
      </c>
      <c r="G162" s="5" t="inlineStr">
        <is>
          <t>WARNING</t>
        </is>
      </c>
    </row>
    <row r="163">
      <c r="A163" s="5" t="n">
        <v>2207</v>
      </c>
      <c r="B163" s="5" t="inlineStr">
        <is>
          <t>BLANCA TEMPRANA sem 4 y +</t>
        </is>
      </c>
      <c r="C163" s="5" t="inlineStr">
        <is>
          <t>WARNING</t>
        </is>
      </c>
      <c r="D163" s="5" t="inlineStr">
        <is>
          <t>Warning</t>
        </is>
      </c>
      <c r="E163" s="5" t="inlineStr">
        <is>
          <t>No existe tarifa BonCalidad para socio=1419 campaña=2026 empresa=1 cultivo=CITRICOS.</t>
        </is>
      </c>
      <c r="F163" s="6" t="n">
        <v>46231.74836732359</v>
      </c>
      <c r="G163" s="5" t="inlineStr">
        <is>
          <t>WARNING</t>
        </is>
      </c>
    </row>
    <row r="164">
      <c r="A164" s="5" t="n">
        <v>2207</v>
      </c>
      <c r="B164" s="5" t="inlineStr">
        <is>
          <t>BLANCA TEMPRANA sem 4 y +</t>
        </is>
      </c>
      <c r="C164" s="5" t="inlineStr">
        <is>
          <t>WARNING</t>
        </is>
      </c>
      <c r="D164" s="5" t="inlineStr">
        <is>
          <t>Warning</t>
        </is>
      </c>
      <c r="E164" s="5" t="inlineStr">
        <is>
          <t>No existe tarifa BonCalidad para socio=1421 campaña=2026 empresa=1 cultivo=CITRICOS.</t>
        </is>
      </c>
      <c r="F164" s="6" t="n">
        <v>46231.74836732359</v>
      </c>
      <c r="G164" s="5" t="inlineStr">
        <is>
          <t>WARNING</t>
        </is>
      </c>
    </row>
    <row r="165">
      <c r="A165" s="5" t="n">
        <v>2207</v>
      </c>
      <c r="B165" s="5" t="inlineStr">
        <is>
          <t>BLANCA TEMPRANA sem 4 y +</t>
        </is>
      </c>
      <c r="C165" s="5" t="inlineStr">
        <is>
          <t>WARNING</t>
        </is>
      </c>
      <c r="D165" s="5" t="inlineStr">
        <is>
          <t>Warning</t>
        </is>
      </c>
      <c r="E165" s="5" t="inlineStr">
        <is>
          <t>No existe tarifa BonCalidad para socio=1443 campaña=2026 empresa=1 cultivo=CITRICOS.</t>
        </is>
      </c>
      <c r="F165" s="6" t="n">
        <v>46231.74836732359</v>
      </c>
      <c r="G165" s="5" t="inlineStr">
        <is>
          <t>WARNING</t>
        </is>
      </c>
    </row>
    <row r="166">
      <c r="A166" s="5" t="n">
        <v>2207</v>
      </c>
      <c r="B166" s="5" t="inlineStr">
        <is>
          <t>BLANCA TEMPRANA sem 4 y +</t>
        </is>
      </c>
      <c r="C166" s="5" t="inlineStr">
        <is>
          <t>WARNING</t>
        </is>
      </c>
      <c r="D166" s="5" t="inlineStr">
        <is>
          <t>Warning</t>
        </is>
      </c>
      <c r="E166" s="5" t="inlineStr">
        <is>
          <t>No existe tarifa BonCalidad para socio=1485 campaña=2026 empresa=1 cultivo=CITRICOS.</t>
        </is>
      </c>
      <c r="F166" s="6" t="n">
        <v>46231.74836732359</v>
      </c>
      <c r="G166" s="5" t="inlineStr">
        <is>
          <t>WARNING</t>
        </is>
      </c>
    </row>
    <row r="167">
      <c r="A167" s="5" t="n">
        <v>2207</v>
      </c>
      <c r="B167" s="5" t="inlineStr">
        <is>
          <t>BLANCA TEMPRANA sem 4 y +</t>
        </is>
      </c>
      <c r="C167" s="5" t="inlineStr">
        <is>
          <t>WARNING</t>
        </is>
      </c>
      <c r="D167" s="5" t="inlineStr">
        <is>
          <t>Warning</t>
        </is>
      </c>
      <c r="E167" s="5" t="inlineStr">
        <is>
          <t>No existe tarifa BonCalidad para socio=1512 campaña=2026 empresa=1 cultivo=CITRICOS.</t>
        </is>
      </c>
      <c r="F167" s="6" t="n">
        <v>46231.74836732359</v>
      </c>
      <c r="G167" s="5" t="inlineStr">
        <is>
          <t>WARNING</t>
        </is>
      </c>
    </row>
    <row r="168">
      <c r="A168" s="5" t="n">
        <v>2207</v>
      </c>
      <c r="B168" s="5" t="inlineStr">
        <is>
          <t>BLANCA TEMPRANA sem 4 y +</t>
        </is>
      </c>
      <c r="C168" s="5" t="inlineStr">
        <is>
          <t>WARNING</t>
        </is>
      </c>
      <c r="D168" s="5" t="inlineStr">
        <is>
          <t>Warning</t>
        </is>
      </c>
      <c r="E168" s="5" t="inlineStr">
        <is>
          <t>No existe tarifa BonCalidad para socio=1523 campaña=2026 empresa=1 cultivo=CITRICOS.</t>
        </is>
      </c>
      <c r="F168" s="6" t="n">
        <v>46231.74836732359</v>
      </c>
      <c r="G168" s="5" t="inlineStr">
        <is>
          <t>WARNING</t>
        </is>
      </c>
    </row>
    <row r="169">
      <c r="A169" s="5" t="n">
        <v>2207</v>
      </c>
      <c r="B169" s="5" t="inlineStr">
        <is>
          <t>BLANCA TEMPRANA sem 4 y +</t>
        </is>
      </c>
      <c r="C169" s="5" t="inlineStr">
        <is>
          <t>WARNING</t>
        </is>
      </c>
      <c r="D169" s="5" t="inlineStr">
        <is>
          <t>Warning</t>
        </is>
      </c>
      <c r="E169" s="5" t="inlineStr">
        <is>
          <t>El socio 1523 figura certificado GlobalGAP en CITRICOS, KAKIS, MANDARINA pero no en CITRICOS. Se ha aplicado la certificación global del socio. Revise DEEPP.</t>
        </is>
      </c>
      <c r="F169" s="6" t="n">
        <v>46231.74836732359</v>
      </c>
      <c r="G169" s="5" t="inlineStr">
        <is>
          <t>WARNING</t>
        </is>
      </c>
    </row>
    <row r="170">
      <c r="A170" s="5" t="n">
        <v>2207</v>
      </c>
      <c r="B170" s="5" t="inlineStr">
        <is>
          <t>BLANCA TEMPRANA sem 4 y +</t>
        </is>
      </c>
      <c r="C170" s="5" t="inlineStr">
        <is>
          <t>WARNING</t>
        </is>
      </c>
      <c r="D170" s="5" t="inlineStr">
        <is>
          <t>Warning</t>
        </is>
      </c>
      <c r="E170" s="5" t="inlineStr">
        <is>
          <t>No existe tarifa BonCalidad para socio=1529 campaña=2026 empresa=1 cultivo=CITRICOS.</t>
        </is>
      </c>
      <c r="F170" s="6" t="n">
        <v>46231.74836732359</v>
      </c>
      <c r="G170" s="5" t="inlineStr">
        <is>
          <t>WARNING</t>
        </is>
      </c>
    </row>
    <row r="171">
      <c r="A171" s="5" t="n">
        <v>2207</v>
      </c>
      <c r="B171" s="5" t="inlineStr">
        <is>
          <t>BLANCA TEMPRANA sem 4 y +</t>
        </is>
      </c>
      <c r="C171" s="5" t="inlineStr">
        <is>
          <t>WARNING</t>
        </is>
      </c>
      <c r="D171" s="5" t="inlineStr">
        <is>
          <t>Warning</t>
        </is>
      </c>
      <c r="E171" s="5" t="inlineStr">
        <is>
          <t>No existe tarifa BonCalidad para socio=1540 campaña=2026 empresa=1 cultivo=CITRICOS.</t>
        </is>
      </c>
      <c r="F171" s="6" t="n">
        <v>46231.74836732359</v>
      </c>
      <c r="G171" s="5" t="inlineStr">
        <is>
          <t>WARNING</t>
        </is>
      </c>
    </row>
    <row r="172">
      <c r="A172" s="5" t="n">
        <v>2207</v>
      </c>
      <c r="B172" s="5" t="inlineStr">
        <is>
          <t>BLANCA TEMPRANA sem 4 y +</t>
        </is>
      </c>
      <c r="C172" s="5" t="inlineStr">
        <is>
          <t>WARNING</t>
        </is>
      </c>
      <c r="D172" s="5" t="inlineStr">
        <is>
          <t>Warning</t>
        </is>
      </c>
      <c r="E172" s="5" t="inlineStr">
        <is>
          <t>No existe tarifa BonCalidad para socio=1544 campaña=2026 empresa=1 cultivo=CITRICOS.</t>
        </is>
      </c>
      <c r="F172" s="6" t="n">
        <v>46231.74836732359</v>
      </c>
      <c r="G172" s="5" t="inlineStr">
        <is>
          <t>WARNING</t>
        </is>
      </c>
    </row>
    <row r="173">
      <c r="A173" s="5" t="n">
        <v>2207</v>
      </c>
      <c r="B173" s="5" t="inlineStr">
        <is>
          <t>BLANCA TEMPRANA sem 4 y +</t>
        </is>
      </c>
      <c r="C173" s="5" t="inlineStr">
        <is>
          <t>WARNING</t>
        </is>
      </c>
      <c r="D173" s="5" t="inlineStr">
        <is>
          <t>Warning</t>
        </is>
      </c>
      <c r="E173" s="5" t="inlineStr">
        <is>
          <t>No existe tarifa BonCalidad para socio=1564 campaña=2026 empresa=1 cultivo=CITRICOS.</t>
        </is>
      </c>
      <c r="F173" s="6" t="n">
        <v>46231.74836732359</v>
      </c>
      <c r="G173" s="5" t="inlineStr">
        <is>
          <t>WARNING</t>
        </is>
      </c>
    </row>
    <row r="174">
      <c r="A174" s="5" t="n">
        <v>2207</v>
      </c>
      <c r="B174" s="5" t="inlineStr">
        <is>
          <t>BLANCA TEMPRANA sem 4 y +</t>
        </is>
      </c>
      <c r="C174" s="5" t="inlineStr">
        <is>
          <t>WARNING</t>
        </is>
      </c>
      <c r="D174" s="5" t="inlineStr">
        <is>
          <t>Warning</t>
        </is>
      </c>
      <c r="E174" s="5" t="inlineStr">
        <is>
          <t>No existe tarifa BonCalidad para socio=1577 campaña=2026 empresa=1 cultivo=CITRICOS.</t>
        </is>
      </c>
      <c r="F174" s="6" t="n">
        <v>46231.74836732359</v>
      </c>
      <c r="G174" s="5" t="inlineStr">
        <is>
          <t>WARNING</t>
        </is>
      </c>
    </row>
    <row r="175">
      <c r="A175" s="5" t="n">
        <v>2207</v>
      </c>
      <c r="B175" s="5" t="inlineStr">
        <is>
          <t>BLANCA TEMPRANA sem 4 y +</t>
        </is>
      </c>
      <c r="C175" s="5" t="inlineStr">
        <is>
          <t>WARNING</t>
        </is>
      </c>
      <c r="D175" s="5" t="inlineStr">
        <is>
          <t>Warning</t>
        </is>
      </c>
      <c r="E175" s="5" t="inlineStr">
        <is>
          <t>No existe tarifa BonCalidad para socio=1579 campaña=2026 empresa=1 cultivo=CITRICOS.</t>
        </is>
      </c>
      <c r="F175" s="6" t="n">
        <v>46231.74836732359</v>
      </c>
      <c r="G175" s="5" t="inlineStr">
        <is>
          <t>WARNING</t>
        </is>
      </c>
    </row>
    <row r="176">
      <c r="A176" s="5" t="n">
        <v>2207</v>
      </c>
      <c r="B176" s="5" t="inlineStr">
        <is>
          <t>BLANCA TEMPRANA sem 4 y +</t>
        </is>
      </c>
      <c r="C176" s="5" t="inlineStr">
        <is>
          <t>WARNING</t>
        </is>
      </c>
      <c r="D176" s="5" t="inlineStr">
        <is>
          <t>Warning</t>
        </is>
      </c>
      <c r="E176" s="5" t="inlineStr">
        <is>
          <t>Cuota Ha no aplicable: sin superficie sujeta a cuota.</t>
        </is>
      </c>
      <c r="F176" s="6" t="n">
        <v>46231.74836732359</v>
      </c>
      <c r="G176" s="5" t="inlineStr">
        <is>
          <t>WARNING</t>
        </is>
      </c>
    </row>
    <row r="177">
      <c r="A177" s="5" t="n">
        <v>2207</v>
      </c>
      <c r="B177" s="5" t="inlineStr">
        <is>
          <t>BLANCA TEMPRANA sem 4 y +</t>
        </is>
      </c>
      <c r="C177" s="5" t="inlineStr">
        <is>
          <t>WARNING</t>
        </is>
      </c>
      <c r="D177" s="5" t="inlineStr">
        <is>
          <t>Warning</t>
        </is>
      </c>
      <c r="E177" s="5" t="inlineStr">
        <is>
          <t>No existe tarifa BonCalidad para socio=1582 campaña=2026 empresa=1 cultivo=CITRICOS.</t>
        </is>
      </c>
      <c r="F177" s="6" t="n">
        <v>46231.74836732359</v>
      </c>
      <c r="G177" s="5" t="inlineStr">
        <is>
          <t>WARNING</t>
        </is>
      </c>
    </row>
    <row r="178">
      <c r="A178" s="5" t="n">
        <v>2207</v>
      </c>
      <c r="B178" s="5" t="inlineStr">
        <is>
          <t>BLANCA TEMPRANA sem 4 y +</t>
        </is>
      </c>
      <c r="C178" s="5" t="inlineStr">
        <is>
          <t>WARNING</t>
        </is>
      </c>
      <c r="D178" s="5" t="inlineStr">
        <is>
          <t>Warning</t>
        </is>
      </c>
      <c r="E178" s="5" t="inlineStr">
        <is>
          <t>No existe tarifa BonCalidad para socio=1585 campaña=2026 empresa=1 cultivo=CITRICOS.</t>
        </is>
      </c>
      <c r="F178" s="6" t="n">
        <v>46231.74836732359</v>
      </c>
      <c r="G178" s="5" t="inlineStr">
        <is>
          <t>WARNING</t>
        </is>
      </c>
    </row>
    <row r="179">
      <c r="A179" s="5" t="n">
        <v>2207</v>
      </c>
      <c r="B179" s="5" t="inlineStr">
        <is>
          <t>BLANCA TEMPRANA sem 4 y +</t>
        </is>
      </c>
      <c r="C179" s="5" t="inlineStr">
        <is>
          <t>WARNING</t>
        </is>
      </c>
      <c r="D179" s="5" t="inlineStr">
        <is>
          <t>Warning</t>
        </is>
      </c>
      <c r="E179" s="5" t="inlineStr">
        <is>
          <t>No existe tarifa BonCalidad para socio=1597 campaña=2026 empresa=1 cultivo=CITRICOS.</t>
        </is>
      </c>
      <c r="F179" s="6" t="n">
        <v>46231.74836732359</v>
      </c>
      <c r="G179" s="5" t="inlineStr">
        <is>
          <t>WARNING</t>
        </is>
      </c>
    </row>
    <row r="180">
      <c r="A180" s="5" t="n">
        <v>2208</v>
      </c>
      <c r="B180" s="5" t="inlineStr">
        <is>
          <t>BLANCA TEMPRANA sem antep</t>
        </is>
      </c>
      <c r="C180" s="5" t="inlineStr">
        <is>
          <t>WARNING</t>
        </is>
      </c>
      <c r="D180" s="5" t="inlineStr">
        <is>
          <t>Warning</t>
        </is>
      </c>
      <c r="E180" s="5" t="inlineStr">
        <is>
          <t>44 entregas ya figuran como liquidadas.</t>
        </is>
      </c>
      <c r="F180" s="6" t="n">
        <v>46231.74836732359</v>
      </c>
      <c r="G180" s="5" t="inlineStr">
        <is>
          <t>WARNING</t>
        </is>
      </c>
    </row>
    <row r="181">
      <c r="A181" s="5" t="n">
        <v>2208</v>
      </c>
      <c r="B181" s="5" t="inlineStr">
        <is>
          <t>BLANCA TEMPRANA sem antep</t>
        </is>
      </c>
      <c r="C181" s="5" t="inlineStr">
        <is>
          <t>WARNING</t>
        </is>
      </c>
      <c r="D181" s="5" t="inlineStr">
        <is>
          <t>Warning</t>
        </is>
      </c>
      <c r="E181" s="5" t="inlineStr">
        <is>
          <t>No existe tarifa BonCalidad para socio=466 campaña=2026 empresa=1 cultivo=CITRICOS.</t>
        </is>
      </c>
      <c r="F181" s="6" t="n">
        <v>46231.74836732359</v>
      </c>
      <c r="G181" s="5" t="inlineStr">
        <is>
          <t>WARNING</t>
        </is>
      </c>
    </row>
    <row r="182">
      <c r="A182" s="5" t="n">
        <v>2208</v>
      </c>
      <c r="B182" s="5" t="inlineStr">
        <is>
          <t>BLANCA TEMPRANA sem antep</t>
        </is>
      </c>
      <c r="C182" s="5" t="inlineStr">
        <is>
          <t>WARNING</t>
        </is>
      </c>
      <c r="D182" s="5" t="inlineStr">
        <is>
          <t>Warning</t>
        </is>
      </c>
      <c r="E182" s="5" t="inlineStr">
        <is>
          <t>No existe fuente acumulada disponible; saldo informativo calculado con cuota ya aplicada = 0.</t>
        </is>
      </c>
      <c r="F182" s="6" t="n">
        <v>46231.74836732359</v>
      </c>
      <c r="G182" s="5" t="inlineStr">
        <is>
          <t>WARNING</t>
        </is>
      </c>
    </row>
    <row r="183">
      <c r="A183" s="5" t="n">
        <v>2208</v>
      </c>
      <c r="B183" s="5" t="inlineStr">
        <is>
          <t>BLANCA TEMPRANA sem antep</t>
        </is>
      </c>
      <c r="C183" s="5" t="inlineStr">
        <is>
          <t>WARNING</t>
        </is>
      </c>
      <c r="D183" s="5" t="inlineStr">
        <is>
          <t>Warning</t>
        </is>
      </c>
      <c r="E183" s="5" t="inlineStr">
        <is>
          <t>No existe tarifa BonCalidad para socio=1117 campaña=2026 empresa=1 cultivo=CITRICOS.</t>
        </is>
      </c>
      <c r="F183" s="6" t="n">
        <v>46231.74836732359</v>
      </c>
      <c r="G183" s="5" t="inlineStr">
        <is>
          <t>WARNING</t>
        </is>
      </c>
    </row>
    <row r="184">
      <c r="A184" s="5" t="n">
        <v>2208</v>
      </c>
      <c r="B184" s="5" t="inlineStr">
        <is>
          <t>BLANCA TEMPRANA sem antep</t>
        </is>
      </c>
      <c r="C184" s="5" t="inlineStr">
        <is>
          <t>WARNING</t>
        </is>
      </c>
      <c r="D184" s="5" t="inlineStr">
        <is>
          <t>Warning</t>
        </is>
      </c>
      <c r="E184" s="5" t="inlineStr">
        <is>
          <t>No existe tarifa BonCalidad para socio=1124 campaña=2026 empresa=1 cultivo=CITRICOS.</t>
        </is>
      </c>
      <c r="F184" s="6" t="n">
        <v>46231.74836732359</v>
      </c>
      <c r="G184" s="5" t="inlineStr">
        <is>
          <t>WARNING</t>
        </is>
      </c>
    </row>
    <row r="185">
      <c r="A185" s="5" t="n">
        <v>2208</v>
      </c>
      <c r="B185" s="5" t="inlineStr">
        <is>
          <t>BLANCA TEMPRANA sem antep</t>
        </is>
      </c>
      <c r="C185" s="5" t="inlineStr">
        <is>
          <t>WARNING</t>
        </is>
      </c>
      <c r="D185" s="5" t="inlineStr">
        <is>
          <t>Warning</t>
        </is>
      </c>
      <c r="E185" s="5" t="inlineStr">
        <is>
          <t>No existe tarifa BonCalidad para socio=1126 campaña=2026 empresa=1 cultivo=CITRICOS.</t>
        </is>
      </c>
      <c r="F185" s="6" t="n">
        <v>46231.74836732359</v>
      </c>
      <c r="G185" s="5" t="inlineStr">
        <is>
          <t>WARNING</t>
        </is>
      </c>
    </row>
    <row r="186">
      <c r="A186" s="5" t="n">
        <v>2208</v>
      </c>
      <c r="B186" s="5" t="inlineStr">
        <is>
          <t>BLANCA TEMPRANA sem antep</t>
        </is>
      </c>
      <c r="C186" s="5" t="inlineStr">
        <is>
          <t>WARNING</t>
        </is>
      </c>
      <c r="D186" s="5" t="inlineStr">
        <is>
          <t>Warning</t>
        </is>
      </c>
      <c r="E186" s="5" t="inlineStr">
        <is>
          <t>No existe tarifa BonCalidad para socio=1128 campaña=2026 empresa=1 cultivo=CITRICOS.</t>
        </is>
      </c>
      <c r="F186" s="6" t="n">
        <v>46231.74836732359</v>
      </c>
      <c r="G186" s="5" t="inlineStr">
        <is>
          <t>WARNING</t>
        </is>
      </c>
    </row>
    <row r="187">
      <c r="A187" s="5" t="n">
        <v>2208</v>
      </c>
      <c r="B187" s="5" t="inlineStr">
        <is>
          <t>BLANCA TEMPRANA sem antep</t>
        </is>
      </c>
      <c r="C187" s="5" t="inlineStr">
        <is>
          <t>WARNING</t>
        </is>
      </c>
      <c r="D187" s="5" t="inlineStr">
        <is>
          <t>Warning</t>
        </is>
      </c>
      <c r="E187" s="5" t="inlineStr">
        <is>
          <t>No existe tarifa BonCalidad para socio=1487 campaña=2026 empresa=1 cultivo=CITRICOS.</t>
        </is>
      </c>
      <c r="F187" s="6" t="n">
        <v>46231.74836732359</v>
      </c>
      <c r="G187" s="5" t="inlineStr">
        <is>
          <t>WARNING</t>
        </is>
      </c>
    </row>
    <row r="188">
      <c r="A188" s="5" t="n">
        <v>2209</v>
      </c>
      <c r="B188" s="5" t="inlineStr">
        <is>
          <t>BLANCA TEMPRANA sem penult</t>
        </is>
      </c>
      <c r="C188" s="5" t="inlineStr">
        <is>
          <t>WARNING</t>
        </is>
      </c>
      <c r="D188" s="5" t="inlineStr">
        <is>
          <t>Warning</t>
        </is>
      </c>
      <c r="E188" s="5" t="inlineStr">
        <is>
          <t>30 entregas ya figuran como liquidadas.</t>
        </is>
      </c>
      <c r="F188" s="6" t="n">
        <v>46231.74836732359</v>
      </c>
      <c r="G188" s="5" t="inlineStr">
        <is>
          <t>WARNING</t>
        </is>
      </c>
    </row>
    <row r="189">
      <c r="A189" s="5" t="n">
        <v>2209</v>
      </c>
      <c r="B189" s="5" t="inlineStr">
        <is>
          <t>BLANCA TEMPRANA sem penult</t>
        </is>
      </c>
      <c r="C189" s="5" t="inlineStr">
        <is>
          <t>WARNING</t>
        </is>
      </c>
      <c r="D189" s="5" t="inlineStr">
        <is>
          <t>Warning</t>
        </is>
      </c>
      <c r="E189" s="5" t="inlineStr">
        <is>
          <t>No existe tarifa BonCalidad para socio=1126 campaña=2026 empresa=1 cultivo=CITRICOS.</t>
        </is>
      </c>
      <c r="F189" s="6" t="n">
        <v>46231.74836732359</v>
      </c>
      <c r="G189" s="5" t="inlineStr">
        <is>
          <t>WARNING</t>
        </is>
      </c>
    </row>
    <row r="190">
      <c r="A190" s="5" t="n">
        <v>2209</v>
      </c>
      <c r="B190" s="5" t="inlineStr">
        <is>
          <t>BLANCA TEMPRANA sem penult</t>
        </is>
      </c>
      <c r="C190" s="5" t="inlineStr">
        <is>
          <t>WARNING</t>
        </is>
      </c>
      <c r="D190" s="5" t="inlineStr">
        <is>
          <t>Warning</t>
        </is>
      </c>
      <c r="E190" s="5" t="inlineStr">
        <is>
          <t>No existe fuente acumulada disponible; saldo informativo calculado con cuota ya aplicada = 0.</t>
        </is>
      </c>
      <c r="F190" s="6" t="n">
        <v>46231.74836732359</v>
      </c>
      <c r="G190" s="5" t="inlineStr">
        <is>
          <t>WARNING</t>
        </is>
      </c>
    </row>
    <row r="191">
      <c r="A191" s="5" t="n">
        <v>2209</v>
      </c>
      <c r="B191" s="5" t="inlineStr">
        <is>
          <t>BLANCA TEMPRANA sem penult</t>
        </is>
      </c>
      <c r="C191" s="5" t="inlineStr">
        <is>
          <t>WARNING</t>
        </is>
      </c>
      <c r="D191" s="5" t="inlineStr">
        <is>
          <t>Warning</t>
        </is>
      </c>
      <c r="E191" s="5" t="inlineStr">
        <is>
          <t>No existe tarifa BonCalidad para socio=1395 campaña=2026 empresa=1 cultivo=CITRICOS.</t>
        </is>
      </c>
      <c r="F191" s="6" t="n">
        <v>46231.74836732359</v>
      </c>
      <c r="G191" s="5" t="inlineStr">
        <is>
          <t>WARNING</t>
        </is>
      </c>
    </row>
    <row r="192">
      <c r="A192" s="5" t="n">
        <v>2209</v>
      </c>
      <c r="B192" s="5" t="inlineStr">
        <is>
          <t>BLANCA TEMPRANA sem penult</t>
        </is>
      </c>
      <c r="C192" s="5" t="inlineStr">
        <is>
          <t>WARNING</t>
        </is>
      </c>
      <c r="D192" s="5" t="inlineStr">
        <is>
          <t>Warning</t>
        </is>
      </c>
      <c r="E192" s="5" t="inlineStr">
        <is>
          <t>No existe tarifa BonCalidad para socio=1419 campaña=2026 empresa=1 cultivo=CITRICOS.</t>
        </is>
      </c>
      <c r="F192" s="6" t="n">
        <v>46231.74836732359</v>
      </c>
      <c r="G192" s="5" t="inlineStr">
        <is>
          <t>WARNING</t>
        </is>
      </c>
    </row>
    <row r="193">
      <c r="A193" s="5" t="n">
        <v>2209</v>
      </c>
      <c r="B193" s="5" t="inlineStr">
        <is>
          <t>BLANCA TEMPRANA sem penult</t>
        </is>
      </c>
      <c r="C193" s="5" t="inlineStr">
        <is>
          <t>WARNING</t>
        </is>
      </c>
      <c r="D193" s="5" t="inlineStr">
        <is>
          <t>Warning</t>
        </is>
      </c>
      <c r="E193" s="5" t="inlineStr">
        <is>
          <t>No existe tarifa BonCalidad para socio=1529 campaña=2026 empresa=1 cultivo=CITRICOS.</t>
        </is>
      </c>
      <c r="F193" s="6" t="n">
        <v>46231.74836732359</v>
      </c>
      <c r="G193" s="5" t="inlineStr">
        <is>
          <t>WARNING</t>
        </is>
      </c>
    </row>
    <row r="194">
      <c r="A194" s="5" t="n">
        <v>2211</v>
      </c>
      <c r="B194" s="5" t="inlineStr">
        <is>
          <t>BLANCA TEMPRANA sem ultim</t>
        </is>
      </c>
      <c r="C194" s="5" t="inlineStr">
        <is>
          <t>WARNING</t>
        </is>
      </c>
      <c r="D194" s="5" t="inlineStr">
        <is>
          <t>Warning</t>
        </is>
      </c>
      <c r="E194" s="5" t="inlineStr">
        <is>
          <t>20 entregas ya figuran como liquidadas.</t>
        </is>
      </c>
      <c r="F194" s="6" t="n">
        <v>46231.74836732359</v>
      </c>
      <c r="G194" s="5" t="inlineStr">
        <is>
          <t>WARNING</t>
        </is>
      </c>
    </row>
    <row r="195">
      <c r="A195" s="5" t="n">
        <v>2211</v>
      </c>
      <c r="B195" s="5" t="inlineStr">
        <is>
          <t>BLANCA TEMPRANA sem ultim</t>
        </is>
      </c>
      <c r="C195" s="5" t="inlineStr">
        <is>
          <t>WARNING</t>
        </is>
      </c>
      <c r="D195" s="5" t="inlineStr">
        <is>
          <t>Warning</t>
        </is>
      </c>
      <c r="E195" s="5" t="inlineStr">
        <is>
          <t>No existe fuente acumulada disponible; saldo informativo calculado con cuota ya aplicada = 0.</t>
        </is>
      </c>
      <c r="F195" s="6" t="n">
        <v>46231.74836732359</v>
      </c>
      <c r="G195" s="5" t="inlineStr">
        <is>
          <t>WARNING</t>
        </is>
      </c>
    </row>
    <row r="196">
      <c r="A196" s="5" t="n">
        <v>2211</v>
      </c>
      <c r="B196" s="5" t="inlineStr">
        <is>
          <t>BLANCA TEMPRANA sem ultim</t>
        </is>
      </c>
      <c r="C196" s="5" t="inlineStr">
        <is>
          <t>WARNING</t>
        </is>
      </c>
      <c r="D196" s="5" t="inlineStr">
        <is>
          <t>Warning</t>
        </is>
      </c>
      <c r="E196" s="5" t="inlineStr">
        <is>
          <t>No existe tarifa BonCalidad para socio=1395 campaña=2026 empresa=1 cultivo=CITRICOS.</t>
        </is>
      </c>
      <c r="F196" s="6" t="n">
        <v>46231.74836732359</v>
      </c>
      <c r="G196" s="5" t="inlineStr">
        <is>
          <t>WARNING</t>
        </is>
      </c>
    </row>
    <row r="197">
      <c r="A197" s="5" t="n">
        <v>2211</v>
      </c>
      <c r="B197" s="5" t="inlineStr">
        <is>
          <t>BLANCA TEMPRANA sem ultim</t>
        </is>
      </c>
      <c r="C197" s="5" t="inlineStr">
        <is>
          <t>WARNING</t>
        </is>
      </c>
      <c r="D197" s="5" t="inlineStr">
        <is>
          <t>Warning</t>
        </is>
      </c>
      <c r="E197" s="5" t="inlineStr">
        <is>
          <t>No existe tarifa BonCalidad para socio=1419 campaña=2026 empresa=1 cultivo=CITRICOS.</t>
        </is>
      </c>
      <c r="F197" s="6" t="n">
        <v>46231.74836732359</v>
      </c>
      <c r="G197" s="5" t="inlineStr">
        <is>
          <t>WARNING</t>
        </is>
      </c>
    </row>
    <row r="198">
      <c r="A198" s="5" t="n">
        <v>2211</v>
      </c>
      <c r="B198" s="5" t="inlineStr">
        <is>
          <t>BLANCA TEMPRANA sem ultim</t>
        </is>
      </c>
      <c r="C198" s="5" t="inlineStr">
        <is>
          <t>WARNING</t>
        </is>
      </c>
      <c r="D198" s="5" t="inlineStr">
        <is>
          <t>Warning</t>
        </is>
      </c>
      <c r="E198" s="5" t="inlineStr">
        <is>
          <t>No existe tarifa BonCalidad para socio=1561 campaña=2026 empresa=1 cultivo=CITRICOS.</t>
        </is>
      </c>
      <c r="F198" s="6" t="n">
        <v>46231.74836732359</v>
      </c>
      <c r="G198" s="5" t="inlineStr">
        <is>
          <t>WARNING</t>
        </is>
      </c>
    </row>
    <row r="199">
      <c r="A199" s="5" t="n">
        <v>2212</v>
      </c>
      <c r="B199" s="5" t="inlineStr">
        <is>
          <t>BLANCA TEMPRANA sem1</t>
        </is>
      </c>
      <c r="C199" s="5" t="inlineStr">
        <is>
          <t>WARNING</t>
        </is>
      </c>
      <c r="D199" s="5" t="inlineStr">
        <is>
          <t>Warning</t>
        </is>
      </c>
      <c r="E199" s="5" t="inlineStr">
        <is>
          <t>16 entregas ya figuran como liquidadas.</t>
        </is>
      </c>
      <c r="F199" s="6" t="n">
        <v>46231.74836732359</v>
      </c>
      <c r="G199" s="5" t="inlineStr">
        <is>
          <t>WARNING</t>
        </is>
      </c>
    </row>
    <row r="200">
      <c r="A200" s="5" t="n">
        <v>2212</v>
      </c>
      <c r="B200" s="5" t="inlineStr">
        <is>
          <t>BLANCA TEMPRANA sem1</t>
        </is>
      </c>
      <c r="C200" s="5" t="inlineStr">
        <is>
          <t>WARNING</t>
        </is>
      </c>
      <c r="D200" s="5" t="inlineStr">
        <is>
          <t>Warning</t>
        </is>
      </c>
      <c r="E200" s="5" t="inlineStr">
        <is>
          <t>No existe tarifa BonCalidad para socio=1585 campaña=2026 empresa=1 cultivo=CITRICOS.</t>
        </is>
      </c>
      <c r="F200" s="6" t="n">
        <v>46231.74836732359</v>
      </c>
      <c r="G200" s="5" t="inlineStr">
        <is>
          <t>WARNING</t>
        </is>
      </c>
    </row>
    <row r="201">
      <c r="A201" s="5" t="n">
        <v>2212</v>
      </c>
      <c r="B201" s="5" t="inlineStr">
        <is>
          <t>BLANCA TEMPRANA sem1</t>
        </is>
      </c>
      <c r="C201" s="5" t="inlineStr">
        <is>
          <t>WARNING</t>
        </is>
      </c>
      <c r="D201" s="5" t="inlineStr">
        <is>
          <t>Warning</t>
        </is>
      </c>
      <c r="E201" s="5" t="inlineStr">
        <is>
          <t>No existe fuente acumulada disponible; saldo informativo calculado con cuota ya aplicada = 0.</t>
        </is>
      </c>
      <c r="F201" s="6" t="n">
        <v>46231.74836732359</v>
      </c>
      <c r="G201" s="5" t="inlineStr">
        <is>
          <t>WARNING</t>
        </is>
      </c>
    </row>
    <row r="202">
      <c r="A202" s="5" t="n">
        <v>2212</v>
      </c>
      <c r="B202" s="5" t="inlineStr">
        <is>
          <t>BLANCA TEMPRANA sem1</t>
        </is>
      </c>
      <c r="C202" s="5" t="inlineStr">
        <is>
          <t>WARNING</t>
        </is>
      </c>
      <c r="D202" s="5" t="inlineStr">
        <is>
          <t>Warning</t>
        </is>
      </c>
      <c r="E202" s="5" t="inlineStr">
        <is>
          <t>No existe tarifa BonCalidad para socio=1614 campaña=2026 empresa=1 cultivo=CITRICOS.</t>
        </is>
      </c>
      <c r="F202" s="6" t="n">
        <v>46231.74836732359</v>
      </c>
      <c r="G202" s="5" t="inlineStr">
        <is>
          <t>WARNING</t>
        </is>
      </c>
    </row>
    <row r="203">
      <c r="A203" s="5" t="n">
        <v>2326</v>
      </c>
      <c r="B203" s="5" t="inlineStr">
        <is>
          <t>Caracara</t>
        </is>
      </c>
      <c r="C203" s="5" t="inlineStr">
        <is>
          <t>WARNING</t>
        </is>
      </c>
      <c r="D203" s="5" t="inlineStr">
        <is>
          <t>Warning</t>
        </is>
      </c>
      <c r="E203" s="5" t="inlineStr">
        <is>
          <t>5 entregas ya figuran como liquidadas.</t>
        </is>
      </c>
      <c r="F203" s="6" t="n">
        <v>46231.74836732359</v>
      </c>
      <c r="G203" s="5" t="inlineStr">
        <is>
          <t>WARNING</t>
        </is>
      </c>
    </row>
    <row r="204">
      <c r="A204" s="5" t="n">
        <v>2326</v>
      </c>
      <c r="B204" s="5" t="inlineStr">
        <is>
          <t>Caracara</t>
        </is>
      </c>
      <c r="C204" s="5" t="inlineStr">
        <is>
          <t>WARNING</t>
        </is>
      </c>
      <c r="D204" s="5" t="inlineStr">
        <is>
          <t>Warning</t>
        </is>
      </c>
      <c r="E204" s="5" t="inlineStr">
        <is>
          <t>No existe tarifa BonCalidad para socio=1528 campaña=2026 empresa=1 cultivo=CITRICOS.</t>
        </is>
      </c>
      <c r="F204" s="6" t="n">
        <v>46231.74836732359</v>
      </c>
      <c r="G204" s="5" t="inlineStr">
        <is>
          <t>WARNING</t>
        </is>
      </c>
    </row>
    <row r="205">
      <c r="A205" s="5" t="n">
        <v>2326</v>
      </c>
      <c r="B205" s="5" t="inlineStr">
        <is>
          <t>Caracara</t>
        </is>
      </c>
      <c r="C205" s="5" t="inlineStr">
        <is>
          <t>WARNING</t>
        </is>
      </c>
      <c r="D205" s="5" t="inlineStr">
        <is>
          <t>Warning</t>
        </is>
      </c>
      <c r="E205" s="5" t="inlineStr">
        <is>
          <t>No existe fuente acumulada disponible; saldo informativo calculado con cuota ya aplicada = 0.</t>
        </is>
      </c>
      <c r="F205" s="6" t="n">
        <v>46231.74836732359</v>
      </c>
      <c r="G205" s="5" t="inlineStr">
        <is>
          <t>WARNING</t>
        </is>
      </c>
    </row>
    <row r="206">
      <c r="A206" s="5" t="n">
        <v>2185</v>
      </c>
      <c r="B206" s="5" t="inlineStr">
        <is>
          <t>Tango Semana 5 NORMAL</t>
        </is>
      </c>
      <c r="C206" s="5" t="inlineStr">
        <is>
          <t>WARNING</t>
        </is>
      </c>
      <c r="D206" s="5" t="inlineStr">
        <is>
          <t>Warning</t>
        </is>
      </c>
      <c r="E206" s="5" t="inlineStr">
        <is>
          <t>No existe tarifa BonCalidad para socio=1561 campaña=2026 empresa=1 cultivo=DIRECTO.</t>
        </is>
      </c>
      <c r="F206" s="6" t="n">
        <v>46231.74836732359</v>
      </c>
      <c r="G206" s="5" t="inlineStr">
        <is>
          <t>WARNING</t>
        </is>
      </c>
    </row>
    <row r="207">
      <c r="A207" s="5" t="n">
        <v>2185</v>
      </c>
      <c r="B207" s="5" t="inlineStr">
        <is>
          <t>Tango Semana 5 NORMAL</t>
        </is>
      </c>
      <c r="C207" s="5" t="inlineStr">
        <is>
          <t>WARNING</t>
        </is>
      </c>
      <c r="D207" s="5" t="inlineStr">
        <is>
          <t>Warning</t>
        </is>
      </c>
      <c r="E207" s="5" t="inlineStr">
        <is>
          <t>No existe fuente acumulada disponible; saldo informativo calculado con cuota ya aplicada = 0.</t>
        </is>
      </c>
      <c r="F207" s="6" t="n">
        <v>46231.74836732359</v>
      </c>
      <c r="G207" s="5" t="inlineStr">
        <is>
          <t>WARNING</t>
        </is>
      </c>
    </row>
    <row r="208">
      <c r="A208" s="5" t="n">
        <v>2186</v>
      </c>
      <c r="B208" s="5" t="inlineStr">
        <is>
          <t>Tango Semana 6 NORMAL</t>
        </is>
      </c>
      <c r="C208" s="5" t="inlineStr">
        <is>
          <t>WARNING</t>
        </is>
      </c>
      <c r="D208" s="5" t="inlineStr">
        <is>
          <t>Warning</t>
        </is>
      </c>
      <c r="E208" s="5" t="inlineStr">
        <is>
          <t>No existe tarifa BonCalidad para socio=1561 campaña=2026 empresa=1 cultivo=DIRECTO.</t>
        </is>
      </c>
      <c r="F208" s="6" t="n">
        <v>46231.74836732359</v>
      </c>
      <c r="G208" s="5" t="inlineStr">
        <is>
          <t>WARNING</t>
        </is>
      </c>
    </row>
    <row r="209">
      <c r="A209" s="5" t="n">
        <v>2186</v>
      </c>
      <c r="B209" s="5" t="inlineStr">
        <is>
          <t>Tango Semana 6 NORMAL</t>
        </is>
      </c>
      <c r="C209" s="5" t="inlineStr">
        <is>
          <t>WARNING</t>
        </is>
      </c>
      <c r="D209" s="5" t="inlineStr">
        <is>
          <t>Warning</t>
        </is>
      </c>
      <c r="E209" s="5" t="inlineStr">
        <is>
          <t>No existe fuente acumulada disponible; saldo informativo calculado con cuota ya aplicada = 0.</t>
        </is>
      </c>
      <c r="F209" s="6" t="n">
        <v>46231.74836732359</v>
      </c>
      <c r="G209" s="5" t="inlineStr">
        <is>
          <t>WARNING</t>
        </is>
      </c>
    </row>
    <row r="210">
      <c r="A210" s="5" t="n">
        <v>2267</v>
      </c>
      <c r="B210" s="5" t="inlineStr">
        <is>
          <t>Final ANGELES DURAN (1251) NAVELINA</t>
        </is>
      </c>
      <c r="C210" s="5" t="inlineStr">
        <is>
          <t>WARNING</t>
        </is>
      </c>
      <c r="D210" s="5" t="inlineStr">
        <is>
          <t>Warning</t>
        </is>
      </c>
      <c r="E210" s="5" t="inlineStr">
        <is>
          <t>3 entregas ya figuran como liquidadas.</t>
        </is>
      </c>
      <c r="F210" s="6" t="n">
        <v>46231.74836732359</v>
      </c>
      <c r="G210" s="5" t="inlineStr">
        <is>
          <t>WARNING</t>
        </is>
      </c>
    </row>
    <row r="211">
      <c r="A211" s="5" t="n">
        <v>2267</v>
      </c>
      <c r="B211" s="5" t="inlineStr">
        <is>
          <t>Final ANGELES DURAN (1251) NAVELINA</t>
        </is>
      </c>
      <c r="C211" s="5" t="inlineStr">
        <is>
          <t>WARNING</t>
        </is>
      </c>
      <c r="D211" s="5" t="inlineStr">
        <is>
          <t>Warning</t>
        </is>
      </c>
      <c r="E211" s="5" t="inlineStr">
        <is>
          <t>No existe tarifa BonCalidad para socio=1251 campaña=2026 empresa=1 cultivo=DIRECTO.</t>
        </is>
      </c>
      <c r="F211" s="6" t="n">
        <v>46231.74836732359</v>
      </c>
      <c r="G211" s="5" t="inlineStr">
        <is>
          <t>WARNING</t>
        </is>
      </c>
    </row>
    <row r="212">
      <c r="A212" s="5" t="n">
        <v>2267</v>
      </c>
      <c r="B212" s="5" t="inlineStr">
        <is>
          <t>Final ANGELES DURAN (1251) NAVELINA</t>
        </is>
      </c>
      <c r="C212" s="5" t="inlineStr">
        <is>
          <t>WARNING</t>
        </is>
      </c>
      <c r="D212" s="5" t="inlineStr">
        <is>
          <t>Warning</t>
        </is>
      </c>
      <c r="E212" s="5" t="inlineStr">
        <is>
          <t>No existe fuente acumulada disponible; saldo informativo calculado con cuota ya aplicada = 0.</t>
        </is>
      </c>
      <c r="F212" s="6" t="n">
        <v>46231.74836732359</v>
      </c>
      <c r="G212" s="5" t="inlineStr">
        <is>
          <t>WARNING</t>
        </is>
      </c>
    </row>
    <row r="213">
      <c r="A213" s="5" t="n">
        <v>2268</v>
      </c>
      <c r="B213" s="5" t="inlineStr">
        <is>
          <t>Final ALVARO HARO (1544) NAVELINA</t>
        </is>
      </c>
      <c r="C213" s="5" t="inlineStr">
        <is>
          <t>WARNING</t>
        </is>
      </c>
      <c r="D213" s="5" t="inlineStr">
        <is>
          <t>Warning</t>
        </is>
      </c>
      <c r="E213" s="5" t="inlineStr">
        <is>
          <t>2 entregas ya figuran como liquidadas.</t>
        </is>
      </c>
      <c r="F213" s="6" t="n">
        <v>46231.74836732359</v>
      </c>
      <c r="G213" s="5" t="inlineStr">
        <is>
          <t>WARNING</t>
        </is>
      </c>
    </row>
    <row r="214">
      <c r="A214" s="5" t="n">
        <v>2268</v>
      </c>
      <c r="B214" s="5" t="inlineStr">
        <is>
          <t>Final ALVARO HARO (1544) NAVELINA</t>
        </is>
      </c>
      <c r="C214" s="5" t="inlineStr">
        <is>
          <t>WARNING</t>
        </is>
      </c>
      <c r="D214" s="5" t="inlineStr">
        <is>
          <t>Warning</t>
        </is>
      </c>
      <c r="E214" s="5" t="inlineStr">
        <is>
          <t>No existe tarifa BonCalidad para socio=1544 campaña=2026 empresa=1 cultivo=DIRECTO.</t>
        </is>
      </c>
      <c r="F214" s="6" t="n">
        <v>46231.74836732359</v>
      </c>
      <c r="G214" s="5" t="inlineStr">
        <is>
          <t>WARNING</t>
        </is>
      </c>
    </row>
    <row r="215">
      <c r="A215" s="5" t="n">
        <v>2268</v>
      </c>
      <c r="B215" s="5" t="inlineStr">
        <is>
          <t>Final ALVARO HARO (1544) NAVELINA</t>
        </is>
      </c>
      <c r="C215" s="5" t="inlineStr">
        <is>
          <t>WARNING</t>
        </is>
      </c>
      <c r="D215" s="5" t="inlineStr">
        <is>
          <t>Warning</t>
        </is>
      </c>
      <c r="E215" s="5" t="inlineStr">
        <is>
          <t>No existe fuente acumulada disponible; saldo informativo calculado con cuota ya aplicada = 0.</t>
        </is>
      </c>
      <c r="F215" s="6" t="n">
        <v>46231.74836732359</v>
      </c>
      <c r="G215" s="5" t="inlineStr">
        <is>
          <t>WARNING</t>
        </is>
      </c>
    </row>
    <row r="216">
      <c r="A216" s="5" t="n">
        <v>2269</v>
      </c>
      <c r="B216" s="5" t="inlineStr">
        <is>
          <t>Final JUAN MARTINEZ LOPEZ DE ROZAS (1429) NAVELINA</t>
        </is>
      </c>
      <c r="C216" s="5" t="inlineStr">
        <is>
          <t>WARNING</t>
        </is>
      </c>
      <c r="D216" s="5" t="inlineStr">
        <is>
          <t>Warning</t>
        </is>
      </c>
      <c r="E216" s="5" t="inlineStr">
        <is>
          <t>4 entregas ya figuran como liquidadas.</t>
        </is>
      </c>
      <c r="F216" s="6" t="n">
        <v>46231.74836732359</v>
      </c>
      <c r="G216" s="5" t="inlineStr">
        <is>
          <t>WARNING</t>
        </is>
      </c>
    </row>
    <row r="217">
      <c r="A217" s="5" t="n">
        <v>2269</v>
      </c>
      <c r="B217" s="5" t="inlineStr">
        <is>
          <t>Final JUAN MARTINEZ LOPEZ DE ROZAS (1429) NAVELINA</t>
        </is>
      </c>
      <c r="C217" s="5" t="inlineStr">
        <is>
          <t>WARNING</t>
        </is>
      </c>
      <c r="D217" s="5" t="inlineStr">
        <is>
          <t>Warning</t>
        </is>
      </c>
      <c r="E217" s="5" t="inlineStr">
        <is>
          <t>No existe tarifa BonCalidad para socio=1429 campaña=2026 empresa=1 cultivo=DIRECTO.</t>
        </is>
      </c>
      <c r="F217" s="6" t="n">
        <v>46231.74836732359</v>
      </c>
      <c r="G217" s="5" t="inlineStr">
        <is>
          <t>WARNING</t>
        </is>
      </c>
    </row>
    <row r="218">
      <c r="A218" s="5" t="n">
        <v>2269</v>
      </c>
      <c r="B218" s="5" t="inlineStr">
        <is>
          <t>Final JUAN MARTINEZ LOPEZ DE ROZAS (1429) NAVELINA</t>
        </is>
      </c>
      <c r="C218" s="5" t="inlineStr">
        <is>
          <t>WARNING</t>
        </is>
      </c>
      <c r="D218" s="5" t="inlineStr">
        <is>
          <t>Warning</t>
        </is>
      </c>
      <c r="E218" s="5" t="inlineStr">
        <is>
          <t>No existe fuente acumulada disponible; saldo informativo calculado con cuota ya aplicada = 0.</t>
        </is>
      </c>
      <c r="F218" s="6" t="n">
        <v>46231.74836732359</v>
      </c>
      <c r="G218" s="5" t="inlineStr">
        <is>
          <t>WARNING</t>
        </is>
      </c>
    </row>
    <row r="219">
      <c r="A219" s="5" t="n">
        <v>2270</v>
      </c>
      <c r="B219" s="5" t="inlineStr">
        <is>
          <t>Final J. A. RODRIGUEZ MEJIAS (1523) FUKUMOTO</t>
        </is>
      </c>
      <c r="C219" s="5" t="inlineStr">
        <is>
          <t>WARNING</t>
        </is>
      </c>
      <c r="D219" s="5" t="inlineStr">
        <is>
          <t>Warning</t>
        </is>
      </c>
      <c r="E219" s="5" t="inlineStr">
        <is>
          <t>3 entregas ya figuran como liquidadas.</t>
        </is>
      </c>
      <c r="F219" s="6" t="n">
        <v>46231.74836732359</v>
      </c>
      <c r="G219" s="5" t="inlineStr">
        <is>
          <t>WARNING</t>
        </is>
      </c>
    </row>
    <row r="220">
      <c r="A220" s="5" t="n">
        <v>2270</v>
      </c>
      <c r="B220" s="5" t="inlineStr">
        <is>
          <t>Final J. A. RODRIGUEZ MEJIAS (1523) FUKUMOTO</t>
        </is>
      </c>
      <c r="C220" s="5" t="inlineStr">
        <is>
          <t>WARNING</t>
        </is>
      </c>
      <c r="D220" s="5" t="inlineStr">
        <is>
          <t>Warning</t>
        </is>
      </c>
      <c r="E220" s="5" t="inlineStr">
        <is>
          <t>No existe tarifa BonCalidad para socio=1523 campaña=2026 empresa=1 cultivo=DIRECTO.</t>
        </is>
      </c>
      <c r="F220" s="6" t="n">
        <v>46231.74836732359</v>
      </c>
      <c r="G220" s="5" t="inlineStr">
        <is>
          <t>WARNING</t>
        </is>
      </c>
    </row>
    <row r="221">
      <c r="A221" s="5" t="n">
        <v>2270</v>
      </c>
      <c r="B221" s="5" t="inlineStr">
        <is>
          <t>Final J. A. RODRIGUEZ MEJIAS (1523) FUKUMOTO</t>
        </is>
      </c>
      <c r="C221" s="5" t="inlineStr">
        <is>
          <t>WARNING</t>
        </is>
      </c>
      <c r="D221" s="5" t="inlineStr">
        <is>
          <t>Warning</t>
        </is>
      </c>
      <c r="E221" s="5" t="inlineStr">
        <is>
          <t>El socio 1523 figura certificado GlobalGAP en CITRICOS, KAKIS, MANDARINA pero no en CITRICOS. Se ha aplicado la certificación global del socio. Revise DEEPP.</t>
        </is>
      </c>
      <c r="F221" s="6" t="n">
        <v>46231.74836732359</v>
      </c>
      <c r="G221" s="5" t="inlineStr">
        <is>
          <t>WARNING</t>
        </is>
      </c>
    </row>
    <row r="222">
      <c r="A222" s="5" t="n">
        <v>2270</v>
      </c>
      <c r="B222" s="5" t="inlineStr">
        <is>
          <t>Final J. A. RODRIGUEZ MEJIAS (1523) FUKUMOTO</t>
        </is>
      </c>
      <c r="C222" s="5" t="inlineStr">
        <is>
          <t>WARNING</t>
        </is>
      </c>
      <c r="D222" s="5" t="inlineStr">
        <is>
          <t>Warning</t>
        </is>
      </c>
      <c r="E222" s="5" t="inlineStr">
        <is>
          <t>No existe fuente acumulada disponible; saldo informativo calculado con cuota ya aplicada = 0.</t>
        </is>
      </c>
      <c r="F222" s="6" t="n">
        <v>46231.74836732359</v>
      </c>
      <c r="G222" s="5" t="inlineStr">
        <is>
          <t>WARNING</t>
        </is>
      </c>
    </row>
    <row r="223">
      <c r="A223" s="5" t="n">
        <v>2271</v>
      </c>
      <c r="B223" s="5" t="inlineStr">
        <is>
          <t>Final J. A. RODRIGUEZ MEJIAS (1523) POMELOS</t>
        </is>
      </c>
      <c r="C223" s="5" t="inlineStr">
        <is>
          <t>WARNING</t>
        </is>
      </c>
      <c r="D223" s="5" t="inlineStr">
        <is>
          <t>Warning</t>
        </is>
      </c>
      <c r="E223" s="5" t="inlineStr">
        <is>
          <t>El socio 1523 figura certificado GlobalGAP en CITRICOS, KAKIS, MANDARINA pero no en CITRICOS. Se ha aplicado la certificación global del socio. Revise DEEPP.</t>
        </is>
      </c>
      <c r="F223" s="6" t="n">
        <v>46231.74836732359</v>
      </c>
      <c r="G223" s="5" t="inlineStr">
        <is>
          <t>WARNING</t>
        </is>
      </c>
    </row>
    <row r="224">
      <c r="A224" s="5" t="n">
        <v>2271</v>
      </c>
      <c r="B224" s="5" t="inlineStr">
        <is>
          <t>Final J. A. RODRIGUEZ MEJIAS (1523) POMELOS</t>
        </is>
      </c>
      <c r="C224" s="5" t="inlineStr">
        <is>
          <t>WARNING</t>
        </is>
      </c>
      <c r="D224" s="5" t="inlineStr">
        <is>
          <t>Warning</t>
        </is>
      </c>
      <c r="E224" s="5" t="inlineStr">
        <is>
          <t>No existe fuente acumulada disponible; saldo informativo calculado con cuota ya aplicada = 0.</t>
        </is>
      </c>
      <c r="F224" s="6" t="n">
        <v>46231.74836732359</v>
      </c>
      <c r="G224" s="5" t="inlineStr">
        <is>
          <t>WARNING</t>
        </is>
      </c>
    </row>
    <row r="225">
      <c r="A225" s="5" t="n">
        <v>2272</v>
      </c>
      <c r="B225" s="5" t="inlineStr">
        <is>
          <t>Final JUAN FRANCISCO BARRERA PERA (1463) NAVELINA</t>
        </is>
      </c>
      <c r="C225" s="5" t="inlineStr">
        <is>
          <t>WARNING</t>
        </is>
      </c>
      <c r="D225" s="5" t="inlineStr">
        <is>
          <t>Warning</t>
        </is>
      </c>
      <c r="E225" s="5" t="inlineStr">
        <is>
          <t>2 entregas ya figuran como liquidadas.</t>
        </is>
      </c>
      <c r="F225" s="6" t="n">
        <v>46231.74836732359</v>
      </c>
      <c r="G225" s="5" t="inlineStr">
        <is>
          <t>WARNING</t>
        </is>
      </c>
    </row>
    <row r="226">
      <c r="A226" s="5" t="n">
        <v>2272</v>
      </c>
      <c r="B226" s="5" t="inlineStr">
        <is>
          <t>Final JUAN FRANCISCO BARRERA PERA (1463) NAVELINA</t>
        </is>
      </c>
      <c r="C226" s="5" t="inlineStr">
        <is>
          <t>WARNING</t>
        </is>
      </c>
      <c r="D226" s="5" t="inlineStr">
        <is>
          <t>Warning</t>
        </is>
      </c>
      <c r="E226" s="5" t="inlineStr">
        <is>
          <t>No existe tarifa BonCalidad para socio=1463 campaña=2026 empresa=1 cultivo=DIRECTO.</t>
        </is>
      </c>
      <c r="F226" s="6" t="n">
        <v>46231.74836732359</v>
      </c>
      <c r="G226" s="5" t="inlineStr">
        <is>
          <t>WARNING</t>
        </is>
      </c>
    </row>
    <row r="227">
      <c r="A227" s="5" t="n">
        <v>2272</v>
      </c>
      <c r="B227" s="5" t="inlineStr">
        <is>
          <t>Final JUAN FRANCISCO BARRERA PERA (1463) NAVELINA</t>
        </is>
      </c>
      <c r="C227" s="5" t="inlineStr">
        <is>
          <t>WARNING</t>
        </is>
      </c>
      <c r="D227" s="5" t="inlineStr">
        <is>
          <t>Warning</t>
        </is>
      </c>
      <c r="E227" s="5" t="inlineStr">
        <is>
          <t>No existe fuente acumulada disponible; saldo informativo calculado con cuota ya aplicada = 0.</t>
        </is>
      </c>
      <c r="F227" s="6" t="n">
        <v>46231.74836732359</v>
      </c>
      <c r="G227" s="5" t="inlineStr">
        <is>
          <t>WARNING</t>
        </is>
      </c>
    </row>
    <row r="228">
      <c r="A228" s="5" t="n">
        <v>2273</v>
      </c>
      <c r="B228" s="5" t="inlineStr">
        <is>
          <t>Final M&amp;M (1571) NAVELINA</t>
        </is>
      </c>
      <c r="C228" s="5" t="inlineStr">
        <is>
          <t>WARNING</t>
        </is>
      </c>
      <c r="D228" s="5" t="inlineStr">
        <is>
          <t>Warning</t>
        </is>
      </c>
      <c r="E228" s="5" t="inlineStr">
        <is>
          <t>3 entregas ya figuran como liquidadas.</t>
        </is>
      </c>
      <c r="F228" s="6" t="n">
        <v>46231.74836732359</v>
      </c>
      <c r="G228" s="5" t="inlineStr">
        <is>
          <t>WARNING</t>
        </is>
      </c>
    </row>
    <row r="229">
      <c r="A229" s="5" t="n">
        <v>2273</v>
      </c>
      <c r="B229" s="5" t="inlineStr">
        <is>
          <t>Final M&amp;M (1571) NAVELINA</t>
        </is>
      </c>
      <c r="C229" s="5" t="inlineStr">
        <is>
          <t>WARNING</t>
        </is>
      </c>
      <c r="D229" s="5" t="inlineStr">
        <is>
          <t>Warning</t>
        </is>
      </c>
      <c r="E229" s="5" t="inlineStr">
        <is>
          <t>No existe tarifa BonCalidad para socio=1571 campaña=2026 empresa=1 cultivo=DIRECTO.</t>
        </is>
      </c>
      <c r="F229" s="6" t="n">
        <v>46231.74836732359</v>
      </c>
      <c r="G229" s="5" t="inlineStr">
        <is>
          <t>WARNING</t>
        </is>
      </c>
    </row>
    <row r="230">
      <c r="A230" s="5" t="n">
        <v>2273</v>
      </c>
      <c r="B230" s="5" t="inlineStr">
        <is>
          <t>Final M&amp;M (1571) NAVELINA</t>
        </is>
      </c>
      <c r="C230" s="5" t="inlineStr">
        <is>
          <t>WARNING</t>
        </is>
      </c>
      <c r="D230" s="5" t="inlineStr">
        <is>
          <t>Warning</t>
        </is>
      </c>
      <c r="E230" s="5" t="inlineStr">
        <is>
          <t>No existe fuente acumulada disponible; saldo informativo calculado con cuota ya aplicada = 0.</t>
        </is>
      </c>
      <c r="F230" s="6" t="n">
        <v>46231.74836732359</v>
      </c>
      <c r="G230" s="5" t="inlineStr">
        <is>
          <t>WARNING</t>
        </is>
      </c>
    </row>
    <row r="231">
      <c r="A231" s="5" t="n">
        <v>2274</v>
      </c>
      <c r="B231" s="5" t="inlineStr">
        <is>
          <t>Final EXP. AGR. ARJONA Y CRESPO (1313) NAVELINA</t>
        </is>
      </c>
      <c r="C231" s="5" t="inlineStr">
        <is>
          <t>WARNING</t>
        </is>
      </c>
      <c r="D231" s="5" t="inlineStr">
        <is>
          <t>Warning</t>
        </is>
      </c>
      <c r="E231" s="5" t="inlineStr">
        <is>
          <t>7 entregas ya figuran como liquidadas.</t>
        </is>
      </c>
      <c r="F231" s="6" t="n">
        <v>46231.74836732359</v>
      </c>
      <c r="G231" s="5" t="inlineStr">
        <is>
          <t>WARNING</t>
        </is>
      </c>
    </row>
    <row r="232">
      <c r="A232" s="5" t="n">
        <v>2274</v>
      </c>
      <c r="B232" s="5" t="inlineStr">
        <is>
          <t>Final EXP. AGR. ARJONA Y CRESPO (1313) NAVELINA</t>
        </is>
      </c>
      <c r="C232" s="5" t="inlineStr">
        <is>
          <t>WARNING</t>
        </is>
      </c>
      <c r="D232" s="5" t="inlineStr">
        <is>
          <t>Warning</t>
        </is>
      </c>
      <c r="E232" s="5" t="inlineStr">
        <is>
          <t>No existe tarifa BonCalidad para socio=1313 campaña=2026 empresa=1 cultivo=DIRECTO.</t>
        </is>
      </c>
      <c r="F232" s="6" t="n">
        <v>46231.74836732359</v>
      </c>
      <c r="G232" s="5" t="inlineStr">
        <is>
          <t>WARNING</t>
        </is>
      </c>
    </row>
    <row r="233">
      <c r="A233" s="5" t="n">
        <v>2274</v>
      </c>
      <c r="B233" s="5" t="inlineStr">
        <is>
          <t>Final EXP. AGR. ARJONA Y CRESPO (1313) NAVELINA</t>
        </is>
      </c>
      <c r="C233" s="5" t="inlineStr">
        <is>
          <t>WARNING</t>
        </is>
      </c>
      <c r="D233" s="5" t="inlineStr">
        <is>
          <t>Warning</t>
        </is>
      </c>
      <c r="E233" s="5" t="inlineStr">
        <is>
          <t>No existe fuente acumulada disponible; saldo informativo calculado con cuota ya aplicada = 0.</t>
        </is>
      </c>
      <c r="F233" s="6" t="n">
        <v>46231.74836732359</v>
      </c>
      <c r="G233" s="5" t="inlineStr">
        <is>
          <t>WARNING</t>
        </is>
      </c>
    </row>
    <row r="234">
      <c r="A234" s="5" t="n">
        <v>2275</v>
      </c>
      <c r="B234" s="5" t="inlineStr">
        <is>
          <t>Final MATIAS BARRERA (1456) NAVELINA</t>
        </is>
      </c>
      <c r="C234" s="5" t="inlineStr">
        <is>
          <t>WARNING</t>
        </is>
      </c>
      <c r="D234" s="5" t="inlineStr">
        <is>
          <t>Warning</t>
        </is>
      </c>
      <c r="E234" s="5" t="inlineStr">
        <is>
          <t>9 entregas ya figuran como liquidadas.</t>
        </is>
      </c>
      <c r="F234" s="6" t="n">
        <v>46231.74836732359</v>
      </c>
      <c r="G234" s="5" t="inlineStr">
        <is>
          <t>WARNING</t>
        </is>
      </c>
    </row>
    <row r="235">
      <c r="A235" s="5" t="n">
        <v>2275</v>
      </c>
      <c r="B235" s="5" t="inlineStr">
        <is>
          <t>Final MATIAS BARRERA (1456) NAVELINA</t>
        </is>
      </c>
      <c r="C235" s="5" t="inlineStr">
        <is>
          <t>WARNING</t>
        </is>
      </c>
      <c r="D235" s="5" t="inlineStr">
        <is>
          <t>Warning</t>
        </is>
      </c>
      <c r="E235" s="5" t="inlineStr">
        <is>
          <t>No existe tarifa BonCalidad para socio=1456 campaña=2026 empresa=1 cultivo=DIRECTO.</t>
        </is>
      </c>
      <c r="F235" s="6" t="n">
        <v>46231.74836732359</v>
      </c>
      <c r="G235" s="5" t="inlineStr">
        <is>
          <t>WARNING</t>
        </is>
      </c>
    </row>
    <row r="236">
      <c r="A236" s="5" t="n">
        <v>2275</v>
      </c>
      <c r="B236" s="5" t="inlineStr">
        <is>
          <t>Final MATIAS BARRERA (1456) NAVELINA</t>
        </is>
      </c>
      <c r="C236" s="5" t="inlineStr">
        <is>
          <t>WARNING</t>
        </is>
      </c>
      <c r="D236" s="5" t="inlineStr">
        <is>
          <t>Warning</t>
        </is>
      </c>
      <c r="E236" s="5" t="inlineStr">
        <is>
          <t>No existe fuente acumulada disponible; saldo informativo calculado con cuota ya aplicada = 0.</t>
        </is>
      </c>
      <c r="F236" s="6" t="n">
        <v>46231.74836732359</v>
      </c>
      <c r="G236" s="5" t="inlineStr">
        <is>
          <t>WARNING</t>
        </is>
      </c>
    </row>
    <row r="237">
      <c r="A237" s="5" t="n">
        <v>2276</v>
      </c>
      <c r="B237" s="5" t="inlineStr">
        <is>
          <t>Final LUIS HINIESTA (1181) NAVELINA</t>
        </is>
      </c>
      <c r="C237" s="5" t="inlineStr">
        <is>
          <t>WARNING</t>
        </is>
      </c>
      <c r="D237" s="5" t="inlineStr">
        <is>
          <t>Warning</t>
        </is>
      </c>
      <c r="E237" s="5" t="inlineStr">
        <is>
          <t>2 entregas ya figuran como liquidadas.</t>
        </is>
      </c>
      <c r="F237" s="6" t="n">
        <v>46231.74836732359</v>
      </c>
      <c r="G237" s="5" t="inlineStr">
        <is>
          <t>WARNING</t>
        </is>
      </c>
    </row>
    <row r="238">
      <c r="A238" s="5" t="n">
        <v>2276</v>
      </c>
      <c r="B238" s="5" t="inlineStr">
        <is>
          <t>Final LUIS HINIESTA (1181) NAVELINA</t>
        </is>
      </c>
      <c r="C238" s="5" t="inlineStr">
        <is>
          <t>WARNING</t>
        </is>
      </c>
      <c r="D238" s="5" t="inlineStr">
        <is>
          <t>Warning</t>
        </is>
      </c>
      <c r="E238" s="5" t="inlineStr">
        <is>
          <t>No existe tarifa BonCalidad para socio=1181 campaña=2026 empresa=1 cultivo=DIRECTO.</t>
        </is>
      </c>
      <c r="F238" s="6" t="n">
        <v>46231.74836732359</v>
      </c>
      <c r="G238" s="5" t="inlineStr">
        <is>
          <t>WARNING</t>
        </is>
      </c>
    </row>
    <row r="239">
      <c r="A239" s="5" t="n">
        <v>2276</v>
      </c>
      <c r="B239" s="5" t="inlineStr">
        <is>
          <t>Final LUIS HINIESTA (1181) NAVELINA</t>
        </is>
      </c>
      <c r="C239" s="5" t="inlineStr">
        <is>
          <t>WARNING</t>
        </is>
      </c>
      <c r="D239" s="5" t="inlineStr">
        <is>
          <t>Warning</t>
        </is>
      </c>
      <c r="E239" s="5" t="inlineStr">
        <is>
          <t>No existe fuente acumulada disponible; saldo informativo calculado con cuota ya aplicada = 0.</t>
        </is>
      </c>
      <c r="F239" s="6" t="n">
        <v>46231.74836732359</v>
      </c>
      <c r="G239" s="5" t="inlineStr">
        <is>
          <t>WARNING</t>
        </is>
      </c>
    </row>
    <row r="240">
      <c r="A240" s="5" t="n">
        <v>2277</v>
      </c>
      <c r="B240" s="5" t="inlineStr">
        <is>
          <t>Final ISABEL MOLINA HIDALGO (1283) NAVEL FOYOS</t>
        </is>
      </c>
      <c r="C240" s="5" t="inlineStr">
        <is>
          <t>WARNING</t>
        </is>
      </c>
      <c r="D240" s="5" t="inlineStr">
        <is>
          <t>Warning</t>
        </is>
      </c>
      <c r="E240" s="5" t="inlineStr">
        <is>
          <t>No existe tarifa BonCalidad para socio=1283 campaña=2026 empresa=1 cultivo=DIRECTO.</t>
        </is>
      </c>
      <c r="F240" s="6" t="n">
        <v>46231.74836732359</v>
      </c>
      <c r="G240" s="5" t="inlineStr">
        <is>
          <t>WARNING</t>
        </is>
      </c>
    </row>
    <row r="241">
      <c r="A241" s="5" t="n">
        <v>2277</v>
      </c>
      <c r="B241" s="5" t="inlineStr">
        <is>
          <t>Final ISABEL MOLINA HIDALGO (1283) NAVEL FOYOS</t>
        </is>
      </c>
      <c r="C241" s="5" t="inlineStr">
        <is>
          <t>WARNING</t>
        </is>
      </c>
      <c r="D241" s="5" t="inlineStr">
        <is>
          <t>Warning</t>
        </is>
      </c>
      <c r="E241" s="5" t="inlineStr">
        <is>
          <t>No existe fuente acumulada disponible; saldo informativo calculado con cuota ya aplicada = 0.</t>
        </is>
      </c>
      <c r="F241" s="6" t="n">
        <v>46231.74836732359</v>
      </c>
      <c r="G241" s="5" t="inlineStr">
        <is>
          <t>WARNING</t>
        </is>
      </c>
    </row>
    <row r="242">
      <c r="A242" s="5" t="n">
        <v>2278</v>
      </c>
      <c r="B242" s="5" t="inlineStr">
        <is>
          <t>Final PEDRO JIMENEZ MALDONADO (1500) SALUSTIANAS</t>
        </is>
      </c>
      <c r="C242" s="5" t="inlineStr">
        <is>
          <t>WARNING</t>
        </is>
      </c>
      <c r="D242" s="5" t="inlineStr">
        <is>
          <t>Warning</t>
        </is>
      </c>
      <c r="E242" s="5" t="inlineStr">
        <is>
          <t>6 entregas ya figuran como liquidadas.</t>
        </is>
      </c>
      <c r="F242" s="6" t="n">
        <v>46231.74836732359</v>
      </c>
      <c r="G242" s="5" t="inlineStr">
        <is>
          <t>WARNING</t>
        </is>
      </c>
    </row>
    <row r="243">
      <c r="A243" s="5" t="n">
        <v>2278</v>
      </c>
      <c r="B243" s="5" t="inlineStr">
        <is>
          <t>Final PEDRO JIMENEZ MALDONADO (1500) SALUSTIANAS</t>
        </is>
      </c>
      <c r="C243" s="5" t="inlineStr">
        <is>
          <t>WARNING</t>
        </is>
      </c>
      <c r="D243" s="5" t="inlineStr">
        <is>
          <t>Warning</t>
        </is>
      </c>
      <c r="E243" s="5" t="inlineStr">
        <is>
          <t>No existe tarifa BonCalidad para socio=1500 campaña=2026 empresa=1 cultivo=DIRECTO.</t>
        </is>
      </c>
      <c r="F243" s="6" t="n">
        <v>46231.74836732359</v>
      </c>
      <c r="G243" s="5" t="inlineStr">
        <is>
          <t>WARNING</t>
        </is>
      </c>
    </row>
    <row r="244">
      <c r="A244" s="5" t="n">
        <v>2278</v>
      </c>
      <c r="B244" s="5" t="inlineStr">
        <is>
          <t>Final PEDRO JIMENEZ MALDONADO (1500) SALUSTIANAS</t>
        </is>
      </c>
      <c r="C244" s="5" t="inlineStr">
        <is>
          <t>WARNING</t>
        </is>
      </c>
      <c r="D244" s="5" t="inlineStr">
        <is>
          <t>Warning</t>
        </is>
      </c>
      <c r="E244" s="5" t="inlineStr">
        <is>
          <t>No existe fuente acumulada disponible; saldo informativo calculado con cuota ya aplicada = 0.</t>
        </is>
      </c>
      <c r="F244" s="6" t="n">
        <v>46231.74836732359</v>
      </c>
      <c r="G244" s="5" t="inlineStr">
        <is>
          <t>WARNING</t>
        </is>
      </c>
    </row>
    <row r="245">
      <c r="A245" s="5" t="n">
        <v>2279</v>
      </c>
      <c r="B245" s="5" t="inlineStr">
        <is>
          <t>Final YOLANDA CALZADO RUIZ (1516) NEW HALL</t>
        </is>
      </c>
      <c r="C245" s="5" t="inlineStr">
        <is>
          <t>WARNING</t>
        </is>
      </c>
      <c r="D245" s="5" t="inlineStr">
        <is>
          <t>Warning</t>
        </is>
      </c>
      <c r="E245" s="5" t="inlineStr">
        <is>
          <t>7 entregas ya figuran como liquidadas.</t>
        </is>
      </c>
      <c r="F245" s="6" t="n">
        <v>46231.74836732359</v>
      </c>
      <c r="G245" s="5" t="inlineStr">
        <is>
          <t>WARNING</t>
        </is>
      </c>
    </row>
    <row r="246">
      <c r="A246" s="5" t="n">
        <v>2279</v>
      </c>
      <c r="B246" s="5" t="inlineStr">
        <is>
          <t>Final YOLANDA CALZADO RUIZ (1516) NEW HALL</t>
        </is>
      </c>
      <c r="C246" s="5" t="inlineStr">
        <is>
          <t>WARNING</t>
        </is>
      </c>
      <c r="D246" s="5" t="inlineStr">
        <is>
          <t>Warning</t>
        </is>
      </c>
      <c r="E246" s="5" t="inlineStr">
        <is>
          <t>No existe tarifa BonCalidad para socio=1516 campaña=2026 empresa=1 cultivo=DIRECTO.</t>
        </is>
      </c>
      <c r="F246" s="6" t="n">
        <v>46231.74836732359</v>
      </c>
      <c r="G246" s="5" t="inlineStr">
        <is>
          <t>WARNING</t>
        </is>
      </c>
    </row>
    <row r="247">
      <c r="A247" s="5" t="n">
        <v>2279</v>
      </c>
      <c r="B247" s="5" t="inlineStr">
        <is>
          <t>Final YOLANDA CALZADO RUIZ (1516) NEW HALL</t>
        </is>
      </c>
      <c r="C247" s="5" t="inlineStr">
        <is>
          <t>WARNING</t>
        </is>
      </c>
      <c r="D247" s="5" t="inlineStr">
        <is>
          <t>Warning</t>
        </is>
      </c>
      <c r="E247" s="5" t="inlineStr">
        <is>
          <t>No existe fuente acumulada disponible; saldo informativo calculado con cuota ya aplicada = 0.</t>
        </is>
      </c>
      <c r="F247" s="6" t="n">
        <v>46231.74836732359</v>
      </c>
      <c r="G247" s="5" t="inlineStr">
        <is>
          <t>WARNING</t>
        </is>
      </c>
    </row>
    <row r="248">
      <c r="A248" s="5" t="n">
        <v>2280</v>
      </c>
      <c r="B248" s="5" t="inlineStr">
        <is>
          <t>Final RURAL PRIME (BERBABE) (1615) LANE LATE</t>
        </is>
      </c>
      <c r="C248" s="5" t="inlineStr">
        <is>
          <t>WARNING</t>
        </is>
      </c>
      <c r="D248" s="5" t="inlineStr">
        <is>
          <t>Warning</t>
        </is>
      </c>
      <c r="E248" s="5" t="inlineStr">
        <is>
          <t>No existe tarifa BonCalidad para socio=1615 campaña=2026 empresa=1 cultivo=DIRECTO.</t>
        </is>
      </c>
      <c r="F248" s="6" t="n">
        <v>46231.74836732359</v>
      </c>
      <c r="G248" s="5" t="inlineStr">
        <is>
          <t>WARNING</t>
        </is>
      </c>
    </row>
    <row r="249">
      <c r="A249" s="5" t="n">
        <v>2280</v>
      </c>
      <c r="B249" s="5" t="inlineStr">
        <is>
          <t>Final RURAL PRIME (BERBABE) (1615) LANE LATE</t>
        </is>
      </c>
      <c r="C249" s="5" t="inlineStr">
        <is>
          <t>WARNING</t>
        </is>
      </c>
      <c r="D249" s="5" t="inlineStr">
        <is>
          <t>Warning</t>
        </is>
      </c>
      <c r="E249" s="5" t="inlineStr">
        <is>
          <t>No existe fuente acumulada disponible; saldo informativo calculado con cuota ya aplicada = 0.</t>
        </is>
      </c>
      <c r="F249" s="6" t="n">
        <v>46231.74836732359</v>
      </c>
      <c r="G249" s="5" t="inlineStr">
        <is>
          <t>WARNING</t>
        </is>
      </c>
    </row>
    <row r="250">
      <c r="A250" s="5" t="n">
        <v>2280</v>
      </c>
      <c r="B250" s="5" t="inlineStr">
        <is>
          <t>Final RURAL PRIME (BERBABE) (1615) LANE LATE</t>
        </is>
      </c>
      <c r="C250" s="5" t="inlineStr">
        <is>
          <t>WARNING</t>
        </is>
      </c>
      <c r="D250" s="5" t="inlineStr">
        <is>
          <t>Warning</t>
        </is>
      </c>
      <c r="E250" s="5" t="inlineStr">
        <is>
          <t>Cuota Ha no aplicable: sin superficie sujeta a cuota.</t>
        </is>
      </c>
      <c r="F250" s="6" t="n">
        <v>46231.74836732359</v>
      </c>
      <c r="G250" s="5" t="inlineStr">
        <is>
          <t>WARNING</t>
        </is>
      </c>
    </row>
    <row r="251">
      <c r="A251" s="5" t="n">
        <v>2282</v>
      </c>
      <c r="B251" s="5" t="inlineStr">
        <is>
          <t>Final MIGUEL ANGEL GUIL (1471) SALUSTIANAS</t>
        </is>
      </c>
      <c r="C251" s="5" t="inlineStr">
        <is>
          <t>WARNING</t>
        </is>
      </c>
      <c r="D251" s="5" t="inlineStr">
        <is>
          <t>Warning</t>
        </is>
      </c>
      <c r="E251" s="5" t="inlineStr">
        <is>
          <t>1 entregas ya figuran como liquidadas.</t>
        </is>
      </c>
      <c r="F251" s="6" t="n">
        <v>46231.74836732359</v>
      </c>
      <c r="G251" s="5" t="inlineStr">
        <is>
          <t>WARNING</t>
        </is>
      </c>
    </row>
    <row r="252">
      <c r="A252" s="5" t="n">
        <v>2282</v>
      </c>
      <c r="B252" s="5" t="inlineStr">
        <is>
          <t>Final MIGUEL ANGEL GUIL (1471) SALUSTIANAS</t>
        </is>
      </c>
      <c r="C252" s="5" t="inlineStr">
        <is>
          <t>WARNING</t>
        </is>
      </c>
      <c r="D252" s="5" t="inlineStr">
        <is>
          <t>Warning</t>
        </is>
      </c>
      <c r="E252" s="5" t="inlineStr">
        <is>
          <t>No existe tarifa BonCalidad para socio=1471 campaña=2026 empresa=1 cultivo=DIRECTO.</t>
        </is>
      </c>
      <c r="F252" s="6" t="n">
        <v>46231.74836732359</v>
      </c>
      <c r="G252" s="5" t="inlineStr">
        <is>
          <t>WARNING</t>
        </is>
      </c>
    </row>
    <row r="253">
      <c r="A253" s="5" t="n">
        <v>2282</v>
      </c>
      <c r="B253" s="5" t="inlineStr">
        <is>
          <t>Final MIGUEL ANGEL GUIL (1471) SALUSTIANAS</t>
        </is>
      </c>
      <c r="C253" s="5" t="inlineStr">
        <is>
          <t>WARNING</t>
        </is>
      </c>
      <c r="D253" s="5" t="inlineStr">
        <is>
          <t>Warning</t>
        </is>
      </c>
      <c r="E253" s="5" t="inlineStr">
        <is>
          <t>No existe fuente acumulada disponible; saldo informativo calculado con cuota ya aplicada = 0.</t>
        </is>
      </c>
      <c r="F253" s="6" t="n">
        <v>46231.74836732359</v>
      </c>
      <c r="G253" s="5" t="inlineStr">
        <is>
          <t>WARNING</t>
        </is>
      </c>
    </row>
    <row r="254">
      <c r="A254" s="5" t="n">
        <v>2283</v>
      </c>
      <c r="B254" s="5" t="inlineStr">
        <is>
          <t>Final JOSE MARIA GUIL (963) SALUSTIANAS</t>
        </is>
      </c>
      <c r="C254" s="5" t="inlineStr">
        <is>
          <t>WARNING</t>
        </is>
      </c>
      <c r="D254" s="5" t="inlineStr">
        <is>
          <t>Warning</t>
        </is>
      </c>
      <c r="E254" s="5" t="inlineStr">
        <is>
          <t>1 entregas ya figuran como liquidadas.</t>
        </is>
      </c>
      <c r="F254" s="6" t="n">
        <v>46231.74836732359</v>
      </c>
      <c r="G254" s="5" t="inlineStr">
        <is>
          <t>WARNING</t>
        </is>
      </c>
    </row>
    <row r="255">
      <c r="A255" s="5" t="n">
        <v>2283</v>
      </c>
      <c r="B255" s="5" t="inlineStr">
        <is>
          <t>Final JOSE MARIA GUIL (963) SALUSTIANAS</t>
        </is>
      </c>
      <c r="C255" s="5" t="inlineStr">
        <is>
          <t>WARNING</t>
        </is>
      </c>
      <c r="D255" s="5" t="inlineStr">
        <is>
          <t>Warning</t>
        </is>
      </c>
      <c r="E255" s="5" t="inlineStr">
        <is>
          <t>No existe tarifa BonCalidad para socio=963 campaña=2026 empresa=1 cultivo=DIRECTO.</t>
        </is>
      </c>
      <c r="F255" s="6" t="n">
        <v>46231.74836732359</v>
      </c>
      <c r="G255" s="5" t="inlineStr">
        <is>
          <t>WARNING</t>
        </is>
      </c>
    </row>
    <row r="256">
      <c r="A256" s="5" t="n">
        <v>2283</v>
      </c>
      <c r="B256" s="5" t="inlineStr">
        <is>
          <t>Final JOSE MARIA GUIL (963) SALUSTIANAS</t>
        </is>
      </c>
      <c r="C256" s="5" t="inlineStr">
        <is>
          <t>WARNING</t>
        </is>
      </c>
      <c r="D256" s="5" t="inlineStr">
        <is>
          <t>Warning</t>
        </is>
      </c>
      <c r="E256" s="5" t="inlineStr">
        <is>
          <t>No existe fuente acumulada disponible; saldo informativo calculado con cuota ya aplicada = 0.</t>
        </is>
      </c>
      <c r="F256" s="6" t="n">
        <v>46231.74836732359</v>
      </c>
      <c r="G256" s="5" t="inlineStr">
        <is>
          <t>WARNING</t>
        </is>
      </c>
    </row>
    <row r="257">
      <c r="A257" s="5" t="n">
        <v>2283</v>
      </c>
      <c r="B257" s="5" t="inlineStr">
        <is>
          <t>Final JOSE MARIA GUIL (963) SALUSTIANAS</t>
        </is>
      </c>
      <c r="C257" s="5" t="inlineStr">
        <is>
          <t>WARNING</t>
        </is>
      </c>
      <c r="D257" s="5" t="inlineStr">
        <is>
          <t>Warning</t>
        </is>
      </c>
      <c r="E257" s="5" t="inlineStr">
        <is>
          <t>Cuota Ha no aplicable: sin superficie sujeta a cuota.</t>
        </is>
      </c>
      <c r="F257" s="6" t="n">
        <v>46231.74836732359</v>
      </c>
      <c r="G257" s="5" t="inlineStr">
        <is>
          <t>WARNING</t>
        </is>
      </c>
    </row>
    <row r="258">
      <c r="A258" s="5" t="n">
        <v>2285</v>
      </c>
      <c r="B258" s="5" t="inlineStr">
        <is>
          <t>Final HILARIO  GARCIA (453) NAVEL</t>
        </is>
      </c>
      <c r="C258" s="5" t="inlineStr">
        <is>
          <t>WARNING</t>
        </is>
      </c>
      <c r="D258" s="5" t="inlineStr">
        <is>
          <t>Warning</t>
        </is>
      </c>
      <c r="E258" s="5" t="inlineStr">
        <is>
          <t>2 entregas ya figuran como liquidadas.</t>
        </is>
      </c>
      <c r="F258" s="6" t="n">
        <v>46231.74836732359</v>
      </c>
      <c r="G258" s="5" t="inlineStr">
        <is>
          <t>WARNING</t>
        </is>
      </c>
    </row>
    <row r="259">
      <c r="A259" s="5" t="n">
        <v>2285</v>
      </c>
      <c r="B259" s="5" t="inlineStr">
        <is>
          <t>Final HILARIO  GARCIA (453) NAVEL</t>
        </is>
      </c>
      <c r="C259" s="5" t="inlineStr">
        <is>
          <t>WARNING</t>
        </is>
      </c>
      <c r="D259" s="5" t="inlineStr">
        <is>
          <t>Warning</t>
        </is>
      </c>
      <c r="E259" s="5" t="inlineStr">
        <is>
          <t>No existe tarifa BonCalidad para socio=453 campaña=2026 empresa=1 cultivo=DIRECTO.</t>
        </is>
      </c>
      <c r="F259" s="6" t="n">
        <v>46231.74836732359</v>
      </c>
      <c r="G259" s="5" t="inlineStr">
        <is>
          <t>WARNING</t>
        </is>
      </c>
    </row>
    <row r="260">
      <c r="A260" s="5" t="n">
        <v>2285</v>
      </c>
      <c r="B260" s="5" t="inlineStr">
        <is>
          <t>Final HILARIO  GARCIA (453) NAVEL</t>
        </is>
      </c>
      <c r="C260" s="5" t="inlineStr">
        <is>
          <t>WARNING</t>
        </is>
      </c>
      <c r="D260" s="5" t="inlineStr">
        <is>
          <t>Warning</t>
        </is>
      </c>
      <c r="E260" s="5" t="inlineStr">
        <is>
          <t>No existe fuente acumulada disponible; saldo informativo calculado con cuota ya aplicada = 0.</t>
        </is>
      </c>
      <c r="F260" s="6" t="n">
        <v>46231.74836732359</v>
      </c>
      <c r="G260" s="5" t="inlineStr">
        <is>
          <t>WARNING</t>
        </is>
      </c>
    </row>
    <row r="261">
      <c r="A261" s="5" t="n">
        <v>2288</v>
      </c>
      <c r="B261" s="5" t="inlineStr">
        <is>
          <t>Final RAFAEL GARCIA (1462) NAVEL</t>
        </is>
      </c>
      <c r="C261" s="5" t="inlineStr">
        <is>
          <t>WARNING</t>
        </is>
      </c>
      <c r="D261" s="5" t="inlineStr">
        <is>
          <t>Warning</t>
        </is>
      </c>
      <c r="E261" s="5" t="inlineStr">
        <is>
          <t>2 entregas ya figuran como liquidadas.</t>
        </is>
      </c>
      <c r="F261" s="6" t="n">
        <v>46231.74836732359</v>
      </c>
      <c r="G261" s="5" t="inlineStr">
        <is>
          <t>WARNING</t>
        </is>
      </c>
    </row>
    <row r="262">
      <c r="A262" s="5" t="n">
        <v>2288</v>
      </c>
      <c r="B262" s="5" t="inlineStr">
        <is>
          <t>Final RAFAEL GARCIA (1462) NAVEL</t>
        </is>
      </c>
      <c r="C262" s="5" t="inlineStr">
        <is>
          <t>WARNING</t>
        </is>
      </c>
      <c r="D262" s="5" t="inlineStr">
        <is>
          <t>Warning</t>
        </is>
      </c>
      <c r="E262" s="5" t="inlineStr">
        <is>
          <t>No existe tarifa BonCalidad para socio=1462 campaña=2026 empresa=1 cultivo=DIRECTO.</t>
        </is>
      </c>
      <c r="F262" s="6" t="n">
        <v>46231.74836732359</v>
      </c>
      <c r="G262" s="5" t="inlineStr">
        <is>
          <t>WARNING</t>
        </is>
      </c>
    </row>
    <row r="263">
      <c r="A263" s="5" t="n">
        <v>2288</v>
      </c>
      <c r="B263" s="5" t="inlineStr">
        <is>
          <t>Final RAFAEL GARCIA (1462) NAVEL</t>
        </is>
      </c>
      <c r="C263" s="5" t="inlineStr">
        <is>
          <t>WARNING</t>
        </is>
      </c>
      <c r="D263" s="5" t="inlineStr">
        <is>
          <t>Warning</t>
        </is>
      </c>
      <c r="E263" s="5" t="inlineStr">
        <is>
          <t>No existe fuente acumulada disponible; saldo informativo calculado con cuota ya aplicada = 0.</t>
        </is>
      </c>
      <c r="F263" s="6" t="n">
        <v>46231.74836732359</v>
      </c>
      <c r="G263" s="5" t="inlineStr">
        <is>
          <t>WARNING</t>
        </is>
      </c>
    </row>
    <row r="264">
      <c r="A264" s="5" t="n">
        <v>2289</v>
      </c>
      <c r="B264" s="5" t="inlineStr">
        <is>
          <t>Final ALVARO HARO (1544) LANE LATE</t>
        </is>
      </c>
      <c r="C264" s="5" t="inlineStr">
        <is>
          <t>WARNING</t>
        </is>
      </c>
      <c r="D264" s="5" t="inlineStr">
        <is>
          <t>Warning</t>
        </is>
      </c>
      <c r="E264" s="5" t="inlineStr">
        <is>
          <t>No existe tarifa BonCalidad para socio=1544 campaña=2026 empresa=1 cultivo=DIRECTO.</t>
        </is>
      </c>
      <c r="F264" s="6" t="n">
        <v>46231.74836732359</v>
      </c>
      <c r="G264" s="5" t="inlineStr">
        <is>
          <t>WARNING</t>
        </is>
      </c>
    </row>
    <row r="265">
      <c r="A265" s="5" t="n">
        <v>2289</v>
      </c>
      <c r="B265" s="5" t="inlineStr">
        <is>
          <t>Final ALVARO HARO (1544) LANE LATE</t>
        </is>
      </c>
      <c r="C265" s="5" t="inlineStr">
        <is>
          <t>WARNING</t>
        </is>
      </c>
      <c r="D265" s="5" t="inlineStr">
        <is>
          <t>Warning</t>
        </is>
      </c>
      <c r="E265" s="5" t="inlineStr">
        <is>
          <t>No existe fuente acumulada disponible; saldo informativo calculado con cuota ya aplicada = 0.</t>
        </is>
      </c>
      <c r="F265" s="6" t="n">
        <v>46231.74836732359</v>
      </c>
      <c r="G265" s="5" t="inlineStr">
        <is>
          <t>WARNING</t>
        </is>
      </c>
    </row>
    <row r="266">
      <c r="A266" s="5" t="n">
        <v>2290</v>
      </c>
      <c r="B266" s="5" t="inlineStr">
        <is>
          <t>Final HNOS GONZALEZ ROLDAN (1272) LANE LATE</t>
        </is>
      </c>
      <c r="C266" s="5" t="inlineStr">
        <is>
          <t>WARNING</t>
        </is>
      </c>
      <c r="D266" s="5" t="inlineStr">
        <is>
          <t>Warning</t>
        </is>
      </c>
      <c r="E266" s="5" t="inlineStr">
        <is>
          <t>No existe tarifa BonCalidad para socio=1272 campaña=2026 empresa=1 cultivo=DIRECTO.</t>
        </is>
      </c>
      <c r="F266" s="6" t="n">
        <v>46231.74836732359</v>
      </c>
      <c r="G266" s="5" t="inlineStr">
        <is>
          <t>WARNING</t>
        </is>
      </c>
    </row>
    <row r="267">
      <c r="A267" s="5" t="n">
        <v>2290</v>
      </c>
      <c r="B267" s="5" t="inlineStr">
        <is>
          <t>Final HNOS GONZALEZ ROLDAN (1272) LANE LATE</t>
        </is>
      </c>
      <c r="C267" s="5" t="inlineStr">
        <is>
          <t>WARNING</t>
        </is>
      </c>
      <c r="D267" s="5" t="inlineStr">
        <is>
          <t>Warning</t>
        </is>
      </c>
      <c r="E267" s="5" t="inlineStr">
        <is>
          <t>No existe fuente acumulada disponible; saldo informativo calculado con cuota ya aplicada = 0.</t>
        </is>
      </c>
      <c r="F267" s="6" t="n">
        <v>46231.74836732359</v>
      </c>
      <c r="G267" s="5" t="inlineStr">
        <is>
          <t>WARNING</t>
        </is>
      </c>
    </row>
    <row r="268">
      <c r="A268" s="5" t="n">
        <v>2291</v>
      </c>
      <c r="B268" s="5" t="inlineStr">
        <is>
          <t>Final CRISTINA CALZADO (1519) LANE LATE</t>
        </is>
      </c>
      <c r="C268" s="5" t="inlineStr">
        <is>
          <t>WARNING</t>
        </is>
      </c>
      <c r="D268" s="5" t="inlineStr">
        <is>
          <t>Warning</t>
        </is>
      </c>
      <c r="E268" s="5" t="inlineStr">
        <is>
          <t>No existe tarifa BonCalidad para socio=1519 campaña=2026 empresa=1 cultivo=DIRECTO.</t>
        </is>
      </c>
      <c r="F268" s="6" t="n">
        <v>46231.74836732359</v>
      </c>
      <c r="G268" s="5" t="inlineStr">
        <is>
          <t>WARNING</t>
        </is>
      </c>
    </row>
    <row r="269">
      <c r="A269" s="5" t="n">
        <v>2291</v>
      </c>
      <c r="B269" s="5" t="inlineStr">
        <is>
          <t>Final CRISTINA CALZADO (1519) LANE LATE</t>
        </is>
      </c>
      <c r="C269" s="5" t="inlineStr">
        <is>
          <t>WARNING</t>
        </is>
      </c>
      <c r="D269" s="5" t="inlineStr">
        <is>
          <t>Warning</t>
        </is>
      </c>
      <c r="E269" s="5" t="inlineStr">
        <is>
          <t>No existe fuente acumulada disponible; saldo informativo calculado con cuota ya aplicada = 0.</t>
        </is>
      </c>
      <c r="F269" s="6" t="n">
        <v>46231.74836732359</v>
      </c>
      <c r="G269" s="5" t="inlineStr">
        <is>
          <t>WARNING</t>
        </is>
      </c>
    </row>
    <row r="270">
      <c r="A270" s="5" t="n">
        <v>2292</v>
      </c>
      <c r="B270" s="5" t="inlineStr">
        <is>
          <t>Final MARIA CALZADO (1518) LANE LATE</t>
        </is>
      </c>
      <c r="C270" s="5" t="inlineStr">
        <is>
          <t>WARNING</t>
        </is>
      </c>
      <c r="D270" s="5" t="inlineStr">
        <is>
          <t>Warning</t>
        </is>
      </c>
      <c r="E270" s="5" t="inlineStr">
        <is>
          <t>No existe tarifa BonCalidad para socio=1518 campaña=2026 empresa=1 cultivo=DIRECTO.</t>
        </is>
      </c>
      <c r="F270" s="6" t="n">
        <v>46231.74836732359</v>
      </c>
      <c r="G270" s="5" t="inlineStr">
        <is>
          <t>WARNING</t>
        </is>
      </c>
    </row>
    <row r="271">
      <c r="A271" s="5" t="n">
        <v>2292</v>
      </c>
      <c r="B271" s="5" t="inlineStr">
        <is>
          <t>Final MARIA CALZADO (1518) LANE LATE</t>
        </is>
      </c>
      <c r="C271" s="5" t="inlineStr">
        <is>
          <t>WARNING</t>
        </is>
      </c>
      <c r="D271" s="5" t="inlineStr">
        <is>
          <t>Warning</t>
        </is>
      </c>
      <c r="E271" s="5" t="inlineStr">
        <is>
          <t>No existe fuente acumulada disponible; saldo informativo calculado con cuota ya aplicada = 0.</t>
        </is>
      </c>
      <c r="F271" s="6" t="n">
        <v>46231.74836732359</v>
      </c>
      <c r="G271" s="5" t="inlineStr">
        <is>
          <t>WARNING</t>
        </is>
      </c>
    </row>
    <row r="272">
      <c r="A272" s="5" t="n">
        <v>2293</v>
      </c>
      <c r="B272" s="5" t="inlineStr">
        <is>
          <t>Final FRANCISCO GALVEZ (937) SALUSTIANAS</t>
        </is>
      </c>
      <c r="C272" s="5" t="inlineStr">
        <is>
          <t>WARNING</t>
        </is>
      </c>
      <c r="D272" s="5" t="inlineStr">
        <is>
          <t>Warning</t>
        </is>
      </c>
      <c r="E272" s="5" t="inlineStr">
        <is>
          <t>7 entregas ya figuran como liquidadas.</t>
        </is>
      </c>
      <c r="F272" s="6" t="n">
        <v>46231.74836732359</v>
      </c>
      <c r="G272" s="5" t="inlineStr">
        <is>
          <t>WARNING</t>
        </is>
      </c>
    </row>
    <row r="273">
      <c r="A273" s="5" t="n">
        <v>2293</v>
      </c>
      <c r="B273" s="5" t="inlineStr">
        <is>
          <t>Final FRANCISCO GALVEZ (937) SALUSTIANAS</t>
        </is>
      </c>
      <c r="C273" s="5" t="inlineStr">
        <is>
          <t>WARNING</t>
        </is>
      </c>
      <c r="D273" s="5" t="inlineStr">
        <is>
          <t>Warning</t>
        </is>
      </c>
      <c r="E273" s="5" t="inlineStr">
        <is>
          <t>No existe tarifa BonCalidad para socio=937 campaña=2026 empresa=1 cultivo=DIRECTO.</t>
        </is>
      </c>
      <c r="F273" s="6" t="n">
        <v>46231.74836732359</v>
      </c>
      <c r="G273" s="5" t="inlineStr">
        <is>
          <t>WARNING</t>
        </is>
      </c>
    </row>
    <row r="274">
      <c r="A274" s="5" t="n">
        <v>2293</v>
      </c>
      <c r="B274" s="5" t="inlineStr">
        <is>
          <t>Final FRANCISCO GALVEZ (937) SALUSTIANAS</t>
        </is>
      </c>
      <c r="C274" s="5" t="inlineStr">
        <is>
          <t>WARNING</t>
        </is>
      </c>
      <c r="D274" s="5" t="inlineStr">
        <is>
          <t>Warning</t>
        </is>
      </c>
      <c r="E274" s="5" t="inlineStr">
        <is>
          <t>No existe fuente acumulada disponible; saldo informativo calculado con cuota ya aplicada = 0.</t>
        </is>
      </c>
      <c r="F274" s="6" t="n">
        <v>46231.74836732359</v>
      </c>
      <c r="G274" s="5" t="inlineStr">
        <is>
          <t>WARNING</t>
        </is>
      </c>
    </row>
    <row r="275">
      <c r="A275" s="5" t="n">
        <v>2294</v>
      </c>
      <c r="B275" s="5" t="inlineStr">
        <is>
          <t>Final ESTIBEN HIDALGO (1602) SALUSTIANAS</t>
        </is>
      </c>
      <c r="C275" s="5" t="inlineStr">
        <is>
          <t>WARNING</t>
        </is>
      </c>
      <c r="D275" s="5" t="inlineStr">
        <is>
          <t>Warning</t>
        </is>
      </c>
      <c r="E275" s="5" t="inlineStr">
        <is>
          <t>3 entregas ya figuran como liquidadas.</t>
        </is>
      </c>
      <c r="F275" s="6" t="n">
        <v>46231.74836732359</v>
      </c>
      <c r="G275" s="5" t="inlineStr">
        <is>
          <t>WARNING</t>
        </is>
      </c>
    </row>
    <row r="276">
      <c r="A276" s="5" t="n">
        <v>2294</v>
      </c>
      <c r="B276" s="5" t="inlineStr">
        <is>
          <t>Final ESTIBEN HIDALGO (1602) SALUSTIANAS</t>
        </is>
      </c>
      <c r="C276" s="5" t="inlineStr">
        <is>
          <t>WARNING</t>
        </is>
      </c>
      <c r="D276" s="5" t="inlineStr">
        <is>
          <t>Warning</t>
        </is>
      </c>
      <c r="E276" s="5" t="inlineStr">
        <is>
          <t>No existe tarifa BonCalidad para socio=1602 campaña=2026 empresa=1 cultivo=DIRECTO.</t>
        </is>
      </c>
      <c r="F276" s="6" t="n">
        <v>46231.74836732359</v>
      </c>
      <c r="G276" s="5" t="inlineStr">
        <is>
          <t>WARNING</t>
        </is>
      </c>
    </row>
    <row r="277">
      <c r="A277" s="5" t="n">
        <v>2294</v>
      </c>
      <c r="B277" s="5" t="inlineStr">
        <is>
          <t>Final ESTIBEN HIDALGO (1602) SALUSTIANAS</t>
        </is>
      </c>
      <c r="C277" s="5" t="inlineStr">
        <is>
          <t>WARNING</t>
        </is>
      </c>
      <c r="D277" s="5" t="inlineStr">
        <is>
          <t>Warning</t>
        </is>
      </c>
      <c r="E277" s="5" t="inlineStr">
        <is>
          <t>No existe fuente acumulada disponible; saldo informativo calculado con cuota ya aplicada = 0.</t>
        </is>
      </c>
      <c r="F277" s="6" t="n">
        <v>46231.74836732359</v>
      </c>
      <c r="G277" s="5" t="inlineStr">
        <is>
          <t>WARNING</t>
        </is>
      </c>
    </row>
    <row r="278">
      <c r="A278" s="5" t="n">
        <v>2295</v>
      </c>
      <c r="B278" s="5" t="inlineStr">
        <is>
          <t>Final JOSE RINCON (824) SALUSTIANAS</t>
        </is>
      </c>
      <c r="C278" s="5" t="inlineStr">
        <is>
          <t>WARNING</t>
        </is>
      </c>
      <c r="D278" s="5" t="inlineStr">
        <is>
          <t>Warning</t>
        </is>
      </c>
      <c r="E278" s="5" t="inlineStr">
        <is>
          <t>2 entregas ya figuran como liquidadas.</t>
        </is>
      </c>
      <c r="F278" s="6" t="n">
        <v>46231.74836732359</v>
      </c>
      <c r="G278" s="5" t="inlineStr">
        <is>
          <t>WARNING</t>
        </is>
      </c>
    </row>
    <row r="279">
      <c r="A279" s="5" t="n">
        <v>2295</v>
      </c>
      <c r="B279" s="5" t="inlineStr">
        <is>
          <t>Final JOSE RINCON (824) SALUSTIANAS</t>
        </is>
      </c>
      <c r="C279" s="5" t="inlineStr">
        <is>
          <t>WARNING</t>
        </is>
      </c>
      <c r="D279" s="5" t="inlineStr">
        <is>
          <t>Warning</t>
        </is>
      </c>
      <c r="E279" s="5" t="inlineStr">
        <is>
          <t>No existe tarifa BonCalidad para socio=824 campaña=2026 empresa=1 cultivo=DIRECTO.</t>
        </is>
      </c>
      <c r="F279" s="6" t="n">
        <v>46231.74836732359</v>
      </c>
      <c r="G279" s="5" t="inlineStr">
        <is>
          <t>WARNING</t>
        </is>
      </c>
    </row>
    <row r="280">
      <c r="A280" s="5" t="n">
        <v>2295</v>
      </c>
      <c r="B280" s="5" t="inlineStr">
        <is>
          <t>Final JOSE RINCON (824) SALUSTIANAS</t>
        </is>
      </c>
      <c r="C280" s="5" t="inlineStr">
        <is>
          <t>WARNING</t>
        </is>
      </c>
      <c r="D280" s="5" t="inlineStr">
        <is>
          <t>Warning</t>
        </is>
      </c>
      <c r="E280" s="5" t="inlineStr">
        <is>
          <t>No existe fuente acumulada disponible; saldo informativo calculado con cuota ya aplicada = 0.</t>
        </is>
      </c>
      <c r="F280" s="6" t="n">
        <v>46231.74836732359</v>
      </c>
      <c r="G280" s="5" t="inlineStr">
        <is>
          <t>WARNING</t>
        </is>
      </c>
    </row>
    <row r="281">
      <c r="A281" s="5" t="n">
        <v>2296</v>
      </c>
      <c r="B281" s="5" t="inlineStr">
        <is>
          <t>Final LEON CARRASCO SL (1504) SALUSTIANAS</t>
        </is>
      </c>
      <c r="C281" s="5" t="inlineStr">
        <is>
          <t>WARNING</t>
        </is>
      </c>
      <c r="D281" s="5" t="inlineStr">
        <is>
          <t>Warning</t>
        </is>
      </c>
      <c r="E281" s="5" t="inlineStr">
        <is>
          <t>8 entregas ya figuran como liquidadas.</t>
        </is>
      </c>
      <c r="F281" s="6" t="n">
        <v>46231.74836732359</v>
      </c>
      <c r="G281" s="5" t="inlineStr">
        <is>
          <t>WARNING</t>
        </is>
      </c>
    </row>
    <row r="282">
      <c r="A282" s="5" t="n">
        <v>2296</v>
      </c>
      <c r="B282" s="5" t="inlineStr">
        <is>
          <t>Final LEON CARRASCO SL (1504) SALUSTIANAS</t>
        </is>
      </c>
      <c r="C282" s="5" t="inlineStr">
        <is>
          <t>WARNING</t>
        </is>
      </c>
      <c r="D282" s="5" t="inlineStr">
        <is>
          <t>Warning</t>
        </is>
      </c>
      <c r="E282" s="5" t="inlineStr">
        <is>
          <t>No existe tarifa BonCalidad para socio=1504 campaña=2026 empresa=1 cultivo=DIRECTO.</t>
        </is>
      </c>
      <c r="F282" s="6" t="n">
        <v>46231.74836732359</v>
      </c>
      <c r="G282" s="5" t="inlineStr">
        <is>
          <t>WARNING</t>
        </is>
      </c>
    </row>
    <row r="283">
      <c r="A283" s="5" t="n">
        <v>2296</v>
      </c>
      <c r="B283" s="5" t="inlineStr">
        <is>
          <t>Final LEON CARRASCO SL (1504) SALUSTIANAS</t>
        </is>
      </c>
      <c r="C283" s="5" t="inlineStr">
        <is>
          <t>WARNING</t>
        </is>
      </c>
      <c r="D283" s="5" t="inlineStr">
        <is>
          <t>Warning</t>
        </is>
      </c>
      <c r="E283" s="5" t="inlineStr">
        <is>
          <t>No existe fuente acumulada disponible; saldo informativo calculado con cuota ya aplicada = 0.</t>
        </is>
      </c>
      <c r="F283" s="6" t="n">
        <v>46231.74836732359</v>
      </c>
      <c r="G283" s="5" t="inlineStr">
        <is>
          <t>WARNING</t>
        </is>
      </c>
    </row>
    <row r="284">
      <c r="A284" s="5" t="n">
        <v>2297</v>
      </c>
      <c r="B284" s="5" t="inlineStr">
        <is>
          <t>Final CADORTAN SL (1550) LANE LATE</t>
        </is>
      </c>
      <c r="C284" s="5" t="inlineStr">
        <is>
          <t>WARNING</t>
        </is>
      </c>
      <c r="D284" s="5" t="inlineStr">
        <is>
          <t>Warning</t>
        </is>
      </c>
      <c r="E284" s="5" t="inlineStr">
        <is>
          <t>No existe tarifa BonCalidad para socio=1550 campaña=2026 empresa=1 cultivo=DIRECTO.</t>
        </is>
      </c>
      <c r="F284" s="6" t="n">
        <v>46231.74836732359</v>
      </c>
      <c r="G284" s="5" t="inlineStr">
        <is>
          <t>WARNING</t>
        </is>
      </c>
    </row>
    <row r="285">
      <c r="A285" s="5" t="n">
        <v>2297</v>
      </c>
      <c r="B285" s="5" t="inlineStr">
        <is>
          <t>Final CADORTAN SL (1550) LANE LATE</t>
        </is>
      </c>
      <c r="C285" s="5" t="inlineStr">
        <is>
          <t>WARNING</t>
        </is>
      </c>
      <c r="D285" s="5" t="inlineStr">
        <is>
          <t>Warning</t>
        </is>
      </c>
      <c r="E285" s="5" t="inlineStr">
        <is>
          <t>El socio 1550 figura certificado GlobalGAP en CITRICOS, MANDARINA pero no en CITRICOS, MANDARINA. Se ha aplicado la certificación global del socio. Revise DEEPP.</t>
        </is>
      </c>
      <c r="F285" s="6" t="n">
        <v>46231.74836732359</v>
      </c>
      <c r="G285" s="5" t="inlineStr">
        <is>
          <t>WARNING</t>
        </is>
      </c>
    </row>
    <row r="286">
      <c r="A286" s="5" t="n">
        <v>2297</v>
      </c>
      <c r="B286" s="5" t="inlineStr">
        <is>
          <t>Final CADORTAN SL (1550) LANE LATE</t>
        </is>
      </c>
      <c r="C286" s="5" t="inlineStr">
        <is>
          <t>WARNING</t>
        </is>
      </c>
      <c r="D286" s="5" t="inlineStr">
        <is>
          <t>Warning</t>
        </is>
      </c>
      <c r="E286" s="5" t="inlineStr">
        <is>
          <t>No existe fuente acumulada disponible; saldo informativo calculado con cuota ya aplicada = 0.</t>
        </is>
      </c>
      <c r="F286" s="6" t="n">
        <v>46231.74836732359</v>
      </c>
      <c r="G286" s="5" t="inlineStr">
        <is>
          <t>WARNING</t>
        </is>
      </c>
    </row>
    <row r="287">
      <c r="A287" s="5" t="n">
        <v>2298</v>
      </c>
      <c r="B287" s="5" t="inlineStr">
        <is>
          <t>Final FERNANDO TOMENO (1415) SALUSTIANAS</t>
        </is>
      </c>
      <c r="C287" s="5" t="inlineStr">
        <is>
          <t>WARNING</t>
        </is>
      </c>
      <c r="D287" s="5" t="inlineStr">
        <is>
          <t>Warning</t>
        </is>
      </c>
      <c r="E287" s="5" t="inlineStr">
        <is>
          <t>7 entregas ya figuran como liquidadas.</t>
        </is>
      </c>
      <c r="F287" s="6" t="n">
        <v>46231.74836732359</v>
      </c>
      <c r="G287" s="5" t="inlineStr">
        <is>
          <t>WARNING</t>
        </is>
      </c>
    </row>
    <row r="288">
      <c r="A288" s="5" t="n">
        <v>2298</v>
      </c>
      <c r="B288" s="5" t="inlineStr">
        <is>
          <t>Final FERNANDO TOMENO (1415) SALUSTIANAS</t>
        </is>
      </c>
      <c r="C288" s="5" t="inlineStr">
        <is>
          <t>WARNING</t>
        </is>
      </c>
      <c r="D288" s="5" t="inlineStr">
        <is>
          <t>Warning</t>
        </is>
      </c>
      <c r="E288" s="5" t="inlineStr">
        <is>
          <t>No existe tarifa BonCalidad para socio=1415 campaña=2026 empresa=1 cultivo=DIRECTO.</t>
        </is>
      </c>
      <c r="F288" s="6" t="n">
        <v>46231.74836732359</v>
      </c>
      <c r="G288" s="5" t="inlineStr">
        <is>
          <t>WARNING</t>
        </is>
      </c>
    </row>
    <row r="289">
      <c r="A289" s="5" t="n">
        <v>2298</v>
      </c>
      <c r="B289" s="5" t="inlineStr">
        <is>
          <t>Final FERNANDO TOMENO (1415) SALUSTIANAS</t>
        </is>
      </c>
      <c r="C289" s="5" t="inlineStr">
        <is>
          <t>WARNING</t>
        </is>
      </c>
      <c r="D289" s="5" t="inlineStr">
        <is>
          <t>Warning</t>
        </is>
      </c>
      <c r="E289" s="5" t="inlineStr">
        <is>
          <t>No existe fuente acumulada disponible; saldo informativo calculado con cuota ya aplicada = 0.</t>
        </is>
      </c>
      <c r="F289" s="6" t="n">
        <v>46231.74836732359</v>
      </c>
      <c r="G289" s="5" t="inlineStr">
        <is>
          <t>WARNING</t>
        </is>
      </c>
    </row>
    <row r="290">
      <c r="A290" s="5" t="n">
        <v>2299</v>
      </c>
      <c r="B290" s="5" t="inlineStr">
        <is>
          <t>Final DOLORES MUÑOZ  (1511) SALUSTIANAS</t>
        </is>
      </c>
      <c r="C290" s="5" t="inlineStr">
        <is>
          <t>WARNING</t>
        </is>
      </c>
      <c r="D290" s="5" t="inlineStr">
        <is>
          <t>Warning</t>
        </is>
      </c>
      <c r="E290" s="5" t="inlineStr">
        <is>
          <t>3 entregas ya figuran como liquidadas.</t>
        </is>
      </c>
      <c r="F290" s="6" t="n">
        <v>46231.74836732359</v>
      </c>
      <c r="G290" s="5" t="inlineStr">
        <is>
          <t>WARNING</t>
        </is>
      </c>
    </row>
    <row r="291">
      <c r="A291" s="5" t="n">
        <v>2299</v>
      </c>
      <c r="B291" s="5" t="inlineStr">
        <is>
          <t>Final DOLORES MUÑOZ  (1511) SALUSTIANAS</t>
        </is>
      </c>
      <c r="C291" s="5" t="inlineStr">
        <is>
          <t>WARNING</t>
        </is>
      </c>
      <c r="D291" s="5" t="inlineStr">
        <is>
          <t>Warning</t>
        </is>
      </c>
      <c r="E291" s="5" t="inlineStr">
        <is>
          <t>No existe tarifa BonCalidad para socio=1511 campaña=2026 empresa=1 cultivo=DIRECTO.</t>
        </is>
      </c>
      <c r="F291" s="6" t="n">
        <v>46231.74836732359</v>
      </c>
      <c r="G291" s="5" t="inlineStr">
        <is>
          <t>WARNING</t>
        </is>
      </c>
    </row>
    <row r="292">
      <c r="A292" s="5" t="n">
        <v>2299</v>
      </c>
      <c r="B292" s="5" t="inlineStr">
        <is>
          <t>Final DOLORES MUÑOZ  (1511) SALUSTIANAS</t>
        </is>
      </c>
      <c r="C292" s="5" t="inlineStr">
        <is>
          <t>WARNING</t>
        </is>
      </c>
      <c r="D292" s="5" t="inlineStr">
        <is>
          <t>Warning</t>
        </is>
      </c>
      <c r="E292" s="5" t="inlineStr">
        <is>
          <t>No existe fuente acumulada disponible; saldo informativo calculado con cuota ya aplicada = 0.</t>
        </is>
      </c>
      <c r="F292" s="6" t="n">
        <v>46231.74836732359</v>
      </c>
      <c r="G292" s="5" t="inlineStr">
        <is>
          <t>WARNING</t>
        </is>
      </c>
    </row>
    <row r="293">
      <c r="A293" s="5" t="n">
        <v>2300</v>
      </c>
      <c r="B293" s="5" t="inlineStr">
        <is>
          <t>Final DOLORES HDEZ (1549) SALUSTIANAS</t>
        </is>
      </c>
      <c r="C293" s="5" t="inlineStr">
        <is>
          <t>WARNING</t>
        </is>
      </c>
      <c r="D293" s="5" t="inlineStr">
        <is>
          <t>Warning</t>
        </is>
      </c>
      <c r="E293" s="5" t="inlineStr">
        <is>
          <t>4 entregas ya figuran como liquidadas.</t>
        </is>
      </c>
      <c r="F293" s="6" t="n">
        <v>46231.74836732359</v>
      </c>
      <c r="G293" s="5" t="inlineStr">
        <is>
          <t>WARNING</t>
        </is>
      </c>
    </row>
    <row r="294">
      <c r="A294" s="5" t="n">
        <v>2300</v>
      </c>
      <c r="B294" s="5" t="inlineStr">
        <is>
          <t>Final DOLORES HDEZ (1549) SALUSTIANAS</t>
        </is>
      </c>
      <c r="C294" s="5" t="inlineStr">
        <is>
          <t>WARNING</t>
        </is>
      </c>
      <c r="D294" s="5" t="inlineStr">
        <is>
          <t>Warning</t>
        </is>
      </c>
      <c r="E294" s="5" t="inlineStr">
        <is>
          <t>No existe tarifa BonCalidad para socio=1549 campaña=2026 empresa=1 cultivo=DIRECTO.</t>
        </is>
      </c>
      <c r="F294" s="6" t="n">
        <v>46231.74836732359</v>
      </c>
      <c r="G294" s="5" t="inlineStr">
        <is>
          <t>WARNING</t>
        </is>
      </c>
    </row>
    <row r="295">
      <c r="A295" s="5" t="n">
        <v>2300</v>
      </c>
      <c r="B295" s="5" t="inlineStr">
        <is>
          <t>Final DOLORES HDEZ (1549) SALUSTIANAS</t>
        </is>
      </c>
      <c r="C295" s="5" t="inlineStr">
        <is>
          <t>WARNING</t>
        </is>
      </c>
      <c r="D295" s="5" t="inlineStr">
        <is>
          <t>Warning</t>
        </is>
      </c>
      <c r="E295" s="5" t="inlineStr">
        <is>
          <t>No existe fuente acumulada disponible; saldo informativo calculado con cuota ya aplicada = 0.</t>
        </is>
      </c>
      <c r="F295" s="6" t="n">
        <v>46231.74836732359</v>
      </c>
      <c r="G295" s="5" t="inlineStr">
        <is>
          <t>WARNING</t>
        </is>
      </c>
    </row>
    <row r="296">
      <c r="A296" s="5" t="n">
        <v>2301</v>
      </c>
      <c r="B296" s="5" t="inlineStr">
        <is>
          <t>Final JESUS PADILLA (1611) LANE LATE</t>
        </is>
      </c>
      <c r="C296" s="5" t="inlineStr">
        <is>
          <t>WARNING</t>
        </is>
      </c>
      <c r="D296" s="5" t="inlineStr">
        <is>
          <t>Warning</t>
        </is>
      </c>
      <c r="E296" s="5" t="inlineStr">
        <is>
          <t>No existe tarifa BonCalidad para socio=1611 campaña=2026 empresa=1 cultivo=DIRECTO.</t>
        </is>
      </c>
      <c r="F296" s="6" t="n">
        <v>46231.74836732359</v>
      </c>
      <c r="G296" s="5" t="inlineStr">
        <is>
          <t>WARNING</t>
        </is>
      </c>
    </row>
    <row r="297">
      <c r="A297" s="5" t="n">
        <v>2301</v>
      </c>
      <c r="B297" s="5" t="inlineStr">
        <is>
          <t>Final JESUS PADILLA (1611) LANE LATE</t>
        </is>
      </c>
      <c r="C297" s="5" t="inlineStr">
        <is>
          <t>WARNING</t>
        </is>
      </c>
      <c r="D297" s="5" t="inlineStr">
        <is>
          <t>Warning</t>
        </is>
      </c>
      <c r="E297" s="5" t="inlineStr">
        <is>
          <t>No existe fuente acumulada disponible; saldo informativo calculado con cuota ya aplicada = 0.</t>
        </is>
      </c>
      <c r="F297" s="6" t="n">
        <v>46231.74836732359</v>
      </c>
      <c r="G297" s="5" t="inlineStr">
        <is>
          <t>WARNING</t>
        </is>
      </c>
    </row>
    <row r="298">
      <c r="A298" s="5" t="n">
        <v>2302</v>
      </c>
      <c r="B298" s="5" t="inlineStr">
        <is>
          <t>Final ALVARO HARO (1544) CHISSLET</t>
        </is>
      </c>
      <c r="C298" s="5" t="inlineStr">
        <is>
          <t>WARNING</t>
        </is>
      </c>
      <c r="D298" s="5" t="inlineStr">
        <is>
          <t>Warning</t>
        </is>
      </c>
      <c r="E298" s="5" t="inlineStr">
        <is>
          <t>No existe tarifa BonCalidad para socio=1544 campaña=2026 empresa=1 cultivo=DIRECTO.</t>
        </is>
      </c>
      <c r="F298" s="6" t="n">
        <v>46231.74836732359</v>
      </c>
      <c r="G298" s="5" t="inlineStr">
        <is>
          <t>WARNING</t>
        </is>
      </c>
    </row>
    <row r="299">
      <c r="A299" s="5" t="n">
        <v>2302</v>
      </c>
      <c r="B299" s="5" t="inlineStr">
        <is>
          <t>Final ALVARO HARO (1544) CHISSLET</t>
        </is>
      </c>
      <c r="C299" s="5" t="inlineStr">
        <is>
          <t>WARNING</t>
        </is>
      </c>
      <c r="D299" s="5" t="inlineStr">
        <is>
          <t>Warning</t>
        </is>
      </c>
      <c r="E299" s="5" t="inlineStr">
        <is>
          <t>No existe fuente acumulada disponible; saldo informativo calculado con cuota ya aplicada = 0.</t>
        </is>
      </c>
      <c r="F299" s="6" t="n">
        <v>46231.74836732359</v>
      </c>
      <c r="G299" s="5" t="inlineStr">
        <is>
          <t>WARNING</t>
        </is>
      </c>
    </row>
    <row r="300">
      <c r="A300" s="5" t="n">
        <v>2303</v>
      </c>
      <c r="B300" s="5" t="inlineStr">
        <is>
          <t>Final J. A. RODRIGUEZ MEJIAS (1523) LANE LATE</t>
        </is>
      </c>
      <c r="C300" s="5" t="inlineStr">
        <is>
          <t>WARNING</t>
        </is>
      </c>
      <c r="D300" s="5" t="inlineStr">
        <is>
          <t>Warning</t>
        </is>
      </c>
      <c r="E300" s="5" t="inlineStr">
        <is>
          <t>No existe tarifa BonCalidad para socio=1523 campaña=2026 empresa=1 cultivo=DIRECTO.</t>
        </is>
      </c>
      <c r="F300" s="6" t="n">
        <v>46231.74836732359</v>
      </c>
      <c r="G300" s="5" t="inlineStr">
        <is>
          <t>WARNING</t>
        </is>
      </c>
    </row>
    <row r="301">
      <c r="A301" s="5" t="n">
        <v>2303</v>
      </c>
      <c r="B301" s="5" t="inlineStr">
        <is>
          <t>Final J. A. RODRIGUEZ MEJIAS (1523) LANE LATE</t>
        </is>
      </c>
      <c r="C301" s="5" t="inlineStr">
        <is>
          <t>WARNING</t>
        </is>
      </c>
      <c r="D301" s="5" t="inlineStr">
        <is>
          <t>Warning</t>
        </is>
      </c>
      <c r="E301" s="5" t="inlineStr">
        <is>
          <t>El socio 1523 figura certificado GlobalGAP en CITRICOS, KAKIS, MANDARINA pero no en CITRICOS. Se ha aplicado la certificación global del socio. Revise DEEPP.</t>
        </is>
      </c>
      <c r="F301" s="6" t="n">
        <v>46231.74836732359</v>
      </c>
      <c r="G301" s="5" t="inlineStr">
        <is>
          <t>WARNING</t>
        </is>
      </c>
    </row>
    <row r="302">
      <c r="A302" s="5" t="n">
        <v>2303</v>
      </c>
      <c r="B302" s="5" t="inlineStr">
        <is>
          <t>Final J. A. RODRIGUEZ MEJIAS (1523) LANE LATE</t>
        </is>
      </c>
      <c r="C302" s="5" t="inlineStr">
        <is>
          <t>WARNING</t>
        </is>
      </c>
      <c r="D302" s="5" t="inlineStr">
        <is>
          <t>Warning</t>
        </is>
      </c>
      <c r="E302" s="5" t="inlineStr">
        <is>
          <t>No existe fuente acumulada disponible; saldo informativo calculado con cuota ya aplicada = 0.</t>
        </is>
      </c>
      <c r="F302" s="6" t="n">
        <v>46231.74836732359</v>
      </c>
      <c r="G302" s="5" t="inlineStr">
        <is>
          <t>WARNING</t>
        </is>
      </c>
    </row>
    <row r="303">
      <c r="A303" s="5" t="n">
        <v>2304</v>
      </c>
      <c r="B303" s="5" t="inlineStr">
        <is>
          <t>Final AGRONUÑEZ (1466) LANE LATE</t>
        </is>
      </c>
      <c r="C303" s="5" t="inlineStr">
        <is>
          <t>WARNING</t>
        </is>
      </c>
      <c r="D303" s="5" t="inlineStr">
        <is>
          <t>Warning</t>
        </is>
      </c>
      <c r="E303" s="5" t="inlineStr">
        <is>
          <t>No existe tarifa BonCalidad para socio=1466 campaña=2026 empresa=1 cultivo=DIRECTO.</t>
        </is>
      </c>
      <c r="F303" s="6" t="n">
        <v>46231.74836732359</v>
      </c>
      <c r="G303" s="5" t="inlineStr">
        <is>
          <t>WARNING</t>
        </is>
      </c>
    </row>
    <row r="304">
      <c r="A304" s="5" t="n">
        <v>2304</v>
      </c>
      <c r="B304" s="5" t="inlineStr">
        <is>
          <t>Final AGRONUÑEZ (1466) LANE LATE</t>
        </is>
      </c>
      <c r="C304" s="5" t="inlineStr">
        <is>
          <t>WARNING</t>
        </is>
      </c>
      <c r="D304" s="5" t="inlineStr">
        <is>
          <t>Warning</t>
        </is>
      </c>
      <c r="E304" s="5" t="inlineStr">
        <is>
          <t>No existe fuente acumulada disponible; saldo informativo calculado con cuota ya aplicada = 0.</t>
        </is>
      </c>
      <c r="F304" s="6" t="n">
        <v>46231.74836732359</v>
      </c>
      <c r="G304" s="5" t="inlineStr">
        <is>
          <t>WARNING</t>
        </is>
      </c>
    </row>
    <row r="305">
      <c r="A305" s="5" t="n">
        <v>2305</v>
      </c>
      <c r="B305" s="5" t="inlineStr">
        <is>
          <t>Final MANUEL JESUS NUÑEZ (1560) LANE LATE</t>
        </is>
      </c>
      <c r="C305" s="5" t="inlineStr">
        <is>
          <t>WARNING</t>
        </is>
      </c>
      <c r="D305" s="5" t="inlineStr">
        <is>
          <t>Warning</t>
        </is>
      </c>
      <c r="E305" s="5" t="inlineStr">
        <is>
          <t>No existe tarifa BonCalidad para socio=1560 campaña=2026 empresa=1 cultivo=DIRECTO.</t>
        </is>
      </c>
      <c r="F305" s="6" t="n">
        <v>46231.74836732359</v>
      </c>
      <c r="G305" s="5" t="inlineStr">
        <is>
          <t>WARNING</t>
        </is>
      </c>
    </row>
    <row r="306">
      <c r="A306" s="5" t="n">
        <v>2305</v>
      </c>
      <c r="B306" s="5" t="inlineStr">
        <is>
          <t>Final MANUEL JESUS NUÑEZ (1560) LANE LATE</t>
        </is>
      </c>
      <c r="C306" s="5" t="inlineStr">
        <is>
          <t>WARNING</t>
        </is>
      </c>
      <c r="D306" s="5" t="inlineStr">
        <is>
          <t>Warning</t>
        </is>
      </c>
      <c r="E306" s="5" t="inlineStr">
        <is>
          <t>No existe fuente acumulada disponible; saldo informativo calculado con cuota ya aplicada = 0.</t>
        </is>
      </c>
      <c r="F306" s="6" t="n">
        <v>46231.74836732359</v>
      </c>
      <c r="G306" s="5" t="inlineStr">
        <is>
          <t>WARNING</t>
        </is>
      </c>
    </row>
    <row r="307">
      <c r="A307" s="5" t="n">
        <v>2306</v>
      </c>
      <c r="B307" s="5" t="inlineStr">
        <is>
          <t>Final HNOS GONZALEZ ROLDAN (1272) LANE LATE 1</t>
        </is>
      </c>
      <c r="C307" s="5" t="inlineStr">
        <is>
          <t>WARNING</t>
        </is>
      </c>
      <c r="D307" s="5" t="inlineStr">
        <is>
          <t>Warning</t>
        </is>
      </c>
      <c r="E307" s="5" t="inlineStr">
        <is>
          <t>No existe tarifa BonCalidad para socio=1272 campaña=2026 empresa=1 cultivo=DIRECTO.</t>
        </is>
      </c>
      <c r="F307" s="6" t="n">
        <v>46231.74836732359</v>
      </c>
      <c r="G307" s="5" t="inlineStr">
        <is>
          <t>WARNING</t>
        </is>
      </c>
    </row>
    <row r="308">
      <c r="A308" s="5" t="n">
        <v>2306</v>
      </c>
      <c r="B308" s="5" t="inlineStr">
        <is>
          <t>Final HNOS GONZALEZ ROLDAN (1272) LANE LATE 1</t>
        </is>
      </c>
      <c r="C308" s="5" t="inlineStr">
        <is>
          <t>WARNING</t>
        </is>
      </c>
      <c r="D308" s="5" t="inlineStr">
        <is>
          <t>Warning</t>
        </is>
      </c>
      <c r="E308" s="5" t="inlineStr">
        <is>
          <t>No existe fuente acumulada disponible; saldo informativo calculado con cuota ya aplicada = 0.</t>
        </is>
      </c>
      <c r="F308" s="6" t="n">
        <v>46231.74836732359</v>
      </c>
      <c r="G308" s="5" t="inlineStr">
        <is>
          <t>WARNING</t>
        </is>
      </c>
    </row>
    <row r="309">
      <c r="A309" s="5" t="n">
        <v>2307</v>
      </c>
      <c r="B309" s="5" t="inlineStr">
        <is>
          <t>Final AGRICOLA HNOS BUIZA (1395) POWEL</t>
        </is>
      </c>
      <c r="C309" s="5" t="inlineStr">
        <is>
          <t>WARNING</t>
        </is>
      </c>
      <c r="D309" s="5" t="inlineStr">
        <is>
          <t>Warning</t>
        </is>
      </c>
      <c r="E309" s="5" t="inlineStr">
        <is>
          <t>No existe tarifa BonCalidad para socio=1395 campaña=2026 empresa=1 cultivo=DIRECTO.</t>
        </is>
      </c>
      <c r="F309" s="6" t="n">
        <v>46231.74836732359</v>
      </c>
      <c r="G309" s="5" t="inlineStr">
        <is>
          <t>WARNING</t>
        </is>
      </c>
    </row>
    <row r="310">
      <c r="A310" s="5" t="n">
        <v>2307</v>
      </c>
      <c r="B310" s="5" t="inlineStr">
        <is>
          <t>Final AGRICOLA HNOS BUIZA (1395) POWEL</t>
        </is>
      </c>
      <c r="C310" s="5" t="inlineStr">
        <is>
          <t>WARNING</t>
        </is>
      </c>
      <c r="D310" s="5" t="inlineStr">
        <is>
          <t>Warning</t>
        </is>
      </c>
      <c r="E310" s="5" t="inlineStr">
        <is>
          <t>No existe fuente acumulada disponible; saldo informativo calculado con cuota ya aplicada = 0.</t>
        </is>
      </c>
      <c r="F310" s="6" t="n">
        <v>46231.74836732359</v>
      </c>
      <c r="G310" s="5" t="inlineStr">
        <is>
          <t>WARNING</t>
        </is>
      </c>
    </row>
    <row r="311">
      <c r="A311" s="5" t="n">
        <v>2308</v>
      </c>
      <c r="B311" s="5" t="inlineStr">
        <is>
          <t>Final JAVIER SANCHEZ GUIL (1624) SALUSTIANAS</t>
        </is>
      </c>
      <c r="C311" s="5" t="inlineStr">
        <is>
          <t>WARNING</t>
        </is>
      </c>
      <c r="D311" s="5" t="inlineStr">
        <is>
          <t>Warning</t>
        </is>
      </c>
      <c r="E311" s="5" t="inlineStr">
        <is>
          <t>1 entregas ya figuran como liquidadas.</t>
        </is>
      </c>
      <c r="F311" s="6" t="n">
        <v>46231.74836732359</v>
      </c>
      <c r="G311" s="5" t="inlineStr">
        <is>
          <t>WARNING</t>
        </is>
      </c>
    </row>
    <row r="312">
      <c r="A312" s="5" t="n">
        <v>2308</v>
      </c>
      <c r="B312" s="5" t="inlineStr">
        <is>
          <t>Final JAVIER SANCHEZ GUIL (1624) SALUSTIANAS</t>
        </is>
      </c>
      <c r="C312" s="5" t="inlineStr">
        <is>
          <t>WARNING</t>
        </is>
      </c>
      <c r="D312" s="5" t="inlineStr">
        <is>
          <t>Warning</t>
        </is>
      </c>
      <c r="E312" s="5" t="inlineStr">
        <is>
          <t>No existe tarifa BonCalidad para socio=1624 campaña=2026 empresa=1 cultivo=DIRECTO.</t>
        </is>
      </c>
      <c r="F312" s="6" t="n">
        <v>46231.74836732359</v>
      </c>
      <c r="G312" s="5" t="inlineStr">
        <is>
          <t>WARNING</t>
        </is>
      </c>
    </row>
    <row r="313">
      <c r="A313" s="5" t="n">
        <v>2308</v>
      </c>
      <c r="B313" s="5" t="inlineStr">
        <is>
          <t>Final JAVIER SANCHEZ GUIL (1624) SALUSTIANAS</t>
        </is>
      </c>
      <c r="C313" s="5" t="inlineStr">
        <is>
          <t>WARNING</t>
        </is>
      </c>
      <c r="D313" s="5" t="inlineStr">
        <is>
          <t>Warning</t>
        </is>
      </c>
      <c r="E313" s="5" t="inlineStr">
        <is>
          <t>No existe fuente acumulada disponible; saldo informativo calculado con cuota ya aplicada = 0.</t>
        </is>
      </c>
      <c r="F313" s="6" t="n">
        <v>46231.74836732359</v>
      </c>
      <c r="G313" s="5" t="inlineStr">
        <is>
          <t>WARNING</t>
        </is>
      </c>
    </row>
    <row r="314">
      <c r="A314" s="5" t="n">
        <v>2309</v>
      </c>
      <c r="B314" s="5" t="inlineStr">
        <is>
          <t>Final J. A. PRIOR PORTILLO (1589) SALUSTIANAS</t>
        </is>
      </c>
      <c r="C314" s="5" t="inlineStr">
        <is>
          <t>WARNING</t>
        </is>
      </c>
      <c r="D314" s="5" t="inlineStr">
        <is>
          <t>Warning</t>
        </is>
      </c>
      <c r="E314" s="5" t="inlineStr">
        <is>
          <t>1 entregas ya figuran como liquidadas.</t>
        </is>
      </c>
      <c r="F314" s="6" t="n">
        <v>46231.74836732359</v>
      </c>
      <c r="G314" s="5" t="inlineStr">
        <is>
          <t>WARNING</t>
        </is>
      </c>
    </row>
    <row r="315">
      <c r="A315" s="5" t="n">
        <v>2309</v>
      </c>
      <c r="B315" s="5" t="inlineStr">
        <is>
          <t>Final J. A. PRIOR PORTILLO (1589) SALUSTIANAS</t>
        </is>
      </c>
      <c r="C315" s="5" t="inlineStr">
        <is>
          <t>WARNING</t>
        </is>
      </c>
      <c r="D315" s="5" t="inlineStr">
        <is>
          <t>Warning</t>
        </is>
      </c>
      <c r="E315" s="5" t="inlineStr">
        <is>
          <t>No existe tarifa BonCalidad para socio=1589 campaña=2026 empresa=1 cultivo=DIRECTO.</t>
        </is>
      </c>
      <c r="F315" s="6" t="n">
        <v>46231.74836732359</v>
      </c>
      <c r="G315" s="5" t="inlineStr">
        <is>
          <t>WARNING</t>
        </is>
      </c>
    </row>
    <row r="316">
      <c r="A316" s="5" t="n">
        <v>2309</v>
      </c>
      <c r="B316" s="5" t="inlineStr">
        <is>
          <t>Final J. A. PRIOR PORTILLO (1589) SALUSTIANAS</t>
        </is>
      </c>
      <c r="C316" s="5" t="inlineStr">
        <is>
          <t>WARNING</t>
        </is>
      </c>
      <c r="D316" s="5" t="inlineStr">
        <is>
          <t>Warning</t>
        </is>
      </c>
      <c r="E316" s="5" t="inlineStr">
        <is>
          <t>No existe fuente acumulada disponible; saldo informativo calculado con cuota ya aplicada = 0.</t>
        </is>
      </c>
      <c r="F316" s="6" t="n">
        <v>46231.74836732359</v>
      </c>
      <c r="G316" s="5" t="inlineStr">
        <is>
          <t>WARNING</t>
        </is>
      </c>
    </row>
    <row r="317">
      <c r="A317" s="5" t="n">
        <v>2310</v>
      </c>
      <c r="B317" s="5" t="inlineStr">
        <is>
          <t>Final LEON CARRASCO SL (1504) POWEL</t>
        </is>
      </c>
      <c r="C317" s="5" t="inlineStr">
        <is>
          <t>WARNING</t>
        </is>
      </c>
      <c r="D317" s="5" t="inlineStr">
        <is>
          <t>Warning</t>
        </is>
      </c>
      <c r="E317" s="5" t="inlineStr">
        <is>
          <t>No existe tarifa BonCalidad para socio=1504 campaña=2026 empresa=1 cultivo=DIRECTO.</t>
        </is>
      </c>
      <c r="F317" s="6" t="n">
        <v>46231.74836732359</v>
      </c>
      <c r="G317" s="5" t="inlineStr">
        <is>
          <t>WARNING</t>
        </is>
      </c>
    </row>
    <row r="318">
      <c r="A318" s="5" t="n">
        <v>2310</v>
      </c>
      <c r="B318" s="5" t="inlineStr">
        <is>
          <t>Final LEON CARRASCO SL (1504) POWEL</t>
        </is>
      </c>
      <c r="C318" s="5" t="inlineStr">
        <is>
          <t>WARNING</t>
        </is>
      </c>
      <c r="D318" s="5" t="inlineStr">
        <is>
          <t>Warning</t>
        </is>
      </c>
      <c r="E318" s="5" t="inlineStr">
        <is>
          <t>No existe fuente acumulada disponible; saldo informativo calculado con cuota ya aplicada = 0.</t>
        </is>
      </c>
      <c r="F318" s="6" t="n">
        <v>46231.74836732359</v>
      </c>
      <c r="G318" s="5" t="inlineStr">
        <is>
          <t>WARNING</t>
        </is>
      </c>
    </row>
    <row r="319">
      <c r="A319" s="5" t="n">
        <v>2311</v>
      </c>
      <c r="B319" s="5" t="inlineStr">
        <is>
          <t>Final MERCEDES GOMEZ (1577) POWEL</t>
        </is>
      </c>
      <c r="C319" s="5" t="inlineStr">
        <is>
          <t>WARNING</t>
        </is>
      </c>
      <c r="D319" s="5" t="inlineStr">
        <is>
          <t>Warning</t>
        </is>
      </c>
      <c r="E319" s="5" t="inlineStr">
        <is>
          <t>No existe tarifa BonCalidad para socio=1577 campaña=2026 empresa=1 cultivo=DIRECTO.</t>
        </is>
      </c>
      <c r="F319" s="6" t="n">
        <v>46231.74836732359</v>
      </c>
      <c r="G319" s="5" t="inlineStr">
        <is>
          <t>WARNING</t>
        </is>
      </c>
    </row>
    <row r="320">
      <c r="A320" s="5" t="n">
        <v>2311</v>
      </c>
      <c r="B320" s="5" t="inlineStr">
        <is>
          <t>Final MERCEDES GOMEZ (1577) POWEL</t>
        </is>
      </c>
      <c r="C320" s="5" t="inlineStr">
        <is>
          <t>WARNING</t>
        </is>
      </c>
      <c r="D320" s="5" t="inlineStr">
        <is>
          <t>Warning</t>
        </is>
      </c>
      <c r="E320" s="5" t="inlineStr">
        <is>
          <t>No existe fuente acumulada disponible; saldo informativo calculado con cuota ya aplicada = 0.</t>
        </is>
      </c>
      <c r="F320" s="6" t="n">
        <v>46231.74836732359</v>
      </c>
      <c r="G320" s="5" t="inlineStr">
        <is>
          <t>WARNING</t>
        </is>
      </c>
    </row>
    <row r="321">
      <c r="A321" s="5" t="n">
        <v>2312</v>
      </c>
      <c r="B321" s="5" t="inlineStr">
        <is>
          <t>Final FRANCISCO JAVIER CALZADO (1178) NAVEL POWEL</t>
        </is>
      </c>
      <c r="C321" s="5" t="inlineStr">
        <is>
          <t>WARNING</t>
        </is>
      </c>
      <c r="D321" s="5" t="inlineStr">
        <is>
          <t>Warning</t>
        </is>
      </c>
      <c r="E321" s="5" t="inlineStr">
        <is>
          <t>No existe tarifa BonCalidad para socio=1178 campaña=2026 empresa=1 cultivo=DIRECTO.</t>
        </is>
      </c>
      <c r="F321" s="6" t="n">
        <v>46231.74836732359</v>
      </c>
      <c r="G321" s="5" t="inlineStr">
        <is>
          <t>WARNING</t>
        </is>
      </c>
    </row>
    <row r="322">
      <c r="A322" s="5" t="n">
        <v>2312</v>
      </c>
      <c r="B322" s="5" t="inlineStr">
        <is>
          <t>Final FRANCISCO JAVIER CALZADO (1178) NAVEL POWEL</t>
        </is>
      </c>
      <c r="C322" s="5" t="inlineStr">
        <is>
          <t>WARNING</t>
        </is>
      </c>
      <c r="D322" s="5" t="inlineStr">
        <is>
          <t>Warning</t>
        </is>
      </c>
      <c r="E322" s="5" t="inlineStr">
        <is>
          <t>No existe fuente acumulada disponible; saldo informativo calculado con cuota ya aplicada = 0.</t>
        </is>
      </c>
      <c r="F322" s="6" t="n">
        <v>46231.74836732359</v>
      </c>
      <c r="G322" s="5" t="inlineStr">
        <is>
          <t>WARNING</t>
        </is>
      </c>
    </row>
    <row r="323">
      <c r="A323" s="5" t="n">
        <v>2313</v>
      </c>
      <c r="B323" s="5" t="inlineStr">
        <is>
          <t>Final FERNANDO TOMENO SUAREZ (1415) BARBERINA</t>
        </is>
      </c>
      <c r="C323" s="5" t="inlineStr">
        <is>
          <t>WARNING</t>
        </is>
      </c>
      <c r="D323" s="5" t="inlineStr">
        <is>
          <t>Warning</t>
        </is>
      </c>
      <c r="E323" s="5" t="inlineStr">
        <is>
          <t>No existe tarifa BonCalidad para socio=1415 campaña=2026 empresa=1 cultivo=DIRECTO.</t>
        </is>
      </c>
      <c r="F323" s="6" t="n">
        <v>46231.74836732359</v>
      </c>
      <c r="G323" s="5" t="inlineStr">
        <is>
          <t>WARNING</t>
        </is>
      </c>
    </row>
    <row r="324">
      <c r="A324" s="5" t="n">
        <v>2313</v>
      </c>
      <c r="B324" s="5" t="inlineStr">
        <is>
          <t>Final FERNANDO TOMENO SUAREZ (1415) BARBERINA</t>
        </is>
      </c>
      <c r="C324" s="5" t="inlineStr">
        <is>
          <t>WARNING</t>
        </is>
      </c>
      <c r="D324" s="5" t="inlineStr">
        <is>
          <t>Warning</t>
        </is>
      </c>
      <c r="E324" s="5" t="inlineStr">
        <is>
          <t>No existe fuente acumulada disponible; saldo informativo calculado con cuota ya aplicada = 0.</t>
        </is>
      </c>
      <c r="F324" s="6" t="n">
        <v>46231.74836732359</v>
      </c>
      <c r="G324" s="5" t="inlineStr">
        <is>
          <t>WARNING</t>
        </is>
      </c>
    </row>
    <row r="325">
      <c r="A325" s="5" t="n">
        <v>2314</v>
      </c>
      <c r="B325" s="5" t="inlineStr">
        <is>
          <t>Final FAMILIA GONZALEZ LACAL (1350) BARBERINA</t>
        </is>
      </c>
      <c r="C325" s="5" t="inlineStr">
        <is>
          <t>WARNING</t>
        </is>
      </c>
      <c r="D325" s="5" t="inlineStr">
        <is>
          <t>Warning</t>
        </is>
      </c>
      <c r="E325" s="5" t="inlineStr">
        <is>
          <t>No existe tarifa BonCalidad para socio=1350 campaña=2026 empresa=1 cultivo=DIRECTO.</t>
        </is>
      </c>
      <c r="F325" s="6" t="n">
        <v>46231.74836732359</v>
      </c>
      <c r="G325" s="5" t="inlineStr">
        <is>
          <t>WARNING</t>
        </is>
      </c>
    </row>
    <row r="326">
      <c r="A326" s="5" t="n">
        <v>2314</v>
      </c>
      <c r="B326" s="5" t="inlineStr">
        <is>
          <t>Final FAMILIA GONZALEZ LACAL (1350) BARBERINA</t>
        </is>
      </c>
      <c r="C326" s="5" t="inlineStr">
        <is>
          <t>WARNING</t>
        </is>
      </c>
      <c r="D326" s="5" t="inlineStr">
        <is>
          <t>Warning</t>
        </is>
      </c>
      <c r="E326" s="5" t="inlineStr">
        <is>
          <t>El socio 1350 figura certificado GlobalGAP en CITRICOS pero no en CITRICOS. Se ha aplicado la certificación global del socio. Revise DEEPP.</t>
        </is>
      </c>
      <c r="F326" s="6" t="n">
        <v>46231.74836732359</v>
      </c>
      <c r="G326" s="5" t="inlineStr">
        <is>
          <t>WARNING</t>
        </is>
      </c>
    </row>
    <row r="327">
      <c r="A327" s="5" t="n">
        <v>2314</v>
      </c>
      <c r="B327" s="5" t="inlineStr">
        <is>
          <t>Final FAMILIA GONZALEZ LACAL (1350) BARBERINA</t>
        </is>
      </c>
      <c r="C327" s="5" t="inlineStr">
        <is>
          <t>WARNING</t>
        </is>
      </c>
      <c r="D327" s="5" t="inlineStr">
        <is>
          <t>Warning</t>
        </is>
      </c>
      <c r="E327" s="5" t="inlineStr">
        <is>
          <t>No existe fuente acumulada disponible; saldo informativo calculado con cuota ya aplicada = 0.</t>
        </is>
      </c>
      <c r="F327" s="6" t="n">
        <v>46231.74836732359</v>
      </c>
      <c r="G327" s="5" t="inlineStr">
        <is>
          <t>WARNING</t>
        </is>
      </c>
    </row>
    <row r="328">
      <c r="A328" s="5" t="n">
        <v>2315</v>
      </c>
      <c r="B328" s="5" t="inlineStr">
        <is>
          <t>Final FRUTAS ANDALUZAS DE SEVILLA (1627) BARBERINA</t>
        </is>
      </c>
      <c r="C328" s="5" t="inlineStr">
        <is>
          <t>WARNING</t>
        </is>
      </c>
      <c r="D328" s="5" t="inlineStr">
        <is>
          <t>Warning</t>
        </is>
      </c>
      <c r="E328" s="5" t="inlineStr">
        <is>
          <t>No existe tarifa BonCalidad para socio=1627 campaña=2026 empresa=1 cultivo=DIRECTO.</t>
        </is>
      </c>
      <c r="F328" s="6" t="n">
        <v>46231.74836732359</v>
      </c>
      <c r="G328" s="5" t="inlineStr">
        <is>
          <t>WARNING</t>
        </is>
      </c>
    </row>
    <row r="329">
      <c r="A329" s="5" t="n">
        <v>2315</v>
      </c>
      <c r="B329" s="5" t="inlineStr">
        <is>
          <t>Final FRUTAS ANDALUZAS DE SEVILLA (1627) BARBERINA</t>
        </is>
      </c>
      <c r="C329" s="5" t="inlineStr">
        <is>
          <t>WARNING</t>
        </is>
      </c>
      <c r="D329" s="5" t="inlineStr">
        <is>
          <t>Warning</t>
        </is>
      </c>
      <c r="E329" s="5" t="inlineStr">
        <is>
          <t>No existe fuente acumulada disponible; saldo informativo calculado con cuota ya aplicada = 0.</t>
        </is>
      </c>
      <c r="F329" s="6" t="n">
        <v>46231.74836732359</v>
      </c>
      <c r="G329" s="5" t="inlineStr">
        <is>
          <t>WARNING</t>
        </is>
      </c>
    </row>
    <row r="330">
      <c r="A330" s="5" t="n">
        <v>2317</v>
      </c>
      <c r="B330" s="5" t="inlineStr">
        <is>
          <t>Final JUAN SERRANO CORZO (981) SALUSTIANAS</t>
        </is>
      </c>
      <c r="C330" s="5" t="inlineStr">
        <is>
          <t>WARNING</t>
        </is>
      </c>
      <c r="D330" s="5" t="inlineStr">
        <is>
          <t>Warning</t>
        </is>
      </c>
      <c r="E330" s="5" t="inlineStr">
        <is>
          <t>3 entregas ya figuran como liquidadas.</t>
        </is>
      </c>
      <c r="F330" s="6" t="n">
        <v>46231.74836732359</v>
      </c>
      <c r="G330" s="5" t="inlineStr">
        <is>
          <t>WARNING</t>
        </is>
      </c>
    </row>
    <row r="331">
      <c r="A331" s="5" t="n">
        <v>2317</v>
      </c>
      <c r="B331" s="5" t="inlineStr">
        <is>
          <t>Final JUAN SERRANO CORZO (981) SALUSTIANAS</t>
        </is>
      </c>
      <c r="C331" s="5" t="inlineStr">
        <is>
          <t>WARNING</t>
        </is>
      </c>
      <c r="D331" s="5" t="inlineStr">
        <is>
          <t>Warning</t>
        </is>
      </c>
      <c r="E331" s="5" t="inlineStr">
        <is>
          <t>No existe tarifa BonCalidad para socio=981 campaña=2026 empresa=1 cultivo=DIRECTO.</t>
        </is>
      </c>
      <c r="F331" s="6" t="n">
        <v>46231.74836732359</v>
      </c>
      <c r="G331" s="5" t="inlineStr">
        <is>
          <t>WARNING</t>
        </is>
      </c>
    </row>
    <row r="332">
      <c r="A332" s="5" t="n">
        <v>2317</v>
      </c>
      <c r="B332" s="5" t="inlineStr">
        <is>
          <t>Final JUAN SERRANO CORZO (981) SALUSTIANAS</t>
        </is>
      </c>
      <c r="C332" s="5" t="inlineStr">
        <is>
          <t>WARNING</t>
        </is>
      </c>
      <c r="D332" s="5" t="inlineStr">
        <is>
          <t>Warning</t>
        </is>
      </c>
      <c r="E332" s="5" t="inlineStr">
        <is>
          <t>No existe fuente acumulada disponible; saldo informativo calculado con cuota ya aplicada = 0.</t>
        </is>
      </c>
      <c r="F332" s="6" t="n">
        <v>46231.74836732359</v>
      </c>
      <c r="G332" s="5" t="inlineStr">
        <is>
          <t>WARNING</t>
        </is>
      </c>
    </row>
    <row r="333">
      <c r="A333" s="5" t="n">
        <v>2318</v>
      </c>
      <c r="B333" s="5" t="inlineStr">
        <is>
          <t>Final J. A. RODRIGUEZ MEJIAS (1523) VALENCIA</t>
        </is>
      </c>
      <c r="C333" s="5" t="inlineStr">
        <is>
          <t>WARNING</t>
        </is>
      </c>
      <c r="D333" s="5" t="inlineStr">
        <is>
          <t>Warning</t>
        </is>
      </c>
      <c r="E333" s="5" t="inlineStr">
        <is>
          <t>No existe tarifa BonCalidad para socio=1523 campaña=2026 empresa=1 cultivo=DIRECTO.</t>
        </is>
      </c>
      <c r="F333" s="6" t="n">
        <v>46231.74836732359</v>
      </c>
      <c r="G333" s="5" t="inlineStr">
        <is>
          <t>WARNING</t>
        </is>
      </c>
    </row>
    <row r="334">
      <c r="A334" s="5" t="n">
        <v>2318</v>
      </c>
      <c r="B334" s="5" t="inlineStr">
        <is>
          <t>Final J. A. RODRIGUEZ MEJIAS (1523) VALENCIA</t>
        </is>
      </c>
      <c r="C334" s="5" t="inlineStr">
        <is>
          <t>WARNING</t>
        </is>
      </c>
      <c r="D334" s="5" t="inlineStr">
        <is>
          <t>Warning</t>
        </is>
      </c>
      <c r="E334" s="5" t="inlineStr">
        <is>
          <t>El socio 1523 figura certificado GlobalGAP en CITRICOS, KAKIS, MANDARINA pero no en CITRICOS. Se ha aplicado la certificación global del socio. Revise DEEPP.</t>
        </is>
      </c>
      <c r="F334" s="6" t="n">
        <v>46231.74836732359</v>
      </c>
      <c r="G334" s="5" t="inlineStr">
        <is>
          <t>WARNING</t>
        </is>
      </c>
    </row>
    <row r="335">
      <c r="A335" s="5" t="n">
        <v>2318</v>
      </c>
      <c r="B335" s="5" t="inlineStr">
        <is>
          <t>Final J. A. RODRIGUEZ MEJIAS (1523) VALENCIA</t>
        </is>
      </c>
      <c r="C335" s="5" t="inlineStr">
        <is>
          <t>WARNING</t>
        </is>
      </c>
      <c r="D335" s="5" t="inlineStr">
        <is>
          <t>Warning</t>
        </is>
      </c>
      <c r="E335" s="5" t="inlineStr">
        <is>
          <t>No existe fuente acumulada disponible; saldo informativo calculado con cuota ya aplicada = 0.</t>
        </is>
      </c>
      <c r="F335" s="6" t="n">
        <v>46231.74836732359</v>
      </c>
      <c r="G335" s="5" t="inlineStr">
        <is>
          <t>WARNING</t>
        </is>
      </c>
    </row>
    <row r="336">
      <c r="A336" s="5" t="n">
        <v>2319</v>
      </c>
      <c r="B336" s="5" t="inlineStr">
        <is>
          <t>Final J. A. RODRIGUEZ GARCIA (1194) VALENCIA</t>
        </is>
      </c>
      <c r="C336" s="5" t="inlineStr">
        <is>
          <t>WARNING</t>
        </is>
      </c>
      <c r="D336" s="5" t="inlineStr">
        <is>
          <t>Warning</t>
        </is>
      </c>
      <c r="E336" s="5" t="inlineStr">
        <is>
          <t>No existe tarifa BonCalidad para socio=1194 campaña=2026 empresa=1 cultivo=DIRECTO.</t>
        </is>
      </c>
      <c r="F336" s="6" t="n">
        <v>46231.74836732359</v>
      </c>
      <c r="G336" s="5" t="inlineStr">
        <is>
          <t>WARNING</t>
        </is>
      </c>
    </row>
    <row r="337">
      <c r="A337" s="5" t="n">
        <v>2319</v>
      </c>
      <c r="B337" s="5" t="inlineStr">
        <is>
          <t>Final J. A. RODRIGUEZ GARCIA (1194) VALENCIA</t>
        </is>
      </c>
      <c r="C337" s="5" t="inlineStr">
        <is>
          <t>WARNING</t>
        </is>
      </c>
      <c r="D337" s="5" t="inlineStr">
        <is>
          <t>Warning</t>
        </is>
      </c>
      <c r="E337" s="5" t="inlineStr">
        <is>
          <t>No existe fuente acumulada disponible; saldo informativo calculado con cuota ya aplicada = 0.</t>
        </is>
      </c>
      <c r="F337" s="6" t="n">
        <v>46231.74836732359</v>
      </c>
      <c r="G337" s="5" t="inlineStr">
        <is>
          <t>WARNING</t>
        </is>
      </c>
    </row>
    <row r="338">
      <c r="A338" s="5" t="n">
        <v>2320</v>
      </c>
      <c r="B338" s="5" t="inlineStr">
        <is>
          <t>Final PEDRO JIMENEZ MALDONADO (1500) CHISSLET</t>
        </is>
      </c>
      <c r="C338" s="5" t="inlineStr">
        <is>
          <t>WARNING</t>
        </is>
      </c>
      <c r="D338" s="5" t="inlineStr">
        <is>
          <t>Warning</t>
        </is>
      </c>
      <c r="E338" s="5" t="inlineStr">
        <is>
          <t>No existe tarifa BonCalidad para socio=1500 campaña=2026 empresa=1 cultivo=DIRECTO.</t>
        </is>
      </c>
      <c r="F338" s="6" t="n">
        <v>46231.74836732359</v>
      </c>
      <c r="G338" s="5" t="inlineStr">
        <is>
          <t>WARNING</t>
        </is>
      </c>
    </row>
    <row r="339">
      <c r="A339" s="5" t="n">
        <v>2320</v>
      </c>
      <c r="B339" s="5" t="inlineStr">
        <is>
          <t>Final PEDRO JIMENEZ MALDONADO (1500) CHISSLET</t>
        </is>
      </c>
      <c r="C339" s="5" t="inlineStr">
        <is>
          <t>WARNING</t>
        </is>
      </c>
      <c r="D339" s="5" t="inlineStr">
        <is>
          <t>Warning</t>
        </is>
      </c>
      <c r="E339" s="5" t="inlineStr">
        <is>
          <t>No existe fuente acumulada disponible; saldo informativo calculado con cuota ya aplicada = 0.</t>
        </is>
      </c>
      <c r="F339" s="6" t="n">
        <v>46231.74836732359</v>
      </c>
      <c r="G339" s="5" t="inlineStr">
        <is>
          <t>WARNING</t>
        </is>
      </c>
    </row>
    <row r="340">
      <c r="A340" s="5" t="n">
        <v>2321</v>
      </c>
      <c r="B340" s="5" t="inlineStr">
        <is>
          <t>BLANCA TARDIA</t>
        </is>
      </c>
      <c r="C340" s="5" t="inlineStr">
        <is>
          <t>WARNING</t>
        </is>
      </c>
      <c r="D340" s="5" t="inlineStr">
        <is>
          <t>Warning</t>
        </is>
      </c>
      <c r="E340" s="5" t="inlineStr">
        <is>
          <t>11 entregas ya figuran como liquidadas.</t>
        </is>
      </c>
      <c r="F340" s="6" t="n">
        <v>46231.74836732359</v>
      </c>
      <c r="G340" s="5" t="inlineStr">
        <is>
          <t>WARNING</t>
        </is>
      </c>
    </row>
    <row r="341">
      <c r="A341" s="5" t="n">
        <v>2321</v>
      </c>
      <c r="B341" s="5" t="inlineStr">
        <is>
          <t>BLANCA TARDIA</t>
        </is>
      </c>
      <c r="C341" s="5" t="inlineStr">
        <is>
          <t>WARNING</t>
        </is>
      </c>
      <c r="D341" s="5" t="inlineStr">
        <is>
          <t>Warning</t>
        </is>
      </c>
      <c r="E341" s="5" t="inlineStr">
        <is>
          <t>No existe tarifa BonCalidad para socio=909 campaña=2026 empresa=1 cultivo=INDUSTRIA.</t>
        </is>
      </c>
      <c r="F341" s="6" t="n">
        <v>46231.74836732359</v>
      </c>
      <c r="G341" s="5" t="inlineStr">
        <is>
          <t>WARNING</t>
        </is>
      </c>
    </row>
    <row r="342">
      <c r="A342" s="5" t="n">
        <v>2321</v>
      </c>
      <c r="B342" s="5" t="inlineStr">
        <is>
          <t>BLANCA TARDIA</t>
        </is>
      </c>
      <c r="C342" s="5" t="inlineStr">
        <is>
          <t>WARNING</t>
        </is>
      </c>
      <c r="D342" s="5" t="inlineStr">
        <is>
          <t>Warning</t>
        </is>
      </c>
      <c r="E342" s="5" t="inlineStr">
        <is>
          <t>No existe fuente acumulada disponible; saldo informativo calculado con cuota ya aplicada = 0.</t>
        </is>
      </c>
      <c r="F342" s="6" t="n">
        <v>46231.74836732359</v>
      </c>
      <c r="G342" s="5" t="inlineStr">
        <is>
          <t>WARNING</t>
        </is>
      </c>
    </row>
    <row r="343">
      <c r="A343" s="5" t="n">
        <v>2321</v>
      </c>
      <c r="B343" s="5" t="inlineStr">
        <is>
          <t>BLANCA TARDIA</t>
        </is>
      </c>
      <c r="C343" s="5" t="inlineStr">
        <is>
          <t>WARNING</t>
        </is>
      </c>
      <c r="D343" s="5" t="inlineStr">
        <is>
          <t>Warning</t>
        </is>
      </c>
      <c r="E343" s="5" t="inlineStr">
        <is>
          <t>No existe tarifa BonCalidad para socio=990 campaña=2026 empresa=1 cultivo=INDUSTRIA.</t>
        </is>
      </c>
      <c r="F343" s="6" t="n">
        <v>46231.74836732359</v>
      </c>
      <c r="G343" s="5" t="inlineStr">
        <is>
          <t>WARNING</t>
        </is>
      </c>
    </row>
    <row r="344">
      <c r="A344" s="5" t="n">
        <v>2321</v>
      </c>
      <c r="B344" s="5" t="inlineStr">
        <is>
          <t>BLANCA TARDIA</t>
        </is>
      </c>
      <c r="C344" s="5" t="inlineStr">
        <is>
          <t>WARNING</t>
        </is>
      </c>
      <c r="D344" s="5" t="inlineStr">
        <is>
          <t>Warning</t>
        </is>
      </c>
      <c r="E344" s="5" t="inlineStr">
        <is>
          <t>No existe tarifa BonCalidad para socio=1072 campaña=2026 empresa=1 cultivo=INDUSTRIA.</t>
        </is>
      </c>
      <c r="F344" s="6" t="n">
        <v>46231.74836732359</v>
      </c>
      <c r="G344" s="5" t="inlineStr">
        <is>
          <t>WARNING</t>
        </is>
      </c>
    </row>
    <row r="345">
      <c r="A345" s="5" t="n">
        <v>2321</v>
      </c>
      <c r="B345" s="5" t="inlineStr">
        <is>
          <t>BLANCA TARDIA</t>
        </is>
      </c>
      <c r="C345" s="5" t="inlineStr">
        <is>
          <t>WARNING</t>
        </is>
      </c>
      <c r="D345" s="5" t="inlineStr">
        <is>
          <t>Warning</t>
        </is>
      </c>
      <c r="E345" s="5" t="inlineStr">
        <is>
          <t>No existe tarifa BonCalidad para socio=1426 campaña=2026 empresa=1 cultivo=INDUSTRIA.</t>
        </is>
      </c>
      <c r="F345" s="6" t="n">
        <v>46231.74836732359</v>
      </c>
      <c r="G345" s="5" t="inlineStr">
        <is>
          <t>WARNING</t>
        </is>
      </c>
    </row>
    <row r="346">
      <c r="A346" s="5" t="n">
        <v>2321</v>
      </c>
      <c r="B346" s="5" t="inlineStr">
        <is>
          <t>BLANCA TARDIA</t>
        </is>
      </c>
      <c r="C346" s="5" t="inlineStr">
        <is>
          <t>WARNING</t>
        </is>
      </c>
      <c r="D346" s="5" t="inlineStr">
        <is>
          <t>Warning</t>
        </is>
      </c>
      <c r="E346" s="5" t="inlineStr">
        <is>
          <t>No existe tarifa BonCalidad para socio=1491 campaña=2026 empresa=1 cultivo=INDUSTRIA.</t>
        </is>
      </c>
      <c r="F346" s="6" t="n">
        <v>46231.74836732359</v>
      </c>
      <c r="G346" s="5" t="inlineStr">
        <is>
          <t>WARNING</t>
        </is>
      </c>
    </row>
    <row r="347">
      <c r="A347" s="5" t="n">
        <v>2321</v>
      </c>
      <c r="B347" s="5" t="inlineStr">
        <is>
          <t>BLANCA TARDIA</t>
        </is>
      </c>
      <c r="C347" s="5" t="inlineStr">
        <is>
          <t>WARNING</t>
        </is>
      </c>
      <c r="D347" s="5" t="inlineStr">
        <is>
          <t>Warning</t>
        </is>
      </c>
      <c r="E347" s="5" t="inlineStr">
        <is>
          <t>No existe tarifa BonCalidad para socio=1561 campaña=2026 empresa=1 cultivo=INDUSTRIA.</t>
        </is>
      </c>
      <c r="F347" s="6" t="n">
        <v>46231.74836732359</v>
      </c>
      <c r="G347" s="5" t="inlineStr">
        <is>
          <t>WARNING</t>
        </is>
      </c>
    </row>
    <row r="348">
      <c r="A348" s="5" t="n">
        <v>2321</v>
      </c>
      <c r="B348" s="5" t="inlineStr">
        <is>
          <t>BLANCA TARDIA</t>
        </is>
      </c>
      <c r="C348" s="5" t="inlineStr">
        <is>
          <t>WARNING</t>
        </is>
      </c>
      <c r="D348" s="5" t="inlineStr">
        <is>
          <t>Warning</t>
        </is>
      </c>
      <c r="E348" s="5" t="inlineStr">
        <is>
          <t>No existe tarifa BonCalidad para socio=1594 campaña=2026 empresa=1 cultivo=INDUSTRIA.</t>
        </is>
      </c>
      <c r="F348" s="6" t="n">
        <v>46231.74836732359</v>
      </c>
      <c r="G348" s="5" t="inlineStr">
        <is>
          <t>WARNING</t>
        </is>
      </c>
    </row>
    <row r="349">
      <c r="A349" s="5" t="n">
        <v>2321</v>
      </c>
      <c r="B349" s="5" t="inlineStr">
        <is>
          <t>BLANCA TARDIA</t>
        </is>
      </c>
      <c r="C349" s="5" t="inlineStr">
        <is>
          <t>WARNING</t>
        </is>
      </c>
      <c r="D349" s="5" t="inlineStr">
        <is>
          <t>Warning</t>
        </is>
      </c>
      <c r="E349" s="5" t="inlineStr">
        <is>
          <t>No existe tarifa BonCalidad para socio=1596 campaña=2026 empresa=1 cultivo=INDUSTRIA.</t>
        </is>
      </c>
      <c r="F349" s="6" t="n">
        <v>46231.74836732359</v>
      </c>
      <c r="G349" s="5" t="inlineStr">
        <is>
          <t>WARNING</t>
        </is>
      </c>
    </row>
    <row r="350">
      <c r="A350" s="5" t="n">
        <v>2321</v>
      </c>
      <c r="B350" s="5" t="inlineStr">
        <is>
          <t>BLANCA TARDIA</t>
        </is>
      </c>
      <c r="C350" s="5" t="inlineStr">
        <is>
          <t>WARNING</t>
        </is>
      </c>
      <c r="D350" s="5" t="inlineStr">
        <is>
          <t>Warning</t>
        </is>
      </c>
      <c r="E350" s="5" t="inlineStr">
        <is>
          <t>No existe tarifa BonCalidad para socio=1614 campaña=2026 empresa=1 cultivo=INDUSTRIA.</t>
        </is>
      </c>
      <c r="F350" s="6" t="n">
        <v>46231.74836732359</v>
      </c>
      <c r="G350" s="5" t="inlineStr">
        <is>
          <t>WARNING</t>
        </is>
      </c>
    </row>
    <row r="351">
      <c r="A351" s="5" t="n">
        <v>2322</v>
      </c>
      <c r="B351" s="5" t="inlineStr">
        <is>
          <t>BLANCA TEMPRANA</t>
        </is>
      </c>
      <c r="C351" s="5" t="inlineStr">
        <is>
          <t>WARNING</t>
        </is>
      </c>
      <c r="D351" s="5" t="inlineStr">
        <is>
          <t>Warning</t>
        </is>
      </c>
      <c r="E351" s="5" t="inlineStr">
        <is>
          <t>204 entregas ya figuran como liquidadas.</t>
        </is>
      </c>
      <c r="F351" s="6" t="n">
        <v>46231.74836732359</v>
      </c>
      <c r="G351" s="5" t="inlineStr">
        <is>
          <t>WARNING</t>
        </is>
      </c>
    </row>
    <row r="352">
      <c r="A352" s="5" t="n">
        <v>2322</v>
      </c>
      <c r="B352" s="5" t="inlineStr">
        <is>
          <t>BLANCA TEMPRANA</t>
        </is>
      </c>
      <c r="C352" s="5" t="inlineStr">
        <is>
          <t>WARNING</t>
        </is>
      </c>
      <c r="D352" s="5" t="inlineStr">
        <is>
          <t>Warning</t>
        </is>
      </c>
      <c r="E352" s="5" t="inlineStr">
        <is>
          <t>No existe tarifa BonCalidad para socio=453 campaña=2026 empresa=1 cultivo=INDUSTRIA.</t>
        </is>
      </c>
      <c r="F352" s="6" t="n">
        <v>46231.74836732359</v>
      </c>
      <c r="G352" s="5" t="inlineStr">
        <is>
          <t>WARNING</t>
        </is>
      </c>
    </row>
    <row r="353">
      <c r="A353" s="5" t="n">
        <v>2322</v>
      </c>
      <c r="B353" s="5" t="inlineStr">
        <is>
          <t>BLANCA TEMPRANA</t>
        </is>
      </c>
      <c r="C353" s="5" t="inlineStr">
        <is>
          <t>WARNING</t>
        </is>
      </c>
      <c r="D353" s="5" t="inlineStr">
        <is>
          <t>Warning</t>
        </is>
      </c>
      <c r="E353" s="5" t="inlineStr">
        <is>
          <t>No existe fuente acumulada disponible; saldo informativo calculado con cuota ya aplicada = 0.</t>
        </is>
      </c>
      <c r="F353" s="6" t="n">
        <v>46231.74836732359</v>
      </c>
      <c r="G353" s="5" t="inlineStr">
        <is>
          <t>WARNING</t>
        </is>
      </c>
    </row>
    <row r="354">
      <c r="A354" s="5" t="n">
        <v>2322</v>
      </c>
      <c r="B354" s="5" t="inlineStr">
        <is>
          <t>BLANCA TEMPRANA</t>
        </is>
      </c>
      <c r="C354" s="5" t="inlineStr">
        <is>
          <t>WARNING</t>
        </is>
      </c>
      <c r="D354" s="5" t="inlineStr">
        <is>
          <t>Warning</t>
        </is>
      </c>
      <c r="E354" s="5" t="inlineStr">
        <is>
          <t>No existe tarifa BonCalidad para socio=466 campaña=2026 empresa=1 cultivo=INDUSTRIA.</t>
        </is>
      </c>
      <c r="F354" s="6" t="n">
        <v>46231.74836732359</v>
      </c>
      <c r="G354" s="5" t="inlineStr">
        <is>
          <t>WARNING</t>
        </is>
      </c>
    </row>
    <row r="355">
      <c r="A355" s="5" t="n">
        <v>2322</v>
      </c>
      <c r="B355" s="5" t="inlineStr">
        <is>
          <t>BLANCA TEMPRANA</t>
        </is>
      </c>
      <c r="C355" s="5" t="inlineStr">
        <is>
          <t>WARNING</t>
        </is>
      </c>
      <c r="D355" s="5" t="inlineStr">
        <is>
          <t>Warning</t>
        </is>
      </c>
      <c r="E355" s="5" t="inlineStr">
        <is>
          <t>No existe tarifa BonCalidad para socio=798 campaña=2026 empresa=1 cultivo=INDUSTRIA.</t>
        </is>
      </c>
      <c r="F355" s="6" t="n">
        <v>46231.74836732359</v>
      </c>
      <c r="G355" s="5" t="inlineStr">
        <is>
          <t>WARNING</t>
        </is>
      </c>
    </row>
    <row r="356">
      <c r="A356" s="5" t="n">
        <v>2322</v>
      </c>
      <c r="B356" s="5" t="inlineStr">
        <is>
          <t>BLANCA TEMPRANA</t>
        </is>
      </c>
      <c r="C356" s="5" t="inlineStr">
        <is>
          <t>WARNING</t>
        </is>
      </c>
      <c r="D356" s="5" t="inlineStr">
        <is>
          <t>Warning</t>
        </is>
      </c>
      <c r="E356" s="5" t="inlineStr">
        <is>
          <t>No existe tarifa BonCalidad para socio=824 campaña=2026 empresa=1 cultivo=INDUSTRIA.</t>
        </is>
      </c>
      <c r="F356" s="6" t="n">
        <v>46231.74836732359</v>
      </c>
      <c r="G356" s="5" t="inlineStr">
        <is>
          <t>WARNING</t>
        </is>
      </c>
    </row>
    <row r="357">
      <c r="A357" s="5" t="n">
        <v>2322</v>
      </c>
      <c r="B357" s="5" t="inlineStr">
        <is>
          <t>BLANCA TEMPRANA</t>
        </is>
      </c>
      <c r="C357" s="5" t="inlineStr">
        <is>
          <t>WARNING</t>
        </is>
      </c>
      <c r="D357" s="5" t="inlineStr">
        <is>
          <t>Warning</t>
        </is>
      </c>
      <c r="E357" s="5" t="inlineStr">
        <is>
          <t>No existe tarifa BonCalidad para socio=883 campaña=2026 empresa=1 cultivo=INDUSTRIA.</t>
        </is>
      </c>
      <c r="F357" s="6" t="n">
        <v>46231.74836732359</v>
      </c>
      <c r="G357" s="5" t="inlineStr">
        <is>
          <t>WARNING</t>
        </is>
      </c>
    </row>
    <row r="358">
      <c r="A358" s="5" t="n">
        <v>2322</v>
      </c>
      <c r="B358" s="5" t="inlineStr">
        <is>
          <t>BLANCA TEMPRANA</t>
        </is>
      </c>
      <c r="C358" s="5" t="inlineStr">
        <is>
          <t>WARNING</t>
        </is>
      </c>
      <c r="D358" s="5" t="inlineStr">
        <is>
          <t>Warning</t>
        </is>
      </c>
      <c r="E358" s="5" t="inlineStr">
        <is>
          <t>No existe tarifa BonCalidad para socio=937 campaña=2026 empresa=1 cultivo=INDUSTRIA.</t>
        </is>
      </c>
      <c r="F358" s="6" t="n">
        <v>46231.74836732359</v>
      </c>
      <c r="G358" s="5" t="inlineStr">
        <is>
          <t>WARNING</t>
        </is>
      </c>
    </row>
    <row r="359">
      <c r="A359" s="5" t="n">
        <v>2322</v>
      </c>
      <c r="B359" s="5" t="inlineStr">
        <is>
          <t>BLANCA TEMPRANA</t>
        </is>
      </c>
      <c r="C359" s="5" t="inlineStr">
        <is>
          <t>WARNING</t>
        </is>
      </c>
      <c r="D359" s="5" t="inlineStr">
        <is>
          <t>Warning</t>
        </is>
      </c>
      <c r="E359" s="5" t="inlineStr">
        <is>
          <t>No existe tarifa BonCalidad para socio=963 campaña=2026 empresa=1 cultivo=INDUSTRIA.</t>
        </is>
      </c>
      <c r="F359" s="6" t="n">
        <v>46231.74836732359</v>
      </c>
      <c r="G359" s="5" t="inlineStr">
        <is>
          <t>WARNING</t>
        </is>
      </c>
    </row>
    <row r="360">
      <c r="A360" s="5" t="n">
        <v>2322</v>
      </c>
      <c r="B360" s="5" t="inlineStr">
        <is>
          <t>BLANCA TEMPRANA</t>
        </is>
      </c>
      <c r="C360" s="5" t="inlineStr">
        <is>
          <t>WARNING</t>
        </is>
      </c>
      <c r="D360" s="5" t="inlineStr">
        <is>
          <t>Warning</t>
        </is>
      </c>
      <c r="E360" s="5" t="inlineStr">
        <is>
          <t>Cuota Ha no aplicable: sin superficie sujeta a cuota.</t>
        </is>
      </c>
      <c r="F360" s="6" t="n">
        <v>46231.74836732359</v>
      </c>
      <c r="G360" s="5" t="inlineStr">
        <is>
          <t>WARNING</t>
        </is>
      </c>
    </row>
    <row r="361">
      <c r="A361" s="5" t="n">
        <v>2322</v>
      </c>
      <c r="B361" s="5" t="inlineStr">
        <is>
          <t>BLANCA TEMPRANA</t>
        </is>
      </c>
      <c r="C361" s="5" t="inlineStr">
        <is>
          <t>WARNING</t>
        </is>
      </c>
      <c r="D361" s="5" t="inlineStr">
        <is>
          <t>Warning</t>
        </is>
      </c>
      <c r="E361" s="5" t="inlineStr">
        <is>
          <t>No existe tarifa BonCalidad para socio=989 campaña=2026 empresa=1 cultivo=INDUSTRIA.</t>
        </is>
      </c>
      <c r="F361" s="6" t="n">
        <v>46231.74836732359</v>
      </c>
      <c r="G361" s="5" t="inlineStr">
        <is>
          <t>WARNING</t>
        </is>
      </c>
    </row>
    <row r="362">
      <c r="A362" s="5" t="n">
        <v>2322</v>
      </c>
      <c r="B362" s="5" t="inlineStr">
        <is>
          <t>BLANCA TEMPRANA</t>
        </is>
      </c>
      <c r="C362" s="5" t="inlineStr">
        <is>
          <t>WARNING</t>
        </is>
      </c>
      <c r="D362" s="5" t="inlineStr">
        <is>
          <t>Warning</t>
        </is>
      </c>
      <c r="E362" s="5" t="inlineStr">
        <is>
          <t>No existe tarifa BonCalidad para socio=994 campaña=2026 empresa=1 cultivo=INDUSTRIA.</t>
        </is>
      </c>
      <c r="F362" s="6" t="n">
        <v>46231.74836732359</v>
      </c>
      <c r="G362" s="5" t="inlineStr">
        <is>
          <t>WARNING</t>
        </is>
      </c>
    </row>
    <row r="363">
      <c r="A363" s="5" t="n">
        <v>2322</v>
      </c>
      <c r="B363" s="5" t="inlineStr">
        <is>
          <t>BLANCA TEMPRANA</t>
        </is>
      </c>
      <c r="C363" s="5" t="inlineStr">
        <is>
          <t>WARNING</t>
        </is>
      </c>
      <c r="D363" s="5" t="inlineStr">
        <is>
          <t>Warning</t>
        </is>
      </c>
      <c r="E363" s="5" t="inlineStr">
        <is>
          <t>No existe tarifa BonCalidad para socio=1111 campaña=2026 empresa=1 cultivo=INDUSTRIA.</t>
        </is>
      </c>
      <c r="F363" s="6" t="n">
        <v>46231.74836732359</v>
      </c>
      <c r="G363" s="5" t="inlineStr">
        <is>
          <t>WARNING</t>
        </is>
      </c>
    </row>
    <row r="364">
      <c r="A364" s="5" t="n">
        <v>2322</v>
      </c>
      <c r="B364" s="5" t="inlineStr">
        <is>
          <t>BLANCA TEMPRANA</t>
        </is>
      </c>
      <c r="C364" s="5" t="inlineStr">
        <is>
          <t>WARNING</t>
        </is>
      </c>
      <c r="D364" s="5" t="inlineStr">
        <is>
          <t>Warning</t>
        </is>
      </c>
      <c r="E364" s="5" t="inlineStr">
        <is>
          <t>No existe tarifa BonCalidad para socio=1124 campaña=2026 empresa=1 cultivo=INDUSTRIA.</t>
        </is>
      </c>
      <c r="F364" s="6" t="n">
        <v>46231.74836732359</v>
      </c>
      <c r="G364" s="5" t="inlineStr">
        <is>
          <t>WARNING</t>
        </is>
      </c>
    </row>
    <row r="365">
      <c r="A365" s="5" t="n">
        <v>2322</v>
      </c>
      <c r="B365" s="5" t="inlineStr">
        <is>
          <t>BLANCA TEMPRANA</t>
        </is>
      </c>
      <c r="C365" s="5" t="inlineStr">
        <is>
          <t>WARNING</t>
        </is>
      </c>
      <c r="D365" s="5" t="inlineStr">
        <is>
          <t>Warning</t>
        </is>
      </c>
      <c r="E365" s="5" t="inlineStr">
        <is>
          <t>No existe tarifa BonCalidad para socio=1126 campaña=2026 empresa=1 cultivo=INDUSTRIA.</t>
        </is>
      </c>
      <c r="F365" s="6" t="n">
        <v>46231.74836732359</v>
      </c>
      <c r="G365" s="5" t="inlineStr">
        <is>
          <t>WARNING</t>
        </is>
      </c>
    </row>
    <row r="366">
      <c r="A366" s="5" t="n">
        <v>2322</v>
      </c>
      <c r="B366" s="5" t="inlineStr">
        <is>
          <t>BLANCA TEMPRANA</t>
        </is>
      </c>
      <c r="C366" s="5" t="inlineStr">
        <is>
          <t>WARNING</t>
        </is>
      </c>
      <c r="D366" s="5" t="inlineStr">
        <is>
          <t>Warning</t>
        </is>
      </c>
      <c r="E366" s="5" t="inlineStr">
        <is>
          <t>No existe tarifa BonCalidad para socio=1128 campaña=2026 empresa=1 cultivo=INDUSTRIA.</t>
        </is>
      </c>
      <c r="F366" s="6" t="n">
        <v>46231.74836732359</v>
      </c>
      <c r="G366" s="5" t="inlineStr">
        <is>
          <t>WARNING</t>
        </is>
      </c>
    </row>
    <row r="367">
      <c r="A367" s="5" t="n">
        <v>2322</v>
      </c>
      <c r="B367" s="5" t="inlineStr">
        <is>
          <t>BLANCA TEMPRANA</t>
        </is>
      </c>
      <c r="C367" s="5" t="inlineStr">
        <is>
          <t>WARNING</t>
        </is>
      </c>
      <c r="D367" s="5" t="inlineStr">
        <is>
          <t>Warning</t>
        </is>
      </c>
      <c r="E367" s="5" t="inlineStr">
        <is>
          <t>No existe tarifa BonCalidad para socio=1133 campaña=2026 empresa=1 cultivo=INDUSTRIA.</t>
        </is>
      </c>
      <c r="F367" s="6" t="n">
        <v>46231.74836732359</v>
      </c>
      <c r="G367" s="5" t="inlineStr">
        <is>
          <t>WARNING</t>
        </is>
      </c>
    </row>
    <row r="368">
      <c r="A368" s="5" t="n">
        <v>2322</v>
      </c>
      <c r="B368" s="5" t="inlineStr">
        <is>
          <t>BLANCA TEMPRANA</t>
        </is>
      </c>
      <c r="C368" s="5" t="inlineStr">
        <is>
          <t>WARNING</t>
        </is>
      </c>
      <c r="D368" s="5" t="inlineStr">
        <is>
          <t>Warning</t>
        </is>
      </c>
      <c r="E368" s="5" t="inlineStr">
        <is>
          <t>No existe tarifa BonCalidad para socio=1178 campaña=2026 empresa=1 cultivo=INDUSTRIA.</t>
        </is>
      </c>
      <c r="F368" s="6" t="n">
        <v>46231.74836732359</v>
      </c>
      <c r="G368" s="5" t="inlineStr">
        <is>
          <t>WARNING</t>
        </is>
      </c>
    </row>
    <row r="369">
      <c r="A369" s="5" t="n">
        <v>2322</v>
      </c>
      <c r="B369" s="5" t="inlineStr">
        <is>
          <t>BLANCA TEMPRANA</t>
        </is>
      </c>
      <c r="C369" s="5" t="inlineStr">
        <is>
          <t>WARNING</t>
        </is>
      </c>
      <c r="D369" s="5" t="inlineStr">
        <is>
          <t>Warning</t>
        </is>
      </c>
      <c r="E369" s="5" t="inlineStr">
        <is>
          <t>No existe tarifa BonCalidad para socio=1202 campaña=2026 empresa=1 cultivo=INDUSTRIA.</t>
        </is>
      </c>
      <c r="F369" s="6" t="n">
        <v>46231.74836732359</v>
      </c>
      <c r="G369" s="5" t="inlineStr">
        <is>
          <t>WARNING</t>
        </is>
      </c>
    </row>
    <row r="370">
      <c r="A370" s="5" t="n">
        <v>2322</v>
      </c>
      <c r="B370" s="5" t="inlineStr">
        <is>
          <t>BLANCA TEMPRANA</t>
        </is>
      </c>
      <c r="C370" s="5" t="inlineStr">
        <is>
          <t>WARNING</t>
        </is>
      </c>
      <c r="D370" s="5" t="inlineStr">
        <is>
          <t>Warning</t>
        </is>
      </c>
      <c r="E370" s="5" t="inlineStr">
        <is>
          <t>No existe tarifa BonCalidad para socio=1219 campaña=2026 empresa=1 cultivo=INDUSTRIA.</t>
        </is>
      </c>
      <c r="F370" s="6" t="n">
        <v>46231.74836732359</v>
      </c>
      <c r="G370" s="5" t="inlineStr">
        <is>
          <t>WARNING</t>
        </is>
      </c>
    </row>
    <row r="371">
      <c r="A371" s="5" t="n">
        <v>2322</v>
      </c>
      <c r="B371" s="5" t="inlineStr">
        <is>
          <t>BLANCA TEMPRANA</t>
        </is>
      </c>
      <c r="C371" s="5" t="inlineStr">
        <is>
          <t>WARNING</t>
        </is>
      </c>
      <c r="D371" s="5" t="inlineStr">
        <is>
          <t>Warning</t>
        </is>
      </c>
      <c r="E371" s="5" t="inlineStr">
        <is>
          <t>No existe tarifa BonCalidad para socio=1251 campaña=2026 empresa=1 cultivo=INDUSTRIA.</t>
        </is>
      </c>
      <c r="F371" s="6" t="n">
        <v>46231.74836732359</v>
      </c>
      <c r="G371" s="5" t="inlineStr">
        <is>
          <t>WARNING</t>
        </is>
      </c>
    </row>
    <row r="372">
      <c r="A372" s="5" t="n">
        <v>2322</v>
      </c>
      <c r="B372" s="5" t="inlineStr">
        <is>
          <t>BLANCA TEMPRANA</t>
        </is>
      </c>
      <c r="C372" s="5" t="inlineStr">
        <is>
          <t>WARNING</t>
        </is>
      </c>
      <c r="D372" s="5" t="inlineStr">
        <is>
          <t>Warning</t>
        </is>
      </c>
      <c r="E372" s="5" t="inlineStr">
        <is>
          <t>No existe tarifa BonCalidad para socio=1272 campaña=2026 empresa=1 cultivo=INDUSTRIA.</t>
        </is>
      </c>
      <c r="F372" s="6" t="n">
        <v>46231.74836732359</v>
      </c>
      <c r="G372" s="5" t="inlineStr">
        <is>
          <t>WARNING</t>
        </is>
      </c>
    </row>
    <row r="373">
      <c r="A373" s="5" t="n">
        <v>2322</v>
      </c>
      <c r="B373" s="5" t="inlineStr">
        <is>
          <t>BLANCA TEMPRANA</t>
        </is>
      </c>
      <c r="C373" s="5" t="inlineStr">
        <is>
          <t>WARNING</t>
        </is>
      </c>
      <c r="D373" s="5" t="inlineStr">
        <is>
          <t>Warning</t>
        </is>
      </c>
      <c r="E373" s="5" t="inlineStr">
        <is>
          <t>No existe tarifa BonCalidad para socio=1280 campaña=2026 empresa=1 cultivo=INDUSTRIA.</t>
        </is>
      </c>
      <c r="F373" s="6" t="n">
        <v>46231.74836732359</v>
      </c>
      <c r="G373" s="5" t="inlineStr">
        <is>
          <t>WARNING</t>
        </is>
      </c>
    </row>
    <row r="374">
      <c r="A374" s="5" t="n">
        <v>2322</v>
      </c>
      <c r="B374" s="5" t="inlineStr">
        <is>
          <t>BLANCA TEMPRANA</t>
        </is>
      </c>
      <c r="C374" s="5" t="inlineStr">
        <is>
          <t>WARNING</t>
        </is>
      </c>
      <c r="D374" s="5" t="inlineStr">
        <is>
          <t>Warning</t>
        </is>
      </c>
      <c r="E374" s="5" t="inlineStr">
        <is>
          <t>No existe tarifa BonCalidad para socio=1283 campaña=2026 empresa=1 cultivo=INDUSTRIA.</t>
        </is>
      </c>
      <c r="F374" s="6" t="n">
        <v>46231.74836732359</v>
      </c>
      <c r="G374" s="5" t="inlineStr">
        <is>
          <t>WARNING</t>
        </is>
      </c>
    </row>
    <row r="375">
      <c r="A375" s="5" t="n">
        <v>2322</v>
      </c>
      <c r="B375" s="5" t="inlineStr">
        <is>
          <t>BLANCA TEMPRANA</t>
        </is>
      </c>
      <c r="C375" s="5" t="inlineStr">
        <is>
          <t>WARNING</t>
        </is>
      </c>
      <c r="D375" s="5" t="inlineStr">
        <is>
          <t>Warning</t>
        </is>
      </c>
      <c r="E375" s="5" t="inlineStr">
        <is>
          <t>No existe tarifa BonCalidad para socio=1313 campaña=2026 empresa=1 cultivo=INDUSTRIA.</t>
        </is>
      </c>
      <c r="F375" s="6" t="n">
        <v>46231.74836732359</v>
      </c>
      <c r="G375" s="5" t="inlineStr">
        <is>
          <t>WARNING</t>
        </is>
      </c>
    </row>
    <row r="376">
      <c r="A376" s="5" t="n">
        <v>2322</v>
      </c>
      <c r="B376" s="5" t="inlineStr">
        <is>
          <t>BLANCA TEMPRANA</t>
        </is>
      </c>
      <c r="C376" s="5" t="inlineStr">
        <is>
          <t>WARNING</t>
        </is>
      </c>
      <c r="D376" s="5" t="inlineStr">
        <is>
          <t>Warning</t>
        </is>
      </c>
      <c r="E376" s="5" t="inlineStr">
        <is>
          <t>No existe tarifa BonCalidad para socio=1350 campaña=2026 empresa=1 cultivo=INDUSTRIA.</t>
        </is>
      </c>
      <c r="F376" s="6" t="n">
        <v>46231.74836732359</v>
      </c>
      <c r="G376" s="5" t="inlineStr">
        <is>
          <t>WARNING</t>
        </is>
      </c>
    </row>
    <row r="377">
      <c r="A377" s="5" t="n">
        <v>2322</v>
      </c>
      <c r="B377" s="5" t="inlineStr">
        <is>
          <t>BLANCA TEMPRANA</t>
        </is>
      </c>
      <c r="C377" s="5" t="inlineStr">
        <is>
          <t>WARNING</t>
        </is>
      </c>
      <c r="D377" s="5" t="inlineStr">
        <is>
          <t>Warning</t>
        </is>
      </c>
      <c r="E377" s="5" t="inlineStr">
        <is>
          <t>El socio 1350 figura certificado GlobalGAP en CITRICOS pero no en CITRICOS. Se ha aplicado la certificación global del socio. Revise DEEPP.</t>
        </is>
      </c>
      <c r="F377" s="6" t="n">
        <v>46231.74836732359</v>
      </c>
      <c r="G377" s="5" t="inlineStr">
        <is>
          <t>WARNING</t>
        </is>
      </c>
    </row>
    <row r="378">
      <c r="A378" s="5" t="n">
        <v>2322</v>
      </c>
      <c r="B378" s="5" t="inlineStr">
        <is>
          <t>BLANCA TEMPRANA</t>
        </is>
      </c>
      <c r="C378" s="5" t="inlineStr">
        <is>
          <t>WARNING</t>
        </is>
      </c>
      <c r="D378" s="5" t="inlineStr">
        <is>
          <t>Warning</t>
        </is>
      </c>
      <c r="E378" s="5" t="inlineStr">
        <is>
          <t>No existe tarifa BonCalidad para socio=1354 campaña=2026 empresa=1 cultivo=INDUSTRIA.</t>
        </is>
      </c>
      <c r="F378" s="6" t="n">
        <v>46231.74836732359</v>
      </c>
      <c r="G378" s="5" t="inlineStr">
        <is>
          <t>WARNING</t>
        </is>
      </c>
    </row>
    <row r="379">
      <c r="A379" s="5" t="n">
        <v>2322</v>
      </c>
      <c r="B379" s="5" t="inlineStr">
        <is>
          <t>BLANCA TEMPRANA</t>
        </is>
      </c>
      <c r="C379" s="5" t="inlineStr">
        <is>
          <t>WARNING</t>
        </is>
      </c>
      <c r="D379" s="5" t="inlineStr">
        <is>
          <t>Warning</t>
        </is>
      </c>
      <c r="E379" s="5" t="inlineStr">
        <is>
          <t>No existe tarifa BonCalidad para socio=1355 campaña=2026 empresa=1 cultivo=INDUSTRIA.</t>
        </is>
      </c>
      <c r="F379" s="6" t="n">
        <v>46231.74836732359</v>
      </c>
      <c r="G379" s="5" t="inlineStr">
        <is>
          <t>WARNING</t>
        </is>
      </c>
    </row>
    <row r="380">
      <c r="A380" s="5" t="n">
        <v>2322</v>
      </c>
      <c r="B380" s="5" t="inlineStr">
        <is>
          <t>BLANCA TEMPRANA</t>
        </is>
      </c>
      <c r="C380" s="5" t="inlineStr">
        <is>
          <t>WARNING</t>
        </is>
      </c>
      <c r="D380" s="5" t="inlineStr">
        <is>
          <t>Warning</t>
        </is>
      </c>
      <c r="E380" s="5" t="inlineStr">
        <is>
          <t>No existe tarifa BonCalidad para socio=1374 campaña=2026 empresa=1 cultivo=INDUSTRIA.</t>
        </is>
      </c>
      <c r="F380" s="6" t="n">
        <v>46231.74836732359</v>
      </c>
      <c r="G380" s="5" t="inlineStr">
        <is>
          <t>WARNING</t>
        </is>
      </c>
    </row>
    <row r="381">
      <c r="A381" s="5" t="n">
        <v>2322</v>
      </c>
      <c r="B381" s="5" t="inlineStr">
        <is>
          <t>BLANCA TEMPRANA</t>
        </is>
      </c>
      <c r="C381" s="5" t="inlineStr">
        <is>
          <t>WARNING</t>
        </is>
      </c>
      <c r="D381" s="5" t="inlineStr">
        <is>
          <t>Warning</t>
        </is>
      </c>
      <c r="E381" s="5" t="inlineStr">
        <is>
          <t>No existe tarifa BonCalidad para socio=1411 campaña=2026 empresa=1 cultivo=INDUSTRIA.</t>
        </is>
      </c>
      <c r="F381" s="6" t="n">
        <v>46231.74836732359</v>
      </c>
      <c r="G381" s="5" t="inlineStr">
        <is>
          <t>WARNING</t>
        </is>
      </c>
    </row>
    <row r="382">
      <c r="A382" s="5" t="n">
        <v>2322</v>
      </c>
      <c r="B382" s="5" t="inlineStr">
        <is>
          <t>BLANCA TEMPRANA</t>
        </is>
      </c>
      <c r="C382" s="5" t="inlineStr">
        <is>
          <t>WARNING</t>
        </is>
      </c>
      <c r="D382" s="5" t="inlineStr">
        <is>
          <t>Warning</t>
        </is>
      </c>
      <c r="E382" s="5" t="inlineStr">
        <is>
          <t>No existe tarifa BonCalidad para socio=1443 campaña=2026 empresa=1 cultivo=INDUSTRIA.</t>
        </is>
      </c>
      <c r="F382" s="6" t="n">
        <v>46231.74836732359</v>
      </c>
      <c r="G382" s="5" t="inlineStr">
        <is>
          <t>WARNING</t>
        </is>
      </c>
    </row>
    <row r="383">
      <c r="A383" s="5" t="n">
        <v>2322</v>
      </c>
      <c r="B383" s="5" t="inlineStr">
        <is>
          <t>BLANCA TEMPRANA</t>
        </is>
      </c>
      <c r="C383" s="5" t="inlineStr">
        <is>
          <t>WARNING</t>
        </is>
      </c>
      <c r="D383" s="5" t="inlineStr">
        <is>
          <t>Warning</t>
        </is>
      </c>
      <c r="E383" s="5" t="inlineStr">
        <is>
          <t>No existe tarifa BonCalidad para socio=1445 campaña=2026 empresa=1 cultivo=INDUSTRIA.</t>
        </is>
      </c>
      <c r="F383" s="6" t="n">
        <v>46231.74836732359</v>
      </c>
      <c r="G383" s="5" t="inlineStr">
        <is>
          <t>WARNING</t>
        </is>
      </c>
    </row>
    <row r="384">
      <c r="A384" s="5" t="n">
        <v>2322</v>
      </c>
      <c r="B384" s="5" t="inlineStr">
        <is>
          <t>BLANCA TEMPRANA</t>
        </is>
      </c>
      <c r="C384" s="5" t="inlineStr">
        <is>
          <t>WARNING</t>
        </is>
      </c>
      <c r="D384" s="5" t="inlineStr">
        <is>
          <t>Warning</t>
        </is>
      </c>
      <c r="E384" s="5" t="inlineStr">
        <is>
          <t>No existe tarifa BonCalidad para socio=1459 campaña=2026 empresa=1 cultivo=INDUSTRIA.</t>
        </is>
      </c>
      <c r="F384" s="6" t="n">
        <v>46231.74836732359</v>
      </c>
      <c r="G384" s="5" t="inlineStr">
        <is>
          <t>WARNING</t>
        </is>
      </c>
    </row>
    <row r="385">
      <c r="A385" s="5" t="n">
        <v>2322</v>
      </c>
      <c r="B385" s="5" t="inlineStr">
        <is>
          <t>BLANCA TEMPRANA</t>
        </is>
      </c>
      <c r="C385" s="5" t="inlineStr">
        <is>
          <t>WARNING</t>
        </is>
      </c>
      <c r="D385" s="5" t="inlineStr">
        <is>
          <t>Warning</t>
        </is>
      </c>
      <c r="E385" s="5" t="inlineStr">
        <is>
          <t>No existe tarifa BonCalidad para socio=1462 campaña=2026 empresa=1 cultivo=INDUSTRIA.</t>
        </is>
      </c>
      <c r="F385" s="6" t="n">
        <v>46231.74836732359</v>
      </c>
      <c r="G385" s="5" t="inlineStr">
        <is>
          <t>WARNING</t>
        </is>
      </c>
    </row>
    <row r="386">
      <c r="A386" s="5" t="n">
        <v>2322</v>
      </c>
      <c r="B386" s="5" t="inlineStr">
        <is>
          <t>BLANCA TEMPRANA</t>
        </is>
      </c>
      <c r="C386" s="5" t="inlineStr">
        <is>
          <t>WARNING</t>
        </is>
      </c>
      <c r="D386" s="5" t="inlineStr">
        <is>
          <t>Warning</t>
        </is>
      </c>
      <c r="E386" s="5" t="inlineStr">
        <is>
          <t>No existe tarifa BonCalidad para socio=1467 campaña=2026 empresa=1 cultivo=INDUSTRIA.</t>
        </is>
      </c>
      <c r="F386" s="6" t="n">
        <v>46231.74836732359</v>
      </c>
      <c r="G386" s="5" t="inlineStr">
        <is>
          <t>WARNING</t>
        </is>
      </c>
    </row>
    <row r="387">
      <c r="A387" s="5" t="n">
        <v>2322</v>
      </c>
      <c r="B387" s="5" t="inlineStr">
        <is>
          <t>BLANCA TEMPRANA</t>
        </is>
      </c>
      <c r="C387" s="5" t="inlineStr">
        <is>
          <t>WARNING</t>
        </is>
      </c>
      <c r="D387" s="5" t="inlineStr">
        <is>
          <t>Warning</t>
        </is>
      </c>
      <c r="E387" s="5" t="inlineStr">
        <is>
          <t>No existe tarifa BonCalidad para socio=1470 campaña=2026 empresa=1 cultivo=INDUSTRIA.</t>
        </is>
      </c>
      <c r="F387" s="6" t="n">
        <v>46231.74836732359</v>
      </c>
      <c r="G387" s="5" t="inlineStr">
        <is>
          <t>WARNING</t>
        </is>
      </c>
    </row>
    <row r="388">
      <c r="A388" s="5" t="n">
        <v>2322</v>
      </c>
      <c r="B388" s="5" t="inlineStr">
        <is>
          <t>BLANCA TEMPRANA</t>
        </is>
      </c>
      <c r="C388" s="5" t="inlineStr">
        <is>
          <t>WARNING</t>
        </is>
      </c>
      <c r="D388" s="5" t="inlineStr">
        <is>
          <t>Warning</t>
        </is>
      </c>
      <c r="E388" s="5" t="inlineStr">
        <is>
          <t>No existe tarifa BonCalidad para socio=1471 campaña=2026 empresa=1 cultivo=INDUSTRIA.</t>
        </is>
      </c>
      <c r="F388" s="6" t="n">
        <v>46231.74836732359</v>
      </c>
      <c r="G388" s="5" t="inlineStr">
        <is>
          <t>WARNING</t>
        </is>
      </c>
    </row>
    <row r="389">
      <c r="A389" s="5" t="n">
        <v>2322</v>
      </c>
      <c r="B389" s="5" t="inlineStr">
        <is>
          <t>BLANCA TEMPRANA</t>
        </is>
      </c>
      <c r="C389" s="5" t="inlineStr">
        <is>
          <t>WARNING</t>
        </is>
      </c>
      <c r="D389" s="5" t="inlineStr">
        <is>
          <t>Warning</t>
        </is>
      </c>
      <c r="E389" s="5" t="inlineStr">
        <is>
          <t>No existe tarifa BonCalidad para socio=1485 campaña=2026 empresa=1 cultivo=INDUSTRIA.</t>
        </is>
      </c>
      <c r="F389" s="6" t="n">
        <v>46231.74836732359</v>
      </c>
      <c r="G389" s="5" t="inlineStr">
        <is>
          <t>WARNING</t>
        </is>
      </c>
    </row>
    <row r="390">
      <c r="A390" s="5" t="n">
        <v>2322</v>
      </c>
      <c r="B390" s="5" t="inlineStr">
        <is>
          <t>BLANCA TEMPRANA</t>
        </is>
      </c>
      <c r="C390" s="5" t="inlineStr">
        <is>
          <t>WARNING</t>
        </is>
      </c>
      <c r="D390" s="5" t="inlineStr">
        <is>
          <t>Warning</t>
        </is>
      </c>
      <c r="E390" s="5" t="inlineStr">
        <is>
          <t>No existe tarifa BonCalidad para socio=1487 campaña=2026 empresa=1 cultivo=INDUSTRIA.</t>
        </is>
      </c>
      <c r="F390" s="6" t="n">
        <v>46231.74836732359</v>
      </c>
      <c r="G390" s="5" t="inlineStr">
        <is>
          <t>WARNING</t>
        </is>
      </c>
    </row>
    <row r="391">
      <c r="A391" s="5" t="n">
        <v>2322</v>
      </c>
      <c r="B391" s="5" t="inlineStr">
        <is>
          <t>BLANCA TEMPRANA</t>
        </is>
      </c>
      <c r="C391" s="5" t="inlineStr">
        <is>
          <t>WARNING</t>
        </is>
      </c>
      <c r="D391" s="5" t="inlineStr">
        <is>
          <t>Warning</t>
        </is>
      </c>
      <c r="E391" s="5" t="inlineStr">
        <is>
          <t>No existe tarifa BonCalidad para socio=1512 campaña=2026 empresa=1 cultivo=INDUSTRIA.</t>
        </is>
      </c>
      <c r="F391" s="6" t="n">
        <v>46231.74836732359</v>
      </c>
      <c r="G391" s="5" t="inlineStr">
        <is>
          <t>WARNING</t>
        </is>
      </c>
    </row>
    <row r="392">
      <c r="A392" s="5" t="n">
        <v>2322</v>
      </c>
      <c r="B392" s="5" t="inlineStr">
        <is>
          <t>BLANCA TEMPRANA</t>
        </is>
      </c>
      <c r="C392" s="5" t="inlineStr">
        <is>
          <t>WARNING</t>
        </is>
      </c>
      <c r="D392" s="5" t="inlineStr">
        <is>
          <t>Warning</t>
        </is>
      </c>
      <c r="E392" s="5" t="inlineStr">
        <is>
          <t>No existe tarifa BonCalidad para socio=1514 campaña=2026 empresa=1 cultivo=INDUSTRIA.</t>
        </is>
      </c>
      <c r="F392" s="6" t="n">
        <v>46231.74836732359</v>
      </c>
      <c r="G392" s="5" t="inlineStr">
        <is>
          <t>WARNING</t>
        </is>
      </c>
    </row>
    <row r="393">
      <c r="A393" s="5" t="n">
        <v>2322</v>
      </c>
      <c r="B393" s="5" t="inlineStr">
        <is>
          <t>BLANCA TEMPRANA</t>
        </is>
      </c>
      <c r="C393" s="5" t="inlineStr">
        <is>
          <t>WARNING</t>
        </is>
      </c>
      <c r="D393" s="5" t="inlineStr">
        <is>
          <t>Warning</t>
        </is>
      </c>
      <c r="E393" s="5" t="inlineStr">
        <is>
          <t>No existe tarifa BonCalidad para socio=1523 campaña=2026 empresa=1 cultivo=INDUSTRIA.</t>
        </is>
      </c>
      <c r="F393" s="6" t="n">
        <v>46231.74836732359</v>
      </c>
      <c r="G393" s="5" t="inlineStr">
        <is>
          <t>WARNING</t>
        </is>
      </c>
    </row>
    <row r="394">
      <c r="A394" s="5" t="n">
        <v>2322</v>
      </c>
      <c r="B394" s="5" t="inlineStr">
        <is>
          <t>BLANCA TEMPRANA</t>
        </is>
      </c>
      <c r="C394" s="5" t="inlineStr">
        <is>
          <t>WARNING</t>
        </is>
      </c>
      <c r="D394" s="5" t="inlineStr">
        <is>
          <t>Warning</t>
        </is>
      </c>
      <c r="E394" s="5" t="inlineStr">
        <is>
          <t>El socio 1523 figura certificado GlobalGAP en CITRICOS, KAKIS, MANDARINA pero no en CITRICOS. Se ha aplicado la certificación global del socio. Revise DEEPP.</t>
        </is>
      </c>
      <c r="F394" s="6" t="n">
        <v>46231.74836732359</v>
      </c>
      <c r="G394" s="5" t="inlineStr">
        <is>
          <t>WARNING</t>
        </is>
      </c>
    </row>
    <row r="395">
      <c r="A395" s="5" t="n">
        <v>2322</v>
      </c>
      <c r="B395" s="5" t="inlineStr">
        <is>
          <t>BLANCA TEMPRANA</t>
        </is>
      </c>
      <c r="C395" s="5" t="inlineStr">
        <is>
          <t>WARNING</t>
        </is>
      </c>
      <c r="D395" s="5" t="inlineStr">
        <is>
          <t>Warning</t>
        </is>
      </c>
      <c r="E395" s="5" t="inlineStr">
        <is>
          <t>No existe tarifa BonCalidad para socio=1542 campaña=2026 empresa=1 cultivo=INDUSTRIA.</t>
        </is>
      </c>
      <c r="F395" s="6" t="n">
        <v>46231.74836732359</v>
      </c>
      <c r="G395" s="5" t="inlineStr">
        <is>
          <t>WARNING</t>
        </is>
      </c>
    </row>
    <row r="396">
      <c r="A396" s="5" t="n">
        <v>2322</v>
      </c>
      <c r="B396" s="5" t="inlineStr">
        <is>
          <t>BLANCA TEMPRANA</t>
        </is>
      </c>
      <c r="C396" s="5" t="inlineStr">
        <is>
          <t>WARNING</t>
        </is>
      </c>
      <c r="D396" s="5" t="inlineStr">
        <is>
          <t>Warning</t>
        </is>
      </c>
      <c r="E396" s="5" t="inlineStr">
        <is>
          <t>No existe tarifa BonCalidad para socio=1544 campaña=2026 empresa=1 cultivo=INDUSTRIA.</t>
        </is>
      </c>
      <c r="F396" s="6" t="n">
        <v>46231.74836732359</v>
      </c>
      <c r="G396" s="5" t="inlineStr">
        <is>
          <t>WARNING</t>
        </is>
      </c>
    </row>
    <row r="397">
      <c r="A397" s="5" t="n">
        <v>2322</v>
      </c>
      <c r="B397" s="5" t="inlineStr">
        <is>
          <t>BLANCA TEMPRANA</t>
        </is>
      </c>
      <c r="C397" s="5" t="inlineStr">
        <is>
          <t>WARNING</t>
        </is>
      </c>
      <c r="D397" s="5" t="inlineStr">
        <is>
          <t>Warning</t>
        </is>
      </c>
      <c r="E397" s="5" t="inlineStr">
        <is>
          <t>No existe tarifa BonCalidad para socio=1546 campaña=2026 empresa=1 cultivo=INDUSTRIA.</t>
        </is>
      </c>
      <c r="F397" s="6" t="n">
        <v>46231.74836732359</v>
      </c>
      <c r="G397" s="5" t="inlineStr">
        <is>
          <t>WARNING</t>
        </is>
      </c>
    </row>
    <row r="398">
      <c r="A398" s="5" t="n">
        <v>2322</v>
      </c>
      <c r="B398" s="5" t="inlineStr">
        <is>
          <t>BLANCA TEMPRANA</t>
        </is>
      </c>
      <c r="C398" s="5" t="inlineStr">
        <is>
          <t>WARNING</t>
        </is>
      </c>
      <c r="D398" s="5" t="inlineStr">
        <is>
          <t>Warning</t>
        </is>
      </c>
      <c r="E398" s="5" t="inlineStr">
        <is>
          <t>No existe tarifa BonCalidad para socio=1561 campaña=2026 empresa=1 cultivo=INDUSTRIA.</t>
        </is>
      </c>
      <c r="F398" s="6" t="n">
        <v>46231.74836732359</v>
      </c>
      <c r="G398" s="5" t="inlineStr">
        <is>
          <t>WARNING</t>
        </is>
      </c>
    </row>
    <row r="399">
      <c r="A399" s="5" t="n">
        <v>2322</v>
      </c>
      <c r="B399" s="5" t="inlineStr">
        <is>
          <t>BLANCA TEMPRANA</t>
        </is>
      </c>
      <c r="C399" s="5" t="inlineStr">
        <is>
          <t>WARNING</t>
        </is>
      </c>
      <c r="D399" s="5" t="inlineStr">
        <is>
          <t>Warning</t>
        </is>
      </c>
      <c r="E399" s="5" t="inlineStr">
        <is>
          <t>No existe tarifa BonCalidad para socio=1562 campaña=2026 empresa=1 cultivo=INDUSTRIA.</t>
        </is>
      </c>
      <c r="F399" s="6" t="n">
        <v>46231.74836732359</v>
      </c>
      <c r="G399" s="5" t="inlineStr">
        <is>
          <t>WARNING</t>
        </is>
      </c>
    </row>
    <row r="400">
      <c r="A400" s="5" t="n">
        <v>2322</v>
      </c>
      <c r="B400" s="5" t="inlineStr">
        <is>
          <t>BLANCA TEMPRANA</t>
        </is>
      </c>
      <c r="C400" s="5" t="inlineStr">
        <is>
          <t>WARNING</t>
        </is>
      </c>
      <c r="D400" s="5" t="inlineStr">
        <is>
          <t>Warning</t>
        </is>
      </c>
      <c r="E400" s="5" t="inlineStr">
        <is>
          <t>No existe tarifa BonCalidad para socio=1564 campaña=2026 empresa=1 cultivo=INDUSTRIA.</t>
        </is>
      </c>
      <c r="F400" s="6" t="n">
        <v>46231.74836732359</v>
      </c>
      <c r="G400" s="5" t="inlineStr">
        <is>
          <t>WARNING</t>
        </is>
      </c>
    </row>
    <row r="401">
      <c r="A401" s="5" t="n">
        <v>2322</v>
      </c>
      <c r="B401" s="5" t="inlineStr">
        <is>
          <t>BLANCA TEMPRANA</t>
        </is>
      </c>
      <c r="C401" s="5" t="inlineStr">
        <is>
          <t>WARNING</t>
        </is>
      </c>
      <c r="D401" s="5" t="inlineStr">
        <is>
          <t>Warning</t>
        </is>
      </c>
      <c r="E401" s="5" t="inlineStr">
        <is>
          <t>No existe tarifa BonCalidad para socio=1577 campaña=2026 empresa=1 cultivo=INDUSTRIA.</t>
        </is>
      </c>
      <c r="F401" s="6" t="n">
        <v>46231.74836732359</v>
      </c>
      <c r="G401" s="5" t="inlineStr">
        <is>
          <t>WARNING</t>
        </is>
      </c>
    </row>
    <row r="402">
      <c r="A402" s="5" t="n">
        <v>2322</v>
      </c>
      <c r="B402" s="5" t="inlineStr">
        <is>
          <t>BLANCA TEMPRANA</t>
        </is>
      </c>
      <c r="C402" s="5" t="inlineStr">
        <is>
          <t>WARNING</t>
        </is>
      </c>
      <c r="D402" s="5" t="inlineStr">
        <is>
          <t>Warning</t>
        </is>
      </c>
      <c r="E402" s="5" t="inlineStr">
        <is>
          <t>No existe tarifa BonCalidad para socio=1579 campaña=2026 empresa=1 cultivo=INDUSTRIA.</t>
        </is>
      </c>
      <c r="F402" s="6" t="n">
        <v>46231.74836732359</v>
      </c>
      <c r="G402" s="5" t="inlineStr">
        <is>
          <t>WARNING</t>
        </is>
      </c>
    </row>
    <row r="403">
      <c r="A403" s="5" t="n">
        <v>2322</v>
      </c>
      <c r="B403" s="5" t="inlineStr">
        <is>
          <t>BLANCA TEMPRANA</t>
        </is>
      </c>
      <c r="C403" s="5" t="inlineStr">
        <is>
          <t>WARNING</t>
        </is>
      </c>
      <c r="D403" s="5" t="inlineStr">
        <is>
          <t>Warning</t>
        </is>
      </c>
      <c r="E403" s="5" t="inlineStr">
        <is>
          <t>No existe tarifa BonCalidad para socio=1582 campaña=2026 empresa=1 cultivo=INDUSTRIA.</t>
        </is>
      </c>
      <c r="F403" s="6" t="n">
        <v>46231.74836732359</v>
      </c>
      <c r="G403" s="5" t="inlineStr">
        <is>
          <t>WARNING</t>
        </is>
      </c>
    </row>
    <row r="404">
      <c r="A404" s="5" t="n">
        <v>2322</v>
      </c>
      <c r="B404" s="5" t="inlineStr">
        <is>
          <t>BLANCA TEMPRANA</t>
        </is>
      </c>
      <c r="C404" s="5" t="inlineStr">
        <is>
          <t>WARNING</t>
        </is>
      </c>
      <c r="D404" s="5" t="inlineStr">
        <is>
          <t>Warning</t>
        </is>
      </c>
      <c r="E404" s="5" t="inlineStr">
        <is>
          <t>No existe tarifa BonCalidad para socio=1585 campaña=2026 empresa=1 cultivo=INDUSTRIA.</t>
        </is>
      </c>
      <c r="F404" s="6" t="n">
        <v>46231.74836732359</v>
      </c>
      <c r="G404" s="5" t="inlineStr">
        <is>
          <t>WARNING</t>
        </is>
      </c>
    </row>
    <row r="405">
      <c r="A405" s="5" t="n">
        <v>2322</v>
      </c>
      <c r="B405" s="5" t="inlineStr">
        <is>
          <t>BLANCA TEMPRANA</t>
        </is>
      </c>
      <c r="C405" s="5" t="inlineStr">
        <is>
          <t>WARNING</t>
        </is>
      </c>
      <c r="D405" s="5" t="inlineStr">
        <is>
          <t>Warning</t>
        </is>
      </c>
      <c r="E405" s="5" t="inlineStr">
        <is>
          <t>No existe tarifa BonCalidad para socio=1589 campaña=2026 empresa=1 cultivo=INDUSTRIA.</t>
        </is>
      </c>
      <c r="F405" s="6" t="n">
        <v>46231.74836732359</v>
      </c>
      <c r="G405" s="5" t="inlineStr">
        <is>
          <t>WARNING</t>
        </is>
      </c>
    </row>
    <row r="406">
      <c r="A406" s="5" t="n">
        <v>2322</v>
      </c>
      <c r="B406" s="5" t="inlineStr">
        <is>
          <t>BLANCA TEMPRANA</t>
        </is>
      </c>
      <c r="C406" s="5" t="inlineStr">
        <is>
          <t>WARNING</t>
        </is>
      </c>
      <c r="D406" s="5" t="inlineStr">
        <is>
          <t>Warning</t>
        </is>
      </c>
      <c r="E406" s="5" t="inlineStr">
        <is>
          <t>No existe tarifa BonCalidad para socio=1590 campaña=2026 empresa=1 cultivo=INDUSTRIA.</t>
        </is>
      </c>
      <c r="F406" s="6" t="n">
        <v>46231.74836732359</v>
      </c>
      <c r="G406" s="5" t="inlineStr">
        <is>
          <t>WARNING</t>
        </is>
      </c>
    </row>
    <row r="407">
      <c r="A407" s="5" t="n">
        <v>2322</v>
      </c>
      <c r="B407" s="5" t="inlineStr">
        <is>
          <t>BLANCA TEMPRANA</t>
        </is>
      </c>
      <c r="C407" s="5" t="inlineStr">
        <is>
          <t>WARNING</t>
        </is>
      </c>
      <c r="D407" s="5" t="inlineStr">
        <is>
          <t>Warning</t>
        </is>
      </c>
      <c r="E407" s="5" t="inlineStr">
        <is>
          <t>No existe tarifa BonCalidad para socio=1612 campaña=2026 empresa=1 cultivo=INDUSTRIA.</t>
        </is>
      </c>
      <c r="F407" s="6" t="n">
        <v>46231.74836732359</v>
      </c>
      <c r="G407" s="5" t="inlineStr">
        <is>
          <t>WARNING</t>
        </is>
      </c>
    </row>
    <row r="408">
      <c r="A408" s="5" t="n">
        <v>2322</v>
      </c>
      <c r="B408" s="5" t="inlineStr">
        <is>
          <t>BLANCA TEMPRANA</t>
        </is>
      </c>
      <c r="C408" s="5" t="inlineStr">
        <is>
          <t>WARNING</t>
        </is>
      </c>
      <c r="D408" s="5" t="inlineStr">
        <is>
          <t>Warning</t>
        </is>
      </c>
      <c r="E408" s="5" t="inlineStr">
        <is>
          <t>No existe tarifa BonCalidad para socio=1624 campaña=2026 empresa=1 cultivo=INDUSTRIA.</t>
        </is>
      </c>
      <c r="F408" s="6" t="n">
        <v>46231.74836732359</v>
      </c>
      <c r="G408" s="5" t="inlineStr">
        <is>
          <t>WARNING</t>
        </is>
      </c>
    </row>
    <row r="409">
      <c r="A409" s="5" t="n">
        <v>2324</v>
      </c>
      <c r="B409" s="5" t="inlineStr">
        <is>
          <t>NAVEL TARDIA</t>
        </is>
      </c>
      <c r="C409" s="5" t="inlineStr">
        <is>
          <t>WARNING</t>
        </is>
      </c>
      <c r="D409" s="5" t="inlineStr">
        <is>
          <t>Warning</t>
        </is>
      </c>
      <c r="E409" s="5" t="inlineStr">
        <is>
          <t>43 entregas ya figuran como liquidadas.</t>
        </is>
      </c>
      <c r="F409" s="6" t="n">
        <v>46231.74836732359</v>
      </c>
      <c r="G409" s="5" t="inlineStr">
        <is>
          <t>WARNING</t>
        </is>
      </c>
    </row>
    <row r="410">
      <c r="A410" s="5" t="n">
        <v>2324</v>
      </c>
      <c r="B410" s="5" t="inlineStr">
        <is>
          <t>NAVEL TARDIA</t>
        </is>
      </c>
      <c r="C410" s="5" t="inlineStr">
        <is>
          <t>WARNING</t>
        </is>
      </c>
      <c r="D410" s="5" t="inlineStr">
        <is>
          <t>Warning</t>
        </is>
      </c>
      <c r="E410" s="5" t="inlineStr">
        <is>
          <t>No existe tarifa BonCalidad para socio=798 campaña=2026 empresa=1 cultivo=INDUSTRIA.</t>
        </is>
      </c>
      <c r="F410" s="6" t="n">
        <v>46231.74836732359</v>
      </c>
      <c r="G410" s="5" t="inlineStr">
        <is>
          <t>WARNING</t>
        </is>
      </c>
    </row>
    <row r="411">
      <c r="A411" s="5" t="n">
        <v>2324</v>
      </c>
      <c r="B411" s="5" t="inlineStr">
        <is>
          <t>NAVEL TARDIA</t>
        </is>
      </c>
      <c r="C411" s="5" t="inlineStr">
        <is>
          <t>WARNING</t>
        </is>
      </c>
      <c r="D411" s="5" t="inlineStr">
        <is>
          <t>Warning</t>
        </is>
      </c>
      <c r="E411" s="5" t="inlineStr">
        <is>
          <t>No existe fuente acumulada disponible; saldo informativo calculado con cuota ya aplicada = 0.</t>
        </is>
      </c>
      <c r="F411" s="6" t="n">
        <v>46231.74836732359</v>
      </c>
      <c r="G411" s="5" t="inlineStr">
        <is>
          <t>WARNING</t>
        </is>
      </c>
    </row>
    <row r="412">
      <c r="A412" s="5" t="n">
        <v>2324</v>
      </c>
      <c r="B412" s="5" t="inlineStr">
        <is>
          <t>NAVEL TARDIA</t>
        </is>
      </c>
      <c r="C412" s="5" t="inlineStr">
        <is>
          <t>WARNING</t>
        </is>
      </c>
      <c r="D412" s="5" t="inlineStr">
        <is>
          <t>Warning</t>
        </is>
      </c>
      <c r="E412" s="5" t="inlineStr">
        <is>
          <t>No existe tarifa BonCalidad para socio=904 campaña=2026 empresa=1 cultivo=INDUSTRIA.</t>
        </is>
      </c>
      <c r="F412" s="6" t="n">
        <v>46231.74836732359</v>
      </c>
      <c r="G412" s="5" t="inlineStr">
        <is>
          <t>WARNING</t>
        </is>
      </c>
    </row>
    <row r="413">
      <c r="A413" s="5" t="n">
        <v>2324</v>
      </c>
      <c r="B413" s="5" t="inlineStr">
        <is>
          <t>NAVEL TARDIA</t>
        </is>
      </c>
      <c r="C413" s="5" t="inlineStr">
        <is>
          <t>WARNING</t>
        </is>
      </c>
      <c r="D413" s="5" t="inlineStr">
        <is>
          <t>Warning</t>
        </is>
      </c>
      <c r="E413" s="5" t="inlineStr">
        <is>
          <t>No existe tarifa BonCalidad para socio=990 campaña=2026 empresa=1 cultivo=INDUSTRIA.</t>
        </is>
      </c>
      <c r="F413" s="6" t="n">
        <v>46231.74836732359</v>
      </c>
      <c r="G413" s="5" t="inlineStr">
        <is>
          <t>WARNING</t>
        </is>
      </c>
    </row>
    <row r="414">
      <c r="A414" s="5" t="n">
        <v>2324</v>
      </c>
      <c r="B414" s="5" t="inlineStr">
        <is>
          <t>NAVEL TARDIA</t>
        </is>
      </c>
      <c r="C414" s="5" t="inlineStr">
        <is>
          <t>WARNING</t>
        </is>
      </c>
      <c r="D414" s="5" t="inlineStr">
        <is>
          <t>Warning</t>
        </is>
      </c>
      <c r="E414" s="5" t="inlineStr">
        <is>
          <t>No existe tarifa BonCalidad para socio=1178 campaña=2026 empresa=1 cultivo=INDUSTRIA.</t>
        </is>
      </c>
      <c r="F414" s="6" t="n">
        <v>46231.74836732359</v>
      </c>
      <c r="G414" s="5" t="inlineStr">
        <is>
          <t>WARNING</t>
        </is>
      </c>
    </row>
    <row r="415">
      <c r="A415" s="5" t="n">
        <v>2324</v>
      </c>
      <c r="B415" s="5" t="inlineStr">
        <is>
          <t>NAVEL TARDIA</t>
        </is>
      </c>
      <c r="C415" s="5" t="inlineStr">
        <is>
          <t>WARNING</t>
        </is>
      </c>
      <c r="D415" s="5" t="inlineStr">
        <is>
          <t>Warning</t>
        </is>
      </c>
      <c r="E415" s="5" t="inlineStr">
        <is>
          <t>No existe tarifa BonCalidad para socio=1205 campaña=2026 empresa=1 cultivo=INDUSTRIA.</t>
        </is>
      </c>
      <c r="F415" s="6" t="n">
        <v>46231.74836732359</v>
      </c>
      <c r="G415" s="5" t="inlineStr">
        <is>
          <t>WARNING</t>
        </is>
      </c>
    </row>
    <row r="416">
      <c r="A416" s="5" t="n">
        <v>2324</v>
      </c>
      <c r="B416" s="5" t="inlineStr">
        <is>
          <t>NAVEL TARDIA</t>
        </is>
      </c>
      <c r="C416" s="5" t="inlineStr">
        <is>
          <t>WARNING</t>
        </is>
      </c>
      <c r="D416" s="5" t="inlineStr">
        <is>
          <t>Warning</t>
        </is>
      </c>
      <c r="E416" s="5" t="inlineStr">
        <is>
          <t>No existe tarifa BonCalidad para socio=1255 campaña=2026 empresa=1 cultivo=INDUSTRIA.</t>
        </is>
      </c>
      <c r="F416" s="6" t="n">
        <v>46231.74836732359</v>
      </c>
      <c r="G416" s="5" t="inlineStr">
        <is>
          <t>WARNING</t>
        </is>
      </c>
    </row>
    <row r="417">
      <c r="A417" s="5" t="n">
        <v>2324</v>
      </c>
      <c r="B417" s="5" t="inlineStr">
        <is>
          <t>NAVEL TARDIA</t>
        </is>
      </c>
      <c r="C417" s="5" t="inlineStr">
        <is>
          <t>WARNING</t>
        </is>
      </c>
      <c r="D417" s="5" t="inlineStr">
        <is>
          <t>Warning</t>
        </is>
      </c>
      <c r="E417" s="5" t="inlineStr">
        <is>
          <t>No existe tarifa BonCalidad para socio=1272 campaña=2026 empresa=1 cultivo=INDUSTRIA.</t>
        </is>
      </c>
      <c r="F417" s="6" t="n">
        <v>46231.74836732359</v>
      </c>
      <c r="G417" s="5" t="inlineStr">
        <is>
          <t>WARNING</t>
        </is>
      </c>
    </row>
    <row r="418">
      <c r="A418" s="5" t="n">
        <v>2324</v>
      </c>
      <c r="B418" s="5" t="inlineStr">
        <is>
          <t>NAVEL TARDIA</t>
        </is>
      </c>
      <c r="C418" s="5" t="inlineStr">
        <is>
          <t>WARNING</t>
        </is>
      </c>
      <c r="D418" s="5" t="inlineStr">
        <is>
          <t>Warning</t>
        </is>
      </c>
      <c r="E418" s="5" t="inlineStr">
        <is>
          <t>No existe tarifa BonCalidad para socio=1415 campaña=2026 empresa=1 cultivo=INDUSTRIA.</t>
        </is>
      </c>
      <c r="F418" s="6" t="n">
        <v>46231.74836732359</v>
      </c>
      <c r="G418" s="5" t="inlineStr">
        <is>
          <t>WARNING</t>
        </is>
      </c>
    </row>
    <row r="419">
      <c r="A419" s="5" t="n">
        <v>2324</v>
      </c>
      <c r="B419" s="5" t="inlineStr">
        <is>
          <t>NAVEL TARDIA</t>
        </is>
      </c>
      <c r="C419" s="5" t="inlineStr">
        <is>
          <t>WARNING</t>
        </is>
      </c>
      <c r="D419" s="5" t="inlineStr">
        <is>
          <t>Warning</t>
        </is>
      </c>
      <c r="E419" s="5" t="inlineStr">
        <is>
          <t>No existe tarifa BonCalidad para socio=1445 campaña=2026 empresa=1 cultivo=INDUSTRIA.</t>
        </is>
      </c>
      <c r="F419" s="6" t="n">
        <v>46231.74836732359</v>
      </c>
      <c r="G419" s="5" t="inlineStr">
        <is>
          <t>WARNING</t>
        </is>
      </c>
    </row>
    <row r="420">
      <c r="A420" s="5" t="n">
        <v>2324</v>
      </c>
      <c r="B420" s="5" t="inlineStr">
        <is>
          <t>NAVEL TARDIA</t>
        </is>
      </c>
      <c r="C420" s="5" t="inlineStr">
        <is>
          <t>WARNING</t>
        </is>
      </c>
      <c r="D420" s="5" t="inlineStr">
        <is>
          <t>Warning</t>
        </is>
      </c>
      <c r="E420" s="5" t="inlineStr">
        <is>
          <t>No existe tarifa BonCalidad para socio=1500 campaña=2026 empresa=1 cultivo=INDUSTRIA.</t>
        </is>
      </c>
      <c r="F420" s="6" t="n">
        <v>46231.74836732359</v>
      </c>
      <c r="G420" s="5" t="inlineStr">
        <is>
          <t>WARNING</t>
        </is>
      </c>
    </row>
    <row r="421">
      <c r="A421" s="5" t="n">
        <v>2324</v>
      </c>
      <c r="B421" s="5" t="inlineStr">
        <is>
          <t>NAVEL TARDIA</t>
        </is>
      </c>
      <c r="C421" s="5" t="inlineStr">
        <is>
          <t>WARNING</t>
        </is>
      </c>
      <c r="D421" s="5" t="inlineStr">
        <is>
          <t>Warning</t>
        </is>
      </c>
      <c r="E421" s="5" t="inlineStr">
        <is>
          <t>No existe tarifa BonCalidad para socio=1507 campaña=2026 empresa=1 cultivo=INDUSTRIA.</t>
        </is>
      </c>
      <c r="F421" s="6" t="n">
        <v>46231.74836732359</v>
      </c>
      <c r="G421" s="5" t="inlineStr">
        <is>
          <t>WARNING</t>
        </is>
      </c>
    </row>
    <row r="422">
      <c r="A422" s="5" t="n">
        <v>2324</v>
      </c>
      <c r="B422" s="5" t="inlineStr">
        <is>
          <t>NAVEL TARDIA</t>
        </is>
      </c>
      <c r="C422" s="5" t="inlineStr">
        <is>
          <t>WARNING</t>
        </is>
      </c>
      <c r="D422" s="5" t="inlineStr">
        <is>
          <t>Warning</t>
        </is>
      </c>
      <c r="E422" s="5" t="inlineStr">
        <is>
          <t>No existe tarifa BonCalidad para socio=1544 campaña=2026 empresa=1 cultivo=INDUSTRIA.</t>
        </is>
      </c>
      <c r="F422" s="6" t="n">
        <v>46231.74836732359</v>
      </c>
      <c r="G422" s="5" t="inlineStr">
        <is>
          <t>WARNING</t>
        </is>
      </c>
    </row>
    <row r="423">
      <c r="A423" s="5" t="n">
        <v>2324</v>
      </c>
      <c r="B423" s="5" t="inlineStr">
        <is>
          <t>NAVEL TARDIA</t>
        </is>
      </c>
      <c r="C423" s="5" t="inlineStr">
        <is>
          <t>WARNING</t>
        </is>
      </c>
      <c r="D423" s="5" t="inlineStr">
        <is>
          <t>Warning</t>
        </is>
      </c>
      <c r="E423" s="5" t="inlineStr">
        <is>
          <t>No existe tarifa BonCalidad para socio=1597 campaña=2026 empresa=1 cultivo=INDUSTRIA.</t>
        </is>
      </c>
      <c r="F423" s="6" t="n">
        <v>46231.74836732359</v>
      </c>
      <c r="G423" s="5" t="inlineStr">
        <is>
          <t>WARNING</t>
        </is>
      </c>
    </row>
    <row r="424">
      <c r="A424" s="5" t="n">
        <v>2324</v>
      </c>
      <c r="B424" s="5" t="inlineStr">
        <is>
          <t>NAVEL TARDIA</t>
        </is>
      </c>
      <c r="C424" s="5" t="inlineStr">
        <is>
          <t>WARNING</t>
        </is>
      </c>
      <c r="D424" s="5" t="inlineStr">
        <is>
          <t>Warning</t>
        </is>
      </c>
      <c r="E424" s="5" t="inlineStr">
        <is>
          <t>No existe tarifa BonCalidad para socio=1627 campaña=2026 empresa=1 cultivo=INDUSTRIA.</t>
        </is>
      </c>
      <c r="F424" s="6" t="n">
        <v>46231.74836732359</v>
      </c>
      <c r="G424" s="5" t="inlineStr">
        <is>
          <t>WARNING</t>
        </is>
      </c>
    </row>
    <row r="425">
      <c r="A425" s="5" t="n">
        <v>2325</v>
      </c>
      <c r="B425" s="5" t="inlineStr">
        <is>
          <t>NAVEL TEMPRANA</t>
        </is>
      </c>
      <c r="C425" s="5" t="inlineStr">
        <is>
          <t>WARNING</t>
        </is>
      </c>
      <c r="D425" s="5" t="inlineStr">
        <is>
          <t>Warning</t>
        </is>
      </c>
      <c r="E425" s="5" t="inlineStr">
        <is>
          <t>96 entregas ya figuran como liquidadas.</t>
        </is>
      </c>
      <c r="F425" s="6" t="n">
        <v>46231.74836732359</v>
      </c>
      <c r="G425" s="5" t="inlineStr">
        <is>
          <t>WARNING</t>
        </is>
      </c>
    </row>
    <row r="426">
      <c r="A426" s="5" t="n">
        <v>2325</v>
      </c>
      <c r="B426" s="5" t="inlineStr">
        <is>
          <t>NAVEL TEMPRANA</t>
        </is>
      </c>
      <c r="C426" s="5" t="inlineStr">
        <is>
          <t>WARNING</t>
        </is>
      </c>
      <c r="D426" s="5" t="inlineStr">
        <is>
          <t>Warning</t>
        </is>
      </c>
      <c r="E426" s="5" t="inlineStr">
        <is>
          <t>No existe tarifa BonCalidad para socio=487 campaña=2026 empresa=1 cultivo=INDUSTRIA.</t>
        </is>
      </c>
      <c r="F426" s="6" t="n">
        <v>46231.74836732359</v>
      </c>
      <c r="G426" s="5" t="inlineStr">
        <is>
          <t>WARNING</t>
        </is>
      </c>
    </row>
    <row r="427">
      <c r="A427" s="5" t="n">
        <v>2325</v>
      </c>
      <c r="B427" s="5" t="inlineStr">
        <is>
          <t>NAVEL TEMPRANA</t>
        </is>
      </c>
      <c r="C427" s="5" t="inlineStr">
        <is>
          <t>WARNING</t>
        </is>
      </c>
      <c r="D427" s="5" t="inlineStr">
        <is>
          <t>Warning</t>
        </is>
      </c>
      <c r="E427" s="5" t="inlineStr">
        <is>
          <t>No existe fuente acumulada disponible; saldo informativo calculado con cuota ya aplicada = 0.</t>
        </is>
      </c>
      <c r="F427" s="6" t="n">
        <v>46231.74836732359</v>
      </c>
      <c r="G427" s="5" t="inlineStr">
        <is>
          <t>WARNING</t>
        </is>
      </c>
    </row>
    <row r="428">
      <c r="A428" s="5" t="n">
        <v>2325</v>
      </c>
      <c r="B428" s="5" t="inlineStr">
        <is>
          <t>NAVEL TEMPRANA</t>
        </is>
      </c>
      <c r="C428" s="5" t="inlineStr">
        <is>
          <t>WARNING</t>
        </is>
      </c>
      <c r="D428" s="5" t="inlineStr">
        <is>
          <t>Warning</t>
        </is>
      </c>
      <c r="E428" s="5" t="inlineStr">
        <is>
          <t>No existe tarifa BonCalidad para socio=716 campaña=2026 empresa=1 cultivo=INDUSTRIA.</t>
        </is>
      </c>
      <c r="F428" s="6" t="n">
        <v>46231.74836732359</v>
      </c>
      <c r="G428" s="5" t="inlineStr">
        <is>
          <t>WARNING</t>
        </is>
      </c>
    </row>
    <row r="429">
      <c r="A429" s="5" t="n">
        <v>2325</v>
      </c>
      <c r="B429" s="5" t="inlineStr">
        <is>
          <t>NAVEL TEMPRANA</t>
        </is>
      </c>
      <c r="C429" s="5" t="inlineStr">
        <is>
          <t>WARNING</t>
        </is>
      </c>
      <c r="D429" s="5" t="inlineStr">
        <is>
          <t>Warning</t>
        </is>
      </c>
      <c r="E429" s="5" t="inlineStr">
        <is>
          <t>No existe tarifa BonCalidad para socio=877 campaña=2026 empresa=1 cultivo=INDUSTRIA.</t>
        </is>
      </c>
      <c r="F429" s="6" t="n">
        <v>46231.74836732359</v>
      </c>
      <c r="G429" s="5" t="inlineStr">
        <is>
          <t>WARNING</t>
        </is>
      </c>
    </row>
    <row r="430">
      <c r="A430" s="5" t="n">
        <v>2325</v>
      </c>
      <c r="B430" s="5" t="inlineStr">
        <is>
          <t>NAVEL TEMPRANA</t>
        </is>
      </c>
      <c r="C430" s="5" t="inlineStr">
        <is>
          <t>WARNING</t>
        </is>
      </c>
      <c r="D430" s="5" t="inlineStr">
        <is>
          <t>Warning</t>
        </is>
      </c>
      <c r="E430" s="5" t="inlineStr">
        <is>
          <t>No existe tarifa BonCalidad para socio=886 campaña=2026 empresa=1 cultivo=INDUSTRIA.</t>
        </is>
      </c>
      <c r="F430" s="6" t="n">
        <v>46231.74836732359</v>
      </c>
      <c r="G430" s="5" t="inlineStr">
        <is>
          <t>WARNING</t>
        </is>
      </c>
    </row>
    <row r="431">
      <c r="A431" s="5" t="n">
        <v>2325</v>
      </c>
      <c r="B431" s="5" t="inlineStr">
        <is>
          <t>NAVEL TEMPRANA</t>
        </is>
      </c>
      <c r="C431" s="5" t="inlineStr">
        <is>
          <t>WARNING</t>
        </is>
      </c>
      <c r="D431" s="5" t="inlineStr">
        <is>
          <t>Warning</t>
        </is>
      </c>
      <c r="E431" s="5" t="inlineStr">
        <is>
          <t>El socio 886 figura certificado GlobalGAP en CITRICOS, KAKIS, MANDARINA pero no en KAKIS. Se ha aplicado la certificación global del socio. Revise DEEPP.</t>
        </is>
      </c>
      <c r="F431" s="6" t="n">
        <v>46231.74836732359</v>
      </c>
      <c r="G431" s="5" t="inlineStr">
        <is>
          <t>WARNING</t>
        </is>
      </c>
    </row>
    <row r="432">
      <c r="A432" s="5" t="n">
        <v>2325</v>
      </c>
      <c r="B432" s="5" t="inlineStr">
        <is>
          <t>NAVEL TEMPRANA</t>
        </is>
      </c>
      <c r="C432" s="5" t="inlineStr">
        <is>
          <t>WARNING</t>
        </is>
      </c>
      <c r="D432" s="5" t="inlineStr">
        <is>
          <t>Warning</t>
        </is>
      </c>
      <c r="E432" s="5" t="inlineStr">
        <is>
          <t>No existe tarifa BonCalidad para socio=1099 campaña=2026 empresa=1 cultivo=INDUSTRIA.</t>
        </is>
      </c>
      <c r="F432" s="6" t="n">
        <v>46231.74836732359</v>
      </c>
      <c r="G432" s="5" t="inlineStr">
        <is>
          <t>WARNING</t>
        </is>
      </c>
    </row>
    <row r="433">
      <c r="A433" s="5" t="n">
        <v>2325</v>
      </c>
      <c r="B433" s="5" t="inlineStr">
        <is>
          <t>NAVEL TEMPRANA</t>
        </is>
      </c>
      <c r="C433" s="5" t="inlineStr">
        <is>
          <t>WARNING</t>
        </is>
      </c>
      <c r="D433" s="5" t="inlineStr">
        <is>
          <t>Warning</t>
        </is>
      </c>
      <c r="E433" s="5" t="inlineStr">
        <is>
          <t>No existe tarifa BonCalidad para socio=1103 campaña=2026 empresa=1 cultivo=INDUSTRIA.</t>
        </is>
      </c>
      <c r="F433" s="6" t="n">
        <v>46231.74836732359</v>
      </c>
      <c r="G433" s="5" t="inlineStr">
        <is>
          <t>WARNING</t>
        </is>
      </c>
    </row>
    <row r="434">
      <c r="A434" s="5" t="n">
        <v>2325</v>
      </c>
      <c r="B434" s="5" t="inlineStr">
        <is>
          <t>NAVEL TEMPRANA</t>
        </is>
      </c>
      <c r="C434" s="5" t="inlineStr">
        <is>
          <t>WARNING</t>
        </is>
      </c>
      <c r="D434" s="5" t="inlineStr">
        <is>
          <t>Warning</t>
        </is>
      </c>
      <c r="E434" s="5" t="inlineStr">
        <is>
          <t>No existe tarifa BonCalidad para socio=1111 campaña=2026 empresa=1 cultivo=INDUSTRIA.</t>
        </is>
      </c>
      <c r="F434" s="6" t="n">
        <v>46231.74836732359</v>
      </c>
      <c r="G434" s="5" t="inlineStr">
        <is>
          <t>WARNING</t>
        </is>
      </c>
    </row>
    <row r="435">
      <c r="A435" s="5" t="n">
        <v>2325</v>
      </c>
      <c r="B435" s="5" t="inlineStr">
        <is>
          <t>NAVEL TEMPRANA</t>
        </is>
      </c>
      <c r="C435" s="5" t="inlineStr">
        <is>
          <t>WARNING</t>
        </is>
      </c>
      <c r="D435" s="5" t="inlineStr">
        <is>
          <t>Warning</t>
        </is>
      </c>
      <c r="E435" s="5" t="inlineStr">
        <is>
          <t>No existe tarifa BonCalidad para socio=1129 campaña=2026 empresa=1 cultivo=INDUSTRIA.</t>
        </is>
      </c>
      <c r="F435" s="6" t="n">
        <v>46231.74836732359</v>
      </c>
      <c r="G435" s="5" t="inlineStr">
        <is>
          <t>WARNING</t>
        </is>
      </c>
    </row>
    <row r="436">
      <c r="A436" s="5" t="n">
        <v>2325</v>
      </c>
      <c r="B436" s="5" t="inlineStr">
        <is>
          <t>NAVEL TEMPRANA</t>
        </is>
      </c>
      <c r="C436" s="5" t="inlineStr">
        <is>
          <t>WARNING</t>
        </is>
      </c>
      <c r="D436" s="5" t="inlineStr">
        <is>
          <t>Warning</t>
        </is>
      </c>
      <c r="E436" s="5" t="inlineStr">
        <is>
          <t>No existe tarifa BonCalidad para socio=1184 campaña=2026 empresa=1 cultivo=INDUSTRIA.</t>
        </is>
      </c>
      <c r="F436" s="6" t="n">
        <v>46231.74836732359</v>
      </c>
      <c r="G436" s="5" t="inlineStr">
        <is>
          <t>WARNING</t>
        </is>
      </c>
    </row>
    <row r="437">
      <c r="A437" s="5" t="n">
        <v>2325</v>
      </c>
      <c r="B437" s="5" t="inlineStr">
        <is>
          <t>NAVEL TEMPRANA</t>
        </is>
      </c>
      <c r="C437" s="5" t="inlineStr">
        <is>
          <t>WARNING</t>
        </is>
      </c>
      <c r="D437" s="5" t="inlineStr">
        <is>
          <t>Warning</t>
        </is>
      </c>
      <c r="E437" s="5" t="inlineStr">
        <is>
          <t>No existe tarifa BonCalidad para socio=1197 campaña=2026 empresa=1 cultivo=INDUSTRIA.</t>
        </is>
      </c>
      <c r="F437" s="6" t="n">
        <v>46231.74836732359</v>
      </c>
      <c r="G437" s="5" t="inlineStr">
        <is>
          <t>WARNING</t>
        </is>
      </c>
    </row>
    <row r="438">
      <c r="A438" s="5" t="n">
        <v>2325</v>
      </c>
      <c r="B438" s="5" t="inlineStr">
        <is>
          <t>NAVEL TEMPRANA</t>
        </is>
      </c>
      <c r="C438" s="5" t="inlineStr">
        <is>
          <t>WARNING</t>
        </is>
      </c>
      <c r="D438" s="5" t="inlineStr">
        <is>
          <t>Warning</t>
        </is>
      </c>
      <c r="E438" s="5" t="inlineStr">
        <is>
          <t>No existe tarifa BonCalidad para socio=1272 campaña=2026 empresa=1 cultivo=INDUSTRIA.</t>
        </is>
      </c>
      <c r="F438" s="6" t="n">
        <v>46231.74836732359</v>
      </c>
      <c r="G438" s="5" t="inlineStr">
        <is>
          <t>WARNING</t>
        </is>
      </c>
    </row>
    <row r="439">
      <c r="A439" s="5" t="n">
        <v>2325</v>
      </c>
      <c r="B439" s="5" t="inlineStr">
        <is>
          <t>NAVEL TEMPRANA</t>
        </is>
      </c>
      <c r="C439" s="5" t="inlineStr">
        <is>
          <t>WARNING</t>
        </is>
      </c>
      <c r="D439" s="5" t="inlineStr">
        <is>
          <t>Warning</t>
        </is>
      </c>
      <c r="E439" s="5" t="inlineStr">
        <is>
          <t>No existe tarifa BonCalidad para socio=1278 campaña=2026 empresa=1 cultivo=INDUSTRIA.</t>
        </is>
      </c>
      <c r="F439" s="6" t="n">
        <v>46231.74836732359</v>
      </c>
      <c r="G439" s="5" t="inlineStr">
        <is>
          <t>WARNING</t>
        </is>
      </c>
    </row>
    <row r="440">
      <c r="A440" s="5" t="n">
        <v>2325</v>
      </c>
      <c r="B440" s="5" t="inlineStr">
        <is>
          <t>NAVEL TEMPRANA</t>
        </is>
      </c>
      <c r="C440" s="5" t="inlineStr">
        <is>
          <t>WARNING</t>
        </is>
      </c>
      <c r="D440" s="5" t="inlineStr">
        <is>
          <t>Warning</t>
        </is>
      </c>
      <c r="E440" s="5" t="inlineStr">
        <is>
          <t>No existe tarifa BonCalidad para socio=1301 campaña=2026 empresa=1 cultivo=INDUSTRIA.</t>
        </is>
      </c>
      <c r="F440" s="6" t="n">
        <v>46231.74836732359</v>
      </c>
      <c r="G440" s="5" t="inlineStr">
        <is>
          <t>WARNING</t>
        </is>
      </c>
    </row>
    <row r="441">
      <c r="A441" s="5" t="n">
        <v>2325</v>
      </c>
      <c r="B441" s="5" t="inlineStr">
        <is>
          <t>NAVEL TEMPRANA</t>
        </is>
      </c>
      <c r="C441" s="5" t="inlineStr">
        <is>
          <t>WARNING</t>
        </is>
      </c>
      <c r="D441" s="5" t="inlineStr">
        <is>
          <t>Warning</t>
        </is>
      </c>
      <c r="E441" s="5" t="inlineStr">
        <is>
          <t>No existe tarifa BonCalidad para socio=1316 campaña=2026 empresa=1 cultivo=INDUSTRIA.</t>
        </is>
      </c>
      <c r="F441" s="6" t="n">
        <v>46231.74836732359</v>
      </c>
      <c r="G441" s="5" t="inlineStr">
        <is>
          <t>WARNING</t>
        </is>
      </c>
    </row>
    <row r="442">
      <c r="A442" s="5" t="n">
        <v>2325</v>
      </c>
      <c r="B442" s="5" t="inlineStr">
        <is>
          <t>NAVEL TEMPRANA</t>
        </is>
      </c>
      <c r="C442" s="5" t="inlineStr">
        <is>
          <t>WARNING</t>
        </is>
      </c>
      <c r="D442" s="5" t="inlineStr">
        <is>
          <t>Warning</t>
        </is>
      </c>
      <c r="E442" s="5" t="inlineStr">
        <is>
          <t>No existe tarifa BonCalidad para socio=1350 campaña=2026 empresa=1 cultivo=INDUSTRIA.</t>
        </is>
      </c>
      <c r="F442" s="6" t="n">
        <v>46231.74836732359</v>
      </c>
      <c r="G442" s="5" t="inlineStr">
        <is>
          <t>WARNING</t>
        </is>
      </c>
    </row>
    <row r="443">
      <c r="A443" s="5" t="n">
        <v>2325</v>
      </c>
      <c r="B443" s="5" t="inlineStr">
        <is>
          <t>NAVEL TEMPRANA</t>
        </is>
      </c>
      <c r="C443" s="5" t="inlineStr">
        <is>
          <t>WARNING</t>
        </is>
      </c>
      <c r="D443" s="5" t="inlineStr">
        <is>
          <t>Warning</t>
        </is>
      </c>
      <c r="E443" s="5" t="inlineStr">
        <is>
          <t>El socio 1350 figura certificado GlobalGAP en CITRICOS pero no en CITRICOS. Se ha aplicado la certificación global del socio. Revise DEEPP.</t>
        </is>
      </c>
      <c r="F443" s="6" t="n">
        <v>46231.74836732359</v>
      </c>
      <c r="G443" s="5" t="inlineStr">
        <is>
          <t>WARNING</t>
        </is>
      </c>
    </row>
    <row r="444">
      <c r="A444" s="5" t="n">
        <v>2325</v>
      </c>
      <c r="B444" s="5" t="inlineStr">
        <is>
          <t>NAVEL TEMPRANA</t>
        </is>
      </c>
      <c r="C444" s="5" t="inlineStr">
        <is>
          <t>WARNING</t>
        </is>
      </c>
      <c r="D444" s="5" t="inlineStr">
        <is>
          <t>Warning</t>
        </is>
      </c>
      <c r="E444" s="5" t="inlineStr">
        <is>
          <t>No existe tarifa BonCalidad para socio=1395 campaña=2026 empresa=1 cultivo=INDUSTRIA.</t>
        </is>
      </c>
      <c r="F444" s="6" t="n">
        <v>46231.74836732359</v>
      </c>
      <c r="G444" s="5" t="inlineStr">
        <is>
          <t>WARNING</t>
        </is>
      </c>
    </row>
    <row r="445">
      <c r="A445" s="5" t="n">
        <v>2325</v>
      </c>
      <c r="B445" s="5" t="inlineStr">
        <is>
          <t>NAVEL TEMPRANA</t>
        </is>
      </c>
      <c r="C445" s="5" t="inlineStr">
        <is>
          <t>WARNING</t>
        </is>
      </c>
      <c r="D445" s="5" t="inlineStr">
        <is>
          <t>Warning</t>
        </is>
      </c>
      <c r="E445" s="5" t="inlineStr">
        <is>
          <t>No existe tarifa BonCalidad para socio=1411 campaña=2026 empresa=1 cultivo=INDUSTRIA.</t>
        </is>
      </c>
      <c r="F445" s="6" t="n">
        <v>46231.74836732359</v>
      </c>
      <c r="G445" s="5" t="inlineStr">
        <is>
          <t>WARNING</t>
        </is>
      </c>
    </row>
    <row r="446">
      <c r="A446" s="5" t="n">
        <v>2325</v>
      </c>
      <c r="B446" s="5" t="inlineStr">
        <is>
          <t>NAVEL TEMPRANA</t>
        </is>
      </c>
      <c r="C446" s="5" t="inlineStr">
        <is>
          <t>WARNING</t>
        </is>
      </c>
      <c r="D446" s="5" t="inlineStr">
        <is>
          <t>Warning</t>
        </is>
      </c>
      <c r="E446" s="5" t="inlineStr">
        <is>
          <t>No existe tarifa BonCalidad para socio=1429 campaña=2026 empresa=1 cultivo=INDUSTRIA.</t>
        </is>
      </c>
      <c r="F446" s="6" t="n">
        <v>46231.74836732359</v>
      </c>
      <c r="G446" s="5" t="inlineStr">
        <is>
          <t>WARNING</t>
        </is>
      </c>
    </row>
    <row r="447">
      <c r="A447" s="5" t="n">
        <v>2325</v>
      </c>
      <c r="B447" s="5" t="inlineStr">
        <is>
          <t>NAVEL TEMPRANA</t>
        </is>
      </c>
      <c r="C447" s="5" t="inlineStr">
        <is>
          <t>WARNING</t>
        </is>
      </c>
      <c r="D447" s="5" t="inlineStr">
        <is>
          <t>Warning</t>
        </is>
      </c>
      <c r="E447" s="5" t="inlineStr">
        <is>
          <t>No existe tarifa BonCalidad para socio=1441 campaña=2026 empresa=1 cultivo=INDUSTRIA.</t>
        </is>
      </c>
      <c r="F447" s="6" t="n">
        <v>46231.74836732359</v>
      </c>
      <c r="G447" s="5" t="inlineStr">
        <is>
          <t>WARNING</t>
        </is>
      </c>
    </row>
    <row r="448">
      <c r="A448" s="5" t="n">
        <v>2325</v>
      </c>
      <c r="B448" s="5" t="inlineStr">
        <is>
          <t>NAVEL TEMPRANA</t>
        </is>
      </c>
      <c r="C448" s="5" t="inlineStr">
        <is>
          <t>WARNING</t>
        </is>
      </c>
      <c r="D448" s="5" t="inlineStr">
        <is>
          <t>Warning</t>
        </is>
      </c>
      <c r="E448" s="5" t="inlineStr">
        <is>
          <t>No existe tarifa BonCalidad para socio=1443 campaña=2026 empresa=1 cultivo=INDUSTRIA.</t>
        </is>
      </c>
      <c r="F448" s="6" t="n">
        <v>46231.74836732359</v>
      </c>
      <c r="G448" s="5" t="inlineStr">
        <is>
          <t>WARNING</t>
        </is>
      </c>
    </row>
    <row r="449">
      <c r="A449" s="5" t="n">
        <v>2325</v>
      </c>
      <c r="B449" s="5" t="inlineStr">
        <is>
          <t>NAVEL TEMPRANA</t>
        </is>
      </c>
      <c r="C449" s="5" t="inlineStr">
        <is>
          <t>WARNING</t>
        </is>
      </c>
      <c r="D449" s="5" t="inlineStr">
        <is>
          <t>Warning</t>
        </is>
      </c>
      <c r="E449" s="5" t="inlineStr">
        <is>
          <t>No existe tarifa BonCalidad para socio=1445 campaña=2026 empresa=1 cultivo=INDUSTRIA.</t>
        </is>
      </c>
      <c r="F449" s="6" t="n">
        <v>46231.74836732359</v>
      </c>
      <c r="G449" s="5" t="inlineStr">
        <is>
          <t>WARNING</t>
        </is>
      </c>
    </row>
    <row r="450">
      <c r="A450" s="5" t="n">
        <v>2325</v>
      </c>
      <c r="B450" s="5" t="inlineStr">
        <is>
          <t>NAVEL TEMPRANA</t>
        </is>
      </c>
      <c r="C450" s="5" t="inlineStr">
        <is>
          <t>WARNING</t>
        </is>
      </c>
      <c r="D450" s="5" t="inlineStr">
        <is>
          <t>Warning</t>
        </is>
      </c>
      <c r="E450" s="5" t="inlineStr">
        <is>
          <t>No existe tarifa BonCalidad para socio=1470 campaña=2026 empresa=1 cultivo=INDUSTRIA.</t>
        </is>
      </c>
      <c r="F450" s="6" t="n">
        <v>46231.74836732359</v>
      </c>
      <c r="G450" s="5" t="inlineStr">
        <is>
          <t>WARNING</t>
        </is>
      </c>
    </row>
    <row r="451">
      <c r="A451" s="5" t="n">
        <v>2325</v>
      </c>
      <c r="B451" s="5" t="inlineStr">
        <is>
          <t>NAVEL TEMPRANA</t>
        </is>
      </c>
      <c r="C451" s="5" t="inlineStr">
        <is>
          <t>WARNING</t>
        </is>
      </c>
      <c r="D451" s="5" t="inlineStr">
        <is>
          <t>Warning</t>
        </is>
      </c>
      <c r="E451" s="5" t="inlineStr">
        <is>
          <t>No existe tarifa BonCalidad para socio=1491 campaña=2026 empresa=1 cultivo=INDUSTRIA.</t>
        </is>
      </c>
      <c r="F451" s="6" t="n">
        <v>46231.74836732359</v>
      </c>
      <c r="G451" s="5" t="inlineStr">
        <is>
          <t>WARNING</t>
        </is>
      </c>
    </row>
    <row r="452">
      <c r="A452" s="5" t="n">
        <v>2325</v>
      </c>
      <c r="B452" s="5" t="inlineStr">
        <is>
          <t>NAVEL TEMPRANA</t>
        </is>
      </c>
      <c r="C452" s="5" t="inlineStr">
        <is>
          <t>WARNING</t>
        </is>
      </c>
      <c r="D452" s="5" t="inlineStr">
        <is>
          <t>Warning</t>
        </is>
      </c>
      <c r="E452" s="5" t="inlineStr">
        <is>
          <t>No existe tarifa BonCalidad para socio=1516 campaña=2026 empresa=1 cultivo=INDUSTRIA.</t>
        </is>
      </c>
      <c r="F452" s="6" t="n">
        <v>46231.74836732359</v>
      </c>
      <c r="G452" s="5" t="inlineStr">
        <is>
          <t>WARNING</t>
        </is>
      </c>
    </row>
    <row r="453">
      <c r="A453" s="5" t="n">
        <v>2325</v>
      </c>
      <c r="B453" s="5" t="inlineStr">
        <is>
          <t>NAVEL TEMPRANA</t>
        </is>
      </c>
      <c r="C453" s="5" t="inlineStr">
        <is>
          <t>WARNING</t>
        </is>
      </c>
      <c r="D453" s="5" t="inlineStr">
        <is>
          <t>Warning</t>
        </is>
      </c>
      <c r="E453" s="5" t="inlineStr">
        <is>
          <t>No existe tarifa BonCalidad para socio=1518 campaña=2026 empresa=1 cultivo=INDUSTRIA.</t>
        </is>
      </c>
      <c r="F453" s="6" t="n">
        <v>46231.74836732359</v>
      </c>
      <c r="G453" s="5" t="inlineStr">
        <is>
          <t>WARNING</t>
        </is>
      </c>
    </row>
    <row r="454">
      <c r="A454" s="5" t="n">
        <v>2325</v>
      </c>
      <c r="B454" s="5" t="inlineStr">
        <is>
          <t>NAVEL TEMPRANA</t>
        </is>
      </c>
      <c r="C454" s="5" t="inlineStr">
        <is>
          <t>WARNING</t>
        </is>
      </c>
      <c r="D454" s="5" t="inlineStr">
        <is>
          <t>Warning</t>
        </is>
      </c>
      <c r="E454" s="5" t="inlineStr">
        <is>
          <t>No existe tarifa BonCalidad para socio=1525 campaña=2026 empresa=1 cultivo=INDUSTRIA.</t>
        </is>
      </c>
      <c r="F454" s="6" t="n">
        <v>46231.74836732359</v>
      </c>
      <c r="G454" s="5" t="inlineStr">
        <is>
          <t>WARNING</t>
        </is>
      </c>
    </row>
    <row r="455">
      <c r="A455" s="5" t="n">
        <v>2325</v>
      </c>
      <c r="B455" s="5" t="inlineStr">
        <is>
          <t>NAVEL TEMPRANA</t>
        </is>
      </c>
      <c r="C455" s="5" t="inlineStr">
        <is>
          <t>WARNING</t>
        </is>
      </c>
      <c r="D455" s="5" t="inlineStr">
        <is>
          <t>Warning</t>
        </is>
      </c>
      <c r="E455" s="5" t="inlineStr">
        <is>
          <t>No existe tarifa BonCalidad para socio=1527 campaña=2026 empresa=1 cultivo=INDUSTRIA.</t>
        </is>
      </c>
      <c r="F455" s="6" t="n">
        <v>46231.74836732359</v>
      </c>
      <c r="G455" s="5" t="inlineStr">
        <is>
          <t>WARNING</t>
        </is>
      </c>
    </row>
    <row r="456">
      <c r="A456" s="5" t="n">
        <v>2325</v>
      </c>
      <c r="B456" s="5" t="inlineStr">
        <is>
          <t>NAVEL TEMPRANA</t>
        </is>
      </c>
      <c r="C456" s="5" t="inlineStr">
        <is>
          <t>WARNING</t>
        </is>
      </c>
      <c r="D456" s="5" t="inlineStr">
        <is>
          <t>Warning</t>
        </is>
      </c>
      <c r="E456" s="5" t="inlineStr">
        <is>
          <t>No existe tarifa BonCalidad para socio=1529 campaña=2026 empresa=1 cultivo=INDUSTRIA.</t>
        </is>
      </c>
      <c r="F456" s="6" t="n">
        <v>46231.74836732359</v>
      </c>
      <c r="G456" s="5" t="inlineStr">
        <is>
          <t>WARNING</t>
        </is>
      </c>
    </row>
    <row r="457">
      <c r="A457" s="5" t="n">
        <v>2325</v>
      </c>
      <c r="B457" s="5" t="inlineStr">
        <is>
          <t>NAVEL TEMPRANA</t>
        </is>
      </c>
      <c r="C457" s="5" t="inlineStr">
        <is>
          <t>WARNING</t>
        </is>
      </c>
      <c r="D457" s="5" t="inlineStr">
        <is>
          <t>Warning</t>
        </is>
      </c>
      <c r="E457" s="5" t="inlineStr">
        <is>
          <t>No existe tarifa BonCalidad para socio=1530 campaña=2026 empresa=1 cultivo=INDUSTRIA.</t>
        </is>
      </c>
      <c r="F457" s="6" t="n">
        <v>46231.74836732359</v>
      </c>
      <c r="G457" s="5" t="inlineStr">
        <is>
          <t>WARNING</t>
        </is>
      </c>
    </row>
    <row r="458">
      <c r="A458" s="5" t="n">
        <v>2325</v>
      </c>
      <c r="B458" s="5" t="inlineStr">
        <is>
          <t>NAVEL TEMPRANA</t>
        </is>
      </c>
      <c r="C458" s="5" t="inlineStr">
        <is>
          <t>WARNING</t>
        </is>
      </c>
      <c r="D458" s="5" t="inlineStr">
        <is>
          <t>Warning</t>
        </is>
      </c>
      <c r="E458" s="5" t="inlineStr">
        <is>
          <t>No existe tarifa BonCalidad para socio=1544 campaña=2026 empresa=1 cultivo=INDUSTRIA.</t>
        </is>
      </c>
      <c r="F458" s="6" t="n">
        <v>46231.74836732359</v>
      </c>
      <c r="G458" s="5" t="inlineStr">
        <is>
          <t>WARNING</t>
        </is>
      </c>
    </row>
    <row r="459">
      <c r="A459" s="5" t="n">
        <v>2325</v>
      </c>
      <c r="B459" s="5" t="inlineStr">
        <is>
          <t>NAVEL TEMPRANA</t>
        </is>
      </c>
      <c r="C459" s="5" t="inlineStr">
        <is>
          <t>WARNING</t>
        </is>
      </c>
      <c r="D459" s="5" t="inlineStr">
        <is>
          <t>Warning</t>
        </is>
      </c>
      <c r="E459" s="5" t="inlineStr">
        <is>
          <t>No existe tarifa BonCalidad para socio=1546 campaña=2026 empresa=1 cultivo=INDUSTRIA.</t>
        </is>
      </c>
      <c r="F459" s="6" t="n">
        <v>46231.74836732359</v>
      </c>
      <c r="G459" s="5" t="inlineStr">
        <is>
          <t>WARNING</t>
        </is>
      </c>
    </row>
    <row r="460">
      <c r="A460" s="5" t="n">
        <v>2325</v>
      </c>
      <c r="B460" s="5" t="inlineStr">
        <is>
          <t>NAVEL TEMPRANA</t>
        </is>
      </c>
      <c r="C460" s="5" t="inlineStr">
        <is>
          <t>WARNING</t>
        </is>
      </c>
      <c r="D460" s="5" t="inlineStr">
        <is>
          <t>Warning</t>
        </is>
      </c>
      <c r="E460" s="5" t="inlineStr">
        <is>
          <t>No existe tarifa BonCalidad para socio=1550 campaña=2026 empresa=1 cultivo=INDUSTRIA.</t>
        </is>
      </c>
      <c r="F460" s="6" t="n">
        <v>46231.74836732359</v>
      </c>
      <c r="G460" s="5" t="inlineStr">
        <is>
          <t>WARNING</t>
        </is>
      </c>
    </row>
    <row r="461">
      <c r="A461" s="5" t="n">
        <v>2325</v>
      </c>
      <c r="B461" s="5" t="inlineStr">
        <is>
          <t>NAVEL TEMPRANA</t>
        </is>
      </c>
      <c r="C461" s="5" t="inlineStr">
        <is>
          <t>WARNING</t>
        </is>
      </c>
      <c r="D461" s="5" t="inlineStr">
        <is>
          <t>Warning</t>
        </is>
      </c>
      <c r="E461" s="5" t="inlineStr">
        <is>
          <t>El socio 1550 figura certificado GlobalGAP en CITRICOS, MANDARINA pero no en CITRICOS, MANDARINA. Se ha aplicado la certificación global del socio. Revise DEEPP.</t>
        </is>
      </c>
      <c r="F461" s="6" t="n">
        <v>46231.74836732359</v>
      </c>
      <c r="G461" s="5" t="inlineStr">
        <is>
          <t>WARNING</t>
        </is>
      </c>
    </row>
    <row r="462">
      <c r="A462" s="5" t="n">
        <v>2325</v>
      </c>
      <c r="B462" s="5" t="inlineStr">
        <is>
          <t>NAVEL TEMPRANA</t>
        </is>
      </c>
      <c r="C462" s="5" t="inlineStr">
        <is>
          <t>WARNING</t>
        </is>
      </c>
      <c r="D462" s="5" t="inlineStr">
        <is>
          <t>Warning</t>
        </is>
      </c>
      <c r="E462" s="5" t="inlineStr">
        <is>
          <t>No existe tarifa BonCalidad para socio=1573 campaña=2026 empresa=1 cultivo=INDUSTRIA.</t>
        </is>
      </c>
      <c r="F462" s="6" t="n">
        <v>46231.74836732359</v>
      </c>
      <c r="G462" s="5" t="inlineStr">
        <is>
          <t>WARNING</t>
        </is>
      </c>
    </row>
    <row r="463">
      <c r="A463" s="5" t="n">
        <v>2325</v>
      </c>
      <c r="B463" s="5" t="inlineStr">
        <is>
          <t>NAVEL TEMPRANA</t>
        </is>
      </c>
      <c r="C463" s="5" t="inlineStr">
        <is>
          <t>WARNING</t>
        </is>
      </c>
      <c r="D463" s="5" t="inlineStr">
        <is>
          <t>Warning</t>
        </is>
      </c>
      <c r="E463" s="5" t="inlineStr">
        <is>
          <t>Cuota Ha no aplicable: sin superficie sujeta a cuota.</t>
        </is>
      </c>
      <c r="F463" s="6" t="n">
        <v>46231.74836732359</v>
      </c>
      <c r="G463" s="5" t="inlineStr">
        <is>
          <t>WARNING</t>
        </is>
      </c>
    </row>
    <row r="464">
      <c r="A464" s="5" t="n">
        <v>2325</v>
      </c>
      <c r="B464" s="5" t="inlineStr">
        <is>
          <t>NAVEL TEMPRANA</t>
        </is>
      </c>
      <c r="C464" s="5" t="inlineStr">
        <is>
          <t>WARNING</t>
        </is>
      </c>
      <c r="D464" s="5" t="inlineStr">
        <is>
          <t>Warning</t>
        </is>
      </c>
      <c r="E464" s="5" t="inlineStr">
        <is>
          <t>No existe tarifa BonCalidad para socio=1578 campaña=2026 empresa=1 cultivo=INDUSTRIA.</t>
        </is>
      </c>
      <c r="F464" s="6" t="n">
        <v>46231.74836732359</v>
      </c>
      <c r="G464" s="5" t="inlineStr">
        <is>
          <t>WARNING</t>
        </is>
      </c>
    </row>
    <row r="465">
      <c r="A465" s="5" t="n">
        <v>2325</v>
      </c>
      <c r="B465" s="5" t="inlineStr">
        <is>
          <t>NAVEL TEMPRANA</t>
        </is>
      </c>
      <c r="C465" s="5" t="inlineStr">
        <is>
          <t>WARNING</t>
        </is>
      </c>
      <c r="D465" s="5" t="inlineStr">
        <is>
          <t>Warning</t>
        </is>
      </c>
      <c r="E465" s="5" t="inlineStr">
        <is>
          <t>No existe tarifa BonCalidad para socio=1587 campaña=2026 empresa=1 cultivo=INDUSTRIA.</t>
        </is>
      </c>
      <c r="F465" s="6" t="n">
        <v>46231.74836732359</v>
      </c>
      <c r="G465" s="5" t="inlineStr">
        <is>
          <t>WARNING</t>
        </is>
      </c>
    </row>
    <row r="466">
      <c r="A466" s="5" t="n">
        <v>2325</v>
      </c>
      <c r="B466" s="5" t="inlineStr">
        <is>
          <t>NAVEL TEMPRANA</t>
        </is>
      </c>
      <c r="C466" s="5" t="inlineStr">
        <is>
          <t>WARNING</t>
        </is>
      </c>
      <c r="D466" s="5" t="inlineStr">
        <is>
          <t>Warning</t>
        </is>
      </c>
      <c r="E466" s="5" t="inlineStr">
        <is>
          <t>No existe tarifa BonCalidad para socio=1588 campaña=2026 empresa=1 cultivo=INDUSTRIA.</t>
        </is>
      </c>
      <c r="F466" s="6" t="n">
        <v>46231.74836732359</v>
      </c>
      <c r="G466" s="5" t="inlineStr">
        <is>
          <t>WARNING</t>
        </is>
      </c>
    </row>
    <row r="467">
      <c r="A467" s="5" t="n">
        <v>2325</v>
      </c>
      <c r="B467" s="5" t="inlineStr">
        <is>
          <t>NAVEL TEMPRANA</t>
        </is>
      </c>
      <c r="C467" s="5" t="inlineStr">
        <is>
          <t>WARNING</t>
        </is>
      </c>
      <c r="D467" s="5" t="inlineStr">
        <is>
          <t>Warning</t>
        </is>
      </c>
      <c r="E467" s="5" t="inlineStr">
        <is>
          <t>No existe tarifa BonCalidad para socio=1608 campaña=2026 empresa=1 cultivo=INDUSTRIA.</t>
        </is>
      </c>
      <c r="F467" s="6" t="n">
        <v>46231.74836732359</v>
      </c>
      <c r="G467" s="5" t="inlineStr">
        <is>
          <t>WARNING</t>
        </is>
      </c>
    </row>
    <row r="468">
      <c r="A468" s="5" t="n">
        <v>2325</v>
      </c>
      <c r="B468" s="5" t="inlineStr">
        <is>
          <t>NAVEL TEMPRANA</t>
        </is>
      </c>
      <c r="C468" s="5" t="inlineStr">
        <is>
          <t>WARNING</t>
        </is>
      </c>
      <c r="D468" s="5" t="inlineStr">
        <is>
          <t>Warning</t>
        </is>
      </c>
      <c r="E468" s="5" t="inlineStr">
        <is>
          <t>No existe tarifa BonCalidad para socio=1613 campaña=2026 empresa=1 cultivo=INDUSTRIA.</t>
        </is>
      </c>
      <c r="F468" s="6" t="n">
        <v>46231.74836732359</v>
      </c>
      <c r="G468" s="5" t="inlineStr">
        <is>
          <t>WARNING</t>
        </is>
      </c>
    </row>
    <row r="469">
      <c r="A469" s="5" t="n">
        <v>2325</v>
      </c>
      <c r="B469" s="5" t="inlineStr">
        <is>
          <t>NAVEL TEMPRANA</t>
        </is>
      </c>
      <c r="C469" s="5" t="inlineStr">
        <is>
          <t>WARNING</t>
        </is>
      </c>
      <c r="D469" s="5" t="inlineStr">
        <is>
          <t>Warning</t>
        </is>
      </c>
      <c r="E469" s="5" t="inlineStr">
        <is>
          <t>No existe tarifa BonCalidad para socio=1614 campaña=2026 empresa=1 cultivo=INDUSTRIA.</t>
        </is>
      </c>
      <c r="F469" s="6" t="n">
        <v>46231.74836732359</v>
      </c>
      <c r="G469" s="5" t="inlineStr">
        <is>
          <t>WARNING</t>
        </is>
      </c>
    </row>
    <row r="470">
      <c r="A470" s="5" t="n">
        <v>2325</v>
      </c>
      <c r="B470" s="5" t="inlineStr">
        <is>
          <t>NAVEL TEMPRANA</t>
        </is>
      </c>
      <c r="C470" s="5" t="inlineStr">
        <is>
          <t>WARNING</t>
        </is>
      </c>
      <c r="D470" s="5" t="inlineStr">
        <is>
          <t>Warning</t>
        </is>
      </c>
      <c r="E470" s="5" t="inlineStr">
        <is>
          <t>No existe tarifa BonCalidad para socio=1617 campaña=2026 empresa=1 cultivo=INDUSTRIA.</t>
        </is>
      </c>
      <c r="F470" s="6" t="n">
        <v>46231.74836732359</v>
      </c>
      <c r="G470" s="5" t="inlineStr">
        <is>
          <t>WARNING</t>
        </is>
      </c>
    </row>
    <row r="471">
      <c r="A471" s="5" t="n">
        <v>2325</v>
      </c>
      <c r="B471" s="5" t="inlineStr">
        <is>
          <t>NAVEL TEMPRANA</t>
        </is>
      </c>
      <c r="C471" s="5" t="inlineStr">
        <is>
          <t>WARNING</t>
        </is>
      </c>
      <c r="D471" s="5" t="inlineStr">
        <is>
          <t>Warning</t>
        </is>
      </c>
      <c r="E471" s="5" t="inlineStr">
        <is>
          <t>No existe tarifa BonCalidad para socio=1622 campaña=2026 empresa=1 cultivo=INDUSTRIA.</t>
        </is>
      </c>
      <c r="F471" s="6" t="n">
        <v>46231.74836732359</v>
      </c>
      <c r="G471" s="5" t="inlineStr">
        <is>
          <t>WARNING</t>
        </is>
      </c>
    </row>
    <row r="472">
      <c r="A472" s="5" t="n">
        <v>2325</v>
      </c>
      <c r="B472" s="5" t="inlineStr">
        <is>
          <t>NAVEL TEMPRANA</t>
        </is>
      </c>
      <c r="C472" s="5" t="inlineStr">
        <is>
          <t>WARNING</t>
        </is>
      </c>
      <c r="D472" s="5" t="inlineStr">
        <is>
          <t>Warning</t>
        </is>
      </c>
      <c r="E472" s="5" t="inlineStr">
        <is>
          <t>No existe tarifa BonCalidad para socio=1623 campaña=2026 empresa=1 cultivo=INDUSTRIA.</t>
        </is>
      </c>
      <c r="F472" s="6" t="n">
        <v>46231.74836732359</v>
      </c>
      <c r="G472" s="5" t="inlineStr">
        <is>
          <t>WARNING</t>
        </is>
      </c>
    </row>
    <row r="473">
      <c r="A473" s="5" t="n">
        <v>2148</v>
      </c>
      <c r="B473" s="5" t="inlineStr">
        <is>
          <t>Nadorcott Semana 5 NORMAL</t>
        </is>
      </c>
      <c r="C473" s="5" t="inlineStr">
        <is>
          <t>WARNING</t>
        </is>
      </c>
      <c r="D473" s="5" t="inlineStr">
        <is>
          <t>Warning</t>
        </is>
      </c>
      <c r="E473" s="5" t="inlineStr">
        <is>
          <t>No existe tarifa BonCalidad para socio=886 campaña=2026 empresa=1 cultivo=MANDARINA.</t>
        </is>
      </c>
      <c r="F473" s="6" t="n">
        <v>46231.74836732359</v>
      </c>
      <c r="G473" s="5" t="inlineStr">
        <is>
          <t>WARNING</t>
        </is>
      </c>
    </row>
    <row r="474">
      <c r="A474" s="5" t="n">
        <v>2148</v>
      </c>
      <c r="B474" s="5" t="inlineStr">
        <is>
          <t>Nadorcott Semana 5 NORMAL</t>
        </is>
      </c>
      <c r="C474" s="5" t="inlineStr">
        <is>
          <t>WARNING</t>
        </is>
      </c>
      <c r="D474" s="5" t="inlineStr">
        <is>
          <t>Warning</t>
        </is>
      </c>
      <c r="E474" s="5" t="inlineStr">
        <is>
          <t>El socio 886 figura certificado GlobalGAP en CITRICOS, KAKIS, MANDARINA pero no en KAKIS. Se ha aplicado la certificación global del socio. Revise DEEPP.</t>
        </is>
      </c>
      <c r="F474" s="6" t="n">
        <v>46231.74836732359</v>
      </c>
      <c r="G474" s="5" t="inlineStr">
        <is>
          <t>WARNING</t>
        </is>
      </c>
    </row>
    <row r="475">
      <c r="A475" s="5" t="n">
        <v>2148</v>
      </c>
      <c r="B475" s="5" t="inlineStr">
        <is>
          <t>Nadorcott Semana 5 NORMAL</t>
        </is>
      </c>
      <c r="C475" s="5" t="inlineStr">
        <is>
          <t>WARNING</t>
        </is>
      </c>
      <c r="D475" s="5" t="inlineStr">
        <is>
          <t>Warning</t>
        </is>
      </c>
      <c r="E475" s="5" t="inlineStr">
        <is>
          <t>No existe fuente acumulada disponible; saldo informativo calculado con cuota ya aplicada = 0.</t>
        </is>
      </c>
      <c r="F475" s="6" t="n">
        <v>46231.74836732359</v>
      </c>
      <c r="G475" s="5" t="inlineStr">
        <is>
          <t>WARNING</t>
        </is>
      </c>
    </row>
    <row r="476">
      <c r="A476" s="5" t="n">
        <v>2148</v>
      </c>
      <c r="B476" s="5" t="inlineStr">
        <is>
          <t>Nadorcott Semana 5 NORMAL</t>
        </is>
      </c>
      <c r="C476" s="5" t="inlineStr">
        <is>
          <t>WARNING</t>
        </is>
      </c>
      <c r="D476" s="5" t="inlineStr">
        <is>
          <t>Warning</t>
        </is>
      </c>
      <c r="E476" s="5" t="inlineStr">
        <is>
          <t>No existe tarifa BonCalidad para socio=1443 campaña=2026 empresa=1 cultivo=MANDARINA.</t>
        </is>
      </c>
      <c r="F476" s="6" t="n">
        <v>46231.74836732359</v>
      </c>
      <c r="G476" s="5" t="inlineStr">
        <is>
          <t>WARNING</t>
        </is>
      </c>
    </row>
    <row r="477">
      <c r="A477" s="5" t="n">
        <v>2148</v>
      </c>
      <c r="B477" s="5" t="inlineStr">
        <is>
          <t>Nadorcott Semana 5 NORMAL</t>
        </is>
      </c>
      <c r="C477" s="5" t="inlineStr">
        <is>
          <t>WARNING</t>
        </is>
      </c>
      <c r="D477" s="5" t="inlineStr">
        <is>
          <t>Warning</t>
        </is>
      </c>
      <c r="E477" s="5" t="inlineStr">
        <is>
          <t>No existe tarifa BonCalidad para socio=1478 campaña=2026 empresa=1 cultivo=MANDARINA.</t>
        </is>
      </c>
      <c r="F477" s="6" t="n">
        <v>46231.74836732359</v>
      </c>
      <c r="G477" s="5" t="inlineStr">
        <is>
          <t>WARNING</t>
        </is>
      </c>
    </row>
    <row r="478">
      <c r="A478" s="5" t="n">
        <v>2148</v>
      </c>
      <c r="B478" s="5" t="inlineStr">
        <is>
          <t>Nadorcott Semana 5 NORMAL</t>
        </is>
      </c>
      <c r="C478" s="5" t="inlineStr">
        <is>
          <t>WARNING</t>
        </is>
      </c>
      <c r="D478" s="5" t="inlineStr">
        <is>
          <t>Warning</t>
        </is>
      </c>
      <c r="E478" s="5" t="inlineStr">
        <is>
          <t>No existe tarifa BonCalidad para socio=1491 campaña=2026 empresa=1 cultivo=MANDARINA.</t>
        </is>
      </c>
      <c r="F478" s="6" t="n">
        <v>46231.74836732359</v>
      </c>
      <c r="G478" s="5" t="inlineStr">
        <is>
          <t>WARNING</t>
        </is>
      </c>
    </row>
    <row r="479">
      <c r="A479" s="5" t="n">
        <v>2149</v>
      </c>
      <c r="B479" s="5" t="inlineStr">
        <is>
          <t>Nadorcott Semana 7 NORMAL</t>
        </is>
      </c>
      <c r="C479" s="5" t="inlineStr">
        <is>
          <t>WARNING</t>
        </is>
      </c>
      <c r="D479" s="5" t="inlineStr">
        <is>
          <t>Warning</t>
        </is>
      </c>
      <c r="E479" s="5" t="inlineStr">
        <is>
          <t>No existe tarifa BonCalidad para socio=1491 campaña=2026 empresa=1 cultivo=MANDARINA.</t>
        </is>
      </c>
      <c r="F479" s="6" t="n">
        <v>46231.74836732359</v>
      </c>
      <c r="G479" s="5" t="inlineStr">
        <is>
          <t>WARNING</t>
        </is>
      </c>
    </row>
    <row r="480">
      <c r="A480" s="5" t="n">
        <v>2149</v>
      </c>
      <c r="B480" s="5" t="inlineStr">
        <is>
          <t>Nadorcott Semana 7 NORMAL</t>
        </is>
      </c>
      <c r="C480" s="5" t="inlineStr">
        <is>
          <t>WARNING</t>
        </is>
      </c>
      <c r="D480" s="5" t="inlineStr">
        <is>
          <t>Warning</t>
        </is>
      </c>
      <c r="E480" s="5" t="inlineStr">
        <is>
          <t>No existe fuente acumulada disponible; saldo informativo calculado con cuota ya aplicada = 0.</t>
        </is>
      </c>
      <c r="F480" s="6" t="n">
        <v>46231.74836732359</v>
      </c>
      <c r="G480" s="5" t="inlineStr">
        <is>
          <t>WARNING</t>
        </is>
      </c>
    </row>
    <row r="481">
      <c r="A481" s="5" t="n">
        <v>2150</v>
      </c>
      <c r="B481" s="5" t="inlineStr">
        <is>
          <t>Tango Semana 1 CON HOJAS</t>
        </is>
      </c>
      <c r="C481" s="5" t="inlineStr">
        <is>
          <t>WARNING</t>
        </is>
      </c>
      <c r="D481" s="5" t="inlineStr">
        <is>
          <t>Warning</t>
        </is>
      </c>
      <c r="E481" s="5" t="inlineStr">
        <is>
          <t>No existe tarifa BonCalidad para socio=1566 campaña=2026 empresa=1 cultivo=MANDARINA.</t>
        </is>
      </c>
      <c r="F481" s="6" t="n">
        <v>46231.74836732359</v>
      </c>
      <c r="G481" s="5" t="inlineStr">
        <is>
          <t>WARNING</t>
        </is>
      </c>
    </row>
    <row r="482">
      <c r="A482" s="5" t="n">
        <v>2150</v>
      </c>
      <c r="B482" s="5" t="inlineStr">
        <is>
          <t>Tango Semana 1 CON HOJAS</t>
        </is>
      </c>
      <c r="C482" s="5" t="inlineStr">
        <is>
          <t>WARNING</t>
        </is>
      </c>
      <c r="D482" s="5" t="inlineStr">
        <is>
          <t>Warning</t>
        </is>
      </c>
      <c r="E482" s="5" t="inlineStr">
        <is>
          <t>No existe fuente acumulada disponible; saldo informativo calculado con cuota ya aplicada = 0.</t>
        </is>
      </c>
      <c r="F482" s="6" t="n">
        <v>46231.74836732359</v>
      </c>
      <c r="G482" s="5" t="inlineStr">
        <is>
          <t>WARNING</t>
        </is>
      </c>
    </row>
    <row r="483">
      <c r="A483" s="5" t="n">
        <v>2150</v>
      </c>
      <c r="B483" s="5" t="inlineStr">
        <is>
          <t>Tango Semana 1 CON HOJAS</t>
        </is>
      </c>
      <c r="C483" s="5" t="inlineStr">
        <is>
          <t>WARNING</t>
        </is>
      </c>
      <c r="D483" s="5" t="inlineStr">
        <is>
          <t>Warning</t>
        </is>
      </c>
      <c r="E483" s="5" t="inlineStr">
        <is>
          <t>Cuota Ha no aplicable: sin superficie sujeta a cuota.</t>
        </is>
      </c>
      <c r="F483" s="6" t="n">
        <v>46231.74836732359</v>
      </c>
      <c r="G483" s="5" t="inlineStr">
        <is>
          <t>WARNING</t>
        </is>
      </c>
    </row>
    <row r="484">
      <c r="A484" s="5" t="n">
        <v>2151</v>
      </c>
      <c r="B484" s="5" t="inlineStr">
        <is>
          <t>Tango Semana 1 NORMAL</t>
        </is>
      </c>
      <c r="C484" s="5" t="inlineStr">
        <is>
          <t>WARNING</t>
        </is>
      </c>
      <c r="D484" s="5" t="inlineStr">
        <is>
          <t>Warning</t>
        </is>
      </c>
      <c r="E484" s="5" t="inlineStr">
        <is>
          <t>No existe tarifa BonCalidad para socio=1178 campaña=2026 empresa=1 cultivo=MANDARINA.</t>
        </is>
      </c>
      <c r="F484" s="6" t="n">
        <v>46231.74836732359</v>
      </c>
      <c r="G484" s="5" t="inlineStr">
        <is>
          <t>WARNING</t>
        </is>
      </c>
    </row>
    <row r="485">
      <c r="A485" s="5" t="n">
        <v>2151</v>
      </c>
      <c r="B485" s="5" t="inlineStr">
        <is>
          <t>Tango Semana 1 NORMAL</t>
        </is>
      </c>
      <c r="C485" s="5" t="inlineStr">
        <is>
          <t>WARNING</t>
        </is>
      </c>
      <c r="D485" s="5" t="inlineStr">
        <is>
          <t>Warning</t>
        </is>
      </c>
      <c r="E485" s="5" t="inlineStr">
        <is>
          <t>No existe fuente acumulada disponible; saldo informativo calculado con cuota ya aplicada = 0.</t>
        </is>
      </c>
      <c r="F485" s="6" t="n">
        <v>46231.74836732359</v>
      </c>
      <c r="G485" s="5" t="inlineStr">
        <is>
          <t>WARNING</t>
        </is>
      </c>
    </row>
    <row r="486">
      <c r="A486" s="5" t="n">
        <v>2151</v>
      </c>
      <c r="B486" s="5" t="inlineStr">
        <is>
          <t>Tango Semana 1 NORMAL</t>
        </is>
      </c>
      <c r="C486" s="5" t="inlineStr">
        <is>
          <t>WARNING</t>
        </is>
      </c>
      <c r="D486" s="5" t="inlineStr">
        <is>
          <t>Warning</t>
        </is>
      </c>
      <c r="E486" s="5" t="inlineStr">
        <is>
          <t>No existe tarifa BonCalidad para socio=1566 campaña=2026 empresa=1 cultivo=MANDARINA.</t>
        </is>
      </c>
      <c r="F486" s="6" t="n">
        <v>46231.74836732359</v>
      </c>
      <c r="G486" s="5" t="inlineStr">
        <is>
          <t>WARNING</t>
        </is>
      </c>
    </row>
    <row r="487">
      <c r="A487" s="5" t="n">
        <v>2151</v>
      </c>
      <c r="B487" s="5" t="inlineStr">
        <is>
          <t>Tango Semana 1 NORMAL</t>
        </is>
      </c>
      <c r="C487" s="5" t="inlineStr">
        <is>
          <t>WARNING</t>
        </is>
      </c>
      <c r="D487" s="5" t="inlineStr">
        <is>
          <t>Warning</t>
        </is>
      </c>
      <c r="E487" s="5" t="inlineStr">
        <is>
          <t>Cuota Ha no aplicable: sin superficie sujeta a cuota.</t>
        </is>
      </c>
      <c r="F487" s="6" t="n">
        <v>46231.74836732359</v>
      </c>
      <c r="G487" s="5" t="inlineStr">
        <is>
          <t>WARNING</t>
        </is>
      </c>
    </row>
    <row r="488">
      <c r="A488" s="5" t="n">
        <v>2152</v>
      </c>
      <c r="B488" s="5" t="inlineStr">
        <is>
          <t>Tango Semana 2 NORMAL</t>
        </is>
      </c>
      <c r="C488" s="5" t="inlineStr">
        <is>
          <t>WARNING</t>
        </is>
      </c>
      <c r="D488" s="5" t="inlineStr">
        <is>
          <t>Warning</t>
        </is>
      </c>
      <c r="E488" s="5" t="inlineStr">
        <is>
          <t>No existe tarifa BonCalidad para socio=1133 campaña=2026 empresa=1 cultivo=MANDARINA.</t>
        </is>
      </c>
      <c r="F488" s="6" t="n">
        <v>46231.74836732359</v>
      </c>
      <c r="G488" s="5" t="inlineStr">
        <is>
          <t>WARNING</t>
        </is>
      </c>
    </row>
    <row r="489">
      <c r="A489" s="5" t="n">
        <v>2152</v>
      </c>
      <c r="B489" s="5" t="inlineStr">
        <is>
          <t>Tango Semana 2 NORMAL</t>
        </is>
      </c>
      <c r="C489" s="5" t="inlineStr">
        <is>
          <t>WARNING</t>
        </is>
      </c>
      <c r="D489" s="5" t="inlineStr">
        <is>
          <t>Warning</t>
        </is>
      </c>
      <c r="E489" s="5" t="inlineStr">
        <is>
          <t>No existe fuente acumulada disponible; saldo informativo calculado con cuota ya aplicada = 0.</t>
        </is>
      </c>
      <c r="F489" s="6" t="n">
        <v>46231.74836732359</v>
      </c>
      <c r="G489" s="5" t="inlineStr">
        <is>
          <t>WARNING</t>
        </is>
      </c>
    </row>
    <row r="490">
      <c r="A490" s="5" t="n">
        <v>2152</v>
      </c>
      <c r="B490" s="5" t="inlineStr">
        <is>
          <t>Tango Semana 2 NORMAL</t>
        </is>
      </c>
      <c r="C490" s="5" t="inlineStr">
        <is>
          <t>WARNING</t>
        </is>
      </c>
      <c r="D490" s="5" t="inlineStr">
        <is>
          <t>Warning</t>
        </is>
      </c>
      <c r="E490" s="5" t="inlineStr">
        <is>
          <t>No existe tarifa BonCalidad para socio=1324 campaña=2026 empresa=1 cultivo=MANDARINA.</t>
        </is>
      </c>
      <c r="F490" s="6" t="n">
        <v>46231.74836732359</v>
      </c>
      <c r="G490" s="5" t="inlineStr">
        <is>
          <t>WARNING</t>
        </is>
      </c>
    </row>
    <row r="491">
      <c r="A491" s="5" t="n">
        <v>2152</v>
      </c>
      <c r="B491" s="5" t="inlineStr">
        <is>
          <t>Tango Semana 2 NORMAL</t>
        </is>
      </c>
      <c r="C491" s="5" t="inlineStr">
        <is>
          <t>WARNING</t>
        </is>
      </c>
      <c r="D491" s="5" t="inlineStr">
        <is>
          <t>Warning</t>
        </is>
      </c>
      <c r="E491" s="5" t="inlineStr">
        <is>
          <t>El socio 1324 figura certificado GlobalGAP en MANDARINA, SANDIA pero no en SANDIA. Se ha aplicado la certificación global del socio. Revise DEEPP.</t>
        </is>
      </c>
      <c r="F491" s="6" t="n">
        <v>46231.74836732359</v>
      </c>
      <c r="G491" s="5" t="inlineStr">
        <is>
          <t>WARNING</t>
        </is>
      </c>
    </row>
    <row r="492">
      <c r="A492" s="5" t="n">
        <v>2152</v>
      </c>
      <c r="B492" s="5" t="inlineStr">
        <is>
          <t>Tango Semana 2 NORMAL</t>
        </is>
      </c>
      <c r="C492" s="5" t="inlineStr">
        <is>
          <t>WARNING</t>
        </is>
      </c>
      <c r="D492" s="5" t="inlineStr">
        <is>
          <t>Warning</t>
        </is>
      </c>
      <c r="E492" s="5" t="inlineStr">
        <is>
          <t>No existe tarifa BonCalidad para socio=1415 campaña=2026 empresa=1 cultivo=MANDARINA.</t>
        </is>
      </c>
      <c r="F492" s="6" t="n">
        <v>46231.74836732359</v>
      </c>
      <c r="G492" s="5" t="inlineStr">
        <is>
          <t>WARNING</t>
        </is>
      </c>
    </row>
    <row r="493">
      <c r="A493" s="5" t="n">
        <v>2152</v>
      </c>
      <c r="B493" s="5" t="inlineStr">
        <is>
          <t>Tango Semana 2 NORMAL</t>
        </is>
      </c>
      <c r="C493" s="5" t="inlineStr">
        <is>
          <t>WARNING</t>
        </is>
      </c>
      <c r="D493" s="5" t="inlineStr">
        <is>
          <t>Warning</t>
        </is>
      </c>
      <c r="E493" s="5" t="inlineStr">
        <is>
          <t>No existe tarifa BonCalidad para socio=1561 campaña=2026 empresa=1 cultivo=MANDARINA.</t>
        </is>
      </c>
      <c r="F493" s="6" t="n">
        <v>46231.74836732359</v>
      </c>
      <c r="G493" s="5" t="inlineStr">
        <is>
          <t>WARNING</t>
        </is>
      </c>
    </row>
    <row r="494">
      <c r="A494" s="5" t="n">
        <v>2152</v>
      </c>
      <c r="B494" s="5" t="inlineStr">
        <is>
          <t>Tango Semana 2 NORMAL</t>
        </is>
      </c>
      <c r="C494" s="5" t="inlineStr">
        <is>
          <t>WARNING</t>
        </is>
      </c>
      <c r="D494" s="5" t="inlineStr">
        <is>
          <t>Warning</t>
        </is>
      </c>
      <c r="E494" s="5" t="inlineStr">
        <is>
          <t>No existe tarifa BonCalidad para socio=1566 campaña=2026 empresa=1 cultivo=MANDARINA.</t>
        </is>
      </c>
      <c r="F494" s="6" t="n">
        <v>46231.74836732359</v>
      </c>
      <c r="G494" s="5" t="inlineStr">
        <is>
          <t>WARNING</t>
        </is>
      </c>
    </row>
    <row r="495">
      <c r="A495" s="5" t="n">
        <v>2152</v>
      </c>
      <c r="B495" s="5" t="inlineStr">
        <is>
          <t>Tango Semana 2 NORMAL</t>
        </is>
      </c>
      <c r="C495" s="5" t="inlineStr">
        <is>
          <t>WARNING</t>
        </is>
      </c>
      <c r="D495" s="5" t="inlineStr">
        <is>
          <t>Warning</t>
        </is>
      </c>
      <c r="E495" s="5" t="inlineStr">
        <is>
          <t>Cuota Ha no aplicable: sin superficie sujeta a cuota.</t>
        </is>
      </c>
      <c r="F495" s="6" t="n">
        <v>46231.74836732359</v>
      </c>
      <c r="G495" s="5" t="inlineStr">
        <is>
          <t>WARNING</t>
        </is>
      </c>
    </row>
    <row r="496">
      <c r="A496" s="5" t="n">
        <v>2153</v>
      </c>
      <c r="B496" s="5" t="inlineStr">
        <is>
          <t>Tango Semana 3 NORMAL</t>
        </is>
      </c>
      <c r="C496" s="5" t="inlineStr">
        <is>
          <t>WARNING</t>
        </is>
      </c>
      <c r="D496" s="5" t="inlineStr">
        <is>
          <t>Warning</t>
        </is>
      </c>
      <c r="E496" s="5" t="inlineStr">
        <is>
          <t>No existe tarifa BonCalidad para socio=1214 campaña=2026 empresa=1 cultivo=MANDARINA.</t>
        </is>
      </c>
      <c r="F496" s="6" t="n">
        <v>46231.74836732359</v>
      </c>
      <c r="G496" s="5" t="inlineStr">
        <is>
          <t>WARNING</t>
        </is>
      </c>
    </row>
    <row r="497">
      <c r="A497" s="5" t="n">
        <v>2153</v>
      </c>
      <c r="B497" s="5" t="inlineStr">
        <is>
          <t>Tango Semana 3 NORMAL</t>
        </is>
      </c>
      <c r="C497" s="5" t="inlineStr">
        <is>
          <t>WARNING</t>
        </is>
      </c>
      <c r="D497" s="5" t="inlineStr">
        <is>
          <t>Warning</t>
        </is>
      </c>
      <c r="E497" s="5" t="inlineStr">
        <is>
          <t>No existe fuente acumulada disponible; saldo informativo calculado con cuota ya aplicada = 0.</t>
        </is>
      </c>
      <c r="F497" s="6" t="n">
        <v>46231.74836732359</v>
      </c>
      <c r="G497" s="5" t="inlineStr">
        <is>
          <t>WARNING</t>
        </is>
      </c>
    </row>
    <row r="498">
      <c r="A498" s="5" t="n">
        <v>2153</v>
      </c>
      <c r="B498" s="5" t="inlineStr">
        <is>
          <t>Tango Semana 3 NORMAL</t>
        </is>
      </c>
      <c r="C498" s="5" t="inlineStr">
        <is>
          <t>WARNING</t>
        </is>
      </c>
      <c r="D498" s="5" t="inlineStr">
        <is>
          <t>Warning</t>
        </is>
      </c>
      <c r="E498" s="5" t="inlineStr">
        <is>
          <t>No existe tarifa BonCalidad para socio=1324 campaña=2026 empresa=1 cultivo=MANDARINA.</t>
        </is>
      </c>
      <c r="F498" s="6" t="n">
        <v>46231.74836732359</v>
      </c>
      <c r="G498" s="5" t="inlineStr">
        <is>
          <t>WARNING</t>
        </is>
      </c>
    </row>
    <row r="499">
      <c r="A499" s="5" t="n">
        <v>2153</v>
      </c>
      <c r="B499" s="5" t="inlineStr">
        <is>
          <t>Tango Semana 3 NORMAL</t>
        </is>
      </c>
      <c r="C499" s="5" t="inlineStr">
        <is>
          <t>WARNING</t>
        </is>
      </c>
      <c r="D499" s="5" t="inlineStr">
        <is>
          <t>Warning</t>
        </is>
      </c>
      <c r="E499" s="5" t="inlineStr">
        <is>
          <t>El socio 1324 figura certificado GlobalGAP en MANDARINA, SANDIA pero no en SANDIA. Se ha aplicado la certificación global del socio. Revise DEEPP.</t>
        </is>
      </c>
      <c r="F499" s="6" t="n">
        <v>46231.74836732359</v>
      </c>
      <c r="G499" s="5" t="inlineStr">
        <is>
          <t>WARNING</t>
        </is>
      </c>
    </row>
    <row r="500">
      <c r="A500" s="5" t="n">
        <v>2153</v>
      </c>
      <c r="B500" s="5" t="inlineStr">
        <is>
          <t>Tango Semana 3 NORMAL</t>
        </is>
      </c>
      <c r="C500" s="5" t="inlineStr">
        <is>
          <t>WARNING</t>
        </is>
      </c>
      <c r="D500" s="5" t="inlineStr">
        <is>
          <t>Warning</t>
        </is>
      </c>
      <c r="E500" s="5" t="inlineStr">
        <is>
          <t>No existe tarifa BonCalidad para socio=1415 campaña=2026 empresa=1 cultivo=MANDARINA.</t>
        </is>
      </c>
      <c r="F500" s="6" t="n">
        <v>46231.74836732359</v>
      </c>
      <c r="G500" s="5" t="inlineStr">
        <is>
          <t>WARNING</t>
        </is>
      </c>
    </row>
    <row r="501">
      <c r="A501" s="5" t="n">
        <v>2153</v>
      </c>
      <c r="B501" s="5" t="inlineStr">
        <is>
          <t>Tango Semana 3 NORMAL</t>
        </is>
      </c>
      <c r="C501" s="5" t="inlineStr">
        <is>
          <t>WARNING</t>
        </is>
      </c>
      <c r="D501" s="5" t="inlineStr">
        <is>
          <t>Warning</t>
        </is>
      </c>
      <c r="E501" s="5" t="inlineStr">
        <is>
          <t>No existe tarifa BonCalidad para socio=1443 campaña=2026 empresa=1 cultivo=MANDARINA.</t>
        </is>
      </c>
      <c r="F501" s="6" t="n">
        <v>46231.74836732359</v>
      </c>
      <c r="G501" s="5" t="inlineStr">
        <is>
          <t>WARNING</t>
        </is>
      </c>
    </row>
    <row r="502">
      <c r="A502" s="5" t="n">
        <v>2153</v>
      </c>
      <c r="B502" s="5" t="inlineStr">
        <is>
          <t>Tango Semana 3 NORMAL</t>
        </is>
      </c>
      <c r="C502" s="5" t="inlineStr">
        <is>
          <t>WARNING</t>
        </is>
      </c>
      <c r="D502" s="5" t="inlineStr">
        <is>
          <t>Warning</t>
        </is>
      </c>
      <c r="E502" s="5" t="inlineStr">
        <is>
          <t>No existe tarifa BonCalidad para socio=1478 campaña=2026 empresa=1 cultivo=MANDARINA.</t>
        </is>
      </c>
      <c r="F502" s="6" t="n">
        <v>46231.74836732359</v>
      </c>
      <c r="G502" s="5" t="inlineStr">
        <is>
          <t>WARNING</t>
        </is>
      </c>
    </row>
    <row r="503">
      <c r="A503" s="5" t="n">
        <v>2153</v>
      </c>
      <c r="B503" s="5" t="inlineStr">
        <is>
          <t>Tango Semana 3 NORMAL</t>
        </is>
      </c>
      <c r="C503" s="5" t="inlineStr">
        <is>
          <t>WARNING</t>
        </is>
      </c>
      <c r="D503" s="5" t="inlineStr">
        <is>
          <t>Warning</t>
        </is>
      </c>
      <c r="E503" s="5" t="inlineStr">
        <is>
          <t>No existe tarifa BonCalidad para socio=1523 campaña=2026 empresa=1 cultivo=MANDARINA.</t>
        </is>
      </c>
      <c r="F503" s="6" t="n">
        <v>46231.74836732359</v>
      </c>
      <c r="G503" s="5" t="inlineStr">
        <is>
          <t>WARNING</t>
        </is>
      </c>
    </row>
    <row r="504">
      <c r="A504" s="5" t="n">
        <v>2153</v>
      </c>
      <c r="B504" s="5" t="inlineStr">
        <is>
          <t>Tango Semana 3 NORMAL</t>
        </is>
      </c>
      <c r="C504" s="5" t="inlineStr">
        <is>
          <t>WARNING</t>
        </is>
      </c>
      <c r="D504" s="5" t="inlineStr">
        <is>
          <t>Warning</t>
        </is>
      </c>
      <c r="E504" s="5" t="inlineStr">
        <is>
          <t>El socio 1523 figura certificado GlobalGAP en CITRICOS, KAKIS, MANDARINA pero no en CITRICOS. Se ha aplicado la certificación global del socio. Revise DEEPP.</t>
        </is>
      </c>
      <c r="F504" s="6" t="n">
        <v>46231.74836732359</v>
      </c>
      <c r="G504" s="5" t="inlineStr">
        <is>
          <t>WARNING</t>
        </is>
      </c>
    </row>
    <row r="505">
      <c r="A505" s="5" t="n">
        <v>2153</v>
      </c>
      <c r="B505" s="5" t="inlineStr">
        <is>
          <t>Tango Semana 3 NORMAL</t>
        </is>
      </c>
      <c r="C505" s="5" t="inlineStr">
        <is>
          <t>WARNING</t>
        </is>
      </c>
      <c r="D505" s="5" t="inlineStr">
        <is>
          <t>Warning</t>
        </is>
      </c>
      <c r="E505" s="5" t="inlineStr">
        <is>
          <t>No existe tarifa BonCalidad para socio=1561 campaña=2026 empresa=1 cultivo=MANDARINA.</t>
        </is>
      </c>
      <c r="F505" s="6" t="n">
        <v>46231.74836732359</v>
      </c>
      <c r="G505" s="5" t="inlineStr">
        <is>
          <t>WARNING</t>
        </is>
      </c>
    </row>
    <row r="506">
      <c r="A506" s="5" t="n">
        <v>2154</v>
      </c>
      <c r="B506" s="5" t="inlineStr">
        <is>
          <t>Tango Semana 4 CON HOJAS</t>
        </is>
      </c>
      <c r="C506" s="5" t="inlineStr">
        <is>
          <t>WARNING</t>
        </is>
      </c>
      <c r="D506" s="5" t="inlineStr">
        <is>
          <t>Warning</t>
        </is>
      </c>
      <c r="E506" s="5" t="inlineStr">
        <is>
          <t>No existe tarifa BonCalidad para socio=1214 campaña=2026 empresa=1 cultivo=MANDARINA.</t>
        </is>
      </c>
      <c r="F506" s="6" t="n">
        <v>46231.74836732359</v>
      </c>
      <c r="G506" s="5" t="inlineStr">
        <is>
          <t>WARNING</t>
        </is>
      </c>
    </row>
    <row r="507">
      <c r="A507" s="5" t="n">
        <v>2154</v>
      </c>
      <c r="B507" s="5" t="inlineStr">
        <is>
          <t>Tango Semana 4 CON HOJAS</t>
        </is>
      </c>
      <c r="C507" s="5" t="inlineStr">
        <is>
          <t>WARNING</t>
        </is>
      </c>
      <c r="D507" s="5" t="inlineStr">
        <is>
          <t>Warning</t>
        </is>
      </c>
      <c r="E507" s="5" t="inlineStr">
        <is>
          <t>No existe fuente acumulada disponible; saldo informativo calculado con cuota ya aplicada = 0.</t>
        </is>
      </c>
      <c r="F507" s="6" t="n">
        <v>46231.74836732359</v>
      </c>
      <c r="G507" s="5" t="inlineStr">
        <is>
          <t>WARNING</t>
        </is>
      </c>
    </row>
    <row r="508">
      <c r="A508" s="5" t="n">
        <v>2155</v>
      </c>
      <c r="B508" s="5" t="inlineStr">
        <is>
          <t>Tango Semana 9 NORMAL</t>
        </is>
      </c>
      <c r="C508" s="5" t="inlineStr">
        <is>
          <t>WARNING</t>
        </is>
      </c>
      <c r="D508" s="5" t="inlineStr">
        <is>
          <t>Warning</t>
        </is>
      </c>
      <c r="E508" s="5" t="inlineStr">
        <is>
          <t>No existe tarifa BonCalidad para socio=1133 campaña=2026 empresa=1 cultivo=MANDARINA.</t>
        </is>
      </c>
      <c r="F508" s="6" t="n">
        <v>46231.74836732359</v>
      </c>
      <c r="G508" s="5" t="inlineStr">
        <is>
          <t>WARNING</t>
        </is>
      </c>
    </row>
    <row r="509">
      <c r="A509" s="5" t="n">
        <v>2155</v>
      </c>
      <c r="B509" s="5" t="inlineStr">
        <is>
          <t>Tango Semana 9 NORMAL</t>
        </is>
      </c>
      <c r="C509" s="5" t="inlineStr">
        <is>
          <t>WARNING</t>
        </is>
      </c>
      <c r="D509" s="5" t="inlineStr">
        <is>
          <t>Warning</t>
        </is>
      </c>
      <c r="E509" s="5" t="inlineStr">
        <is>
          <t>No existe fuente acumulada disponible; saldo informativo calculado con cuota ya aplicada = 0.</t>
        </is>
      </c>
      <c r="F509" s="6" t="n">
        <v>46231.74836732359</v>
      </c>
      <c r="G509" s="5" t="inlineStr">
        <is>
          <t>WARNING</t>
        </is>
      </c>
    </row>
    <row r="510">
      <c r="A510" s="5" t="n">
        <v>2156</v>
      </c>
      <c r="B510" s="5" t="inlineStr">
        <is>
          <t>Tango Semana 5 NORMAL</t>
        </is>
      </c>
      <c r="C510" s="5" t="inlineStr">
        <is>
          <t>WARNING</t>
        </is>
      </c>
      <c r="D510" s="5" t="inlineStr">
        <is>
          <t>Warning</t>
        </is>
      </c>
      <c r="E510" s="5" t="inlineStr">
        <is>
          <t>No existe tarifa BonCalidad para socio=1355 campaña=2026 empresa=1 cultivo=MANDARINA.</t>
        </is>
      </c>
      <c r="F510" s="6" t="n">
        <v>46231.74836732359</v>
      </c>
      <c r="G510" s="5" t="inlineStr">
        <is>
          <t>WARNING</t>
        </is>
      </c>
    </row>
    <row r="511">
      <c r="A511" s="5" t="n">
        <v>2156</v>
      </c>
      <c r="B511" s="5" t="inlineStr">
        <is>
          <t>Tango Semana 5 NORMAL</t>
        </is>
      </c>
      <c r="C511" s="5" t="inlineStr">
        <is>
          <t>WARNING</t>
        </is>
      </c>
      <c r="D511" s="5" t="inlineStr">
        <is>
          <t>Warning</t>
        </is>
      </c>
      <c r="E511" s="5" t="inlineStr">
        <is>
          <t>No existe fuente acumulada disponible; saldo informativo calculado con cuota ya aplicada = 0.</t>
        </is>
      </c>
      <c r="F511" s="6" t="n">
        <v>46231.74836732359</v>
      </c>
      <c r="G511" s="5" t="inlineStr">
        <is>
          <t>WARNING</t>
        </is>
      </c>
    </row>
    <row r="512">
      <c r="A512" s="5" t="n">
        <v>2157</v>
      </c>
      <c r="B512" s="5" t="inlineStr">
        <is>
          <t>Tango Semana 4 NORMAL</t>
        </is>
      </c>
      <c r="C512" s="5" t="inlineStr">
        <is>
          <t>WARNING</t>
        </is>
      </c>
      <c r="D512" s="5" t="inlineStr">
        <is>
          <t>Warning</t>
        </is>
      </c>
      <c r="E512" s="5" t="inlineStr">
        <is>
          <t>No existe tarifa BonCalidad para socio=1133 campaña=2026 empresa=1 cultivo=MANDARINA.</t>
        </is>
      </c>
      <c r="F512" s="6" t="n">
        <v>46231.74836732359</v>
      </c>
      <c r="G512" s="5" t="inlineStr">
        <is>
          <t>WARNING</t>
        </is>
      </c>
    </row>
    <row r="513">
      <c r="A513" s="5" t="n">
        <v>2157</v>
      </c>
      <c r="B513" s="5" t="inlineStr">
        <is>
          <t>Tango Semana 4 NORMAL</t>
        </is>
      </c>
      <c r="C513" s="5" t="inlineStr">
        <is>
          <t>WARNING</t>
        </is>
      </c>
      <c r="D513" s="5" t="inlineStr">
        <is>
          <t>Warning</t>
        </is>
      </c>
      <c r="E513" s="5" t="inlineStr">
        <is>
          <t>No existe fuente acumulada disponible; saldo informativo calculado con cuota ya aplicada = 0.</t>
        </is>
      </c>
      <c r="F513" s="6" t="n">
        <v>46231.74836732359</v>
      </c>
      <c r="G513" s="5" t="inlineStr">
        <is>
          <t>WARNING</t>
        </is>
      </c>
    </row>
    <row r="514">
      <c r="A514" s="5" t="n">
        <v>2157</v>
      </c>
      <c r="B514" s="5" t="inlineStr">
        <is>
          <t>Tango Semana 4 NORMAL</t>
        </is>
      </c>
      <c r="C514" s="5" t="inlineStr">
        <is>
          <t>WARNING</t>
        </is>
      </c>
      <c r="D514" s="5" t="inlineStr">
        <is>
          <t>Warning</t>
        </is>
      </c>
      <c r="E514" s="5" t="inlineStr">
        <is>
          <t>No existe tarifa BonCalidad para socio=1324 campaña=2026 empresa=1 cultivo=MANDARINA.</t>
        </is>
      </c>
      <c r="F514" s="6" t="n">
        <v>46231.74836732359</v>
      </c>
      <c r="G514" s="5" t="inlineStr">
        <is>
          <t>WARNING</t>
        </is>
      </c>
    </row>
    <row r="515">
      <c r="A515" s="5" t="n">
        <v>2157</v>
      </c>
      <c r="B515" s="5" t="inlineStr">
        <is>
          <t>Tango Semana 4 NORMAL</t>
        </is>
      </c>
      <c r="C515" s="5" t="inlineStr">
        <is>
          <t>WARNING</t>
        </is>
      </c>
      <c r="D515" s="5" t="inlineStr">
        <is>
          <t>Warning</t>
        </is>
      </c>
      <c r="E515" s="5" t="inlineStr">
        <is>
          <t>El socio 1324 figura certificado GlobalGAP en MANDARINA, SANDIA pero no en SANDIA. Se ha aplicado la certificación global del socio. Revise DEEPP.</t>
        </is>
      </c>
      <c r="F515" s="6" t="n">
        <v>46231.74836732359</v>
      </c>
      <c r="G515" s="5" t="inlineStr">
        <is>
          <t>WARNING</t>
        </is>
      </c>
    </row>
    <row r="516">
      <c r="A516" s="5" t="n">
        <v>2157</v>
      </c>
      <c r="B516" s="5" t="inlineStr">
        <is>
          <t>Tango Semana 4 NORMAL</t>
        </is>
      </c>
      <c r="C516" s="5" t="inlineStr">
        <is>
          <t>WARNING</t>
        </is>
      </c>
      <c r="D516" s="5" t="inlineStr">
        <is>
          <t>Warning</t>
        </is>
      </c>
      <c r="E516" s="5" t="inlineStr">
        <is>
          <t>No existe tarifa BonCalidad para socio=1355 campaña=2026 empresa=1 cultivo=MANDARINA.</t>
        </is>
      </c>
      <c r="F516" s="6" t="n">
        <v>46231.74836732359</v>
      </c>
      <c r="G516" s="5" t="inlineStr">
        <is>
          <t>WARNING</t>
        </is>
      </c>
    </row>
    <row r="517">
      <c r="A517" s="5" t="n">
        <v>2157</v>
      </c>
      <c r="B517" s="5" t="inlineStr">
        <is>
          <t>Tango Semana 4 NORMAL</t>
        </is>
      </c>
      <c r="C517" s="5" t="inlineStr">
        <is>
          <t>WARNING</t>
        </is>
      </c>
      <c r="D517" s="5" t="inlineStr">
        <is>
          <t>Warning</t>
        </is>
      </c>
      <c r="E517" s="5" t="inlineStr">
        <is>
          <t>No existe tarifa BonCalidad para socio=1443 campaña=2026 empresa=1 cultivo=MANDARINA.</t>
        </is>
      </c>
      <c r="F517" s="6" t="n">
        <v>46231.74836732359</v>
      </c>
      <c r="G517" s="5" t="inlineStr">
        <is>
          <t>WARNING</t>
        </is>
      </c>
    </row>
    <row r="518">
      <c r="A518" s="5" t="n">
        <v>2157</v>
      </c>
      <c r="B518" s="5" t="inlineStr">
        <is>
          <t>Tango Semana 4 NORMAL</t>
        </is>
      </c>
      <c r="C518" s="5" t="inlineStr">
        <is>
          <t>WARNING</t>
        </is>
      </c>
      <c r="D518" s="5" t="inlineStr">
        <is>
          <t>Warning</t>
        </is>
      </c>
      <c r="E518" s="5" t="inlineStr">
        <is>
          <t>No existe tarifa BonCalidad para socio=1478 campaña=2026 empresa=1 cultivo=MANDARINA.</t>
        </is>
      </c>
      <c r="F518" s="6" t="n">
        <v>46231.74836732359</v>
      </c>
      <c r="G518" s="5" t="inlineStr">
        <is>
          <t>WARNING</t>
        </is>
      </c>
    </row>
    <row r="519">
      <c r="A519" s="5" t="n">
        <v>2157</v>
      </c>
      <c r="B519" s="5" t="inlineStr">
        <is>
          <t>Tango Semana 4 NORMAL</t>
        </is>
      </c>
      <c r="C519" s="5" t="inlineStr">
        <is>
          <t>WARNING</t>
        </is>
      </c>
      <c r="D519" s="5" t="inlineStr">
        <is>
          <t>Warning</t>
        </is>
      </c>
      <c r="E519" s="5" t="inlineStr">
        <is>
          <t>No existe tarifa BonCalidad para socio=1523 campaña=2026 empresa=1 cultivo=MANDARINA.</t>
        </is>
      </c>
      <c r="F519" s="6" t="n">
        <v>46231.74836732359</v>
      </c>
      <c r="G519" s="5" t="inlineStr">
        <is>
          <t>WARNING</t>
        </is>
      </c>
    </row>
    <row r="520">
      <c r="A520" s="5" t="n">
        <v>2157</v>
      </c>
      <c r="B520" s="5" t="inlineStr">
        <is>
          <t>Tango Semana 4 NORMAL</t>
        </is>
      </c>
      <c r="C520" s="5" t="inlineStr">
        <is>
          <t>WARNING</t>
        </is>
      </c>
      <c r="D520" s="5" t="inlineStr">
        <is>
          <t>Warning</t>
        </is>
      </c>
      <c r="E520" s="5" t="inlineStr">
        <is>
          <t>El socio 1523 figura certificado GlobalGAP en CITRICOS, KAKIS, MANDARINA pero no en CITRICOS. Se ha aplicado la certificación global del socio. Revise DEEPP.</t>
        </is>
      </c>
      <c r="F520" s="6" t="n">
        <v>46231.74836732359</v>
      </c>
      <c r="G520" s="5" t="inlineStr">
        <is>
          <t>WARNING</t>
        </is>
      </c>
    </row>
    <row r="521">
      <c r="A521" s="5" t="n">
        <v>2157</v>
      </c>
      <c r="B521" s="5" t="inlineStr">
        <is>
          <t>Tango Semana 4 NORMAL</t>
        </is>
      </c>
      <c r="C521" s="5" t="inlineStr">
        <is>
          <t>WARNING</t>
        </is>
      </c>
      <c r="D521" s="5" t="inlineStr">
        <is>
          <t>Warning</t>
        </is>
      </c>
      <c r="E521" s="5" t="inlineStr">
        <is>
          <t>No existe tarifa BonCalidad para socio=1550 campaña=2026 empresa=1 cultivo=MANDARINA.</t>
        </is>
      </c>
      <c r="F521" s="6" t="n">
        <v>46231.74836732359</v>
      </c>
      <c r="G521" s="5" t="inlineStr">
        <is>
          <t>WARNING</t>
        </is>
      </c>
    </row>
    <row r="522">
      <c r="A522" s="5" t="n">
        <v>2157</v>
      </c>
      <c r="B522" s="5" t="inlineStr">
        <is>
          <t>Tango Semana 4 NORMAL</t>
        </is>
      </c>
      <c r="C522" s="5" t="inlineStr">
        <is>
          <t>WARNING</t>
        </is>
      </c>
      <c r="D522" s="5" t="inlineStr">
        <is>
          <t>Warning</t>
        </is>
      </c>
      <c r="E522" s="5" t="inlineStr">
        <is>
          <t>El socio 1550 figura certificado GlobalGAP en CITRICOS, MANDARINA pero no en CITRICOS, MANDARINA. Se ha aplicado la certificación global del socio. Revise DEEPP.</t>
        </is>
      </c>
      <c r="F522" s="6" t="n">
        <v>46231.74836732359</v>
      </c>
      <c r="G522" s="5" t="inlineStr">
        <is>
          <t>WARNING</t>
        </is>
      </c>
    </row>
    <row r="523">
      <c r="A523" s="5" t="n">
        <v>2158</v>
      </c>
      <c r="B523" s="5" t="inlineStr">
        <is>
          <t>Tango Semana 7 NORMAL</t>
        </is>
      </c>
      <c r="C523" s="5" t="inlineStr">
        <is>
          <t>WARNING</t>
        </is>
      </c>
      <c r="D523" s="5" t="inlineStr">
        <is>
          <t>Warning</t>
        </is>
      </c>
      <c r="E523" s="5" t="inlineStr">
        <is>
          <t>No existe tarifa BonCalidad para socio=1355 campaña=2026 empresa=1 cultivo=MANDARINA.</t>
        </is>
      </c>
      <c r="F523" s="6" t="n">
        <v>46231.74836732359</v>
      </c>
      <c r="G523" s="5" t="inlineStr">
        <is>
          <t>WARNING</t>
        </is>
      </c>
    </row>
    <row r="524">
      <c r="A524" s="5" t="n">
        <v>2158</v>
      </c>
      <c r="B524" s="5" t="inlineStr">
        <is>
          <t>Tango Semana 7 NORMAL</t>
        </is>
      </c>
      <c r="C524" s="5" t="inlineStr">
        <is>
          <t>WARNING</t>
        </is>
      </c>
      <c r="D524" s="5" t="inlineStr">
        <is>
          <t>Warning</t>
        </is>
      </c>
      <c r="E524" s="5" t="inlineStr">
        <is>
          <t>No existe fuente acumulada disponible; saldo informativo calculado con cuota ya aplicada = 0.</t>
        </is>
      </c>
      <c r="F524" s="6" t="n">
        <v>46231.74836732359</v>
      </c>
      <c r="G524" s="5" t="inlineStr">
        <is>
          <t>WARNING</t>
        </is>
      </c>
    </row>
    <row r="525">
      <c r="A525" s="5" t="n">
        <v>2158</v>
      </c>
      <c r="B525" s="5" t="inlineStr">
        <is>
          <t>Tango Semana 7 NORMAL</t>
        </is>
      </c>
      <c r="C525" s="5" t="inlineStr">
        <is>
          <t>WARNING</t>
        </is>
      </c>
      <c r="D525" s="5" t="inlineStr">
        <is>
          <t>Warning</t>
        </is>
      </c>
      <c r="E525" s="5" t="inlineStr">
        <is>
          <t>No existe tarifa BonCalidad para socio=1443 campaña=2026 empresa=1 cultivo=MANDARINA.</t>
        </is>
      </c>
      <c r="F525" s="6" t="n">
        <v>46231.74836732359</v>
      </c>
      <c r="G525" s="5" t="inlineStr">
        <is>
          <t>WARNING</t>
        </is>
      </c>
    </row>
    <row r="526">
      <c r="A526" s="5" t="n">
        <v>2158</v>
      </c>
      <c r="B526" s="5" t="inlineStr">
        <is>
          <t>Tango Semana 7 NORMAL</t>
        </is>
      </c>
      <c r="C526" s="5" t="inlineStr">
        <is>
          <t>WARNING</t>
        </is>
      </c>
      <c r="D526" s="5" t="inlineStr">
        <is>
          <t>Warning</t>
        </is>
      </c>
      <c r="E526" s="5" t="inlineStr">
        <is>
          <t>No existe tarifa BonCalidad para socio=1561 campaña=2026 empresa=1 cultivo=MANDARINA.</t>
        </is>
      </c>
      <c r="F526" s="6" t="n">
        <v>46231.74836732359</v>
      </c>
      <c r="G526" s="5" t="inlineStr">
        <is>
          <t>WARNING</t>
        </is>
      </c>
    </row>
    <row r="527">
      <c r="A527" s="5" t="n">
        <v>2159</v>
      </c>
      <c r="B527" s="5" t="inlineStr">
        <is>
          <t>Tango Semana 8 NORMAL</t>
        </is>
      </c>
      <c r="C527" s="5" t="inlineStr">
        <is>
          <t>WARNING</t>
        </is>
      </c>
      <c r="D527" s="5" t="inlineStr">
        <is>
          <t>Warning</t>
        </is>
      </c>
      <c r="E527" s="5" t="inlineStr">
        <is>
          <t>No existe tarifa BonCalidad para socio=1478 campaña=2026 empresa=1 cultivo=MANDARINA.</t>
        </is>
      </c>
      <c r="F527" s="6" t="n">
        <v>46231.74836732359</v>
      </c>
      <c r="G527" s="5" t="inlineStr">
        <is>
          <t>WARNING</t>
        </is>
      </c>
    </row>
    <row r="528">
      <c r="A528" s="5" t="n">
        <v>2159</v>
      </c>
      <c r="B528" s="5" t="inlineStr">
        <is>
          <t>Tango Semana 8 NORMAL</t>
        </is>
      </c>
      <c r="C528" s="5" t="inlineStr">
        <is>
          <t>WARNING</t>
        </is>
      </c>
      <c r="D528" s="5" t="inlineStr">
        <is>
          <t>Warning</t>
        </is>
      </c>
      <c r="E528" s="5" t="inlineStr">
        <is>
          <t>No existe fuente acumulada disponible; saldo informativo calculado con cuota ya aplicada = 0.</t>
        </is>
      </c>
      <c r="F528" s="6" t="n">
        <v>46231.74836732359</v>
      </c>
      <c r="G528" s="5" t="inlineStr">
        <is>
          <t>WARNING</t>
        </is>
      </c>
    </row>
    <row r="529">
      <c r="A529" s="5" t="n">
        <v>2159</v>
      </c>
      <c r="B529" s="5" t="inlineStr">
        <is>
          <t>Tango Semana 8 NORMAL</t>
        </is>
      </c>
      <c r="C529" s="5" t="inlineStr">
        <is>
          <t>WARNING</t>
        </is>
      </c>
      <c r="D529" s="5" t="inlineStr">
        <is>
          <t>Warning</t>
        </is>
      </c>
      <c r="E529" s="5" t="inlineStr">
        <is>
          <t>No existe tarifa BonCalidad para socio=1561 campaña=2026 empresa=1 cultivo=MANDARINA.</t>
        </is>
      </c>
      <c r="F529" s="6" t="n">
        <v>46231.74836732359</v>
      </c>
      <c r="G529" s="5" t="inlineStr">
        <is>
          <t>WARNING</t>
        </is>
      </c>
    </row>
    <row r="530">
      <c r="A530" s="5" t="n">
        <v>2187</v>
      </c>
      <c r="B530" s="5" t="inlineStr">
        <is>
          <t>Tango Semana 52 NORMAL</t>
        </is>
      </c>
      <c r="C530" s="5" t="inlineStr">
        <is>
          <t>WARNING</t>
        </is>
      </c>
      <c r="D530" s="5" t="inlineStr">
        <is>
          <t>Warning</t>
        </is>
      </c>
      <c r="E530" s="5" t="inlineStr">
        <is>
          <t>No existe tarifa BonCalidad para socio=1178 campaña=2026 empresa=1 cultivo=MANDARINA.</t>
        </is>
      </c>
      <c r="F530" s="6" t="n">
        <v>46231.74836732359</v>
      </c>
      <c r="G530" s="5" t="inlineStr">
        <is>
          <t>WARNING</t>
        </is>
      </c>
    </row>
    <row r="531">
      <c r="A531" s="5" t="n">
        <v>2187</v>
      </c>
      <c r="B531" s="5" t="inlineStr">
        <is>
          <t>Tango Semana 52 NORMAL</t>
        </is>
      </c>
      <c r="C531" s="5" t="inlineStr">
        <is>
          <t>WARNING</t>
        </is>
      </c>
      <c r="D531" s="5" t="inlineStr">
        <is>
          <t>Warning</t>
        </is>
      </c>
      <c r="E531" s="5" t="inlineStr">
        <is>
          <t>No existe fuente acumulada disponible; saldo informativo calculado con cuota ya aplicada = 0.</t>
        </is>
      </c>
      <c r="F531" s="6" t="n">
        <v>46231.74836732359</v>
      </c>
      <c r="G531" s="5" t="inlineStr">
        <is>
          <t>WARNING</t>
        </is>
      </c>
    </row>
    <row r="532">
      <c r="A532" s="5" t="n">
        <v>2188</v>
      </c>
      <c r="B532" s="5" t="inlineStr">
        <is>
          <t>Tango Semana 6 NORMAL</t>
        </is>
      </c>
      <c r="C532" s="5" t="inlineStr">
        <is>
          <t>WARNING</t>
        </is>
      </c>
      <c r="D532" s="5" t="inlineStr">
        <is>
          <t>Warning</t>
        </is>
      </c>
      <c r="E532" s="5" t="inlineStr">
        <is>
          <t>No existe tarifa BonCalidad para socio=1355 campaña=2026 empresa=1 cultivo=MANDARINA.</t>
        </is>
      </c>
      <c r="F532" s="6" t="n">
        <v>46231.74836732359</v>
      </c>
      <c r="G532" s="5" t="inlineStr">
        <is>
          <t>WARNING</t>
        </is>
      </c>
    </row>
    <row r="533">
      <c r="A533" s="5" t="n">
        <v>2188</v>
      </c>
      <c r="B533" s="5" t="inlineStr">
        <is>
          <t>Tango Semana 6 NORMAL</t>
        </is>
      </c>
      <c r="C533" s="5" t="inlineStr">
        <is>
          <t>WARNING</t>
        </is>
      </c>
      <c r="D533" s="5" t="inlineStr">
        <is>
          <t>Warning</t>
        </is>
      </c>
      <c r="E533" s="5" t="inlineStr">
        <is>
          <t>No existe fuente acumulada disponible; saldo informativo calculado con cuota ya aplicada = 0.</t>
        </is>
      </c>
      <c r="F533" s="6" t="n">
        <v>46231.74836732359</v>
      </c>
      <c r="G533" s="5" t="inlineStr">
        <is>
          <t>WARNING</t>
        </is>
      </c>
    </row>
    <row r="534">
      <c r="A534" s="5" t="n">
        <v>2188</v>
      </c>
      <c r="B534" s="5" t="inlineStr">
        <is>
          <t>Tango Semana 6 NORMAL</t>
        </is>
      </c>
      <c r="C534" s="5" t="inlineStr">
        <is>
          <t>WARNING</t>
        </is>
      </c>
      <c r="D534" s="5" t="inlineStr">
        <is>
          <t>Warning</t>
        </is>
      </c>
      <c r="E534" s="5" t="inlineStr">
        <is>
          <t>No existe tarifa BonCalidad para socio=1443 campaña=2026 empresa=1 cultivo=MANDARINA.</t>
        </is>
      </c>
      <c r="F534" s="6" t="n">
        <v>46231.74836732359</v>
      </c>
      <c r="G534" s="5" t="inlineStr">
        <is>
          <t>WARNING</t>
        </is>
      </c>
    </row>
    <row r="535">
      <c r="A535" s="5" t="n">
        <v>2189</v>
      </c>
      <c r="B535" s="5" t="inlineStr">
        <is>
          <t>Nadorcott Semana 2 NORMAL</t>
        </is>
      </c>
      <c r="C535" s="5" t="inlineStr">
        <is>
          <t>WARNING</t>
        </is>
      </c>
      <c r="D535" s="5" t="inlineStr">
        <is>
          <t>Warning</t>
        </is>
      </c>
      <c r="E535" s="5" t="inlineStr">
        <is>
          <t>No existe tarifa BonCalidad para socio=1214 campaña=2026 empresa=1 cultivo=MANDARINA.</t>
        </is>
      </c>
      <c r="F535" s="6" t="n">
        <v>46231.74836732359</v>
      </c>
      <c r="G535" s="5" t="inlineStr">
        <is>
          <t>WARNING</t>
        </is>
      </c>
    </row>
    <row r="536">
      <c r="A536" s="5" t="n">
        <v>2189</v>
      </c>
      <c r="B536" s="5" t="inlineStr">
        <is>
          <t>Nadorcott Semana 2 NORMAL</t>
        </is>
      </c>
      <c r="C536" s="5" t="inlineStr">
        <is>
          <t>WARNING</t>
        </is>
      </c>
      <c r="D536" s="5" t="inlineStr">
        <is>
          <t>Warning</t>
        </is>
      </c>
      <c r="E536" s="5" t="inlineStr">
        <is>
          <t>No existe fuente acumulada disponible; saldo informativo calculado con cuota ya aplicada = 0.</t>
        </is>
      </c>
      <c r="F536" s="6" t="n">
        <v>46231.74836732359</v>
      </c>
      <c r="G536" s="5" t="inlineStr">
        <is>
          <t>WARNING</t>
        </is>
      </c>
    </row>
    <row r="537">
      <c r="A537" s="5" t="n">
        <v>2189</v>
      </c>
      <c r="B537" s="5" t="inlineStr">
        <is>
          <t>Nadorcott Semana 2 NORMAL</t>
        </is>
      </c>
      <c r="C537" s="5" t="inlineStr">
        <is>
          <t>WARNING</t>
        </is>
      </c>
      <c r="D537" s="5" t="inlineStr">
        <is>
          <t>Warning</t>
        </is>
      </c>
      <c r="E537" s="5" t="inlineStr">
        <is>
          <t>No existe tarifa BonCalidad para socio=1514 campaña=2026 empresa=1 cultivo=MANDARINA.</t>
        </is>
      </c>
      <c r="F537" s="6" t="n">
        <v>46231.74836732359</v>
      </c>
      <c r="G537" s="5" t="inlineStr">
        <is>
          <t>WARNING</t>
        </is>
      </c>
    </row>
    <row r="538">
      <c r="A538" s="5" t="n">
        <v>2189</v>
      </c>
      <c r="B538" s="5" t="inlineStr">
        <is>
          <t>Nadorcott Semana 2 NORMAL</t>
        </is>
      </c>
      <c r="C538" s="5" t="inlineStr">
        <is>
          <t>WARNING</t>
        </is>
      </c>
      <c r="D538" s="5" t="inlineStr">
        <is>
          <t>Warning</t>
        </is>
      </c>
      <c r="E538" s="5" t="inlineStr">
        <is>
          <t>No existe tarifa BonCalidad para socio=1550 campaña=2026 empresa=1 cultivo=MANDARINA.</t>
        </is>
      </c>
      <c r="F538" s="6" t="n">
        <v>46231.74836732359</v>
      </c>
      <c r="G538" s="5" t="inlineStr">
        <is>
          <t>WARNING</t>
        </is>
      </c>
    </row>
    <row r="539">
      <c r="A539" s="5" t="n">
        <v>2189</v>
      </c>
      <c r="B539" s="5" t="inlineStr">
        <is>
          <t>Nadorcott Semana 2 NORMAL</t>
        </is>
      </c>
      <c r="C539" s="5" t="inlineStr">
        <is>
          <t>WARNING</t>
        </is>
      </c>
      <c r="D539" s="5" t="inlineStr">
        <is>
          <t>Warning</t>
        </is>
      </c>
      <c r="E539" s="5" t="inlineStr">
        <is>
          <t>El socio 1550 figura certificado GlobalGAP en CITRICOS, MANDARINA pero no en CITRICOS, MANDARINA. Se ha aplicado la certificación global del socio. Revise DEEPP.</t>
        </is>
      </c>
      <c r="F539" s="6" t="n">
        <v>46231.74836732359</v>
      </c>
      <c r="G539" s="5" t="inlineStr">
        <is>
          <t>WARNING</t>
        </is>
      </c>
    </row>
    <row r="540">
      <c r="A540" s="5" t="n">
        <v>2190</v>
      </c>
      <c r="B540" s="5" t="inlineStr">
        <is>
          <t>Nadorcott Semana 1 NORMAL</t>
        </is>
      </c>
      <c r="C540" s="5" t="inlineStr">
        <is>
          <t>WARNING</t>
        </is>
      </c>
      <c r="D540" s="5" t="inlineStr">
        <is>
          <t>Warning</t>
        </is>
      </c>
      <c r="E540" s="5" t="inlineStr">
        <is>
          <t>No existe tarifa BonCalidad para socio=886 campaña=2026 empresa=1 cultivo=MANDARINA.</t>
        </is>
      </c>
      <c r="F540" s="6" t="n">
        <v>46231.74836732359</v>
      </c>
      <c r="G540" s="5" t="inlineStr">
        <is>
          <t>WARNING</t>
        </is>
      </c>
    </row>
    <row r="541">
      <c r="A541" s="5" t="n">
        <v>2190</v>
      </c>
      <c r="B541" s="5" t="inlineStr">
        <is>
          <t>Nadorcott Semana 1 NORMAL</t>
        </is>
      </c>
      <c r="C541" s="5" t="inlineStr">
        <is>
          <t>WARNING</t>
        </is>
      </c>
      <c r="D541" s="5" t="inlineStr">
        <is>
          <t>Warning</t>
        </is>
      </c>
      <c r="E541" s="5" t="inlineStr">
        <is>
          <t>El socio 886 figura certificado GlobalGAP en CITRICOS, KAKIS, MANDARINA pero no en KAKIS. Se ha aplicado la certificación global del socio. Revise DEEPP.</t>
        </is>
      </c>
      <c r="F541" s="6" t="n">
        <v>46231.74836732359</v>
      </c>
      <c r="G541" s="5" t="inlineStr">
        <is>
          <t>WARNING</t>
        </is>
      </c>
    </row>
    <row r="542">
      <c r="A542" s="5" t="n">
        <v>2190</v>
      </c>
      <c r="B542" s="5" t="inlineStr">
        <is>
          <t>Nadorcott Semana 1 NORMAL</t>
        </is>
      </c>
      <c r="C542" s="5" t="inlineStr">
        <is>
          <t>WARNING</t>
        </is>
      </c>
      <c r="D542" s="5" t="inlineStr">
        <is>
          <t>Warning</t>
        </is>
      </c>
      <c r="E542" s="5" t="inlineStr">
        <is>
          <t>No existe fuente acumulada disponible; saldo informativo calculado con cuota ya aplicada = 0.</t>
        </is>
      </c>
      <c r="F542" s="6" t="n">
        <v>46231.74836732359</v>
      </c>
      <c r="G542" s="5" t="inlineStr">
        <is>
          <t>WARNING</t>
        </is>
      </c>
    </row>
    <row r="543">
      <c r="A543" s="5" t="n">
        <v>2190</v>
      </c>
      <c r="B543" s="5" t="inlineStr">
        <is>
          <t>Nadorcott Semana 1 NORMAL</t>
        </is>
      </c>
      <c r="C543" s="5" t="inlineStr">
        <is>
          <t>WARNING</t>
        </is>
      </c>
      <c r="D543" s="5" t="inlineStr">
        <is>
          <t>Warning</t>
        </is>
      </c>
      <c r="E543" s="5" t="inlineStr">
        <is>
          <t>No existe tarifa BonCalidad para socio=1443 campaña=2026 empresa=1 cultivo=MANDARINA.</t>
        </is>
      </c>
      <c r="F543" s="6" t="n">
        <v>46231.74836732359</v>
      </c>
      <c r="G543" s="5" t="inlineStr">
        <is>
          <t>WARNING</t>
        </is>
      </c>
    </row>
    <row r="544">
      <c r="A544" s="5" t="n">
        <v>2190</v>
      </c>
      <c r="B544" s="5" t="inlineStr">
        <is>
          <t>Nadorcott Semana 1 NORMAL</t>
        </is>
      </c>
      <c r="C544" s="5" t="inlineStr">
        <is>
          <t>WARNING</t>
        </is>
      </c>
      <c r="D544" s="5" t="inlineStr">
        <is>
          <t>Warning</t>
        </is>
      </c>
      <c r="E544" s="5" t="inlineStr">
        <is>
          <t>No existe tarifa BonCalidad para socio=1491 campaña=2026 empresa=1 cultivo=MANDARINA.</t>
        </is>
      </c>
      <c r="F544" s="6" t="n">
        <v>46231.74836732359</v>
      </c>
      <c r="G544" s="5" t="inlineStr">
        <is>
          <t>WARNING</t>
        </is>
      </c>
    </row>
    <row r="545">
      <c r="A545" s="5" t="n">
        <v>2190</v>
      </c>
      <c r="B545" s="5" t="inlineStr">
        <is>
          <t>Nadorcott Semana 1 NORMAL</t>
        </is>
      </c>
      <c r="C545" s="5" t="inlineStr">
        <is>
          <t>WARNING</t>
        </is>
      </c>
      <c r="D545" s="5" t="inlineStr">
        <is>
          <t>Warning</t>
        </is>
      </c>
      <c r="E545" s="5" t="inlineStr">
        <is>
          <t>No existe tarifa BonCalidad para socio=1550 campaña=2026 empresa=1 cultivo=MANDARINA.</t>
        </is>
      </c>
      <c r="F545" s="6" t="n">
        <v>46231.74836732359</v>
      </c>
      <c r="G545" s="5" t="inlineStr">
        <is>
          <t>WARNING</t>
        </is>
      </c>
    </row>
    <row r="546">
      <c r="A546" s="5" t="n">
        <v>2190</v>
      </c>
      <c r="B546" s="5" t="inlineStr">
        <is>
          <t>Nadorcott Semana 1 NORMAL</t>
        </is>
      </c>
      <c r="C546" s="5" t="inlineStr">
        <is>
          <t>WARNING</t>
        </is>
      </c>
      <c r="D546" s="5" t="inlineStr">
        <is>
          <t>Warning</t>
        </is>
      </c>
      <c r="E546" s="5" t="inlineStr">
        <is>
          <t>El socio 1550 figura certificado GlobalGAP en CITRICOS, MANDARINA pero no en CITRICOS, MANDARINA. Se ha aplicado la certificación global del socio. Revise DEEPP.</t>
        </is>
      </c>
      <c r="F546" s="6" t="n">
        <v>46231.74836732359</v>
      </c>
      <c r="G546" s="5" t="inlineStr">
        <is>
          <t>WARNING</t>
        </is>
      </c>
    </row>
    <row r="547">
      <c r="A547" s="5" t="n">
        <v>2191</v>
      </c>
      <c r="B547" s="5" t="inlineStr">
        <is>
          <t>Nadorcott Semana 3 CON HOJAS</t>
        </is>
      </c>
      <c r="C547" s="5" t="inlineStr">
        <is>
          <t>WARNING</t>
        </is>
      </c>
      <c r="D547" s="5" t="inlineStr">
        <is>
          <t>Warning</t>
        </is>
      </c>
      <c r="E547" s="5" t="inlineStr">
        <is>
          <t>No existe tarifa BonCalidad para socio=1214 campaña=2026 empresa=1 cultivo=MANDARINA.</t>
        </is>
      </c>
      <c r="F547" s="6" t="n">
        <v>46231.74836732359</v>
      </c>
      <c r="G547" s="5" t="inlineStr">
        <is>
          <t>WARNING</t>
        </is>
      </c>
    </row>
    <row r="548">
      <c r="A548" s="5" t="n">
        <v>2191</v>
      </c>
      <c r="B548" s="5" t="inlineStr">
        <is>
          <t>Nadorcott Semana 3 CON HOJAS</t>
        </is>
      </c>
      <c r="C548" s="5" t="inlineStr">
        <is>
          <t>WARNING</t>
        </is>
      </c>
      <c r="D548" s="5" t="inlineStr">
        <is>
          <t>Warning</t>
        </is>
      </c>
      <c r="E548" s="5" t="inlineStr">
        <is>
          <t>No existe fuente acumulada disponible; saldo informativo calculado con cuota ya aplicada = 0.</t>
        </is>
      </c>
      <c r="F548" s="6" t="n">
        <v>46231.74836732359</v>
      </c>
      <c r="G548" s="5" t="inlineStr">
        <is>
          <t>WARNING</t>
        </is>
      </c>
    </row>
    <row r="549">
      <c r="A549" s="5" t="n">
        <v>2191</v>
      </c>
      <c r="B549" s="5" t="inlineStr">
        <is>
          <t>Nadorcott Semana 3 CON HOJAS</t>
        </is>
      </c>
      <c r="C549" s="5" t="inlineStr">
        <is>
          <t>WARNING</t>
        </is>
      </c>
      <c r="D549" s="5" t="inlineStr">
        <is>
          <t>Warning</t>
        </is>
      </c>
      <c r="E549" s="5" t="inlineStr">
        <is>
          <t>No existe tarifa BonCalidad para socio=1443 campaña=2026 empresa=1 cultivo=MANDARINA.</t>
        </is>
      </c>
      <c r="F549" s="6" t="n">
        <v>46231.74836732359</v>
      </c>
      <c r="G549" s="5" t="inlineStr">
        <is>
          <t>WARNING</t>
        </is>
      </c>
    </row>
    <row r="550">
      <c r="A550" s="5" t="n">
        <v>2191</v>
      </c>
      <c r="B550" s="5" t="inlineStr">
        <is>
          <t>Nadorcott Semana 3 CON HOJAS</t>
        </is>
      </c>
      <c r="C550" s="5" t="inlineStr">
        <is>
          <t>WARNING</t>
        </is>
      </c>
      <c r="D550" s="5" t="inlineStr">
        <is>
          <t>Warning</t>
        </is>
      </c>
      <c r="E550" s="5" t="inlineStr">
        <is>
          <t>No existe tarifa BonCalidad para socio=1550 campaña=2026 empresa=1 cultivo=MANDARINA.</t>
        </is>
      </c>
      <c r="F550" s="6" t="n">
        <v>46231.74836732359</v>
      </c>
      <c r="G550" s="5" t="inlineStr">
        <is>
          <t>WARNING</t>
        </is>
      </c>
    </row>
    <row r="551">
      <c r="A551" s="5" t="n">
        <v>2191</v>
      </c>
      <c r="B551" s="5" t="inlineStr">
        <is>
          <t>Nadorcott Semana 3 CON HOJAS</t>
        </is>
      </c>
      <c r="C551" s="5" t="inlineStr">
        <is>
          <t>WARNING</t>
        </is>
      </c>
      <c r="D551" s="5" t="inlineStr">
        <is>
          <t>Warning</t>
        </is>
      </c>
      <c r="E551" s="5" t="inlineStr">
        <is>
          <t>El socio 1550 figura certificado GlobalGAP en CITRICOS, MANDARINA pero no en CITRICOS, MANDARINA. Se ha aplicado la certificación global del socio. Revise DEEPP.</t>
        </is>
      </c>
      <c r="F551" s="6" t="n">
        <v>46231.74836732359</v>
      </c>
      <c r="G551" s="5" t="inlineStr">
        <is>
          <t>WARNING</t>
        </is>
      </c>
    </row>
    <row r="552">
      <c r="A552" s="5" t="n">
        <v>2192</v>
      </c>
      <c r="B552" s="5" t="inlineStr">
        <is>
          <t>Nadorcott Semana 3 NORMAL</t>
        </is>
      </c>
      <c r="C552" s="5" t="inlineStr">
        <is>
          <t>WARNING</t>
        </is>
      </c>
      <c r="D552" s="5" t="inlineStr">
        <is>
          <t>Warning</t>
        </is>
      </c>
      <c r="E552" s="5" t="inlineStr">
        <is>
          <t>No existe tarifa BonCalidad para socio=1214 campaña=2026 empresa=1 cultivo=MANDARINA.</t>
        </is>
      </c>
      <c r="F552" s="6" t="n">
        <v>46231.74836732359</v>
      </c>
      <c r="G552" s="5" t="inlineStr">
        <is>
          <t>WARNING</t>
        </is>
      </c>
    </row>
    <row r="553">
      <c r="A553" s="5" t="n">
        <v>2192</v>
      </c>
      <c r="B553" s="5" t="inlineStr">
        <is>
          <t>Nadorcott Semana 3 NORMAL</t>
        </is>
      </c>
      <c r="C553" s="5" t="inlineStr">
        <is>
          <t>WARNING</t>
        </is>
      </c>
      <c r="D553" s="5" t="inlineStr">
        <is>
          <t>Warning</t>
        </is>
      </c>
      <c r="E553" s="5" t="inlineStr">
        <is>
          <t>No existe fuente acumulada disponible; saldo informativo calculado con cuota ya aplicada = 0.</t>
        </is>
      </c>
      <c r="F553" s="6" t="n">
        <v>46231.74836732359</v>
      </c>
      <c r="G553" s="5" t="inlineStr">
        <is>
          <t>WARNING</t>
        </is>
      </c>
    </row>
    <row r="554">
      <c r="A554" s="5" t="n">
        <v>2192</v>
      </c>
      <c r="B554" s="5" t="inlineStr">
        <is>
          <t>Nadorcott Semana 3 NORMAL</t>
        </is>
      </c>
      <c r="C554" s="5" t="inlineStr">
        <is>
          <t>WARNING</t>
        </is>
      </c>
      <c r="D554" s="5" t="inlineStr">
        <is>
          <t>Warning</t>
        </is>
      </c>
      <c r="E554" s="5" t="inlineStr">
        <is>
          <t>No existe tarifa BonCalidad para socio=1443 campaña=2026 empresa=1 cultivo=MANDARINA.</t>
        </is>
      </c>
      <c r="F554" s="6" t="n">
        <v>46231.74836732359</v>
      </c>
      <c r="G554" s="5" t="inlineStr">
        <is>
          <t>WARNING</t>
        </is>
      </c>
    </row>
    <row r="555">
      <c r="A555" s="5" t="n">
        <v>2192</v>
      </c>
      <c r="B555" s="5" t="inlineStr">
        <is>
          <t>Nadorcott Semana 3 NORMAL</t>
        </is>
      </c>
      <c r="C555" s="5" t="inlineStr">
        <is>
          <t>WARNING</t>
        </is>
      </c>
      <c r="D555" s="5" t="inlineStr">
        <is>
          <t>Warning</t>
        </is>
      </c>
      <c r="E555" s="5" t="inlineStr">
        <is>
          <t>No existe tarifa BonCalidad para socio=1491 campaña=2026 empresa=1 cultivo=MANDARINA.</t>
        </is>
      </c>
      <c r="F555" s="6" t="n">
        <v>46231.74836732359</v>
      </c>
      <c r="G555" s="5" t="inlineStr">
        <is>
          <t>WARNING</t>
        </is>
      </c>
    </row>
    <row r="556">
      <c r="A556" s="5" t="n">
        <v>2192</v>
      </c>
      <c r="B556" s="5" t="inlineStr">
        <is>
          <t>Nadorcott Semana 3 NORMAL</t>
        </is>
      </c>
      <c r="C556" s="5" t="inlineStr">
        <is>
          <t>WARNING</t>
        </is>
      </c>
      <c r="D556" s="5" t="inlineStr">
        <is>
          <t>Warning</t>
        </is>
      </c>
      <c r="E556" s="5" t="inlineStr">
        <is>
          <t>No existe tarifa BonCalidad para socio=1514 campaña=2026 empresa=1 cultivo=MANDARINA.</t>
        </is>
      </c>
      <c r="F556" s="6" t="n">
        <v>46231.74836732359</v>
      </c>
      <c r="G556" s="5" t="inlineStr">
        <is>
          <t>WARNING</t>
        </is>
      </c>
    </row>
    <row r="557">
      <c r="A557" s="5" t="n">
        <v>2193</v>
      </c>
      <c r="B557" s="5" t="inlineStr">
        <is>
          <t>Nadorcott Semana 6 NORMAL</t>
        </is>
      </c>
      <c r="C557" s="5" t="inlineStr">
        <is>
          <t>WARNING</t>
        </is>
      </c>
      <c r="D557" s="5" t="inlineStr">
        <is>
          <t>Warning</t>
        </is>
      </c>
      <c r="E557" s="5" t="inlineStr">
        <is>
          <t>No existe tarifa BonCalidad para socio=1478 campaña=2026 empresa=1 cultivo=MANDARINA.</t>
        </is>
      </c>
      <c r="F557" s="6" t="n">
        <v>46231.74836732359</v>
      </c>
      <c r="G557" s="5" t="inlineStr">
        <is>
          <t>WARNING</t>
        </is>
      </c>
    </row>
    <row r="558">
      <c r="A558" s="5" t="n">
        <v>2193</v>
      </c>
      <c r="B558" s="5" t="inlineStr">
        <is>
          <t>Nadorcott Semana 6 NORMAL</t>
        </is>
      </c>
      <c r="C558" s="5" t="inlineStr">
        <is>
          <t>WARNING</t>
        </is>
      </c>
      <c r="D558" s="5" t="inlineStr">
        <is>
          <t>Warning</t>
        </is>
      </c>
      <c r="E558" s="5" t="inlineStr">
        <is>
          <t>No existe fuente acumulada disponible; saldo informativo calculado con cuota ya aplicada = 0.</t>
        </is>
      </c>
      <c r="F558" s="6" t="n">
        <v>46231.74836732359</v>
      </c>
      <c r="G558" s="5" t="inlineStr">
        <is>
          <t>WARNING</t>
        </is>
      </c>
    </row>
    <row r="559">
      <c r="A559" s="5" t="n">
        <v>2194</v>
      </c>
      <c r="B559" s="5" t="inlineStr">
        <is>
          <t>Nadorcott Semana 4 NORMAL</t>
        </is>
      </c>
      <c r="C559" s="5" t="inlineStr">
        <is>
          <t>WARNING</t>
        </is>
      </c>
      <c r="D559" s="5" t="inlineStr">
        <is>
          <t>Warning</t>
        </is>
      </c>
      <c r="E559" s="5" t="inlineStr">
        <is>
          <t>No existe tarifa BonCalidad para socio=1214 campaña=2026 empresa=1 cultivo=MANDARINA.</t>
        </is>
      </c>
      <c r="F559" s="6" t="n">
        <v>46231.74836732359</v>
      </c>
      <c r="G559" s="5" t="inlineStr">
        <is>
          <t>WARNING</t>
        </is>
      </c>
    </row>
    <row r="560">
      <c r="A560" s="5" t="n">
        <v>2194</v>
      </c>
      <c r="B560" s="5" t="inlineStr">
        <is>
          <t>Nadorcott Semana 4 NORMAL</t>
        </is>
      </c>
      <c r="C560" s="5" t="inlineStr">
        <is>
          <t>WARNING</t>
        </is>
      </c>
      <c r="D560" s="5" t="inlineStr">
        <is>
          <t>Warning</t>
        </is>
      </c>
      <c r="E560" s="5" t="inlineStr">
        <is>
          <t>No existe fuente acumulada disponible; saldo informativo calculado con cuota ya aplicada = 0.</t>
        </is>
      </c>
      <c r="F560" s="6" t="n">
        <v>46231.74836732359</v>
      </c>
      <c r="G560" s="5" t="inlineStr">
        <is>
          <t>WARNING</t>
        </is>
      </c>
    </row>
    <row r="561">
      <c r="A561" s="5" t="n">
        <v>2194</v>
      </c>
      <c r="B561" s="5" t="inlineStr">
        <is>
          <t>Nadorcott Semana 4 NORMAL</t>
        </is>
      </c>
      <c r="C561" s="5" t="inlineStr">
        <is>
          <t>WARNING</t>
        </is>
      </c>
      <c r="D561" s="5" t="inlineStr">
        <is>
          <t>Warning</t>
        </is>
      </c>
      <c r="E561" s="5" t="inlineStr">
        <is>
          <t>No existe tarifa BonCalidad para socio=1329 campaña=2026 empresa=1 cultivo=MANDARINA.</t>
        </is>
      </c>
      <c r="F561" s="6" t="n">
        <v>46231.74836732359</v>
      </c>
      <c r="G561" s="5" t="inlineStr">
        <is>
          <t>WARNING</t>
        </is>
      </c>
    </row>
    <row r="562">
      <c r="A562" s="5" t="n">
        <v>2194</v>
      </c>
      <c r="B562" s="5" t="inlineStr">
        <is>
          <t>Nadorcott Semana 4 NORMAL</t>
        </is>
      </c>
      <c r="C562" s="5" t="inlineStr">
        <is>
          <t>WARNING</t>
        </is>
      </c>
      <c r="D562" s="5" t="inlineStr">
        <is>
          <t>Warning</t>
        </is>
      </c>
      <c r="E562" s="5" t="inlineStr">
        <is>
          <t>No existe tarifa BonCalidad para socio=1443 campaña=2026 empresa=1 cultivo=MANDARINA.</t>
        </is>
      </c>
      <c r="F562" s="6" t="n">
        <v>46231.74836732359</v>
      </c>
      <c r="G562" s="5" t="inlineStr">
        <is>
          <t>WARNING</t>
        </is>
      </c>
    </row>
    <row r="563">
      <c r="A563" s="5" t="n">
        <v>2194</v>
      </c>
      <c r="B563" s="5" t="inlineStr">
        <is>
          <t>Nadorcott Semana 4 NORMAL</t>
        </is>
      </c>
      <c r="C563" s="5" t="inlineStr">
        <is>
          <t>WARNING</t>
        </is>
      </c>
      <c r="D563" s="5" t="inlineStr">
        <is>
          <t>Warning</t>
        </is>
      </c>
      <c r="E563" s="5" t="inlineStr">
        <is>
          <t>No existe tarifa BonCalidad para socio=1574 campaña=2026 empresa=1 cultivo=MANDARINA.</t>
        </is>
      </c>
      <c r="F563" s="6" t="n">
        <v>46231.74836732359</v>
      </c>
      <c r="G563" s="5" t="inlineStr">
        <is>
          <t>WARNING</t>
        </is>
      </c>
    </row>
    <row r="564">
      <c r="A564" s="5" t="n">
        <v>2195</v>
      </c>
      <c r="B564" s="5" t="inlineStr">
        <is>
          <t>Nadorcott Semana 8 NORMAL</t>
        </is>
      </c>
      <c r="C564" s="5" t="inlineStr">
        <is>
          <t>WARNING</t>
        </is>
      </c>
      <c r="D564" s="5" t="inlineStr">
        <is>
          <t>Warning</t>
        </is>
      </c>
      <c r="E564" s="5" t="inlineStr">
        <is>
          <t>No existe tarifa BonCalidad para socio=1478 campaña=2026 empresa=1 cultivo=MANDARINA.</t>
        </is>
      </c>
      <c r="F564" s="6" t="n">
        <v>46231.74836732359</v>
      </c>
      <c r="G564" s="5" t="inlineStr">
        <is>
          <t>WARNING</t>
        </is>
      </c>
    </row>
    <row r="565">
      <c r="A565" s="5" t="n">
        <v>2195</v>
      </c>
      <c r="B565" s="5" t="inlineStr">
        <is>
          <t>Nadorcott Semana 8 NORMAL</t>
        </is>
      </c>
      <c r="C565" s="5" t="inlineStr">
        <is>
          <t>WARNING</t>
        </is>
      </c>
      <c r="D565" s="5" t="inlineStr">
        <is>
          <t>Warning</t>
        </is>
      </c>
      <c r="E565" s="5" t="inlineStr">
        <is>
          <t>No existe fuente acumulada disponible; saldo informativo calculado con cuota ya aplicada = 0.</t>
        </is>
      </c>
      <c r="F565" s="6" t="n">
        <v>46231.74836732359</v>
      </c>
      <c r="G565" s="5" t="inlineStr">
        <is>
          <t>WARNING</t>
        </is>
      </c>
    </row>
    <row r="566">
      <c r="A566" s="5" t="n">
        <v>2196</v>
      </c>
      <c r="B566" s="5" t="inlineStr">
        <is>
          <t>Nadorcott Semana 52 NORMAL</t>
        </is>
      </c>
      <c r="C566" s="5" t="inlineStr">
        <is>
          <t>WARNING</t>
        </is>
      </c>
      <c r="D566" s="5" t="inlineStr">
        <is>
          <t>Warning</t>
        </is>
      </c>
      <c r="E566" s="5" t="inlineStr">
        <is>
          <t>No existe tarifa BonCalidad para socio=1252 campaña=2026 empresa=1 cultivo=MANDARINA.</t>
        </is>
      </c>
      <c r="F566" s="6" t="n">
        <v>46231.74836732359</v>
      </c>
      <c r="G566" s="5" t="inlineStr">
        <is>
          <t>WARNING</t>
        </is>
      </c>
    </row>
    <row r="567">
      <c r="A567" s="5" t="n">
        <v>2196</v>
      </c>
      <c r="B567" s="5" t="inlineStr">
        <is>
          <t>Nadorcott Semana 52 NORMAL</t>
        </is>
      </c>
      <c r="C567" s="5" t="inlineStr">
        <is>
          <t>WARNING</t>
        </is>
      </c>
      <c r="D567" s="5" t="inlineStr">
        <is>
          <t>Warning</t>
        </is>
      </c>
      <c r="E567" s="5" t="inlineStr">
        <is>
          <t>No existe fuente acumulada disponible; saldo informativo calculado con cuota ya aplicada = 0.</t>
        </is>
      </c>
      <c r="F567" s="6" t="n">
        <v>46231.74836732359</v>
      </c>
      <c r="G567" s="5" t="inlineStr">
        <is>
          <t>WARNING</t>
        </is>
      </c>
    </row>
    <row r="568">
      <c r="A568" s="5" t="n">
        <v>2196</v>
      </c>
      <c r="B568" s="5" t="inlineStr">
        <is>
          <t>Nadorcott Semana 52 NORMAL</t>
        </is>
      </c>
      <c r="C568" s="5" t="inlineStr">
        <is>
          <t>WARNING</t>
        </is>
      </c>
      <c r="D568" s="5" t="inlineStr">
        <is>
          <t>Warning</t>
        </is>
      </c>
      <c r="E568" s="5" t="inlineStr">
        <is>
          <t>No existe tarifa BonCalidad para socio=1443 campaña=2026 empresa=1 cultivo=MANDARINA.</t>
        </is>
      </c>
      <c r="F568" s="6" t="n">
        <v>46231.74836732359</v>
      </c>
      <c r="G568" s="5" t="inlineStr">
        <is>
          <t>WARNING</t>
        </is>
      </c>
    </row>
    <row r="569">
      <c r="A569" s="5" t="n">
        <v>2196</v>
      </c>
      <c r="B569" s="5" t="inlineStr">
        <is>
          <t>Nadorcott Semana 52 NORMAL</t>
        </is>
      </c>
      <c r="C569" s="5" t="inlineStr">
        <is>
          <t>WARNING</t>
        </is>
      </c>
      <c r="D569" s="5" t="inlineStr">
        <is>
          <t>Warning</t>
        </is>
      </c>
      <c r="E569" s="5" t="inlineStr">
        <is>
          <t>No existe tarifa BonCalidad para socio=1550 campaña=2026 empresa=1 cultivo=MANDARINA.</t>
        </is>
      </c>
      <c r="F569" s="6" t="n">
        <v>46231.74836732359</v>
      </c>
      <c r="G569" s="5" t="inlineStr">
        <is>
          <t>WARNING</t>
        </is>
      </c>
    </row>
    <row r="570">
      <c r="A570" s="5" t="n">
        <v>2196</v>
      </c>
      <c r="B570" s="5" t="inlineStr">
        <is>
          <t>Nadorcott Semana 52 NORMAL</t>
        </is>
      </c>
      <c r="C570" s="5" t="inlineStr">
        <is>
          <t>WARNING</t>
        </is>
      </c>
      <c r="D570" s="5" t="inlineStr">
        <is>
          <t>Warning</t>
        </is>
      </c>
      <c r="E570" s="5" t="inlineStr">
        <is>
          <t>El socio 1550 figura certificado GlobalGAP en CITRICOS, MANDARINA pero no en CITRICOS, MANDARINA. Se ha aplicado la certificación global del socio. Revise DEEPP.</t>
        </is>
      </c>
      <c r="F570" s="6" t="n">
        <v>46231.74836732359</v>
      </c>
      <c r="G570" s="5" t="inlineStr">
        <is>
          <t>WARNING</t>
        </is>
      </c>
    </row>
  </sheetData>
  <autoFilter ref="A1:G5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3" customWidth="1" min="1" max="1"/>
    <col width="45" customWidth="1" min="2" max="2"/>
  </cols>
  <sheetData>
    <row r="1">
      <c r="A1" s="1" t="inlineStr">
        <is>
          <t>Fecha y hora de inicio</t>
        </is>
      </c>
      <c r="B1" s="2" t="n">
        <v>46231.74793354817</v>
      </c>
    </row>
    <row r="2">
      <c r="A2" s="5" t="inlineStr">
        <is>
          <t>Fecha y hora de fin</t>
        </is>
      </c>
      <c r="B2" s="6" t="n">
        <v>46231.74836732359</v>
      </c>
    </row>
    <row r="3">
      <c r="A3" s="5" t="inlineStr">
        <is>
          <t>Campaña</t>
        </is>
      </c>
      <c r="B3" s="5" t="inlineStr">
        <is>
          <t>2026</t>
        </is>
      </c>
    </row>
    <row r="4">
      <c r="A4" s="5" t="inlineStr">
        <is>
          <t>Empresa</t>
        </is>
      </c>
      <c r="B4" s="5" t="inlineStr">
        <is>
          <t>1</t>
        </is>
      </c>
    </row>
    <row r="5">
      <c r="A5" s="5" t="inlineStr">
        <is>
          <t>Cultivo</t>
        </is>
      </c>
      <c r="B5" s="5" t="inlineStr">
        <is>
          <t>CITRICOS</t>
        </is>
      </c>
    </row>
    <row r="6">
      <c r="A6" s="5" t="inlineStr">
        <is>
          <t>Usuario</t>
        </is>
      </c>
      <c r="B6" s="5" t="inlineStr"/>
    </row>
    <row r="7">
      <c r="A7" s="5" t="inlineStr">
        <is>
          <t>Número de remesas seleccionadas</t>
        </is>
      </c>
      <c r="B7" s="7" t="n">
        <v>92</v>
      </c>
    </row>
    <row r="8">
      <c r="A8" s="5" t="inlineStr">
        <is>
          <t>Número correctas</t>
        </is>
      </c>
      <c r="B8" s="7" t="n">
        <v>92</v>
      </c>
    </row>
    <row r="9">
      <c r="A9" s="5" t="inlineStr">
        <is>
          <t>Número con error</t>
        </is>
      </c>
      <c r="B9" s="7" t="n">
        <v>0</v>
      </c>
    </row>
    <row r="10">
      <c r="A10" s="5" t="inlineStr">
        <is>
          <t>IDs seleccionados</t>
        </is>
      </c>
      <c r="B10" s="5" t="inlineStr">
        <is>
          <t>2197, 2198, 2199, 2200, 2202, 2203, 2204, 2205, 2206, 2207, 2208, 2209, 2211, 2212, 2326, 2185, 2186, 2267, 2268, 2269, 2270, 2271, 2272, 2273, 2274, 2275, 2276, 2277, 2278, 2279, 2280, 2282, 2283, 2285, 2288, 2289, 2290, 2291, 2292, 2293, 2294, 2295, 2296, 2297, 2298, 2299, 2300, 2301, 2302, 2303, 2304, 2305, 2306, 2307, 2308, 2309, 2310, 2311, 2312, 2313, 2314, 2315, 2317, 2318, 2319, 2320, 2321, 2322, 2324, 2325, 2148, 2149, 2150, 2151, 2152, 2153, 2154, 2155, 2156, 2157, 2158, 2159, 2187, 2188, 2189, 2190, 2191, 2192, 2193, 2194, 2195, 2196</t>
        </is>
      </c>
    </row>
    <row r="11">
      <c r="A11" s="5" t="inlineStr">
        <is>
          <t>Nombres de las remesas</t>
        </is>
      </c>
      <c r="B11" s="5" t="inlineStr">
        <is>
          <t>NAVEL TEMPRANA sem1, NAVEL TEMPRANA sem2, NAVEL TEMPRANA sem 3, NAVEL TEMPRANA sem 4 y +, NAVEL TEMPRANA sem ultim, BLANCA TEMPRANA sem2, NAVEL TARDIA, BLANCA TARDIA, BLANCA TEMPRANA sem 3, BLANCA TEMPRANA sem 4 y +, BLANCA TEMPRANA sem antep, BLANCA TEMPRANA sem penult, BLANCA TEMPRANA sem ultim, BLANCA TEMPRANA sem1, Caracara, Tango Semana 5 NORMAL, Tango Semana 6 NORMAL, Final ANGELES DURAN (1251) NAVELINA, Final ALVARO HARO (1544) NAVELINA, Final JUAN MARTINEZ LOPEZ DE ROZAS (1429) NAVELINA, Final J. A. RODRIGUEZ MEJIAS (1523) FUKUMOTO, Final J. A. RODRIGUEZ MEJIAS (1523) POMELOS, Final JUAN FRANCISCO BARRERA PERA (1463) NAVELINA, Final M&amp;M (1571) NAVELINA, Final EXP. AGR. ARJONA Y CRESPO (1313) NAVELINA, Final MATIAS BARRERA (1456) NAVELINA, Final LUIS HINIESTA (1181) NAVELINA, Final ISABEL MOLINA HIDALGO (1283) NAVEL FOYOS, Final PEDRO JIMENEZ MALDONADO (1500) SALUSTIANAS, Final YOLANDA CALZADO RUIZ (1516) NEW HALL, Final RURAL PRIME (BERBABE) (1615) LANE LATE, Final MIGUEL ANGEL GUIL (1471) SALUSTIANAS, Final JOSE MARIA GUIL (963) SALUSTIANAS, Final HILARIO  GARCIA (453) NAVEL, Final RAFAEL GARCIA (1462) NAVEL, Final ALVARO HARO (1544) LANE LATE, Final HNOS GONZALEZ ROLDAN (1272) LANE LATE, Final CRISTINA CALZADO (1519) LANE LATE, Final MARIA CALZADO (1518) LANE LATE, Final FRANCISCO GALVEZ (937) SALUSTIANAS, Final ESTIBEN HIDALGO (1602) SALUSTIANAS, Final JOSE RINCON (824) SALUSTIANAS, Final LEON CARRASCO SL (1504) SALUSTIANAS, Final CADORTAN SL (1550) LANE LATE, Final FERNANDO TOMENO (1415) SALUSTIANAS, Final DOLORES MUÑOZ  (1511) SALUSTIANAS, Final DOLORES HDEZ (1549) SALUSTIANAS, Final JESUS PADILLA (1611) LANE LATE, Final ALVARO HARO (1544) CHISSLET, Final J. A. RODRIGUEZ MEJIAS (1523) LANE LATE, Final AGRONUÑEZ (1466) LANE LATE, Final MANUEL JESUS NUÑEZ (1560) LANE LATE, Final HNOS GONZALEZ ROLDAN (1272) LANE LATE 1, Final AGRICOLA HNOS BUIZA (1395) POWEL, Final JAVIER SANCHEZ GUIL (1624) SALUSTIANAS, Final J. A. PRIOR PORTILLO (1589) SALUSTIANAS, Final LEON CARRASCO SL (1504) POWEL, Final MERCEDES GOMEZ (1577) POWEL, Final FRANCISCO JAVIER CALZADO (1178) NAVEL POWEL, Final FERNANDO TOMENO SUAREZ (1415) BARBERINA, Final FAMILIA GONZALEZ LACAL (1350) BARBERINA, Final FRUTAS ANDALUZAS DE SEVILLA (1627) BARBERINA, Final JUAN SERRANO CORZO (981) SALUSTIANAS, Final J. A. RODRIGUEZ MEJIAS (1523) VALENCIA, Final J. A. RODRIGUEZ GARCIA (1194) VALENCIA, Final PEDRO JIMENEZ MALDONADO (1500) CHISSLET, BLANCA TARDIA, BLANCA TEMPRANA, NAVEL TARDIA, NAVEL TEMPRANA, Nadorcott Semana 5 NORMAL, Nadorcott Semana 7 NORMAL, Tango Semana 1 CON HOJAS, Tango Semana 1 NORMAL, Tango Semana 2 NORMAL, Tango Semana 3 NORMAL, Tango Semana 4 CON HOJAS, Tango Semana 9 NORMAL, Tango Semana 5 NORMAL, Tango Semana 4 NORMAL, Tango Semana 7 NORMAL, Tango Semana 8 NORMAL, Tango Semana 52 NORMAL, Tango Semana 6 NORMAL, Nadorcott Semana 2 NORMAL, Nadorcott Semana 1 NORMAL, Nadorcott Semana 3 CON HOJAS, Nadorcott Semana 3 NORMAL, Nadorcott Semana 6 NORMAL, Nadorcott Semana 4 NORMAL, Nadorcott Semana 8 NORMAL, Nadorcott Semana 52 NORMAL</t>
        </is>
      </c>
    </row>
    <row r="12">
      <c r="A12" s="5" t="inlineStr">
        <is>
          <t>Tarifa Cuota Ha</t>
        </is>
      </c>
      <c r="B12" s="8" t="n">
        <v>195</v>
      </c>
    </row>
    <row r="13">
      <c r="A13" s="5" t="inlineStr">
        <is>
          <t>Cultivos sujetos a Cuota Ha</t>
        </is>
      </c>
      <c r="B13" s="5" t="inlineStr">
        <is>
          <t>DIRECTOCHF, DIRECTO, MANDARINA, INDUSTRIA, CITRICOS</t>
        </is>
      </c>
    </row>
    <row r="14">
      <c r="A14" s="5" t="inlineStr">
        <is>
          <t>Versión de la aplicación</t>
        </is>
      </c>
      <c r="B14" s="5" t="inlineStr">
        <is>
          <t>Remesas</t>
        </is>
      </c>
    </row>
    <row r="15">
      <c r="A15" s="5" t="inlineStr">
        <is>
          <t>Ruta base de salida</t>
        </is>
      </c>
      <c r="B15" s="5" t="inlineStr">
        <is>
          <t>C:\Liquidaciones\salidas\impresion_masiva\2026\definitivos</t>
        </is>
      </c>
    </row>
  </sheetData>
  <autoFilter ref="A1:B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2026-07-28T15:57:38Z</dcterms:created>
  <dcterms:modified xmlns:dcterms="http://purl.org/dc/terms/" xmlns:xsi="http://www.w3.org/2001/XMLSchema-instance" xsi:type="dcterms:W3CDTF">2026-07-28T15:57:39Z</dcterms:modified>
</cp:coreProperties>
</file>