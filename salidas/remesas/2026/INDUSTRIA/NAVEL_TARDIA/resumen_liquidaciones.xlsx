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798</v>
      </c>
      <c r="B2" s="3" t="inlineStr">
        <is>
          <t>PAREJA PAREJA,ISABEL</t>
        </is>
      </c>
      <c r="C2" s="3" t="inlineStr">
        <is>
          <t>LANE LATE</t>
        </is>
      </c>
      <c r="D2" s="2" t="n">
        <v>3552</v>
      </c>
      <c r="E2" s="4" t="n">
        <v>1101.12</v>
      </c>
      <c r="F2" s="5" t="n">
        <v>0.31</v>
      </c>
      <c r="G2" s="4" t="n">
        <v>222</v>
      </c>
      <c r="H2" s="4" t="n">
        <v>23.13</v>
      </c>
      <c r="I2" s="4" t="n">
        <v>0</v>
      </c>
      <c r="J2" s="4" t="n">
        <v>-39.43</v>
      </c>
      <c r="K2" s="4" t="n">
        <v>0</v>
      </c>
      <c r="L2" s="4" t="n">
        <v>816.5599999999999</v>
      </c>
      <c r="M2" s="5" t="n">
        <v>0.25233</v>
      </c>
      <c r="N2" s="6" t="n">
        <v>12</v>
      </c>
      <c r="O2" s="6" t="n">
        <v>2</v>
      </c>
      <c r="P2" s="4" t="n">
        <v>896.26</v>
      </c>
      <c r="Q2" s="3" t="inlineStr">
        <is>
          <t>NAVEL TARDIA</t>
        </is>
      </c>
      <c r="R2" s="3" t="inlineStr">
        <is>
          <t>INDUSTRIA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904</v>
      </c>
      <c r="B3" s="3" t="inlineStr">
        <is>
          <t>FERNANDEZ MELENDEZ,ANGEL</t>
        </is>
      </c>
      <c r="C3" s="3" t="inlineStr">
        <is>
          <t>LANE LATE</t>
        </is>
      </c>
      <c r="D3" s="2" t="n">
        <v>3209</v>
      </c>
      <c r="E3" s="4" t="n">
        <v>994.79</v>
      </c>
      <c r="F3" s="5" t="n">
        <v>0.31</v>
      </c>
      <c r="G3" s="4" t="n">
        <v>200.56</v>
      </c>
      <c r="H3" s="4" t="n">
        <v>19.15</v>
      </c>
      <c r="I3" s="4" t="n">
        <v>0</v>
      </c>
      <c r="J3" s="4" t="n">
        <v>-35.62</v>
      </c>
      <c r="K3" s="4" t="n">
        <v>0</v>
      </c>
      <c r="L3" s="4" t="n">
        <v>739.46</v>
      </c>
      <c r="M3" s="5" t="n">
        <v>0.25292</v>
      </c>
      <c r="N3" s="6" t="n">
        <v>12</v>
      </c>
      <c r="O3" s="6" t="n">
        <v>2</v>
      </c>
      <c r="P3" s="4" t="n">
        <v>811.63</v>
      </c>
      <c r="Q3" s="3" t="inlineStr">
        <is>
          <t>NAVEL TARDIA</t>
        </is>
      </c>
      <c r="R3" s="3" t="inlineStr">
        <is>
          <t>INDUSTRIA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990</v>
      </c>
      <c r="B4" s="3" t="inlineStr">
        <is>
          <t>SANCHEZ PEREZ,ANTONIO</t>
        </is>
      </c>
      <c r="C4" s="3" t="inlineStr">
        <is>
          <t>LANE LATE</t>
        </is>
      </c>
      <c r="D4" s="2" t="n">
        <v>11720</v>
      </c>
      <c r="E4" s="4" t="n">
        <v>3633.2</v>
      </c>
      <c r="F4" s="5" t="n">
        <v>0.31</v>
      </c>
      <c r="G4" s="4" t="n">
        <v>732.5</v>
      </c>
      <c r="H4" s="4" t="n">
        <v>149.88</v>
      </c>
      <c r="I4" s="4" t="n">
        <v>0</v>
      </c>
      <c r="J4" s="4" t="n">
        <v>0</v>
      </c>
      <c r="K4" s="4" t="n">
        <v>0</v>
      </c>
      <c r="L4" s="4" t="n">
        <v>2750.82</v>
      </c>
      <c r="M4" s="5" t="n">
        <v>0.25762</v>
      </c>
      <c r="N4" s="6" t="n">
        <v>12</v>
      </c>
      <c r="O4" s="6" t="n">
        <v>2</v>
      </c>
      <c r="P4" s="4" t="n">
        <v>3019.3</v>
      </c>
      <c r="Q4" s="3" t="inlineStr">
        <is>
          <t>NAVEL TARDIA</t>
        </is>
      </c>
      <c r="R4" s="3" t="inlineStr">
        <is>
          <t>INDUSTRIA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1178</v>
      </c>
      <c r="B5" s="3" t="inlineStr">
        <is>
          <t>CALZADO GARCIA,FRANCISCO JAVIER</t>
        </is>
      </c>
      <c r="C5" s="3" t="inlineStr">
        <is>
          <t>NAVEL POWEL</t>
        </is>
      </c>
      <c r="D5" s="2" t="n">
        <v>2948</v>
      </c>
      <c r="E5" s="4" t="n">
        <v>913.88</v>
      </c>
      <c r="F5" s="5" t="n">
        <v>0.31</v>
      </c>
      <c r="G5" s="4" t="n">
        <v>0</v>
      </c>
      <c r="H5" s="4" t="n">
        <v>36.3</v>
      </c>
      <c r="I5" s="4" t="n">
        <v>0</v>
      </c>
      <c r="J5" s="4" t="n">
        <v>0</v>
      </c>
      <c r="K5" s="4" t="n">
        <v>0</v>
      </c>
      <c r="L5" s="4" t="n">
        <v>877.58</v>
      </c>
      <c r="M5" s="5" t="n">
        <v>0.32674</v>
      </c>
      <c r="N5" s="6" t="n">
        <v>12</v>
      </c>
      <c r="O5" s="6" t="n">
        <v>2</v>
      </c>
      <c r="P5" s="4" t="n">
        <v>963.23</v>
      </c>
      <c r="Q5" s="3" t="inlineStr">
        <is>
          <t>NAVEL TARDIA</t>
        </is>
      </c>
      <c r="R5" s="3" t="inlineStr">
        <is>
          <t>INDUSTRIA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1205</v>
      </c>
      <c r="B6" s="3" t="inlineStr">
        <is>
          <t>OLIVER JIMENEZ,MARIA MERCEDES</t>
        </is>
      </c>
      <c r="C6" s="3" t="inlineStr">
        <is>
          <t>LANE LATE</t>
        </is>
      </c>
      <c r="D6" s="2" t="n">
        <v>1413</v>
      </c>
      <c r="E6" s="4" t="n">
        <v>438.03</v>
      </c>
      <c r="F6" s="5" t="n">
        <v>0.31</v>
      </c>
      <c r="G6" s="4" t="n">
        <v>88.31</v>
      </c>
      <c r="H6" s="4" t="n">
        <v>11.76</v>
      </c>
      <c r="I6" s="4" t="n">
        <v>0</v>
      </c>
      <c r="J6" s="4" t="n">
        <v>-15.68</v>
      </c>
      <c r="K6" s="4" t="n">
        <v>0</v>
      </c>
      <c r="L6" s="4" t="n">
        <v>322.28</v>
      </c>
      <c r="M6" s="5" t="n">
        <v>0.25034</v>
      </c>
      <c r="N6" s="6" t="n">
        <v>12</v>
      </c>
      <c r="O6" s="6" t="n">
        <v>2</v>
      </c>
      <c r="P6" s="4" t="n">
        <v>353.73</v>
      </c>
      <c r="Q6" s="3" t="inlineStr">
        <is>
          <t>NAVEL TARDIA</t>
        </is>
      </c>
      <c r="R6" s="3" t="inlineStr">
        <is>
          <t>INDUSTRIA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1255</v>
      </c>
      <c r="B7" s="3" t="inlineStr">
        <is>
          <t>CHAMIZO AGREDANO,JUAN</t>
        </is>
      </c>
      <c r="C7" s="3" t="inlineStr">
        <is>
          <t>LANE LATE</t>
        </is>
      </c>
      <c r="D7" s="2" t="n">
        <v>382</v>
      </c>
      <c r="E7" s="4" t="n">
        <v>118.42</v>
      </c>
      <c r="F7" s="5" t="n">
        <v>0.31</v>
      </c>
      <c r="G7" s="4" t="n">
        <v>23.87</v>
      </c>
      <c r="H7" s="4" t="n">
        <v>2.48</v>
      </c>
      <c r="I7" s="4" t="n">
        <v>0</v>
      </c>
      <c r="J7" s="4" t="n">
        <v>-4.24</v>
      </c>
      <c r="K7" s="4" t="n">
        <v>0</v>
      </c>
      <c r="L7" s="4" t="n">
        <v>87.83</v>
      </c>
      <c r="M7" s="5" t="n">
        <v>0.25236</v>
      </c>
      <c r="N7" s="6" t="n">
        <v>12</v>
      </c>
      <c r="O7" s="6" t="n">
        <v>2</v>
      </c>
      <c r="P7" s="4" t="n">
        <v>96.40000000000001</v>
      </c>
      <c r="Q7" s="3" t="inlineStr">
        <is>
          <t>NAVEL TARDIA</t>
        </is>
      </c>
      <c r="R7" s="3" t="inlineStr">
        <is>
          <t>INDUSTRIA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1272</v>
      </c>
      <c r="B8" s="3" t="inlineStr">
        <is>
          <t>HERMANOS GONZALEZ ROLDAN,S.C.</t>
        </is>
      </c>
      <c r="C8" s="3" t="inlineStr">
        <is>
          <t>LANE LATE</t>
        </is>
      </c>
      <c r="D8" s="2" t="n">
        <v>955</v>
      </c>
      <c r="E8" s="4" t="n">
        <v>296.05</v>
      </c>
      <c r="F8" s="5" t="n">
        <v>0.31</v>
      </c>
      <c r="G8" s="4" t="n">
        <v>59.69</v>
      </c>
      <c r="H8" s="4" t="n">
        <v>17.55</v>
      </c>
      <c r="I8" s="4" t="n">
        <v>0</v>
      </c>
      <c r="J8" s="4" t="n">
        <v>0</v>
      </c>
      <c r="K8" s="4" t="n">
        <v>0</v>
      </c>
      <c r="L8" s="4" t="n">
        <v>218.81</v>
      </c>
      <c r="M8" s="5" t="n">
        <v>0.25149</v>
      </c>
      <c r="N8" s="6" t="n">
        <v>12</v>
      </c>
      <c r="O8" s="6" t="n">
        <v>2</v>
      </c>
      <c r="P8" s="4" t="n">
        <v>240.17</v>
      </c>
      <c r="Q8" s="3" t="inlineStr">
        <is>
          <t>NAVEL TARDIA</t>
        </is>
      </c>
      <c r="R8" s="3" t="inlineStr">
        <is>
          <t>INDUSTRIA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2" t="n">
        <v>1415</v>
      </c>
      <c r="B9" s="3" t="inlineStr">
        <is>
          <t>TOMENO SUAREZ,FERNANDO</t>
        </is>
      </c>
      <c r="C9" s="3" t="inlineStr">
        <is>
          <t>BARNFIELD</t>
        </is>
      </c>
      <c r="D9" s="2" t="n">
        <v>3543</v>
      </c>
      <c r="E9" s="4" t="n">
        <v>1098.33</v>
      </c>
      <c r="F9" s="5" t="n">
        <v>0.31</v>
      </c>
      <c r="G9" s="4" t="n">
        <v>0</v>
      </c>
      <c r="H9" s="4" t="n">
        <v>12.49</v>
      </c>
      <c r="I9" s="4" t="n">
        <v>0</v>
      </c>
      <c r="J9" s="4" t="n">
        <v>-12.01</v>
      </c>
      <c r="K9" s="4" t="n">
        <v>0</v>
      </c>
      <c r="L9" s="4" t="n">
        <v>1073.83</v>
      </c>
      <c r="M9" s="5" t="n">
        <v>0.33267</v>
      </c>
      <c r="N9" s="6" t="n">
        <v>12</v>
      </c>
      <c r="O9" s="6" t="n">
        <v>2</v>
      </c>
      <c r="P9" s="4" t="n">
        <v>1178.64</v>
      </c>
      <c r="Q9" s="3" t="inlineStr">
        <is>
          <t>NAVEL TARDIA</t>
        </is>
      </c>
      <c r="R9" s="3" t="inlineStr">
        <is>
          <t>INDUSTRIA</t>
        </is>
      </c>
      <c r="S9" s="7">
        <f>IFERROR(166.386*G9/D9,0)</f>
        <v/>
      </c>
      <c r="T9" s="7">
        <f>IFERROR(166.386*K9/D9,0)</f>
        <v/>
      </c>
      <c r="U9" s="7">
        <f>IFERROR(166.386*J9/D9,0)</f>
        <v/>
      </c>
    </row>
    <row r="10">
      <c r="A10" s="2" t="n">
        <v>1415</v>
      </c>
      <c r="B10" s="3" t="inlineStr">
        <is>
          <t>TOMENO SUAREZ,FERNANDO</t>
        </is>
      </c>
      <c r="C10" s="3" t="inlineStr">
        <is>
          <t>LANE LATE</t>
        </is>
      </c>
      <c r="D10" s="2" t="n">
        <v>6720</v>
      </c>
      <c r="E10" s="4" t="n">
        <v>2083.2</v>
      </c>
      <c r="F10" s="5" t="n">
        <v>0.31</v>
      </c>
      <c r="G10" s="4" t="n">
        <v>0</v>
      </c>
      <c r="H10" s="4" t="n">
        <v>23.68</v>
      </c>
      <c r="I10" s="4" t="n">
        <v>0</v>
      </c>
      <c r="J10" s="4" t="n">
        <v>-39.18</v>
      </c>
      <c r="K10" s="4" t="n">
        <v>0</v>
      </c>
      <c r="L10" s="4" t="n">
        <v>2020.34</v>
      </c>
      <c r="M10" s="5" t="n">
        <v>0.32999</v>
      </c>
      <c r="N10" s="6" t="n">
        <v>12</v>
      </c>
      <c r="O10" s="6" t="n">
        <v>2</v>
      </c>
      <c r="P10" s="4" t="n">
        <v>2217.53</v>
      </c>
      <c r="Q10" s="3" t="inlineStr">
        <is>
          <t>NAVEL TARDIA</t>
        </is>
      </c>
      <c r="R10" s="3" t="inlineStr">
        <is>
          <t>INDUSTRIA</t>
        </is>
      </c>
      <c r="S10" s="7">
        <f>IFERROR(166.386*G10/D10,0)</f>
        <v/>
      </c>
      <c r="T10" s="7">
        <f>IFERROR(166.386*K10/D10,0)</f>
        <v/>
      </c>
      <c r="U10" s="7">
        <f>IFERROR(166.386*J10/D10,0)</f>
        <v/>
      </c>
    </row>
    <row r="11">
      <c r="A11" s="2" t="n">
        <v>1445</v>
      </c>
      <c r="B11" s="3" t="inlineStr">
        <is>
          <t>REAL GARCIA,MIGUEL</t>
        </is>
      </c>
      <c r="C11" s="3" t="inlineStr">
        <is>
          <t>LANE LATE</t>
        </is>
      </c>
      <c r="D11" s="2" t="n">
        <v>2369</v>
      </c>
      <c r="E11" s="4" t="n">
        <v>734.39</v>
      </c>
      <c r="F11" s="5" t="n">
        <v>0.31</v>
      </c>
      <c r="G11" s="4" t="n">
        <v>148.06</v>
      </c>
      <c r="H11" s="4" t="n">
        <v>21.87</v>
      </c>
      <c r="I11" s="4" t="n">
        <v>0</v>
      </c>
      <c r="J11" s="4" t="n">
        <v>-26.3</v>
      </c>
      <c r="K11" s="4" t="n">
        <v>0</v>
      </c>
      <c r="L11" s="4" t="n">
        <v>538.16</v>
      </c>
      <c r="M11" s="5" t="n">
        <v>0.24934</v>
      </c>
      <c r="N11" s="6" t="n">
        <v>12</v>
      </c>
      <c r="O11" s="6" t="n">
        <v>2</v>
      </c>
      <c r="P11" s="4" t="n">
        <v>590.6799999999999</v>
      </c>
      <c r="Q11" s="3" t="inlineStr">
        <is>
          <t>NAVEL TARDIA</t>
        </is>
      </c>
      <c r="R11" s="3" t="inlineStr">
        <is>
          <t>INDUSTRIA</t>
        </is>
      </c>
      <c r="S11" s="7">
        <f>IFERROR(166.386*G11/D11,0)</f>
        <v/>
      </c>
      <c r="T11" s="7">
        <f>IFERROR(166.386*K11/D11,0)</f>
        <v/>
      </c>
      <c r="U11" s="7">
        <f>IFERROR(166.386*J11/D11,0)</f>
        <v/>
      </c>
    </row>
    <row r="12">
      <c r="A12" s="2" t="n">
        <v>1500</v>
      </c>
      <c r="B12" s="3" t="inlineStr">
        <is>
          <t>JIMENEZ MALDONADO, PEDRO</t>
        </is>
      </c>
      <c r="C12" s="3" t="inlineStr">
        <is>
          <t>CHISLETT SUMER</t>
        </is>
      </c>
      <c r="D12" s="2" t="n">
        <v>1243</v>
      </c>
      <c r="E12" s="4" t="n">
        <v>385.33</v>
      </c>
      <c r="F12" s="5" t="n">
        <v>0.31</v>
      </c>
      <c r="G12" s="4" t="n">
        <v>77.69</v>
      </c>
      <c r="H12" s="4" t="n">
        <v>4.35</v>
      </c>
      <c r="I12" s="4" t="n">
        <v>0</v>
      </c>
      <c r="J12" s="4" t="n">
        <v>-13.8</v>
      </c>
      <c r="K12" s="4" t="n">
        <v>0</v>
      </c>
      <c r="L12" s="4" t="n">
        <v>289.49</v>
      </c>
      <c r="M12" s="5" t="n">
        <v>0.25562</v>
      </c>
      <c r="N12" s="6" t="n">
        <v>12</v>
      </c>
      <c r="O12" s="6" t="n">
        <v>2</v>
      </c>
      <c r="P12" s="4" t="n">
        <v>317.74</v>
      </c>
      <c r="Q12" s="3" t="inlineStr">
        <is>
          <t>NAVEL TARDIA</t>
        </is>
      </c>
      <c r="R12" s="3" t="inlineStr">
        <is>
          <t>INDUSTRIA</t>
        </is>
      </c>
      <c r="S12" s="7">
        <f>IFERROR(166.386*G12/D12,0)</f>
        <v/>
      </c>
      <c r="T12" s="7">
        <f>IFERROR(166.386*K12/D12,0)</f>
        <v/>
      </c>
      <c r="U12" s="7">
        <f>IFERROR(166.386*J12/D12,0)</f>
        <v/>
      </c>
    </row>
    <row r="13">
      <c r="A13" s="2" t="n">
        <v>1507</v>
      </c>
      <c r="B13" s="3" t="inlineStr">
        <is>
          <t>ZAMBRANO HINOJOSA, Mª ÁNGELES</t>
        </is>
      </c>
      <c r="C13" s="3" t="inlineStr">
        <is>
          <t>LANE LATE</t>
        </is>
      </c>
      <c r="D13" s="2" t="n">
        <v>5539</v>
      </c>
      <c r="E13" s="4" t="n">
        <v>1717.09</v>
      </c>
      <c r="F13" s="5" t="n">
        <v>0.31</v>
      </c>
      <c r="G13" s="4" t="n">
        <v>271.5</v>
      </c>
      <c r="H13" s="4" t="n">
        <v>47.5</v>
      </c>
      <c r="I13" s="4" t="n">
        <v>0</v>
      </c>
      <c r="J13" s="4" t="n">
        <v>-58.43</v>
      </c>
      <c r="K13" s="4" t="n">
        <v>0</v>
      </c>
      <c r="L13" s="4" t="n">
        <v>1339.66</v>
      </c>
      <c r="M13" s="5" t="n">
        <v>0.26546</v>
      </c>
      <c r="N13" s="6" t="n">
        <v>12</v>
      </c>
      <c r="O13" s="6" t="n">
        <v>2</v>
      </c>
      <c r="P13" s="4" t="n">
        <v>1470.41</v>
      </c>
      <c r="Q13" s="3" t="inlineStr">
        <is>
          <t>NAVEL TARDIA</t>
        </is>
      </c>
      <c r="R13" s="3" t="inlineStr">
        <is>
          <t>INDUSTRIA</t>
        </is>
      </c>
      <c r="S13" s="7">
        <f>IFERROR(166.386*G13/D13,0)</f>
        <v/>
      </c>
      <c r="T13" s="7">
        <f>IFERROR(166.386*K13/D13,0)</f>
        <v/>
      </c>
      <c r="U13" s="7">
        <f>IFERROR(166.386*J13/D13,0)</f>
        <v/>
      </c>
    </row>
    <row r="14">
      <c r="A14" s="2" t="n">
        <v>1544</v>
      </c>
      <c r="B14" s="3" t="inlineStr">
        <is>
          <t>HARO ORDOÑO, ALVARO</t>
        </is>
      </c>
      <c r="C14" s="3" t="inlineStr">
        <is>
          <t>LANE LATE</t>
        </is>
      </c>
      <c r="D14" s="2" t="n">
        <v>3620</v>
      </c>
      <c r="E14" s="4" t="n">
        <v>1122.2</v>
      </c>
      <c r="F14" s="5" t="n">
        <v>0.31</v>
      </c>
      <c r="G14" s="4" t="n">
        <v>0</v>
      </c>
      <c r="H14" s="4" t="n">
        <v>20.37</v>
      </c>
      <c r="I14" s="4" t="n">
        <v>0</v>
      </c>
      <c r="J14" s="4" t="n">
        <v>-32.19</v>
      </c>
      <c r="K14" s="4" t="n">
        <v>0</v>
      </c>
      <c r="L14" s="4" t="n">
        <v>1069.64</v>
      </c>
      <c r="M14" s="5" t="n">
        <v>0.32432</v>
      </c>
      <c r="N14" s="6" t="n">
        <v>12</v>
      </c>
      <c r="O14" s="6" t="n">
        <v>2</v>
      </c>
      <c r="P14" s="4" t="n">
        <v>1174.04</v>
      </c>
      <c r="Q14" s="3" t="inlineStr">
        <is>
          <t>NAVEL TARDIA</t>
        </is>
      </c>
      <c r="R14" s="3" t="inlineStr">
        <is>
          <t>INDUSTRIA</t>
        </is>
      </c>
      <c r="S14" s="7">
        <f>IFERROR(166.386*G14/D14,0)</f>
        <v/>
      </c>
      <c r="T14" s="7">
        <f>IFERROR(166.386*K14/D14,0)</f>
        <v/>
      </c>
      <c r="U14" s="7">
        <f>IFERROR(166.386*J14/D14,0)</f>
        <v/>
      </c>
    </row>
    <row r="15">
      <c r="A15" s="2" t="n">
        <v>1597</v>
      </c>
      <c r="B15" s="3" t="inlineStr">
        <is>
          <t>CARBALLO SIRIA, ANTONIO JOSE</t>
        </is>
      </c>
      <c r="C15" s="3" t="inlineStr">
        <is>
          <t>LANE LATE</t>
        </is>
      </c>
      <c r="D15" s="2" t="n">
        <v>881</v>
      </c>
      <c r="E15" s="4" t="n">
        <v>273.11</v>
      </c>
      <c r="F15" s="5" t="n">
        <v>0.31</v>
      </c>
      <c r="G15" s="4" t="n">
        <v>55.06</v>
      </c>
      <c r="H15" s="4" t="n">
        <v>8.08</v>
      </c>
      <c r="I15" s="4" t="n">
        <v>0</v>
      </c>
      <c r="J15" s="4" t="n">
        <v>-9.779999999999999</v>
      </c>
      <c r="K15" s="4" t="n">
        <v>0</v>
      </c>
      <c r="L15" s="4" t="n">
        <v>200.19</v>
      </c>
      <c r="M15" s="5" t="n">
        <v>0.24941</v>
      </c>
      <c r="N15" s="6" t="n">
        <v>12</v>
      </c>
      <c r="O15" s="6" t="n">
        <v>2</v>
      </c>
      <c r="P15" s="4" t="n">
        <v>219.73</v>
      </c>
      <c r="Q15" s="3" t="inlineStr">
        <is>
          <t>NAVEL TARDIA</t>
        </is>
      </c>
      <c r="R15" s="3" t="inlineStr">
        <is>
          <t>INDUSTRIA</t>
        </is>
      </c>
      <c r="S15" s="7">
        <f>IFERROR(166.386*G15/D15,0)</f>
        <v/>
      </c>
      <c r="T15" s="7">
        <f>IFERROR(166.386*K15/D15,0)</f>
        <v/>
      </c>
      <c r="U15" s="7">
        <f>IFERROR(166.386*J15/D15,0)</f>
        <v/>
      </c>
    </row>
    <row r="16">
      <c r="A16" s="2" t="n">
        <v>1627</v>
      </c>
      <c r="B16" s="3" t="inlineStr">
        <is>
          <t>FRUTAS ANDALUZAS DE SEVILLA S.L.</t>
        </is>
      </c>
      <c r="C16" s="3" t="inlineStr">
        <is>
          <t>LANE LATE</t>
        </is>
      </c>
      <c r="D16" s="2" t="n">
        <v>4559</v>
      </c>
      <c r="E16" s="4" t="n">
        <v>1413.29</v>
      </c>
      <c r="F16" s="5" t="n">
        <v>0.31</v>
      </c>
      <c r="G16" s="4" t="n">
        <v>0</v>
      </c>
      <c r="H16" s="4" t="n">
        <v>46.1</v>
      </c>
      <c r="I16" s="4" t="n">
        <v>0</v>
      </c>
      <c r="J16" s="4" t="n">
        <v>-23.7</v>
      </c>
      <c r="K16" s="4" t="n">
        <v>0</v>
      </c>
      <c r="L16" s="4" t="n">
        <v>1343.49</v>
      </c>
      <c r="M16" s="5" t="n">
        <v>0.32345</v>
      </c>
      <c r="N16" s="6" t="n">
        <v>12</v>
      </c>
      <c r="O16" s="6" t="n">
        <v>2</v>
      </c>
      <c r="P16" s="4" t="n">
        <v>1474.61</v>
      </c>
      <c r="Q16" s="3" t="inlineStr">
        <is>
          <t>NAVEL TARDIA</t>
        </is>
      </c>
      <c r="R16" s="3" t="inlineStr">
        <is>
          <t>INDUSTRIA</t>
        </is>
      </c>
      <c r="S16" s="7">
        <f>IFERROR(166.386*G16/D16,0)</f>
        <v/>
      </c>
      <c r="T16" s="7">
        <f>IFERROR(166.386*K16/D16,0)</f>
        <v/>
      </c>
      <c r="U16" s="7">
        <f>IFERROR(166.386*J16/D16,0)</f>
        <v/>
      </c>
    </row>
    <row r="17">
      <c r="A17" s="8" t="n"/>
      <c r="B17" s="9" t="inlineStr">
        <is>
          <t>TOTAL</t>
        </is>
      </c>
      <c r="C17" s="9" t="n"/>
      <c r="D17" s="8">
        <f>SUM(D2:D16)</f>
        <v/>
      </c>
      <c r="E17" s="10">
        <f>SUM(E2:E16)</f>
        <v/>
      </c>
      <c r="F17" s="11" t="n"/>
      <c r="G17" s="10">
        <f>SUM(G2:G16)</f>
        <v/>
      </c>
      <c r="H17" s="10">
        <f>SUM(H2:H16)</f>
        <v/>
      </c>
      <c r="I17" s="10">
        <f>SUM(I2:I16)</f>
        <v/>
      </c>
      <c r="J17" s="10">
        <f>SUM(J2:J16)</f>
        <v/>
      </c>
      <c r="K17" s="10">
        <f>SUM(K2:K16)</f>
        <v/>
      </c>
      <c r="L17" s="10">
        <f>SUM(L2:L16)</f>
        <v/>
      </c>
      <c r="M17" s="11">
        <f>IFERROR(P17/D17,0)</f>
        <v/>
      </c>
      <c r="N17" s="12" t="n"/>
      <c r="O17" s="12" t="n"/>
      <c r="P17" s="10">
        <f>SUM(P2:P16)</f>
        <v/>
      </c>
      <c r="Q17" s="9" t="n"/>
      <c r="R17" s="9" t="n"/>
      <c r="S17" s="13" t="n"/>
      <c r="T17" s="13" t="n"/>
      <c r="U17" s="13" t="n"/>
    </row>
  </sheetData>
  <autoFilter ref="A1:U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14.39</v>
      </c>
      <c r="G2" t="n">
        <v>195</v>
      </c>
      <c r="H2" t="n">
        <v>2806.05</v>
      </c>
      <c r="I2" t="n">
        <v>430968</v>
      </c>
      <c r="J2" t="n">
        <v>0.006511040262850142</v>
      </c>
      <c r="K2" t="n">
        <v>23.13</v>
      </c>
      <c r="L2" t="n">
        <v>0</v>
      </c>
    </row>
    <row r="3">
      <c r="A3" t="n">
        <v>904</v>
      </c>
      <c r="B3" t="inlineStr">
        <is>
          <t>FERNANDEZ MELENDEZ,ANGEL</t>
        </is>
      </c>
      <c r="C3" t="inlineStr">
        <is>
          <t>LANE LATE</t>
        </is>
      </c>
      <c r="D3" t="n">
        <v>0</v>
      </c>
      <c r="E3" t="inlineStr">
        <is>
          <t>not_found</t>
        </is>
      </c>
      <c r="F3" t="n">
        <v>1.8</v>
      </c>
      <c r="G3" t="n">
        <v>195</v>
      </c>
      <c r="H3" t="n">
        <v>351</v>
      </c>
      <c r="I3" t="n">
        <v>58810</v>
      </c>
      <c r="J3" t="n">
        <v>0.005968372725726917</v>
      </c>
      <c r="K3" t="n">
        <v>19.15</v>
      </c>
      <c r="L3" t="n">
        <v>0</v>
      </c>
    </row>
    <row r="4">
      <c r="A4" t="n">
        <v>990</v>
      </c>
      <c r="B4" t="inlineStr">
        <is>
          <t>SANCHEZ PEREZ,ANTONIO</t>
        </is>
      </c>
      <c r="C4" t="inlineStr">
        <is>
          <t>LANE LATE</t>
        </is>
      </c>
      <c r="D4" t="n">
        <v>0</v>
      </c>
      <c r="E4" t="inlineStr">
        <is>
          <t>not_found</t>
        </is>
      </c>
      <c r="F4" t="n">
        <v>2.65</v>
      </c>
      <c r="G4" t="n">
        <v>195</v>
      </c>
      <c r="H4" t="n">
        <v>516.75</v>
      </c>
      <c r="I4" t="n">
        <v>40408</v>
      </c>
      <c r="J4" t="n">
        <v>0.01278830924569392</v>
      </c>
      <c r="K4" t="n">
        <v>149.88</v>
      </c>
      <c r="L4" t="n">
        <v>0</v>
      </c>
    </row>
    <row r="5">
      <c r="A5" t="n">
        <v>1178</v>
      </c>
      <c r="B5" t="inlineStr">
        <is>
          <t>CALZADO GARCIA,FRANCISCO JAVIER</t>
        </is>
      </c>
      <c r="C5" t="inlineStr">
        <is>
          <t>NAVEL POWEL</t>
        </is>
      </c>
      <c r="D5" t="n">
        <v>0</v>
      </c>
      <c r="E5" t="inlineStr">
        <is>
          <t>not_found</t>
        </is>
      </c>
      <c r="F5" t="n">
        <v>9.630000000000001</v>
      </c>
      <c r="G5" t="n">
        <v>195</v>
      </c>
      <c r="H5" t="n">
        <v>1877.85</v>
      </c>
      <c r="I5" t="n">
        <v>152504</v>
      </c>
      <c r="J5" t="n">
        <v>0.01231344751613072</v>
      </c>
      <c r="K5" t="n">
        <v>36.3</v>
      </c>
      <c r="L5" t="n">
        <v>0</v>
      </c>
    </row>
    <row r="6">
      <c r="A6" t="n">
        <v>1205</v>
      </c>
      <c r="B6" t="inlineStr">
        <is>
          <t>OLIVER JIMENEZ,MARIA MERCEDES</t>
        </is>
      </c>
      <c r="C6" t="inlineStr">
        <is>
          <t>LANE LATE</t>
        </is>
      </c>
      <c r="D6" t="n">
        <v>0</v>
      </c>
      <c r="E6" t="inlineStr">
        <is>
          <t>not_found</t>
        </is>
      </c>
      <c r="F6" t="n">
        <v>1.86</v>
      </c>
      <c r="G6" t="n">
        <v>195</v>
      </c>
      <c r="H6" t="n">
        <v>362.7</v>
      </c>
      <c r="I6" t="n">
        <v>43580</v>
      </c>
      <c r="J6" t="n">
        <v>0.008322625057365763</v>
      </c>
      <c r="K6" t="n">
        <v>11.76</v>
      </c>
      <c r="L6" t="n">
        <v>0</v>
      </c>
    </row>
    <row r="7">
      <c r="A7" t="n">
        <v>1255</v>
      </c>
      <c r="B7" t="inlineStr">
        <is>
          <t>CHAMIZO AGREDANO,JUAN</t>
        </is>
      </c>
      <c r="C7" t="inlineStr">
        <is>
          <t>LANE LATE</t>
        </is>
      </c>
      <c r="D7" t="n">
        <v>0</v>
      </c>
      <c r="E7" t="inlineStr">
        <is>
          <t>not_found</t>
        </is>
      </c>
      <c r="F7" t="n">
        <v>0.98</v>
      </c>
      <c r="G7" t="n">
        <v>195</v>
      </c>
      <c r="H7" t="n">
        <v>191.1</v>
      </c>
      <c r="I7" t="n">
        <v>29489</v>
      </c>
      <c r="J7" t="n">
        <v>0.00648038251551426</v>
      </c>
      <c r="K7" t="n">
        <v>2.48</v>
      </c>
      <c r="L7" t="n">
        <v>0</v>
      </c>
    </row>
    <row r="8">
      <c r="A8" t="n">
        <v>1272</v>
      </c>
      <c r="B8" t="inlineStr">
        <is>
          <t>HERMANOS GONZALEZ ROLDAN,S.C.</t>
        </is>
      </c>
      <c r="C8" t="inlineStr">
        <is>
          <t>LANE LATE</t>
        </is>
      </c>
      <c r="D8" t="n">
        <v>0</v>
      </c>
      <c r="E8" t="inlineStr">
        <is>
          <t>not_found</t>
        </is>
      </c>
      <c r="F8" t="n">
        <v>60.01</v>
      </c>
      <c r="G8" t="n">
        <v>195</v>
      </c>
      <c r="H8" t="n">
        <v>11701.95</v>
      </c>
      <c r="I8" t="n">
        <v>636702</v>
      </c>
      <c r="J8" t="n">
        <v>0.01837900619127944</v>
      </c>
      <c r="K8" t="n">
        <v>17.55</v>
      </c>
      <c r="L8" t="n">
        <v>0</v>
      </c>
    </row>
    <row r="9">
      <c r="A9" t="n">
        <v>1415</v>
      </c>
      <c r="B9" t="inlineStr">
        <is>
          <t>TOMENO SUAREZ,FERNANDO</t>
        </is>
      </c>
      <c r="C9" t="inlineStr">
        <is>
          <t>BARNFIELD</t>
        </is>
      </c>
      <c r="D9" t="n">
        <v>0</v>
      </c>
      <c r="E9" t="inlineStr">
        <is>
          <t>not_found</t>
        </is>
      </c>
      <c r="F9" t="n">
        <v>7.49</v>
      </c>
      <c r="G9" t="n">
        <v>195</v>
      </c>
      <c r="H9" t="n">
        <v>1460.55</v>
      </c>
      <c r="I9" t="n">
        <v>414468</v>
      </c>
      <c r="J9" t="n">
        <v>0.003523914994643736</v>
      </c>
      <c r="K9" t="n">
        <v>12.49</v>
      </c>
      <c r="L9" t="n">
        <v>0</v>
      </c>
    </row>
    <row r="10">
      <c r="A10" t="n">
        <v>1415</v>
      </c>
      <c r="B10" t="inlineStr">
        <is>
          <t>TOMENO SUAREZ,FERNANDO</t>
        </is>
      </c>
      <c r="C10" t="inlineStr">
        <is>
          <t>LANE LATE</t>
        </is>
      </c>
      <c r="D10" t="n">
        <v>0</v>
      </c>
      <c r="E10" t="inlineStr">
        <is>
          <t>not_found</t>
        </is>
      </c>
      <c r="F10" t="n">
        <v>7.49</v>
      </c>
      <c r="G10" t="n">
        <v>195</v>
      </c>
      <c r="H10" t="n">
        <v>1460.55</v>
      </c>
      <c r="I10" t="n">
        <v>414468</v>
      </c>
      <c r="J10" t="n">
        <v>0.003523914994643736</v>
      </c>
      <c r="K10" t="n">
        <v>23.68</v>
      </c>
      <c r="L10" t="n">
        <v>0</v>
      </c>
    </row>
    <row r="11">
      <c r="A11" t="n">
        <v>1445</v>
      </c>
      <c r="B11" t="inlineStr">
        <is>
          <t>REAL GARCIA,MIGUEL</t>
        </is>
      </c>
      <c r="C11" t="inlineStr">
        <is>
          <t>LANE LATE</t>
        </is>
      </c>
      <c r="D11" t="n">
        <v>0</v>
      </c>
      <c r="E11" t="inlineStr">
        <is>
          <t>not_found</t>
        </is>
      </c>
      <c r="F11" t="n">
        <v>8.109999999999999</v>
      </c>
      <c r="G11" t="n">
        <v>195</v>
      </c>
      <c r="H11" t="n">
        <v>1581.45</v>
      </c>
      <c r="I11" t="n">
        <v>171300</v>
      </c>
      <c r="J11" t="n">
        <v>0.009232049036777584</v>
      </c>
      <c r="K11" t="n">
        <v>21.87</v>
      </c>
      <c r="L11" t="n">
        <v>0</v>
      </c>
    </row>
    <row r="12">
      <c r="A12" t="n">
        <v>1500</v>
      </c>
      <c r="B12" t="inlineStr">
        <is>
          <t>JIMENEZ MALDONADO, PEDRO</t>
        </is>
      </c>
      <c r="C12" t="inlineStr">
        <is>
          <t>CHISLETT SUMER</t>
        </is>
      </c>
      <c r="D12" t="n">
        <v>0</v>
      </c>
      <c r="E12" t="inlineStr">
        <is>
          <t>not_found</t>
        </is>
      </c>
      <c r="F12" t="n">
        <v>3.12</v>
      </c>
      <c r="G12" t="n">
        <v>195</v>
      </c>
      <c r="H12" t="n">
        <v>608.4</v>
      </c>
      <c r="I12" t="n">
        <v>173709</v>
      </c>
      <c r="J12" t="n">
        <v>0.003502409201595772</v>
      </c>
      <c r="K12" t="n">
        <v>4.35</v>
      </c>
      <c r="L12" t="n">
        <v>0</v>
      </c>
    </row>
    <row r="13">
      <c r="A13" t="n">
        <v>1507</v>
      </c>
      <c r="B13" t="inlineStr">
        <is>
          <t>ZAMBRANO HINOJOSA, Mª ÁNGELES</t>
        </is>
      </c>
      <c r="C13" t="inlineStr">
        <is>
          <t>LANE LATE</t>
        </is>
      </c>
      <c r="D13" t="n">
        <v>0</v>
      </c>
      <c r="E13" t="inlineStr">
        <is>
          <t>not_found</t>
        </is>
      </c>
      <c r="F13" t="n">
        <v>0.2436</v>
      </c>
      <c r="G13" t="n">
        <v>195</v>
      </c>
      <c r="H13" t="n">
        <v>47.5</v>
      </c>
      <c r="I13" t="n">
        <v>5539</v>
      </c>
      <c r="J13" t="n">
        <v>0.008575555154359992</v>
      </c>
      <c r="K13" t="n">
        <v>47.5</v>
      </c>
      <c r="L13" t="n">
        <v>0</v>
      </c>
    </row>
    <row r="14">
      <c r="A14" t="n">
        <v>1544</v>
      </c>
      <c r="B14" t="inlineStr">
        <is>
          <t>HARO ORDOÑO, ALVARO</t>
        </is>
      </c>
      <c r="C14" t="inlineStr">
        <is>
          <t>LANE LATE</t>
        </is>
      </c>
      <c r="D14" t="n">
        <v>0</v>
      </c>
      <c r="E14" t="inlineStr">
        <is>
          <t>not_found</t>
        </is>
      </c>
      <c r="F14" t="n">
        <v>3.8</v>
      </c>
      <c r="G14" t="n">
        <v>195</v>
      </c>
      <c r="H14" t="n">
        <v>741</v>
      </c>
      <c r="I14" t="n">
        <v>131717</v>
      </c>
      <c r="J14" t="n">
        <v>0.005625697518163942</v>
      </c>
      <c r="K14" t="n">
        <v>20.37</v>
      </c>
      <c r="L14" t="n">
        <v>0</v>
      </c>
    </row>
    <row r="15">
      <c r="A15" t="n">
        <v>1597</v>
      </c>
      <c r="B15" t="inlineStr">
        <is>
          <t>CARBALLO SIRIA, ANTONIO JOSE</t>
        </is>
      </c>
      <c r="C15" t="inlineStr">
        <is>
          <t>LANE LATE</t>
        </is>
      </c>
      <c r="D15" t="n">
        <v>0</v>
      </c>
      <c r="E15" t="inlineStr">
        <is>
          <t>not_found</t>
        </is>
      </c>
      <c r="F15" t="n">
        <v>5.63</v>
      </c>
      <c r="G15" t="n">
        <v>195</v>
      </c>
      <c r="H15" t="n">
        <v>1097.85</v>
      </c>
      <c r="I15" t="n">
        <v>119651</v>
      </c>
      <c r="J15" t="n">
        <v>0.00917543522411012</v>
      </c>
      <c r="K15" t="n">
        <v>8.08</v>
      </c>
      <c r="L15" t="n">
        <v>0</v>
      </c>
    </row>
    <row r="16">
      <c r="A16" t="n">
        <v>1627</v>
      </c>
      <c r="B16" t="inlineStr">
        <is>
          <t>FRUTAS ANDALUZAS DE SEVILLA S.L.</t>
        </is>
      </c>
      <c r="C16" t="inlineStr">
        <is>
          <t>LANE LATE</t>
        </is>
      </c>
      <c r="D16" t="n">
        <v>0</v>
      </c>
      <c r="E16" t="inlineStr">
        <is>
          <t>not_found</t>
        </is>
      </c>
      <c r="F16" t="n">
        <v>6.77</v>
      </c>
      <c r="G16" t="n">
        <v>195</v>
      </c>
      <c r="H16" t="n">
        <v>1320.15</v>
      </c>
      <c r="I16" t="n">
        <v>130552</v>
      </c>
      <c r="J16" t="n">
        <v>0.01011206262638642</v>
      </c>
      <c r="K16" t="n">
        <v>46.1</v>
      </c>
      <c r="L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798</v>
      </c>
      <c r="B2" t="inlineStr">
        <is>
          <t>PAREJA PAREJA,ISABEL</t>
        </is>
      </c>
      <c r="C2" t="n">
        <v>411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411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127</t>
        </is>
      </c>
      <c r="Q2" t="inlineStr">
        <is>
          <t>3</t>
        </is>
      </c>
      <c r="R2" t="n">
        <v>5.45</v>
      </c>
      <c r="S2" t="n">
        <v>5.452789</v>
      </c>
      <c r="T2" t="n">
        <v>5.45</v>
      </c>
      <c r="V2" t="inlineStr">
        <is>
          <t>Sí</t>
        </is>
      </c>
      <c r="W2" t="inlineStr"/>
    </row>
    <row r="3">
      <c r="A3" t="n">
        <v>798</v>
      </c>
      <c r="B3" t="inlineStr">
        <is>
          <t>PAREJA PAREJA,ISABEL</t>
        </is>
      </c>
      <c r="C3" t="n">
        <v>412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412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131</t>
        </is>
      </c>
      <c r="Q3" t="inlineStr">
        <is>
          <t>3</t>
        </is>
      </c>
      <c r="R3" t="n">
        <v>0.03</v>
      </c>
      <c r="S3" t="n">
        <v>0.032</v>
      </c>
      <c r="T3" t="n">
        <v>0.03</v>
      </c>
      <c r="V3" t="inlineStr">
        <is>
          <t>Sí</t>
        </is>
      </c>
      <c r="W3" t="inlineStr"/>
    </row>
    <row r="4">
      <c r="A4" t="n">
        <v>798</v>
      </c>
      <c r="B4" t="inlineStr">
        <is>
          <t>PAREJA PAREJA,ISABEL</t>
        </is>
      </c>
      <c r="C4" t="n">
        <v>412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412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131</t>
        </is>
      </c>
      <c r="Q4" t="inlineStr">
        <is>
          <t>1</t>
        </is>
      </c>
      <c r="R4" t="n">
        <v>4.81</v>
      </c>
      <c r="S4" t="n">
        <v>4.816511</v>
      </c>
      <c r="T4" t="n">
        <v>4.7</v>
      </c>
      <c r="V4" t="inlineStr">
        <is>
          <t>Sí</t>
        </is>
      </c>
      <c r="W4" t="inlineStr"/>
    </row>
    <row r="5">
      <c r="A5" t="n">
        <v>798</v>
      </c>
      <c r="B5" t="inlineStr">
        <is>
          <t>PAREJA PAREJA,ISABEL</t>
        </is>
      </c>
      <c r="C5" t="n">
        <v>412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412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12</t>
        </is>
      </c>
      <c r="P5" t="inlineStr">
        <is>
          <t>130</t>
        </is>
      </c>
      <c r="Q5" t="inlineStr">
        <is>
          <t>2</t>
        </is>
      </c>
      <c r="R5" t="n">
        <v>4.1</v>
      </c>
      <c r="S5" t="n">
        <v>4.100985</v>
      </c>
      <c r="T5" t="n">
        <v>4</v>
      </c>
      <c r="V5" t="inlineStr">
        <is>
          <t>Sí</t>
        </is>
      </c>
      <c r="W5" t="inlineStr"/>
    </row>
    <row r="6">
      <c r="A6" t="n">
        <v>904</v>
      </c>
      <c r="B6" t="inlineStr">
        <is>
          <t>FERNANDEZ MELENDEZ,ANGEL</t>
        </is>
      </c>
      <c r="C6" t="n">
        <v>266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266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36</t>
        </is>
      </c>
      <c r="Q6" t="inlineStr">
        <is>
          <t>1</t>
        </is>
      </c>
      <c r="R6" t="n">
        <v>1.8</v>
      </c>
      <c r="S6" t="n">
        <v>1.799765</v>
      </c>
      <c r="T6" t="n">
        <v>1.78</v>
      </c>
      <c r="V6" t="inlineStr">
        <is>
          <t>Sí</t>
        </is>
      </c>
      <c r="W6" t="inlineStr"/>
    </row>
    <row r="7">
      <c r="A7" t="n">
        <v>990</v>
      </c>
      <c r="B7" t="inlineStr">
        <is>
          <t>SANCHEZ PEREZ,ANTONIO</t>
        </is>
      </c>
      <c r="C7" t="n">
        <v>78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78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29</t>
        </is>
      </c>
      <c r="P7" t="inlineStr">
        <is>
          <t>15</t>
        </is>
      </c>
      <c r="Q7" t="inlineStr">
        <is>
          <t>1</t>
        </is>
      </c>
      <c r="R7" t="n">
        <v>1.03</v>
      </c>
      <c r="S7" t="n">
        <v>3.680876</v>
      </c>
      <c r="T7" t="n">
        <v>1.01</v>
      </c>
      <c r="V7" t="inlineStr">
        <is>
          <t>Sí</t>
        </is>
      </c>
      <c r="W7" t="inlineStr"/>
    </row>
    <row r="8">
      <c r="A8" t="n">
        <v>990</v>
      </c>
      <c r="B8" t="inlineStr">
        <is>
          <t>SANCHEZ PEREZ,ANTONIO</t>
        </is>
      </c>
      <c r="C8" t="n">
        <v>590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590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29</t>
        </is>
      </c>
      <c r="P8" t="inlineStr">
        <is>
          <t>142</t>
        </is>
      </c>
      <c r="Q8" t="inlineStr">
        <is>
          <t>1</t>
        </is>
      </c>
      <c r="R8" t="n">
        <v>1.62</v>
      </c>
      <c r="S8" t="n">
        <v>0</v>
      </c>
      <c r="T8" t="n">
        <v>1.62</v>
      </c>
      <c r="V8" t="inlineStr">
        <is>
          <t>Sí</t>
        </is>
      </c>
      <c r="W8" t="inlineStr"/>
    </row>
    <row r="9">
      <c r="A9" t="n">
        <v>1178</v>
      </c>
      <c r="B9" t="inlineStr">
        <is>
          <t>CALZADO GARCIA,FRANCISCO JAVIER</t>
        </is>
      </c>
      <c r="C9" t="n">
        <v>171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171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11</t>
        </is>
      </c>
      <c r="P9" t="inlineStr">
        <is>
          <t>82</t>
        </is>
      </c>
      <c r="Q9" t="inlineStr">
        <is>
          <t>2</t>
        </is>
      </c>
      <c r="R9" t="n">
        <v>3.84</v>
      </c>
      <c r="S9" t="n">
        <v>6.849765</v>
      </c>
      <c r="T9" t="n">
        <v>3.84</v>
      </c>
      <c r="V9" t="inlineStr">
        <is>
          <t>Sí</t>
        </is>
      </c>
      <c r="W9" t="inlineStr"/>
    </row>
    <row r="10">
      <c r="A10" t="n">
        <v>1178</v>
      </c>
      <c r="B10" t="inlineStr">
        <is>
          <t>CALZADO GARCIA,FRANCISCO JAVIER</t>
        </is>
      </c>
      <c r="C10" t="n">
        <v>528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528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11</t>
        </is>
      </c>
      <c r="P10" t="inlineStr">
        <is>
          <t>92</t>
        </is>
      </c>
      <c r="Q10" t="inlineStr">
        <is>
          <t>1</t>
        </is>
      </c>
      <c r="R10" t="n">
        <v>2.69</v>
      </c>
      <c r="S10" t="n">
        <v>5.654934</v>
      </c>
      <c r="T10" t="n">
        <v>2.69</v>
      </c>
      <c r="V10" t="inlineStr">
        <is>
          <t>Sí</t>
        </is>
      </c>
      <c r="W10" t="inlineStr"/>
    </row>
    <row r="11">
      <c r="A11" t="n">
        <v>1178</v>
      </c>
      <c r="B11" t="inlineStr">
        <is>
          <t>CALZADO GARCIA,FRANCISCO JAVIER</t>
        </is>
      </c>
      <c r="C11" t="n">
        <v>548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548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11</t>
        </is>
      </c>
      <c r="P11" t="inlineStr">
        <is>
          <t>92</t>
        </is>
      </c>
      <c r="Q11" t="inlineStr">
        <is>
          <t>1</t>
        </is>
      </c>
      <c r="R11" t="n">
        <v>0.1</v>
      </c>
      <c r="S11" t="n">
        <v>5.654934</v>
      </c>
      <c r="T11" t="n">
        <v>0.1</v>
      </c>
      <c r="V11" t="inlineStr">
        <is>
          <t>Sí</t>
        </is>
      </c>
      <c r="W11" t="inlineStr"/>
    </row>
    <row r="12">
      <c r="A12" t="n">
        <v>1178</v>
      </c>
      <c r="B12" t="inlineStr">
        <is>
          <t>CALZADO GARCIA,FRANCISCO JAVIER</t>
        </is>
      </c>
      <c r="C12" t="n">
        <v>641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641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11</t>
        </is>
      </c>
      <c r="P12" t="inlineStr">
        <is>
          <t>82</t>
        </is>
      </c>
      <c r="Q12" t="inlineStr">
        <is>
          <t>2</t>
        </is>
      </c>
      <c r="R12" t="n">
        <v>3</v>
      </c>
      <c r="S12" t="n">
        <v>0</v>
      </c>
      <c r="T12" t="n">
        <v>3</v>
      </c>
      <c r="V12" t="inlineStr">
        <is>
          <t>Sí</t>
        </is>
      </c>
      <c r="W12" t="inlineStr"/>
    </row>
    <row r="13">
      <c r="A13" t="n">
        <v>1205</v>
      </c>
      <c r="B13" t="inlineStr">
        <is>
          <t>OLIVER JIMENEZ,MARIA MERCEDES</t>
        </is>
      </c>
      <c r="C13" t="n">
        <v>586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586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13</t>
        </is>
      </c>
      <c r="P13" t="inlineStr">
        <is>
          <t>53</t>
        </is>
      </c>
      <c r="Q13" t="inlineStr">
        <is>
          <t>1</t>
        </is>
      </c>
      <c r="R13" t="n">
        <v>1.86</v>
      </c>
      <c r="S13" t="n">
        <v>0</v>
      </c>
      <c r="T13" t="n">
        <v>1.86</v>
      </c>
      <c r="V13" t="inlineStr">
        <is>
          <t>Sí</t>
        </is>
      </c>
      <c r="W13" t="inlineStr"/>
    </row>
    <row r="14">
      <c r="A14" t="n">
        <v>1255</v>
      </c>
      <c r="B14" t="inlineStr">
        <is>
          <t>CHAMIZO AGREDANO,JUAN</t>
        </is>
      </c>
      <c r="C14" t="n">
        <v>185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185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13</t>
        </is>
      </c>
      <c r="P14" t="inlineStr">
        <is>
          <t>9511</t>
        </is>
      </c>
      <c r="Q14" t="inlineStr">
        <is>
          <t>2</t>
        </is>
      </c>
      <c r="R14" t="n">
        <v>0.04</v>
      </c>
      <c r="S14" t="n">
        <v>0.0391</v>
      </c>
      <c r="T14" t="n">
        <v>0.04</v>
      </c>
      <c r="V14" t="inlineStr">
        <is>
          <t>Sí</t>
        </is>
      </c>
      <c r="W14" t="inlineStr"/>
    </row>
    <row r="15">
      <c r="A15" t="n">
        <v>1255</v>
      </c>
      <c r="B15" t="inlineStr">
        <is>
          <t>CHAMIZO AGREDANO,JUAN</t>
        </is>
      </c>
      <c r="C15" t="n">
        <v>185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185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13</t>
        </is>
      </c>
      <c r="P15" t="inlineStr">
        <is>
          <t>105</t>
        </is>
      </c>
      <c r="Q15" t="inlineStr">
        <is>
          <t>1</t>
        </is>
      </c>
      <c r="R15" t="n">
        <v>0.9399999999999999</v>
      </c>
      <c r="S15" t="n">
        <v>0.947985</v>
      </c>
      <c r="T15" t="n">
        <v>0.92</v>
      </c>
      <c r="V15" t="inlineStr">
        <is>
          <t>Sí</t>
        </is>
      </c>
      <c r="W15" t="inlineStr"/>
    </row>
    <row r="16">
      <c r="A16" t="n">
        <v>1272</v>
      </c>
      <c r="B16" t="inlineStr">
        <is>
          <t>HERMANOS GONZALEZ ROLDAN,S.C.</t>
        </is>
      </c>
      <c r="C16" t="n">
        <v>196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196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22</t>
        </is>
      </c>
      <c r="P16" t="inlineStr">
        <is>
          <t>17</t>
        </is>
      </c>
      <c r="Q16" t="inlineStr">
        <is>
          <t>3</t>
        </is>
      </c>
      <c r="R16" t="n">
        <v>4.94</v>
      </c>
      <c r="S16" t="n">
        <v>4.937842</v>
      </c>
      <c r="T16" t="n">
        <v>4.85</v>
      </c>
      <c r="V16" t="inlineStr">
        <is>
          <t>Sí</t>
        </is>
      </c>
      <c r="W16" t="inlineStr"/>
    </row>
    <row r="17">
      <c r="A17" t="n">
        <v>1272</v>
      </c>
      <c r="B17" t="inlineStr">
        <is>
          <t>HERMANOS GONZALEZ ROLDAN,S.C.</t>
        </is>
      </c>
      <c r="C17" t="n">
        <v>232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232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13</t>
        </is>
      </c>
      <c r="P17" t="inlineStr">
        <is>
          <t>192</t>
        </is>
      </c>
      <c r="Q17" t="inlineStr">
        <is>
          <t>2</t>
        </is>
      </c>
      <c r="R17" t="n">
        <v>1.86</v>
      </c>
      <c r="S17" t="n">
        <v>2.537359</v>
      </c>
      <c r="T17" t="n">
        <v>2.1</v>
      </c>
      <c r="V17" t="inlineStr">
        <is>
          <t>Sí</t>
        </is>
      </c>
      <c r="W17" t="inlineStr"/>
    </row>
    <row r="18">
      <c r="A18" t="n">
        <v>1272</v>
      </c>
      <c r="B18" t="inlineStr">
        <is>
          <t>HERMANOS GONZALEZ ROLDAN,S.C.</t>
        </is>
      </c>
      <c r="C18" t="n">
        <v>232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232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13</t>
        </is>
      </c>
      <c r="P18" t="inlineStr">
        <is>
          <t>394</t>
        </is>
      </c>
      <c r="Q18" t="inlineStr">
        <is>
          <t>2</t>
        </is>
      </c>
      <c r="R18" t="n">
        <v>1.3</v>
      </c>
      <c r="S18" t="n">
        <v>2.774635</v>
      </c>
      <c r="T18" t="n">
        <v>1.35</v>
      </c>
      <c r="V18" t="inlineStr">
        <is>
          <t>Sí</t>
        </is>
      </c>
      <c r="W18" t="inlineStr"/>
    </row>
    <row r="19">
      <c r="A19" t="n">
        <v>1272</v>
      </c>
      <c r="B19" t="inlineStr">
        <is>
          <t>HERMANOS GONZALEZ ROLDAN,S.C.</t>
        </is>
      </c>
      <c r="C19" t="n">
        <v>234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234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13</t>
        </is>
      </c>
      <c r="P19" t="inlineStr">
        <is>
          <t>190</t>
        </is>
      </c>
      <c r="Q19" t="inlineStr">
        <is>
          <t>1</t>
        </is>
      </c>
      <c r="R19" t="n">
        <v>1.05</v>
      </c>
      <c r="S19" t="n">
        <v>1.048222</v>
      </c>
      <c r="T19" t="n">
        <v>1</v>
      </c>
      <c r="V19" t="inlineStr">
        <is>
          <t>Sí</t>
        </is>
      </c>
      <c r="W19" t="inlineStr"/>
    </row>
    <row r="20">
      <c r="A20" t="n">
        <v>1272</v>
      </c>
      <c r="B20" t="inlineStr">
        <is>
          <t>HERMANOS GONZALEZ ROLDAN,S.C.</t>
        </is>
      </c>
      <c r="C20" t="n">
        <v>236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236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13</t>
        </is>
      </c>
      <c r="P20" t="inlineStr">
        <is>
          <t>191</t>
        </is>
      </c>
      <c r="Q20" t="inlineStr">
        <is>
          <t>2</t>
        </is>
      </c>
      <c r="R20" t="n">
        <v>1.05</v>
      </c>
      <c r="S20" t="n">
        <v>1.835704</v>
      </c>
      <c r="T20" t="n">
        <v>1.8</v>
      </c>
      <c r="V20" t="inlineStr">
        <is>
          <t>Sí</t>
        </is>
      </c>
      <c r="W20" t="inlineStr"/>
    </row>
    <row r="21">
      <c r="A21" t="n">
        <v>1272</v>
      </c>
      <c r="B21" t="inlineStr">
        <is>
          <t>HERMANOS GONZALEZ ROLDAN,S.C.</t>
        </is>
      </c>
      <c r="C21" t="n">
        <v>251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251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13</t>
        </is>
      </c>
      <c r="P21" t="inlineStr">
        <is>
          <t>192</t>
        </is>
      </c>
      <c r="Q21" t="inlineStr">
        <is>
          <t>2</t>
        </is>
      </c>
      <c r="R21" t="n">
        <v>0.62</v>
      </c>
      <c r="S21" t="n">
        <v>2.537359</v>
      </c>
      <c r="T21" t="n">
        <v>0.39</v>
      </c>
      <c r="V21" t="inlineStr">
        <is>
          <t>Sí</t>
        </is>
      </c>
      <c r="W21" t="inlineStr"/>
    </row>
    <row r="22">
      <c r="A22" t="n">
        <v>1272</v>
      </c>
      <c r="B22" t="inlineStr">
        <is>
          <t>HERMANOS GONZALEZ ROLDAN,S.C.</t>
        </is>
      </c>
      <c r="C22" t="n">
        <v>251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251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13</t>
        </is>
      </c>
      <c r="P22" t="inlineStr">
        <is>
          <t>192</t>
        </is>
      </c>
      <c r="Q22" t="inlineStr">
        <is>
          <t>4</t>
        </is>
      </c>
      <c r="R22" t="n">
        <v>0.12</v>
      </c>
      <c r="S22" t="n">
        <v>0.118872</v>
      </c>
      <c r="T22" t="n">
        <v>0.11</v>
      </c>
      <c r="V22" t="inlineStr">
        <is>
          <t>Sí</t>
        </is>
      </c>
      <c r="W22" t="inlineStr"/>
    </row>
    <row r="23">
      <c r="A23" t="n">
        <v>1272</v>
      </c>
      <c r="B23" t="inlineStr">
        <is>
          <t>HERMANOS GONZALEZ ROLDAN,S.C.</t>
        </is>
      </c>
      <c r="C23" t="n">
        <v>251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251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13</t>
        </is>
      </c>
      <c r="P23" t="inlineStr">
        <is>
          <t>394</t>
        </is>
      </c>
      <c r="Q23" t="inlineStr">
        <is>
          <t>2</t>
        </is>
      </c>
      <c r="R23" t="n">
        <v>1.42</v>
      </c>
      <c r="S23" t="n">
        <v>2.774635</v>
      </c>
      <c r="T23" t="n">
        <v>1.38</v>
      </c>
      <c r="V23" t="inlineStr">
        <is>
          <t>Sí</t>
        </is>
      </c>
      <c r="W23" t="inlineStr"/>
    </row>
    <row r="24">
      <c r="A24" t="n">
        <v>1272</v>
      </c>
      <c r="B24" t="inlineStr">
        <is>
          <t>HERMANOS GONZALEZ ROLDAN,S.C.</t>
        </is>
      </c>
      <c r="C24" t="n">
        <v>359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359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13</t>
        </is>
      </c>
      <c r="P24" t="inlineStr">
        <is>
          <t>186</t>
        </is>
      </c>
      <c r="Q24" t="inlineStr">
        <is>
          <t>1</t>
        </is>
      </c>
      <c r="R24" t="n">
        <v>3.4</v>
      </c>
      <c r="S24" t="n">
        <v>0</v>
      </c>
      <c r="T24" t="n">
        <v>3.4</v>
      </c>
      <c r="V24" t="inlineStr">
        <is>
          <t>Sí</t>
        </is>
      </c>
      <c r="W24" t="inlineStr"/>
    </row>
    <row r="25">
      <c r="A25" t="n">
        <v>1272</v>
      </c>
      <c r="B25" t="inlineStr">
        <is>
          <t>HERMANOS GONZALEZ ROLDAN,S.C.</t>
        </is>
      </c>
      <c r="C25" t="n">
        <v>359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359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13</t>
        </is>
      </c>
      <c r="P25" t="inlineStr">
        <is>
          <t>187</t>
        </is>
      </c>
      <c r="Q25" t="inlineStr">
        <is>
          <t>1</t>
        </is>
      </c>
      <c r="R25" t="n">
        <v>1.78</v>
      </c>
      <c r="S25" t="n">
        <v>0</v>
      </c>
      <c r="T25" t="n">
        <v>1.78</v>
      </c>
      <c r="V25" t="inlineStr">
        <is>
          <t>Sí</t>
        </is>
      </c>
      <c r="W25" t="inlineStr"/>
    </row>
    <row r="26">
      <c r="A26" t="n">
        <v>1272</v>
      </c>
      <c r="B26" t="inlineStr">
        <is>
          <t>HERMANOS GONZALEZ ROLDAN,S.C.</t>
        </is>
      </c>
      <c r="C26" t="n">
        <v>359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359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13</t>
        </is>
      </c>
      <c r="P26" t="inlineStr">
        <is>
          <t>188</t>
        </is>
      </c>
      <c r="Q26" t="inlineStr">
        <is>
          <t>1</t>
        </is>
      </c>
      <c r="R26" t="n">
        <v>1.6</v>
      </c>
      <c r="S26" t="n">
        <v>0</v>
      </c>
      <c r="T26" t="n">
        <v>1.61</v>
      </c>
      <c r="V26" t="inlineStr">
        <is>
          <t>Sí</t>
        </is>
      </c>
      <c r="W26" t="inlineStr"/>
    </row>
    <row r="27">
      <c r="A27" t="n">
        <v>1272</v>
      </c>
      <c r="B27" t="inlineStr">
        <is>
          <t>HERMANOS GONZALEZ ROLDAN,S.C.</t>
        </is>
      </c>
      <c r="C27" t="n">
        <v>360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360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41055</t>
        </is>
      </c>
      <c r="O27" t="inlineStr">
        <is>
          <t>22</t>
        </is>
      </c>
      <c r="P27" t="inlineStr">
        <is>
          <t>23</t>
        </is>
      </c>
      <c r="Q27" t="inlineStr">
        <is>
          <t>1</t>
        </is>
      </c>
      <c r="R27" t="n">
        <v>3.38</v>
      </c>
      <c r="S27" t="n">
        <v>0</v>
      </c>
      <c r="T27" t="n">
        <v>3.53</v>
      </c>
      <c r="V27" t="inlineStr">
        <is>
          <t>Sí</t>
        </is>
      </c>
      <c r="W27" t="inlineStr"/>
    </row>
    <row r="28">
      <c r="A28" t="n">
        <v>1272</v>
      </c>
      <c r="B28" t="inlineStr">
        <is>
          <t>HERMANOS GONZALEZ ROLDAN,S.C.</t>
        </is>
      </c>
      <c r="C28" t="n">
        <v>360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360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41055</t>
        </is>
      </c>
      <c r="O28" t="inlineStr">
        <is>
          <t>22</t>
        </is>
      </c>
      <c r="P28" t="inlineStr">
        <is>
          <t>41</t>
        </is>
      </c>
      <c r="Q28" t="inlineStr">
        <is>
          <t>4</t>
        </is>
      </c>
      <c r="R28" t="n">
        <v>5.9</v>
      </c>
      <c r="S28" t="n">
        <v>0</v>
      </c>
      <c r="T28" t="n">
        <v>5.9</v>
      </c>
      <c r="V28" t="inlineStr">
        <is>
          <t>Sí</t>
        </is>
      </c>
      <c r="W28" t="inlineStr"/>
    </row>
    <row r="29">
      <c r="A29" t="n">
        <v>1272</v>
      </c>
      <c r="B29" t="inlineStr">
        <is>
          <t>HERMANOS GONZALEZ ROLDAN,S.C.</t>
        </is>
      </c>
      <c r="C29" t="n">
        <v>360</v>
      </c>
      <c r="D29" t="inlineStr">
        <is>
          <t>CITRICOS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360</v>
      </c>
      <c r="K29" t="n">
        <v>2026</v>
      </c>
      <c r="L29" t="inlineStr">
        <is>
          <t>1</t>
        </is>
      </c>
      <c r="M29" t="inlineStr">
        <is>
          <t>CITRICOS</t>
        </is>
      </c>
      <c r="N29" t="inlineStr">
        <is>
          <t>41055</t>
        </is>
      </c>
      <c r="O29" t="inlineStr">
        <is>
          <t>22</t>
        </is>
      </c>
      <c r="P29" t="inlineStr">
        <is>
          <t>9020</t>
        </is>
      </c>
      <c r="Q29" t="inlineStr">
        <is>
          <t>4</t>
        </is>
      </c>
      <c r="R29" t="n">
        <v>0.15</v>
      </c>
      <c r="S29" t="n">
        <v>0</v>
      </c>
      <c r="T29" t="n">
        <v>0.14</v>
      </c>
      <c r="V29" t="inlineStr">
        <is>
          <t>Sí</t>
        </is>
      </c>
      <c r="W29" t="inlineStr"/>
    </row>
    <row r="30">
      <c r="A30" t="n">
        <v>1272</v>
      </c>
      <c r="B30" t="inlineStr">
        <is>
          <t>HERMANOS GONZALEZ ROLDAN,S.C.</t>
        </is>
      </c>
      <c r="C30" t="n">
        <v>360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360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41055</t>
        </is>
      </c>
      <c r="O30" t="inlineStr">
        <is>
          <t>24</t>
        </is>
      </c>
      <c r="P30" t="inlineStr">
        <is>
          <t>1</t>
        </is>
      </c>
      <c r="Q30" t="inlineStr">
        <is>
          <t>2</t>
        </is>
      </c>
      <c r="R30" t="n">
        <v>5</v>
      </c>
      <c r="S30" t="n">
        <v>0</v>
      </c>
      <c r="T30" t="n">
        <v>5</v>
      </c>
      <c r="V30" t="inlineStr">
        <is>
          <t>Sí</t>
        </is>
      </c>
      <c r="W30" t="inlineStr"/>
    </row>
    <row r="31">
      <c r="A31" t="n">
        <v>1272</v>
      </c>
      <c r="B31" t="inlineStr">
        <is>
          <t>HERMANOS GONZALEZ ROLDAN,S.C.</t>
        </is>
      </c>
      <c r="C31" t="n">
        <v>367</v>
      </c>
      <c r="D31" t="inlineStr">
        <is>
          <t>CITRICOS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367</v>
      </c>
      <c r="K31" t="n">
        <v>2026</v>
      </c>
      <c r="L31" t="inlineStr">
        <is>
          <t>1</t>
        </is>
      </c>
      <c r="M31" t="inlineStr">
        <is>
          <t>CITRICOS</t>
        </is>
      </c>
      <c r="N31" t="inlineStr">
        <is>
          <t>41055</t>
        </is>
      </c>
      <c r="O31" t="inlineStr">
        <is>
          <t>2</t>
        </is>
      </c>
      <c r="P31" t="inlineStr">
        <is>
          <t>309</t>
        </is>
      </c>
      <c r="Q31" t="inlineStr">
        <is>
          <t>1</t>
        </is>
      </c>
      <c r="R31" t="n">
        <v>0.71</v>
      </c>
      <c r="S31" t="n">
        <v>0</v>
      </c>
      <c r="T31" t="n">
        <v>0.71</v>
      </c>
      <c r="V31" t="inlineStr">
        <is>
          <t>Sí</t>
        </is>
      </c>
      <c r="W31" t="inlineStr"/>
    </row>
    <row r="32">
      <c r="A32" t="n">
        <v>1272</v>
      </c>
      <c r="B32" t="inlineStr">
        <is>
          <t>HERMANOS GONZALEZ ROLDAN,S.C.</t>
        </is>
      </c>
      <c r="C32" t="n">
        <v>367</v>
      </c>
      <c r="D32" t="inlineStr">
        <is>
          <t>CITRICOS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367</v>
      </c>
      <c r="K32" t="n">
        <v>2026</v>
      </c>
      <c r="L32" t="inlineStr">
        <is>
          <t>1</t>
        </is>
      </c>
      <c r="M32" t="inlineStr">
        <is>
          <t>CITRICOS</t>
        </is>
      </c>
      <c r="N32" t="inlineStr">
        <is>
          <t>41055</t>
        </is>
      </c>
      <c r="O32" t="inlineStr">
        <is>
          <t>2</t>
        </is>
      </c>
      <c r="P32" t="inlineStr">
        <is>
          <t>310</t>
        </is>
      </c>
      <c r="Q32" t="inlineStr">
        <is>
          <t>1</t>
        </is>
      </c>
      <c r="R32" t="n">
        <v>0.62</v>
      </c>
      <c r="S32" t="n">
        <v>0</v>
      </c>
      <c r="T32" t="n">
        <v>0.62</v>
      </c>
      <c r="V32" t="inlineStr">
        <is>
          <t>Sí</t>
        </is>
      </c>
      <c r="W32" t="inlineStr"/>
    </row>
    <row r="33">
      <c r="A33" t="n">
        <v>1272</v>
      </c>
      <c r="B33" t="inlineStr">
        <is>
          <t>HERMANOS GONZALEZ ROLDAN,S.C.</t>
        </is>
      </c>
      <c r="C33" t="n">
        <v>367</v>
      </c>
      <c r="D33" t="inlineStr">
        <is>
          <t>CITRICOS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367</v>
      </c>
      <c r="K33" t="n">
        <v>2026</v>
      </c>
      <c r="L33" t="inlineStr">
        <is>
          <t>1</t>
        </is>
      </c>
      <c r="M33" t="inlineStr">
        <is>
          <t>CITRICOS</t>
        </is>
      </c>
      <c r="N33" t="inlineStr">
        <is>
          <t>41055</t>
        </is>
      </c>
      <c r="O33" t="inlineStr">
        <is>
          <t>2</t>
        </is>
      </c>
      <c r="P33" t="inlineStr">
        <is>
          <t>311</t>
        </is>
      </c>
      <c r="Q33" t="inlineStr">
        <is>
          <t>1</t>
        </is>
      </c>
      <c r="R33" t="n">
        <v>0.46</v>
      </c>
      <c r="S33" t="n">
        <v>0</v>
      </c>
      <c r="T33" t="n">
        <v>0.46</v>
      </c>
      <c r="V33" t="inlineStr">
        <is>
          <t>Sí</t>
        </is>
      </c>
      <c r="W33" t="inlineStr"/>
    </row>
    <row r="34">
      <c r="A34" t="n">
        <v>1272</v>
      </c>
      <c r="B34" t="inlineStr">
        <is>
          <t>HERMANOS GONZALEZ ROLDAN,S.C.</t>
        </is>
      </c>
      <c r="C34" t="n">
        <v>367</v>
      </c>
      <c r="D34" t="inlineStr">
        <is>
          <t>CITRICOS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367</v>
      </c>
      <c r="K34" t="n">
        <v>2026</v>
      </c>
      <c r="L34" t="inlineStr">
        <is>
          <t>1</t>
        </is>
      </c>
      <c r="M34" t="inlineStr">
        <is>
          <t>CITRICOS</t>
        </is>
      </c>
      <c r="N34" t="inlineStr">
        <is>
          <t>41055</t>
        </is>
      </c>
      <c r="O34" t="inlineStr">
        <is>
          <t>2</t>
        </is>
      </c>
      <c r="P34" t="inlineStr">
        <is>
          <t>187</t>
        </is>
      </c>
      <c r="Q34" t="inlineStr">
        <is>
          <t>1</t>
        </is>
      </c>
      <c r="R34" t="n">
        <v>0.3</v>
      </c>
      <c r="S34" t="n">
        <v>0</v>
      </c>
      <c r="T34" t="n">
        <v>0.3</v>
      </c>
      <c r="V34" t="inlineStr">
        <is>
          <t>Sí</t>
        </is>
      </c>
      <c r="W34" t="inlineStr"/>
    </row>
    <row r="35">
      <c r="A35" t="n">
        <v>1272</v>
      </c>
      <c r="B35" t="inlineStr">
        <is>
          <t>HERMANOS GONZALEZ ROLDAN,S.C.</t>
        </is>
      </c>
      <c r="C35" t="n">
        <v>369</v>
      </c>
      <c r="D35" t="inlineStr">
        <is>
          <t>CITRICOS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369</v>
      </c>
      <c r="K35" t="n">
        <v>2026</v>
      </c>
      <c r="L35" t="inlineStr">
        <is>
          <t>1</t>
        </is>
      </c>
      <c r="M35" t="inlineStr">
        <is>
          <t>CITRICOS</t>
        </is>
      </c>
      <c r="N35" t="inlineStr">
        <is>
          <t>41055</t>
        </is>
      </c>
      <c r="O35" t="inlineStr">
        <is>
          <t>14</t>
        </is>
      </c>
      <c r="P35" t="inlineStr">
        <is>
          <t>20</t>
        </is>
      </c>
      <c r="Q35" t="inlineStr">
        <is>
          <t>8</t>
        </is>
      </c>
      <c r="R35" t="n">
        <v>0.09</v>
      </c>
      <c r="S35" t="n">
        <v>0</v>
      </c>
      <c r="T35" t="n">
        <v>0.09</v>
      </c>
      <c r="V35" t="inlineStr">
        <is>
          <t>Sí</t>
        </is>
      </c>
      <c r="W35" t="inlineStr"/>
    </row>
    <row r="36">
      <c r="A36" t="n">
        <v>1272</v>
      </c>
      <c r="B36" t="inlineStr">
        <is>
          <t>HERMANOS GONZALEZ ROLDAN,S.C.</t>
        </is>
      </c>
      <c r="C36" t="n">
        <v>369</v>
      </c>
      <c r="D36" t="inlineStr">
        <is>
          <t>CITRICOS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369</v>
      </c>
      <c r="K36" t="n">
        <v>2026</v>
      </c>
      <c r="L36" t="inlineStr">
        <is>
          <t>1</t>
        </is>
      </c>
      <c r="M36" t="inlineStr">
        <is>
          <t>CITRICOS</t>
        </is>
      </c>
      <c r="N36" t="inlineStr">
        <is>
          <t>41055</t>
        </is>
      </c>
      <c r="O36" t="inlineStr">
        <is>
          <t>14</t>
        </is>
      </c>
      <c r="P36" t="inlineStr">
        <is>
          <t>21</t>
        </is>
      </c>
      <c r="Q36" t="inlineStr">
        <is>
          <t>1</t>
        </is>
      </c>
      <c r="R36" t="n">
        <v>0.5</v>
      </c>
      <c r="S36" t="n">
        <v>0</v>
      </c>
      <c r="T36" t="n">
        <v>0.53</v>
      </c>
      <c r="V36" t="inlineStr">
        <is>
          <t>Sí</t>
        </is>
      </c>
      <c r="W36" t="inlineStr"/>
    </row>
    <row r="37">
      <c r="A37" t="n">
        <v>1272</v>
      </c>
      <c r="B37" t="inlineStr">
        <is>
          <t>HERMANOS GONZALEZ ROLDAN,S.C.</t>
        </is>
      </c>
      <c r="C37" t="n">
        <v>646</v>
      </c>
      <c r="D37" t="inlineStr">
        <is>
          <t>CITRICOS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646</v>
      </c>
      <c r="K37" t="n">
        <v>2026</v>
      </c>
      <c r="L37" t="inlineStr">
        <is>
          <t>1</t>
        </is>
      </c>
      <c r="M37" t="inlineStr">
        <is>
          <t>CITRICOS</t>
        </is>
      </c>
      <c r="N37" t="inlineStr">
        <is>
          <t>41055</t>
        </is>
      </c>
      <c r="O37" t="inlineStr">
        <is>
          <t>7</t>
        </is>
      </c>
      <c r="P37" t="inlineStr">
        <is>
          <t>125</t>
        </is>
      </c>
      <c r="Q37" t="inlineStr">
        <is>
          <t>5</t>
        </is>
      </c>
      <c r="R37" t="n">
        <v>0.07000000000000001</v>
      </c>
      <c r="S37" t="n">
        <v>0</v>
      </c>
      <c r="T37" t="n">
        <v>0.07000000000000001</v>
      </c>
      <c r="V37" t="inlineStr">
        <is>
          <t>Sí</t>
        </is>
      </c>
      <c r="W37" t="inlineStr"/>
    </row>
    <row r="38">
      <c r="A38" t="n">
        <v>1272</v>
      </c>
      <c r="B38" t="inlineStr">
        <is>
          <t>HERMANOS GONZALEZ ROLDAN,S.C.</t>
        </is>
      </c>
      <c r="C38" t="n">
        <v>646</v>
      </c>
      <c r="D38" t="inlineStr">
        <is>
          <t>CITRICOS</t>
        </is>
      </c>
      <c r="E38" t="n">
        <v>2026</v>
      </c>
      <c r="F38" t="n">
        <v>1</v>
      </c>
      <c r="G38" t="n">
        <v>1</v>
      </c>
      <c r="H38" t="inlineStr">
        <is>
          <t>Sí</t>
        </is>
      </c>
      <c r="J38" t="n">
        <v>646</v>
      </c>
      <c r="K38" t="n">
        <v>2026</v>
      </c>
      <c r="L38" t="inlineStr">
        <is>
          <t>1</t>
        </is>
      </c>
      <c r="M38" t="inlineStr">
        <is>
          <t>CITRICOS</t>
        </is>
      </c>
      <c r="N38" t="inlineStr">
        <is>
          <t>41055</t>
        </is>
      </c>
      <c r="O38" t="inlineStr">
        <is>
          <t>7</t>
        </is>
      </c>
      <c r="P38" t="inlineStr">
        <is>
          <t>126</t>
        </is>
      </c>
      <c r="Q38" t="inlineStr">
        <is>
          <t>1</t>
        </is>
      </c>
      <c r="R38" t="n">
        <v>1.17</v>
      </c>
      <c r="S38" t="n">
        <v>0</v>
      </c>
      <c r="T38" t="n">
        <v>1.17</v>
      </c>
      <c r="V38" t="inlineStr">
        <is>
          <t>Sí</t>
        </is>
      </c>
      <c r="W38" t="inlineStr"/>
    </row>
    <row r="39">
      <c r="A39" t="n">
        <v>1272</v>
      </c>
      <c r="B39" t="inlineStr">
        <is>
          <t>HERMANOS GONZALEZ ROLDAN,S.C.</t>
        </is>
      </c>
      <c r="C39" t="n">
        <v>646</v>
      </c>
      <c r="D39" t="inlineStr">
        <is>
          <t>CITRICOS</t>
        </is>
      </c>
      <c r="E39" t="n">
        <v>2026</v>
      </c>
      <c r="F39" t="n">
        <v>1</v>
      </c>
      <c r="G39" t="n">
        <v>1</v>
      </c>
      <c r="H39" t="inlineStr">
        <is>
          <t>Sí</t>
        </is>
      </c>
      <c r="J39" t="n">
        <v>646</v>
      </c>
      <c r="K39" t="n">
        <v>2026</v>
      </c>
      <c r="L39" t="inlineStr">
        <is>
          <t>1</t>
        </is>
      </c>
      <c r="M39" t="inlineStr">
        <is>
          <t>CITRICOS</t>
        </is>
      </c>
      <c r="N39" t="inlineStr">
        <is>
          <t>41055</t>
        </is>
      </c>
      <c r="O39" t="inlineStr">
        <is>
          <t>7</t>
        </is>
      </c>
      <c r="P39" t="inlineStr">
        <is>
          <t>126</t>
        </is>
      </c>
      <c r="Q39" t="inlineStr">
        <is>
          <t>2</t>
        </is>
      </c>
      <c r="R39" t="n">
        <v>0.29</v>
      </c>
      <c r="S39" t="n">
        <v>0</v>
      </c>
      <c r="T39" t="n">
        <v>0.29</v>
      </c>
      <c r="V39" t="inlineStr">
        <is>
          <t>Sí</t>
        </is>
      </c>
      <c r="W39" t="inlineStr"/>
    </row>
    <row r="40">
      <c r="A40" t="n">
        <v>1272</v>
      </c>
      <c r="B40" t="inlineStr">
        <is>
          <t>HERMANOS GONZALEZ ROLDAN,S.C.</t>
        </is>
      </c>
      <c r="C40" t="n">
        <v>646</v>
      </c>
      <c r="D40" t="inlineStr">
        <is>
          <t>CITRICOS</t>
        </is>
      </c>
      <c r="E40" t="n">
        <v>2026</v>
      </c>
      <c r="F40" t="n">
        <v>1</v>
      </c>
      <c r="G40" t="n">
        <v>1</v>
      </c>
      <c r="H40" t="inlineStr">
        <is>
          <t>Sí</t>
        </is>
      </c>
      <c r="J40" t="n">
        <v>646</v>
      </c>
      <c r="K40" t="n">
        <v>2026</v>
      </c>
      <c r="L40" t="inlineStr">
        <is>
          <t>1</t>
        </is>
      </c>
      <c r="M40" t="inlineStr">
        <is>
          <t>CITRICOS</t>
        </is>
      </c>
      <c r="N40" t="inlineStr">
        <is>
          <t>41055</t>
        </is>
      </c>
      <c r="O40" t="inlineStr">
        <is>
          <t>7</t>
        </is>
      </c>
      <c r="P40" t="inlineStr">
        <is>
          <t>127</t>
        </is>
      </c>
      <c r="Q40" t="inlineStr">
        <is>
          <t>1</t>
        </is>
      </c>
      <c r="R40" t="n">
        <v>3.78</v>
      </c>
      <c r="S40" t="n">
        <v>0</v>
      </c>
      <c r="T40" t="n">
        <v>3.78</v>
      </c>
      <c r="V40" t="inlineStr">
        <is>
          <t>Sí</t>
        </is>
      </c>
      <c r="W40" t="inlineStr"/>
    </row>
    <row r="41">
      <c r="A41" t="n">
        <v>1272</v>
      </c>
      <c r="B41" t="inlineStr">
        <is>
          <t>HERMANOS GONZALEZ ROLDAN,S.C.</t>
        </is>
      </c>
      <c r="C41" t="n">
        <v>646</v>
      </c>
      <c r="D41" t="inlineStr">
        <is>
          <t>CITRICOS</t>
        </is>
      </c>
      <c r="E41" t="n">
        <v>2026</v>
      </c>
      <c r="F41" t="n">
        <v>1</v>
      </c>
      <c r="G41" t="n">
        <v>1</v>
      </c>
      <c r="H41" t="inlineStr">
        <is>
          <t>Sí</t>
        </is>
      </c>
      <c r="J41" t="n">
        <v>646</v>
      </c>
      <c r="K41" t="n">
        <v>2026</v>
      </c>
      <c r="L41" t="inlineStr">
        <is>
          <t>1</t>
        </is>
      </c>
      <c r="M41" t="inlineStr">
        <is>
          <t>CITRICOS</t>
        </is>
      </c>
      <c r="N41" t="inlineStr">
        <is>
          <t>41055</t>
        </is>
      </c>
      <c r="O41" t="inlineStr">
        <is>
          <t>8</t>
        </is>
      </c>
      <c r="P41" t="inlineStr">
        <is>
          <t>39</t>
        </is>
      </c>
      <c r="Q41" t="inlineStr">
        <is>
          <t>10</t>
        </is>
      </c>
      <c r="R41" t="n">
        <v>13.31</v>
      </c>
      <c r="S41" t="n">
        <v>0</v>
      </c>
      <c r="T41" t="n">
        <v>13.31</v>
      </c>
      <c r="V41" t="inlineStr">
        <is>
          <t>Sí</t>
        </is>
      </c>
      <c r="W41" t="inlineStr"/>
    </row>
    <row r="42">
      <c r="A42" t="n">
        <v>1272</v>
      </c>
      <c r="B42" t="inlineStr">
        <is>
          <t>HERMANOS GONZALEZ ROLDAN,S.C.</t>
        </is>
      </c>
      <c r="C42" t="n">
        <v>646</v>
      </c>
      <c r="D42" t="inlineStr">
        <is>
          <t>CITRICOS</t>
        </is>
      </c>
      <c r="E42" t="n">
        <v>2026</v>
      </c>
      <c r="F42" t="n">
        <v>1</v>
      </c>
      <c r="G42" t="n">
        <v>1</v>
      </c>
      <c r="H42" t="inlineStr">
        <is>
          <t>Sí</t>
        </is>
      </c>
      <c r="J42" t="n">
        <v>646</v>
      </c>
      <c r="K42" t="n">
        <v>2026</v>
      </c>
      <c r="L42" t="inlineStr">
        <is>
          <t>1</t>
        </is>
      </c>
      <c r="M42" t="inlineStr">
        <is>
          <t>CITRICOS</t>
        </is>
      </c>
      <c r="N42" t="inlineStr">
        <is>
          <t>41055</t>
        </is>
      </c>
      <c r="O42" t="inlineStr">
        <is>
          <t>8</t>
        </is>
      </c>
      <c r="P42" t="inlineStr">
        <is>
          <t>63</t>
        </is>
      </c>
      <c r="Q42" t="inlineStr">
        <is>
          <t>5</t>
        </is>
      </c>
      <c r="R42" t="n">
        <v>4.42</v>
      </c>
      <c r="S42" t="n">
        <v>0</v>
      </c>
      <c r="T42" t="n">
        <v>4.48</v>
      </c>
      <c r="V42" t="inlineStr">
        <is>
          <t>Sí</t>
        </is>
      </c>
      <c r="W42" t="inlineStr"/>
    </row>
    <row r="43">
      <c r="A43" t="n">
        <v>1272</v>
      </c>
      <c r="B43" t="inlineStr">
        <is>
          <t>HERMANOS GONZALEZ ROLDAN,S.C.</t>
        </is>
      </c>
      <c r="C43" t="n">
        <v>646</v>
      </c>
      <c r="D43" t="inlineStr">
        <is>
          <t>CITRICOS</t>
        </is>
      </c>
      <c r="E43" t="n">
        <v>2026</v>
      </c>
      <c r="F43" t="n">
        <v>1</v>
      </c>
      <c r="G43" t="n">
        <v>1</v>
      </c>
      <c r="H43" t="inlineStr">
        <is>
          <t>Sí</t>
        </is>
      </c>
      <c r="J43" t="n">
        <v>646</v>
      </c>
      <c r="K43" t="n">
        <v>2026</v>
      </c>
      <c r="L43" t="inlineStr">
        <is>
          <t>1</t>
        </is>
      </c>
      <c r="M43" t="inlineStr">
        <is>
          <t>CITRICOS</t>
        </is>
      </c>
      <c r="N43" t="inlineStr">
        <is>
          <t>41055</t>
        </is>
      </c>
      <c r="O43" t="inlineStr">
        <is>
          <t>8</t>
        </is>
      </c>
      <c r="P43" t="inlineStr">
        <is>
          <t>9028</t>
        </is>
      </c>
      <c r="Q43" t="inlineStr">
        <is>
          <t>1</t>
        </is>
      </c>
      <c r="R43" t="n">
        <v>0.53</v>
      </c>
      <c r="S43" t="n">
        <v>0</v>
      </c>
      <c r="T43" t="n">
        <v>0.53</v>
      </c>
      <c r="V43" t="inlineStr">
        <is>
          <t>Sí</t>
        </is>
      </c>
      <c r="W43" t="inlineStr"/>
    </row>
    <row r="44">
      <c r="A44" t="n">
        <v>1272</v>
      </c>
      <c r="B44" t="inlineStr">
        <is>
          <t>HERMANOS GONZALEZ ROLDAN,S.C.</t>
        </is>
      </c>
      <c r="C44" t="n">
        <v>646</v>
      </c>
      <c r="D44" t="inlineStr">
        <is>
          <t>CITRICOS</t>
        </is>
      </c>
      <c r="E44" t="n">
        <v>2026</v>
      </c>
      <c r="F44" t="n">
        <v>1</v>
      </c>
      <c r="G44" t="n">
        <v>1</v>
      </c>
      <c r="H44" t="inlineStr">
        <is>
          <t>Sí</t>
        </is>
      </c>
      <c r="J44" t="n">
        <v>646</v>
      </c>
      <c r="K44" t="n">
        <v>2026</v>
      </c>
      <c r="L44" t="inlineStr">
        <is>
          <t>1</t>
        </is>
      </c>
      <c r="M44" t="inlineStr">
        <is>
          <t>CITRICOS</t>
        </is>
      </c>
      <c r="N44" t="inlineStr">
        <is>
          <t>41055</t>
        </is>
      </c>
      <c r="O44" t="inlineStr">
        <is>
          <t>8</t>
        </is>
      </c>
      <c r="P44" t="inlineStr">
        <is>
          <t>9028</t>
        </is>
      </c>
      <c r="Q44" t="inlineStr">
        <is>
          <t>7</t>
        </is>
      </c>
      <c r="R44" t="n">
        <v>0.19</v>
      </c>
      <c r="S44" t="n">
        <v>0</v>
      </c>
      <c r="T44" t="n">
        <v>0.19</v>
      </c>
      <c r="V44" t="inlineStr">
        <is>
          <t>Sí</t>
        </is>
      </c>
      <c r="W44" t="inlineStr"/>
    </row>
    <row r="45">
      <c r="A45" t="n">
        <v>1415</v>
      </c>
      <c r="B45" t="inlineStr">
        <is>
          <t>TOMENO SUAREZ,FERNANDO</t>
        </is>
      </c>
      <c r="C45" t="n">
        <v>708</v>
      </c>
      <c r="D45" t="inlineStr">
        <is>
          <t>CITRICOS</t>
        </is>
      </c>
      <c r="E45" t="n">
        <v>2026</v>
      </c>
      <c r="F45" t="n">
        <v>1</v>
      </c>
      <c r="G45" t="n">
        <v>0</v>
      </c>
      <c r="H45" t="inlineStr">
        <is>
          <t>No</t>
        </is>
      </c>
      <c r="V45" t="inlineStr">
        <is>
          <t>No</t>
        </is>
      </c>
      <c r="W45" t="inlineStr">
        <is>
          <t>CHA_NO_SELECCIONADO; CHA_NO_ACTIVO</t>
        </is>
      </c>
    </row>
    <row r="46">
      <c r="A46" t="n">
        <v>1415</v>
      </c>
      <c r="B46" t="inlineStr">
        <is>
          <t>TOMENO SUAREZ,FERNANDO</t>
        </is>
      </c>
      <c r="C46" t="n">
        <v>168</v>
      </c>
      <c r="D46" t="inlineStr">
        <is>
          <t>CITRICOS</t>
        </is>
      </c>
      <c r="E46" t="n">
        <v>2026</v>
      </c>
      <c r="F46" t="n">
        <v>1</v>
      </c>
      <c r="G46" t="n">
        <v>1</v>
      </c>
      <c r="H46" t="inlineStr">
        <is>
          <t>Sí</t>
        </is>
      </c>
      <c r="J46" t="n">
        <v>168</v>
      </c>
      <c r="K46" t="n">
        <v>2026</v>
      </c>
      <c r="L46" t="inlineStr">
        <is>
          <t>1</t>
        </is>
      </c>
      <c r="M46" t="inlineStr">
        <is>
          <t>CITRICOS</t>
        </is>
      </c>
      <c r="N46" t="inlineStr">
        <is>
          <t>41055</t>
        </is>
      </c>
      <c r="O46" t="inlineStr">
        <is>
          <t>23</t>
        </is>
      </c>
      <c r="P46" t="inlineStr">
        <is>
          <t>60</t>
        </is>
      </c>
      <c r="Q46" t="inlineStr">
        <is>
          <t>5</t>
        </is>
      </c>
      <c r="R46" t="n">
        <v>3.31</v>
      </c>
      <c r="S46" t="n">
        <v>3.9847</v>
      </c>
      <c r="T46" t="n">
        <v>3.31</v>
      </c>
      <c r="V46" t="inlineStr">
        <is>
          <t>Sí</t>
        </is>
      </c>
      <c r="W46" t="inlineStr"/>
    </row>
    <row r="47">
      <c r="A47" t="n">
        <v>1415</v>
      </c>
      <c r="B47" t="inlineStr">
        <is>
          <t>TOMENO SUAREZ,FERNANDO</t>
        </is>
      </c>
      <c r="C47" t="n">
        <v>358</v>
      </c>
      <c r="D47" t="inlineStr">
        <is>
          <t>CITRICOS</t>
        </is>
      </c>
      <c r="E47" t="n">
        <v>2026</v>
      </c>
      <c r="F47" t="n">
        <v>1</v>
      </c>
      <c r="G47" t="n">
        <v>1</v>
      </c>
      <c r="H47" t="inlineStr">
        <is>
          <t>Sí</t>
        </is>
      </c>
      <c r="J47" t="n">
        <v>358</v>
      </c>
      <c r="K47" t="n">
        <v>2026</v>
      </c>
      <c r="L47" t="inlineStr">
        <is>
          <t>1</t>
        </is>
      </c>
      <c r="M47" t="inlineStr">
        <is>
          <t>CITRICOS</t>
        </is>
      </c>
      <c r="N47" t="inlineStr">
        <is>
          <t>41055</t>
        </is>
      </c>
      <c r="O47" t="inlineStr">
        <is>
          <t>21</t>
        </is>
      </c>
      <c r="P47" t="inlineStr">
        <is>
          <t>110</t>
        </is>
      </c>
      <c r="Q47" t="inlineStr">
        <is>
          <t>3</t>
        </is>
      </c>
      <c r="R47" t="n">
        <v>0.07000000000000001</v>
      </c>
      <c r="S47" t="n">
        <v>0</v>
      </c>
      <c r="T47" t="n">
        <v>0.07000000000000001</v>
      </c>
      <c r="V47" t="inlineStr">
        <is>
          <t>Sí</t>
        </is>
      </c>
      <c r="W47" t="inlineStr"/>
    </row>
    <row r="48">
      <c r="A48" t="n">
        <v>1415</v>
      </c>
      <c r="B48" t="inlineStr">
        <is>
          <t>TOMENO SUAREZ,FERNANDO</t>
        </is>
      </c>
      <c r="C48" t="n">
        <v>358</v>
      </c>
      <c r="D48" t="inlineStr">
        <is>
          <t>CITRICOS</t>
        </is>
      </c>
      <c r="E48" t="n">
        <v>2026</v>
      </c>
      <c r="F48" t="n">
        <v>1</v>
      </c>
      <c r="G48" t="n">
        <v>1</v>
      </c>
      <c r="H48" t="inlineStr">
        <is>
          <t>Sí</t>
        </is>
      </c>
      <c r="J48" t="n">
        <v>358</v>
      </c>
      <c r="K48" t="n">
        <v>2026</v>
      </c>
      <c r="L48" t="inlineStr">
        <is>
          <t>1</t>
        </is>
      </c>
      <c r="M48" t="inlineStr">
        <is>
          <t>CITRICOS</t>
        </is>
      </c>
      <c r="N48" t="inlineStr">
        <is>
          <t>41055</t>
        </is>
      </c>
      <c r="O48" t="inlineStr">
        <is>
          <t>21</t>
        </is>
      </c>
      <c r="P48" t="inlineStr">
        <is>
          <t>111</t>
        </is>
      </c>
      <c r="Q48" t="inlineStr">
        <is>
          <t>2</t>
        </is>
      </c>
      <c r="R48" t="n">
        <v>1.98</v>
      </c>
      <c r="S48" t="n">
        <v>0</v>
      </c>
      <c r="T48" t="n">
        <v>1.98</v>
      </c>
      <c r="V48" t="inlineStr">
        <is>
          <t>Sí</t>
        </is>
      </c>
      <c r="W48" t="inlineStr"/>
    </row>
    <row r="49">
      <c r="A49" t="n">
        <v>1415</v>
      </c>
      <c r="B49" t="inlineStr">
        <is>
          <t>TOMENO SUAREZ,FERNANDO</t>
        </is>
      </c>
      <c r="C49" t="n">
        <v>672</v>
      </c>
      <c r="D49" t="inlineStr">
        <is>
          <t>CITRICOS</t>
        </is>
      </c>
      <c r="E49" t="n">
        <v>2026</v>
      </c>
      <c r="F49" t="n">
        <v>1</v>
      </c>
      <c r="G49" t="n">
        <v>1</v>
      </c>
      <c r="H49" t="inlineStr">
        <is>
          <t>Sí</t>
        </is>
      </c>
      <c r="J49" t="n">
        <v>672</v>
      </c>
      <c r="K49" t="n">
        <v>2026</v>
      </c>
      <c r="L49" t="inlineStr">
        <is>
          <t>1</t>
        </is>
      </c>
      <c r="M49" t="inlineStr">
        <is>
          <t>CITRICOS</t>
        </is>
      </c>
      <c r="N49" t="inlineStr">
        <is>
          <t>41055</t>
        </is>
      </c>
      <c r="O49" t="inlineStr">
        <is>
          <t>21</t>
        </is>
      </c>
      <c r="P49" t="inlineStr">
        <is>
          <t>9</t>
        </is>
      </c>
      <c r="Q49" t="inlineStr">
        <is>
          <t>1</t>
        </is>
      </c>
      <c r="R49" t="n">
        <v>2.73</v>
      </c>
      <c r="S49" t="n">
        <v>0</v>
      </c>
      <c r="T49" t="n">
        <v>2.73</v>
      </c>
      <c r="V49" t="inlineStr">
        <is>
          <t>No</t>
        </is>
      </c>
      <c r="W49" t="inlineStr">
        <is>
          <t>ANO_NO_VALIDO</t>
        </is>
      </c>
    </row>
    <row r="50">
      <c r="A50" t="n">
        <v>1415</v>
      </c>
      <c r="B50" t="inlineStr">
        <is>
          <t>TOMENO SUAREZ,FERNANDO</t>
        </is>
      </c>
      <c r="C50" t="n">
        <v>615</v>
      </c>
      <c r="D50" t="inlineStr">
        <is>
          <t>MANDARINA</t>
        </is>
      </c>
      <c r="E50" t="n">
        <v>2026</v>
      </c>
      <c r="F50" t="n">
        <v>1</v>
      </c>
      <c r="G50" t="n">
        <v>1</v>
      </c>
      <c r="H50" t="inlineStr">
        <is>
          <t>Sí</t>
        </is>
      </c>
      <c r="J50" t="n">
        <v>615</v>
      </c>
      <c r="K50" t="n">
        <v>2026</v>
      </c>
      <c r="L50" t="inlineStr">
        <is>
          <t>1</t>
        </is>
      </c>
      <c r="M50" t="inlineStr">
        <is>
          <t>MANDARINA</t>
        </is>
      </c>
      <c r="N50" t="inlineStr">
        <is>
          <t>41055</t>
        </is>
      </c>
      <c r="O50" t="inlineStr">
        <is>
          <t>21</t>
        </is>
      </c>
      <c r="P50" t="inlineStr">
        <is>
          <t>110</t>
        </is>
      </c>
      <c r="Q50" t="inlineStr">
        <is>
          <t>3</t>
        </is>
      </c>
      <c r="R50" t="n">
        <v>2.13</v>
      </c>
      <c r="S50" t="n">
        <v>0</v>
      </c>
      <c r="T50" t="n">
        <v>2.13</v>
      </c>
      <c r="V50" t="inlineStr">
        <is>
          <t>Sí</t>
        </is>
      </c>
      <c r="W50" t="inlineStr"/>
    </row>
    <row r="51">
      <c r="A51" t="n">
        <v>1415</v>
      </c>
      <c r="B51" t="inlineStr">
        <is>
          <t>TOMENO SUAREZ,FERNANDO</t>
        </is>
      </c>
      <c r="C51" t="n">
        <v>708</v>
      </c>
      <c r="D51" t="inlineStr">
        <is>
          <t>CITRICOS</t>
        </is>
      </c>
      <c r="E51" t="n">
        <v>2026</v>
      </c>
      <c r="F51" t="n">
        <v>1</v>
      </c>
      <c r="G51" t="n">
        <v>0</v>
      </c>
      <c r="H51" t="inlineStr">
        <is>
          <t>No</t>
        </is>
      </c>
      <c r="V51" t="inlineStr">
        <is>
          <t>No</t>
        </is>
      </c>
      <c r="W51" t="inlineStr">
        <is>
          <t>CHA_NO_SELECCIONADO; CHA_NO_ACTIVO</t>
        </is>
      </c>
    </row>
    <row r="52">
      <c r="A52" t="n">
        <v>1415</v>
      </c>
      <c r="B52" t="inlineStr">
        <is>
          <t>TOMENO SUAREZ,FERNANDO</t>
        </is>
      </c>
      <c r="C52" t="n">
        <v>168</v>
      </c>
      <c r="D52" t="inlineStr">
        <is>
          <t>CITRICOS</t>
        </is>
      </c>
      <c r="E52" t="n">
        <v>2026</v>
      </c>
      <c r="F52" t="n">
        <v>1</v>
      </c>
      <c r="G52" t="n">
        <v>1</v>
      </c>
      <c r="H52" t="inlineStr">
        <is>
          <t>Sí</t>
        </is>
      </c>
      <c r="J52" t="n">
        <v>168</v>
      </c>
      <c r="K52" t="n">
        <v>2026</v>
      </c>
      <c r="L52" t="inlineStr">
        <is>
          <t>1</t>
        </is>
      </c>
      <c r="M52" t="inlineStr">
        <is>
          <t>CITRICOS</t>
        </is>
      </c>
      <c r="N52" t="inlineStr">
        <is>
          <t>41055</t>
        </is>
      </c>
      <c r="O52" t="inlineStr">
        <is>
          <t>23</t>
        </is>
      </c>
      <c r="P52" t="inlineStr">
        <is>
          <t>60</t>
        </is>
      </c>
      <c r="Q52" t="inlineStr">
        <is>
          <t>5</t>
        </is>
      </c>
      <c r="R52" t="n">
        <v>3.31</v>
      </c>
      <c r="S52" t="n">
        <v>3.9847</v>
      </c>
      <c r="T52" t="n">
        <v>3.31</v>
      </c>
      <c r="V52" t="inlineStr">
        <is>
          <t>Sí</t>
        </is>
      </c>
      <c r="W52" t="inlineStr"/>
    </row>
    <row r="53">
      <c r="A53" t="n">
        <v>1415</v>
      </c>
      <c r="B53" t="inlineStr">
        <is>
          <t>TOMENO SUAREZ,FERNANDO</t>
        </is>
      </c>
      <c r="C53" t="n">
        <v>358</v>
      </c>
      <c r="D53" t="inlineStr">
        <is>
          <t>CITRICOS</t>
        </is>
      </c>
      <c r="E53" t="n">
        <v>2026</v>
      </c>
      <c r="F53" t="n">
        <v>1</v>
      </c>
      <c r="G53" t="n">
        <v>1</v>
      </c>
      <c r="H53" t="inlineStr">
        <is>
          <t>Sí</t>
        </is>
      </c>
      <c r="J53" t="n">
        <v>358</v>
      </c>
      <c r="K53" t="n">
        <v>2026</v>
      </c>
      <c r="L53" t="inlineStr">
        <is>
          <t>1</t>
        </is>
      </c>
      <c r="M53" t="inlineStr">
        <is>
          <t>CITRICOS</t>
        </is>
      </c>
      <c r="N53" t="inlineStr">
        <is>
          <t>41055</t>
        </is>
      </c>
      <c r="O53" t="inlineStr">
        <is>
          <t>21</t>
        </is>
      </c>
      <c r="P53" t="inlineStr">
        <is>
          <t>110</t>
        </is>
      </c>
      <c r="Q53" t="inlineStr">
        <is>
          <t>3</t>
        </is>
      </c>
      <c r="R53" t="n">
        <v>0.07000000000000001</v>
      </c>
      <c r="S53" t="n">
        <v>0</v>
      </c>
      <c r="T53" t="n">
        <v>0.07000000000000001</v>
      </c>
      <c r="V53" t="inlineStr">
        <is>
          <t>Sí</t>
        </is>
      </c>
      <c r="W53" t="inlineStr"/>
    </row>
    <row r="54">
      <c r="A54" t="n">
        <v>1415</v>
      </c>
      <c r="B54" t="inlineStr">
        <is>
          <t>TOMENO SUAREZ,FERNANDO</t>
        </is>
      </c>
      <c r="C54" t="n">
        <v>358</v>
      </c>
      <c r="D54" t="inlineStr">
        <is>
          <t>CITRICOS</t>
        </is>
      </c>
      <c r="E54" t="n">
        <v>2026</v>
      </c>
      <c r="F54" t="n">
        <v>1</v>
      </c>
      <c r="G54" t="n">
        <v>1</v>
      </c>
      <c r="H54" t="inlineStr">
        <is>
          <t>Sí</t>
        </is>
      </c>
      <c r="J54" t="n">
        <v>358</v>
      </c>
      <c r="K54" t="n">
        <v>2026</v>
      </c>
      <c r="L54" t="inlineStr">
        <is>
          <t>1</t>
        </is>
      </c>
      <c r="M54" t="inlineStr">
        <is>
          <t>CITRICOS</t>
        </is>
      </c>
      <c r="N54" t="inlineStr">
        <is>
          <t>41055</t>
        </is>
      </c>
      <c r="O54" t="inlineStr">
        <is>
          <t>21</t>
        </is>
      </c>
      <c r="P54" t="inlineStr">
        <is>
          <t>111</t>
        </is>
      </c>
      <c r="Q54" t="inlineStr">
        <is>
          <t>2</t>
        </is>
      </c>
      <c r="R54" t="n">
        <v>1.98</v>
      </c>
      <c r="S54" t="n">
        <v>0</v>
      </c>
      <c r="T54" t="n">
        <v>1.98</v>
      </c>
      <c r="V54" t="inlineStr">
        <is>
          <t>Sí</t>
        </is>
      </c>
      <c r="W54" t="inlineStr"/>
    </row>
    <row r="55">
      <c r="A55" t="n">
        <v>1415</v>
      </c>
      <c r="B55" t="inlineStr">
        <is>
          <t>TOMENO SUAREZ,FERNANDO</t>
        </is>
      </c>
      <c r="C55" t="n">
        <v>672</v>
      </c>
      <c r="D55" t="inlineStr">
        <is>
          <t>CITRICOS</t>
        </is>
      </c>
      <c r="E55" t="n">
        <v>2026</v>
      </c>
      <c r="F55" t="n">
        <v>1</v>
      </c>
      <c r="G55" t="n">
        <v>1</v>
      </c>
      <c r="H55" t="inlineStr">
        <is>
          <t>Sí</t>
        </is>
      </c>
      <c r="J55" t="n">
        <v>672</v>
      </c>
      <c r="K55" t="n">
        <v>2026</v>
      </c>
      <c r="L55" t="inlineStr">
        <is>
          <t>1</t>
        </is>
      </c>
      <c r="M55" t="inlineStr">
        <is>
          <t>CITRICOS</t>
        </is>
      </c>
      <c r="N55" t="inlineStr">
        <is>
          <t>41055</t>
        </is>
      </c>
      <c r="O55" t="inlineStr">
        <is>
          <t>21</t>
        </is>
      </c>
      <c r="P55" t="inlineStr">
        <is>
          <t>9</t>
        </is>
      </c>
      <c r="Q55" t="inlineStr">
        <is>
          <t>1</t>
        </is>
      </c>
      <c r="R55" t="n">
        <v>2.73</v>
      </c>
      <c r="S55" t="n">
        <v>0</v>
      </c>
      <c r="T55" t="n">
        <v>2.73</v>
      </c>
      <c r="V55" t="inlineStr">
        <is>
          <t>No</t>
        </is>
      </c>
      <c r="W55" t="inlineStr">
        <is>
          <t>ANO_NO_VALIDO</t>
        </is>
      </c>
    </row>
    <row r="56">
      <c r="A56" t="n">
        <v>1415</v>
      </c>
      <c r="B56" t="inlineStr">
        <is>
          <t>TOMENO SUAREZ,FERNANDO</t>
        </is>
      </c>
      <c r="C56" t="n">
        <v>615</v>
      </c>
      <c r="D56" t="inlineStr">
        <is>
          <t>MANDARINA</t>
        </is>
      </c>
      <c r="E56" t="n">
        <v>2026</v>
      </c>
      <c r="F56" t="n">
        <v>1</v>
      </c>
      <c r="G56" t="n">
        <v>1</v>
      </c>
      <c r="H56" t="inlineStr">
        <is>
          <t>Sí</t>
        </is>
      </c>
      <c r="J56" t="n">
        <v>615</v>
      </c>
      <c r="K56" t="n">
        <v>2026</v>
      </c>
      <c r="L56" t="inlineStr">
        <is>
          <t>1</t>
        </is>
      </c>
      <c r="M56" t="inlineStr">
        <is>
          <t>MANDARINA</t>
        </is>
      </c>
      <c r="N56" t="inlineStr">
        <is>
          <t>41055</t>
        </is>
      </c>
      <c r="O56" t="inlineStr">
        <is>
          <t>21</t>
        </is>
      </c>
      <c r="P56" t="inlineStr">
        <is>
          <t>110</t>
        </is>
      </c>
      <c r="Q56" t="inlineStr">
        <is>
          <t>3</t>
        </is>
      </c>
      <c r="R56" t="n">
        <v>2.13</v>
      </c>
      <c r="S56" t="n">
        <v>0</v>
      </c>
      <c r="T56" t="n">
        <v>2.13</v>
      </c>
      <c r="V56" t="inlineStr">
        <is>
          <t>Sí</t>
        </is>
      </c>
      <c r="W56" t="inlineStr"/>
    </row>
    <row r="57">
      <c r="A57" t="n">
        <v>1445</v>
      </c>
      <c r="B57" t="inlineStr">
        <is>
          <t>REAL GARCIA,MIGUEL</t>
        </is>
      </c>
      <c r="C57" t="n">
        <v>192</v>
      </c>
      <c r="D57" t="inlineStr">
        <is>
          <t>CITRICOS</t>
        </is>
      </c>
      <c r="E57" t="n">
        <v>2026</v>
      </c>
      <c r="F57" t="n">
        <v>1</v>
      </c>
      <c r="G57" t="n">
        <v>1</v>
      </c>
      <c r="H57" t="inlineStr">
        <is>
          <t>Sí</t>
        </is>
      </c>
      <c r="J57" t="n">
        <v>192</v>
      </c>
      <c r="K57" t="n">
        <v>2026</v>
      </c>
      <c r="L57" t="inlineStr">
        <is>
          <t>1</t>
        </is>
      </c>
      <c r="M57" t="inlineStr">
        <is>
          <t>CITRICOS</t>
        </is>
      </c>
      <c r="N57" t="inlineStr">
        <is>
          <t>41055</t>
        </is>
      </c>
      <c r="O57" t="inlineStr">
        <is>
          <t>13</t>
        </is>
      </c>
      <c r="P57" t="inlineStr">
        <is>
          <t>38</t>
        </is>
      </c>
      <c r="Q57" t="inlineStr">
        <is>
          <t>1</t>
        </is>
      </c>
      <c r="R57" t="n">
        <v>2.88</v>
      </c>
      <c r="S57" t="n">
        <v>2.878897</v>
      </c>
      <c r="T57" t="n">
        <v>2.83</v>
      </c>
      <c r="V57" t="inlineStr">
        <is>
          <t>Sí</t>
        </is>
      </c>
      <c r="W57" t="inlineStr"/>
    </row>
    <row r="58">
      <c r="A58" t="n">
        <v>1445</v>
      </c>
      <c r="B58" t="inlineStr">
        <is>
          <t>REAL GARCIA,MIGUEL</t>
        </is>
      </c>
      <c r="C58" t="n">
        <v>193</v>
      </c>
      <c r="D58" t="inlineStr">
        <is>
          <t>CITRICOS</t>
        </is>
      </c>
      <c r="E58" t="n">
        <v>2026</v>
      </c>
      <c r="F58" t="n">
        <v>1</v>
      </c>
      <c r="G58" t="n">
        <v>1</v>
      </c>
      <c r="H58" t="inlineStr">
        <is>
          <t>Sí</t>
        </is>
      </c>
      <c r="J58" t="n">
        <v>193</v>
      </c>
      <c r="K58" t="n">
        <v>2026</v>
      </c>
      <c r="L58" t="inlineStr">
        <is>
          <t>1</t>
        </is>
      </c>
      <c r="M58" t="inlineStr">
        <is>
          <t>CITRICOS</t>
        </is>
      </c>
      <c r="N58" t="inlineStr">
        <is>
          <t>41055</t>
        </is>
      </c>
      <c r="O58" t="inlineStr">
        <is>
          <t>12</t>
        </is>
      </c>
      <c r="P58" t="inlineStr">
        <is>
          <t>24</t>
        </is>
      </c>
      <c r="Q58" t="inlineStr">
        <is>
          <t>3</t>
        </is>
      </c>
      <c r="R58" t="n">
        <v>0.5600000000000001</v>
      </c>
      <c r="S58" t="n">
        <v>3.932571</v>
      </c>
      <c r="T58" t="n">
        <v>0.53</v>
      </c>
      <c r="V58" t="inlineStr">
        <is>
          <t>Sí</t>
        </is>
      </c>
      <c r="W58" t="inlineStr"/>
    </row>
    <row r="59">
      <c r="A59" t="n">
        <v>1445</v>
      </c>
      <c r="B59" t="inlineStr">
        <is>
          <t>REAL GARCIA,MIGUEL</t>
        </is>
      </c>
      <c r="C59" t="n">
        <v>193</v>
      </c>
      <c r="D59" t="inlineStr">
        <is>
          <t>CITRICOS</t>
        </is>
      </c>
      <c r="E59" t="n">
        <v>2026</v>
      </c>
      <c r="F59" t="n">
        <v>1</v>
      </c>
      <c r="G59" t="n">
        <v>1</v>
      </c>
      <c r="H59" t="inlineStr">
        <is>
          <t>Sí</t>
        </is>
      </c>
      <c r="J59" t="n">
        <v>193</v>
      </c>
      <c r="K59" t="n">
        <v>2026</v>
      </c>
      <c r="L59" t="inlineStr">
        <is>
          <t>1</t>
        </is>
      </c>
      <c r="M59" t="inlineStr">
        <is>
          <t>CITRICOS</t>
        </is>
      </c>
      <c r="N59" t="inlineStr">
        <is>
          <t>41055</t>
        </is>
      </c>
      <c r="O59" t="inlineStr">
        <is>
          <t>12</t>
        </is>
      </c>
      <c r="P59" t="inlineStr">
        <is>
          <t>24</t>
        </is>
      </c>
      <c r="Q59" t="inlineStr">
        <is>
          <t>3</t>
        </is>
      </c>
      <c r="R59" t="n">
        <v>1.57</v>
      </c>
      <c r="S59" t="n">
        <v>3.932571</v>
      </c>
      <c r="T59" t="n">
        <v>1.57</v>
      </c>
      <c r="V59" t="inlineStr">
        <is>
          <t>Sí</t>
        </is>
      </c>
      <c r="W59" t="inlineStr"/>
    </row>
    <row r="60">
      <c r="A60" t="n">
        <v>1445</v>
      </c>
      <c r="B60" t="inlineStr">
        <is>
          <t>REAL GARCIA,MIGUEL</t>
        </is>
      </c>
      <c r="C60" t="n">
        <v>193</v>
      </c>
      <c r="D60" t="inlineStr">
        <is>
          <t>CITRICOS</t>
        </is>
      </c>
      <c r="E60" t="n">
        <v>2026</v>
      </c>
      <c r="F60" t="n">
        <v>1</v>
      </c>
      <c r="G60" t="n">
        <v>1</v>
      </c>
      <c r="H60" t="inlineStr">
        <is>
          <t>Sí</t>
        </is>
      </c>
      <c r="J60" t="n">
        <v>193</v>
      </c>
      <c r="K60" t="n">
        <v>2026</v>
      </c>
      <c r="L60" t="inlineStr">
        <is>
          <t>1</t>
        </is>
      </c>
      <c r="M60" t="inlineStr">
        <is>
          <t>CITRICOS</t>
        </is>
      </c>
      <c r="N60" t="inlineStr">
        <is>
          <t>41055</t>
        </is>
      </c>
      <c r="O60" t="inlineStr">
        <is>
          <t>12</t>
        </is>
      </c>
      <c r="P60" t="inlineStr">
        <is>
          <t>25</t>
        </is>
      </c>
      <c r="Q60" t="inlineStr">
        <is>
          <t>1</t>
        </is>
      </c>
      <c r="R60" t="n">
        <v>1.21</v>
      </c>
      <c r="S60" t="n">
        <v>1.206203</v>
      </c>
      <c r="T60" t="n">
        <v>1.2</v>
      </c>
      <c r="V60" t="inlineStr">
        <is>
          <t>Sí</t>
        </is>
      </c>
      <c r="W60" t="inlineStr"/>
    </row>
    <row r="61">
      <c r="A61" t="n">
        <v>1445</v>
      </c>
      <c r="B61" t="inlineStr">
        <is>
          <t>REAL GARCIA,MIGUEL</t>
        </is>
      </c>
      <c r="C61" t="n">
        <v>263</v>
      </c>
      <c r="D61" t="inlineStr">
        <is>
          <t>CITRICOS</t>
        </is>
      </c>
      <c r="E61" t="n">
        <v>2026</v>
      </c>
      <c r="F61" t="n">
        <v>1</v>
      </c>
      <c r="G61" t="n">
        <v>1</v>
      </c>
      <c r="H61" t="inlineStr">
        <is>
          <t>Sí</t>
        </is>
      </c>
      <c r="J61" t="n">
        <v>263</v>
      </c>
      <c r="K61" t="n">
        <v>2026</v>
      </c>
      <c r="L61" t="inlineStr">
        <is>
          <t>1</t>
        </is>
      </c>
      <c r="M61" t="inlineStr">
        <is>
          <t>CITRICOS</t>
        </is>
      </c>
      <c r="N61" t="inlineStr">
        <is>
          <t>41055</t>
        </is>
      </c>
      <c r="O61" t="inlineStr">
        <is>
          <t>12</t>
        </is>
      </c>
      <c r="P61" t="inlineStr">
        <is>
          <t>24</t>
        </is>
      </c>
      <c r="Q61" t="inlineStr">
        <is>
          <t>3</t>
        </is>
      </c>
      <c r="R61" t="n">
        <v>1.89</v>
      </c>
      <c r="S61" t="n">
        <v>3.932571</v>
      </c>
      <c r="T61" t="n">
        <v>1.8</v>
      </c>
      <c r="V61" t="inlineStr">
        <is>
          <t>Sí</t>
        </is>
      </c>
      <c r="W61" t="inlineStr"/>
    </row>
    <row r="62">
      <c r="A62" t="n">
        <v>1500</v>
      </c>
      <c r="B62" t="inlineStr">
        <is>
          <t>JIMENEZ MALDONADO, PEDRO</t>
        </is>
      </c>
      <c r="C62" t="n">
        <v>674</v>
      </c>
      <c r="D62" t="inlineStr">
        <is>
          <t>CITRICOS</t>
        </is>
      </c>
      <c r="E62" t="n">
        <v>2026</v>
      </c>
      <c r="F62" t="n">
        <v>1</v>
      </c>
      <c r="G62" t="n">
        <v>0</v>
      </c>
      <c r="H62" t="inlineStr">
        <is>
          <t>No</t>
        </is>
      </c>
      <c r="V62" t="inlineStr">
        <is>
          <t>No</t>
        </is>
      </c>
      <c r="W62" t="inlineStr">
        <is>
          <t>CHA_NO_SELECCIONADO; CHA_NO_ACTIVO</t>
        </is>
      </c>
    </row>
    <row r="63">
      <c r="A63" t="n">
        <v>1500</v>
      </c>
      <c r="B63" t="inlineStr">
        <is>
          <t>JIMENEZ MALDONADO, PEDRO</t>
        </is>
      </c>
      <c r="C63" t="n">
        <v>198</v>
      </c>
      <c r="D63" t="inlineStr">
        <is>
          <t>CITRICOS</t>
        </is>
      </c>
      <c r="E63" t="n">
        <v>2026</v>
      </c>
      <c r="F63" t="n">
        <v>1</v>
      </c>
      <c r="G63" t="n">
        <v>1</v>
      </c>
      <c r="H63" t="inlineStr">
        <is>
          <t>Sí</t>
        </is>
      </c>
      <c r="J63" t="n">
        <v>198</v>
      </c>
      <c r="K63" t="n">
        <v>2026</v>
      </c>
      <c r="L63" t="inlineStr">
        <is>
          <t>1</t>
        </is>
      </c>
      <c r="M63" t="inlineStr">
        <is>
          <t>CITRICOS</t>
        </is>
      </c>
      <c r="N63" t="inlineStr">
        <is>
          <t>41055</t>
        </is>
      </c>
      <c r="O63" t="inlineStr">
        <is>
          <t>7</t>
        </is>
      </c>
      <c r="P63" t="inlineStr">
        <is>
          <t>121</t>
        </is>
      </c>
      <c r="Q63" t="inlineStr">
        <is>
          <t>1</t>
        </is>
      </c>
      <c r="R63" t="n">
        <v>3.12</v>
      </c>
      <c r="S63" t="n">
        <v>5.901347</v>
      </c>
      <c r="T63" t="n">
        <v>3.12</v>
      </c>
      <c r="V63" t="inlineStr">
        <is>
          <t>Sí</t>
        </is>
      </c>
      <c r="W63" t="inlineStr"/>
    </row>
    <row r="64">
      <c r="A64" t="n">
        <v>1507</v>
      </c>
      <c r="B64" t="inlineStr">
        <is>
          <t>ZAMBRANO HINOJOSA, Mª ÁNGELES</t>
        </is>
      </c>
      <c r="C64" t="n">
        <v>589</v>
      </c>
      <c r="D64" t="inlineStr">
        <is>
          <t>CITRICOS</t>
        </is>
      </c>
      <c r="E64" t="n">
        <v>2026</v>
      </c>
      <c r="F64" t="n">
        <v>1</v>
      </c>
      <c r="G64" t="n">
        <v>1</v>
      </c>
      <c r="H64" t="inlineStr">
        <is>
          <t>Sí</t>
        </is>
      </c>
      <c r="J64" t="n">
        <v>589</v>
      </c>
      <c r="K64" t="n">
        <v>2026</v>
      </c>
      <c r="L64" t="inlineStr">
        <is>
          <t>1</t>
        </is>
      </c>
      <c r="M64" t="inlineStr">
        <is>
          <t>CITRICOS</t>
        </is>
      </c>
      <c r="N64" t="inlineStr">
        <is>
          <t>41055</t>
        </is>
      </c>
      <c r="O64" t="inlineStr">
        <is>
          <t>30</t>
        </is>
      </c>
      <c r="P64" t="inlineStr">
        <is>
          <t>65</t>
        </is>
      </c>
      <c r="Q64" t="inlineStr">
        <is>
          <t>1</t>
        </is>
      </c>
      <c r="R64" t="n">
        <v>0.2436</v>
      </c>
      <c r="S64" t="n">
        <v>0</v>
      </c>
      <c r="T64" t="n">
        <v>0.2436</v>
      </c>
      <c r="V64" t="inlineStr">
        <is>
          <t>Sí</t>
        </is>
      </c>
      <c r="W64" t="inlineStr"/>
    </row>
    <row r="65">
      <c r="A65" t="n">
        <v>1544</v>
      </c>
      <c r="B65" t="inlineStr">
        <is>
          <t>HARO ORDOÑO, ALVARO</t>
        </is>
      </c>
      <c r="C65" t="n">
        <v>662</v>
      </c>
      <c r="D65" t="inlineStr">
        <is>
          <t>CITRICOS</t>
        </is>
      </c>
      <c r="E65" t="n">
        <v>2026</v>
      </c>
      <c r="F65" t="n">
        <v>1</v>
      </c>
      <c r="G65" t="n">
        <v>0</v>
      </c>
      <c r="H65" t="inlineStr">
        <is>
          <t>No</t>
        </is>
      </c>
      <c r="V65" t="inlineStr">
        <is>
          <t>No</t>
        </is>
      </c>
      <c r="W65" t="inlineStr">
        <is>
          <t>CHA_NO_SELECCIONADO; CHA_NO_ACTIVO</t>
        </is>
      </c>
    </row>
    <row r="66">
      <c r="A66" t="n">
        <v>1544</v>
      </c>
      <c r="B66" t="inlineStr">
        <is>
          <t>HARO ORDOÑO, ALVARO</t>
        </is>
      </c>
      <c r="C66" t="n">
        <v>575</v>
      </c>
      <c r="D66" t="inlineStr">
        <is>
          <t>CITRICOS</t>
        </is>
      </c>
      <c r="E66" t="n">
        <v>2026</v>
      </c>
      <c r="F66" t="n">
        <v>1</v>
      </c>
      <c r="G66" t="n">
        <v>1</v>
      </c>
      <c r="H66" t="inlineStr">
        <is>
          <t>Sí</t>
        </is>
      </c>
      <c r="J66" t="n">
        <v>575</v>
      </c>
      <c r="K66" t="n">
        <v>2026</v>
      </c>
      <c r="L66" t="inlineStr">
        <is>
          <t>1</t>
        </is>
      </c>
      <c r="M66" t="inlineStr">
        <is>
          <t>CITRICOS</t>
        </is>
      </c>
      <c r="N66" t="inlineStr">
        <is>
          <t>41055</t>
        </is>
      </c>
      <c r="O66" t="inlineStr">
        <is>
          <t>7</t>
        </is>
      </c>
      <c r="P66" t="inlineStr">
        <is>
          <t>158</t>
        </is>
      </c>
      <c r="Q66" t="inlineStr">
        <is>
          <t>3</t>
        </is>
      </c>
      <c r="R66" t="n">
        <v>0.22</v>
      </c>
      <c r="S66" t="n">
        <v>0</v>
      </c>
      <c r="T66" t="n">
        <v>0.22</v>
      </c>
      <c r="V66" t="inlineStr">
        <is>
          <t>Sí</t>
        </is>
      </c>
      <c r="W66" t="inlineStr"/>
    </row>
    <row r="67">
      <c r="A67" t="n">
        <v>1544</v>
      </c>
      <c r="B67" t="inlineStr">
        <is>
          <t>HARO ORDOÑO, ALVARO</t>
        </is>
      </c>
      <c r="C67" t="n">
        <v>575</v>
      </c>
      <c r="D67" t="inlineStr">
        <is>
          <t>CITRICOS</t>
        </is>
      </c>
      <c r="E67" t="n">
        <v>2026</v>
      </c>
      <c r="F67" t="n">
        <v>1</v>
      </c>
      <c r="G67" t="n">
        <v>1</v>
      </c>
      <c r="H67" t="inlineStr">
        <is>
          <t>Sí</t>
        </is>
      </c>
      <c r="J67" t="n">
        <v>575</v>
      </c>
      <c r="K67" t="n">
        <v>2026</v>
      </c>
      <c r="L67" t="inlineStr">
        <is>
          <t>1</t>
        </is>
      </c>
      <c r="M67" t="inlineStr">
        <is>
          <t>CITRICOS</t>
        </is>
      </c>
      <c r="N67" t="inlineStr">
        <is>
          <t>41055</t>
        </is>
      </c>
      <c r="O67" t="inlineStr">
        <is>
          <t>7</t>
        </is>
      </c>
      <c r="P67" t="inlineStr">
        <is>
          <t>158</t>
        </is>
      </c>
      <c r="Q67" t="inlineStr">
        <is>
          <t>3</t>
        </is>
      </c>
      <c r="R67" t="n">
        <v>0.29</v>
      </c>
      <c r="S67" t="n">
        <v>0</v>
      </c>
      <c r="T67" t="n">
        <v>0.29</v>
      </c>
      <c r="V67" t="inlineStr">
        <is>
          <t>Sí</t>
        </is>
      </c>
      <c r="W67" t="inlineStr"/>
    </row>
    <row r="68">
      <c r="A68" t="n">
        <v>1544</v>
      </c>
      <c r="B68" t="inlineStr">
        <is>
          <t>HARO ORDOÑO, ALVARO</t>
        </is>
      </c>
      <c r="C68" t="n">
        <v>576</v>
      </c>
      <c r="D68" t="inlineStr">
        <is>
          <t>CITRICOS</t>
        </is>
      </c>
      <c r="E68" t="n">
        <v>2026</v>
      </c>
      <c r="F68" t="n">
        <v>1</v>
      </c>
      <c r="G68" t="n">
        <v>1</v>
      </c>
      <c r="H68" t="inlineStr">
        <is>
          <t>Sí</t>
        </is>
      </c>
      <c r="J68" t="n">
        <v>576</v>
      </c>
      <c r="K68" t="n">
        <v>2026</v>
      </c>
      <c r="L68" t="inlineStr">
        <is>
          <t>1</t>
        </is>
      </c>
      <c r="M68" t="inlineStr">
        <is>
          <t>CITRICOS</t>
        </is>
      </c>
      <c r="N68" t="inlineStr">
        <is>
          <t>41055</t>
        </is>
      </c>
      <c r="O68" t="inlineStr">
        <is>
          <t>7</t>
        </is>
      </c>
      <c r="P68" t="inlineStr">
        <is>
          <t>158</t>
        </is>
      </c>
      <c r="Q68" t="inlineStr">
        <is>
          <t>3</t>
        </is>
      </c>
      <c r="R68" t="n">
        <v>0.66</v>
      </c>
      <c r="S68" t="n">
        <v>0</v>
      </c>
      <c r="T68" t="n">
        <v>0.63</v>
      </c>
      <c r="V68" t="inlineStr">
        <is>
          <t>Sí</t>
        </is>
      </c>
      <c r="W68" t="inlineStr"/>
    </row>
    <row r="69">
      <c r="A69" t="n">
        <v>1544</v>
      </c>
      <c r="B69" t="inlineStr">
        <is>
          <t>HARO ORDOÑO, ALVARO</t>
        </is>
      </c>
      <c r="C69" t="n">
        <v>578</v>
      </c>
      <c r="D69" t="inlineStr">
        <is>
          <t>CITRICOS</t>
        </is>
      </c>
      <c r="E69" t="n">
        <v>2026</v>
      </c>
      <c r="F69" t="n">
        <v>1</v>
      </c>
      <c r="G69" t="n">
        <v>1</v>
      </c>
      <c r="H69" t="inlineStr">
        <is>
          <t>Sí</t>
        </is>
      </c>
      <c r="J69" t="n">
        <v>578</v>
      </c>
      <c r="K69" t="n">
        <v>2026</v>
      </c>
      <c r="L69" t="inlineStr">
        <is>
          <t>1</t>
        </is>
      </c>
      <c r="M69" t="inlineStr">
        <is>
          <t>CITRICOS</t>
        </is>
      </c>
      <c r="N69" t="inlineStr">
        <is>
          <t>41055</t>
        </is>
      </c>
      <c r="O69" t="inlineStr">
        <is>
          <t>7</t>
        </is>
      </c>
      <c r="P69" t="inlineStr">
        <is>
          <t>98</t>
        </is>
      </c>
      <c r="Q69" t="inlineStr">
        <is>
          <t>1</t>
        </is>
      </c>
      <c r="R69" t="n">
        <v>1.01</v>
      </c>
      <c r="S69" t="n">
        <v>0</v>
      </c>
      <c r="T69" t="n">
        <v>1.01</v>
      </c>
      <c r="V69" t="inlineStr">
        <is>
          <t>Sí</t>
        </is>
      </c>
      <c r="W69" t="inlineStr"/>
    </row>
    <row r="70">
      <c r="A70" t="n">
        <v>1544</v>
      </c>
      <c r="B70" t="inlineStr">
        <is>
          <t>HARO ORDOÑO, ALVARO</t>
        </is>
      </c>
      <c r="C70" t="n">
        <v>578</v>
      </c>
      <c r="D70" t="inlineStr">
        <is>
          <t>CITRICOS</t>
        </is>
      </c>
      <c r="E70" t="n">
        <v>2026</v>
      </c>
      <c r="F70" t="n">
        <v>1</v>
      </c>
      <c r="G70" t="n">
        <v>1</v>
      </c>
      <c r="H70" t="inlineStr">
        <is>
          <t>Sí</t>
        </is>
      </c>
      <c r="J70" t="n">
        <v>578</v>
      </c>
      <c r="K70" t="n">
        <v>2026</v>
      </c>
      <c r="L70" t="inlineStr">
        <is>
          <t>1</t>
        </is>
      </c>
      <c r="M70" t="inlineStr">
        <is>
          <t>CITRICOS</t>
        </is>
      </c>
      <c r="N70" t="inlineStr">
        <is>
          <t>41055</t>
        </is>
      </c>
      <c r="O70" t="inlineStr">
        <is>
          <t>7</t>
        </is>
      </c>
      <c r="P70" t="inlineStr">
        <is>
          <t>98</t>
        </is>
      </c>
      <c r="Q70" t="inlineStr">
        <is>
          <t>1</t>
        </is>
      </c>
      <c r="R70" t="n">
        <v>1.37</v>
      </c>
      <c r="S70" t="n">
        <v>0</v>
      </c>
      <c r="T70" t="n">
        <v>1.37</v>
      </c>
      <c r="V70" t="inlineStr">
        <is>
          <t>Sí</t>
        </is>
      </c>
      <c r="W70" t="inlineStr"/>
    </row>
    <row r="71">
      <c r="A71" t="n">
        <v>1544</v>
      </c>
      <c r="B71" t="inlineStr">
        <is>
          <t>HARO ORDOÑO, ALVARO</t>
        </is>
      </c>
      <c r="C71" t="n">
        <v>596</v>
      </c>
      <c r="D71" t="inlineStr">
        <is>
          <t>CITRICOS</t>
        </is>
      </c>
      <c r="E71" t="n">
        <v>2026</v>
      </c>
      <c r="F71" t="n">
        <v>1</v>
      </c>
      <c r="G71" t="n">
        <v>1</v>
      </c>
      <c r="H71" t="inlineStr">
        <is>
          <t>Sí</t>
        </is>
      </c>
      <c r="J71" t="n">
        <v>596</v>
      </c>
      <c r="K71" t="n">
        <v>2026</v>
      </c>
      <c r="L71" t="inlineStr">
        <is>
          <t>1</t>
        </is>
      </c>
      <c r="M71" t="inlineStr">
        <is>
          <t>CITRICOS</t>
        </is>
      </c>
      <c r="N71" t="inlineStr">
        <is>
          <t>41055</t>
        </is>
      </c>
      <c r="O71" t="inlineStr">
        <is>
          <t>7</t>
        </is>
      </c>
      <c r="P71" t="inlineStr">
        <is>
          <t>158</t>
        </is>
      </c>
      <c r="Q71" t="inlineStr">
        <is>
          <t>3</t>
        </is>
      </c>
      <c r="R71" t="n">
        <v>0.25</v>
      </c>
      <c r="S71" t="n">
        <v>0</v>
      </c>
      <c r="T71" t="n">
        <v>0.24</v>
      </c>
      <c r="V71" t="inlineStr">
        <is>
          <t>Sí</t>
        </is>
      </c>
      <c r="W71" t="inlineStr"/>
    </row>
    <row r="72">
      <c r="A72" t="n">
        <v>1597</v>
      </c>
      <c r="B72" t="inlineStr">
        <is>
          <t>CARBALLO SIRIA, ANTONIO JOSE</t>
        </is>
      </c>
      <c r="C72" t="n">
        <v>678</v>
      </c>
      <c r="D72" t="inlineStr">
        <is>
          <t>CITRICOS</t>
        </is>
      </c>
      <c r="E72" t="n">
        <v>2026</v>
      </c>
      <c r="F72" t="n">
        <v>1</v>
      </c>
      <c r="G72" t="n">
        <v>1</v>
      </c>
      <c r="H72" t="inlineStr">
        <is>
          <t>Sí</t>
        </is>
      </c>
      <c r="J72" t="n">
        <v>678</v>
      </c>
      <c r="K72" t="n">
        <v>2026</v>
      </c>
      <c r="L72" t="inlineStr">
        <is>
          <t>1</t>
        </is>
      </c>
      <c r="M72" t="inlineStr">
        <is>
          <t>CITRICOS</t>
        </is>
      </c>
      <c r="N72" t="inlineStr">
        <is>
          <t>41055</t>
        </is>
      </c>
      <c r="O72" t="inlineStr">
        <is>
          <t>13</t>
        </is>
      </c>
      <c r="P72" t="inlineStr">
        <is>
          <t>160</t>
        </is>
      </c>
      <c r="Q72" t="inlineStr">
        <is>
          <t>1</t>
        </is>
      </c>
      <c r="R72" t="n">
        <v>2.93</v>
      </c>
      <c r="S72" t="n">
        <v>0</v>
      </c>
      <c r="T72" t="n">
        <v>2.93</v>
      </c>
      <c r="V72" t="inlineStr">
        <is>
          <t>Sí</t>
        </is>
      </c>
      <c r="W72" t="inlineStr"/>
    </row>
    <row r="73">
      <c r="A73" t="n">
        <v>1597</v>
      </c>
      <c r="B73" t="inlineStr">
        <is>
          <t>CARBALLO SIRIA, ANTONIO JOSE</t>
        </is>
      </c>
      <c r="C73" t="n">
        <v>679</v>
      </c>
      <c r="D73" t="inlineStr">
        <is>
          <t>CITRICOS</t>
        </is>
      </c>
      <c r="E73" t="n">
        <v>2026</v>
      </c>
      <c r="F73" t="n">
        <v>1</v>
      </c>
      <c r="G73" t="n">
        <v>1</v>
      </c>
      <c r="H73" t="inlineStr">
        <is>
          <t>Sí</t>
        </is>
      </c>
      <c r="J73" t="n">
        <v>679</v>
      </c>
      <c r="K73" t="n">
        <v>2026</v>
      </c>
      <c r="L73" t="inlineStr">
        <is>
          <t>1</t>
        </is>
      </c>
      <c r="M73" t="inlineStr">
        <is>
          <t>CITRICOS</t>
        </is>
      </c>
      <c r="N73" t="inlineStr">
        <is>
          <t>41055</t>
        </is>
      </c>
      <c r="O73" t="inlineStr">
        <is>
          <t>13</t>
        </is>
      </c>
      <c r="P73" t="inlineStr">
        <is>
          <t>30</t>
        </is>
      </c>
      <c r="Q73" t="inlineStr">
        <is>
          <t>1</t>
        </is>
      </c>
      <c r="R73" t="n">
        <v>2.7</v>
      </c>
      <c r="S73" t="n">
        <v>0</v>
      </c>
      <c r="T73" t="n">
        <v>2.7</v>
      </c>
      <c r="V73" t="inlineStr">
        <is>
          <t>Sí</t>
        </is>
      </c>
      <c r="W73" t="inlineStr"/>
    </row>
    <row r="74">
      <c r="A74" t="n">
        <v>1627</v>
      </c>
      <c r="B74" t="inlineStr">
        <is>
          <t>FRUTAS ANDALUZAS DE SEVILLA S.L.</t>
        </is>
      </c>
      <c r="C74" t="n">
        <v>362</v>
      </c>
      <c r="D74" t="inlineStr">
        <is>
          <t>CITRICOS</t>
        </is>
      </c>
      <c r="E74" t="n">
        <v>2026</v>
      </c>
      <c r="F74" t="n">
        <v>1</v>
      </c>
      <c r="G74" t="n">
        <v>1</v>
      </c>
      <c r="H74" t="inlineStr">
        <is>
          <t>Sí</t>
        </is>
      </c>
      <c r="J74" t="n">
        <v>362</v>
      </c>
      <c r="K74" t="n">
        <v>2026</v>
      </c>
      <c r="L74" t="inlineStr">
        <is>
          <t>1</t>
        </is>
      </c>
      <c r="M74" t="inlineStr">
        <is>
          <t>CITRICOS</t>
        </is>
      </c>
      <c r="N74" t="inlineStr">
        <is>
          <t>41055</t>
        </is>
      </c>
      <c r="O74" t="inlineStr">
        <is>
          <t>21</t>
        </is>
      </c>
      <c r="P74" t="inlineStr">
        <is>
          <t>111</t>
        </is>
      </c>
      <c r="Q74" t="inlineStr">
        <is>
          <t>2</t>
        </is>
      </c>
      <c r="R74" t="n">
        <v>2.06</v>
      </c>
      <c r="S74" t="n">
        <v>0</v>
      </c>
      <c r="T74" t="n">
        <v>2.06</v>
      </c>
      <c r="V74" t="inlineStr">
        <is>
          <t>Sí</t>
        </is>
      </c>
      <c r="W74" t="inlineStr"/>
    </row>
    <row r="75">
      <c r="A75" t="n">
        <v>1627</v>
      </c>
      <c r="B75" t="inlineStr">
        <is>
          <t>FRUTAS ANDALUZAS DE SEVILLA S.L.</t>
        </is>
      </c>
      <c r="C75" t="n">
        <v>362</v>
      </c>
      <c r="D75" t="inlineStr">
        <is>
          <t>CITRICOS</t>
        </is>
      </c>
      <c r="E75" t="n">
        <v>2026</v>
      </c>
      <c r="F75" t="n">
        <v>1</v>
      </c>
      <c r="G75" t="n">
        <v>1</v>
      </c>
      <c r="H75" t="inlineStr">
        <is>
          <t>Sí</t>
        </is>
      </c>
      <c r="J75" t="n">
        <v>362</v>
      </c>
      <c r="K75" t="n">
        <v>2026</v>
      </c>
      <c r="L75" t="inlineStr">
        <is>
          <t>1</t>
        </is>
      </c>
      <c r="M75" t="inlineStr">
        <is>
          <t>CITRICOS</t>
        </is>
      </c>
      <c r="N75" t="inlineStr">
        <is>
          <t>41055</t>
        </is>
      </c>
      <c r="O75" t="inlineStr">
        <is>
          <t>21</t>
        </is>
      </c>
      <c r="P75" t="inlineStr">
        <is>
          <t>10</t>
        </is>
      </c>
      <c r="Q75" t="inlineStr">
        <is>
          <t>1</t>
        </is>
      </c>
      <c r="R75" t="n">
        <v>1.41</v>
      </c>
      <c r="S75" t="n">
        <v>0</v>
      </c>
      <c r="T75" t="n">
        <v>1.41</v>
      </c>
      <c r="V75" t="inlineStr">
        <is>
          <t>Sí</t>
        </is>
      </c>
      <c r="W75" t="inlineStr"/>
    </row>
    <row r="76">
      <c r="A76" t="n">
        <v>1627</v>
      </c>
      <c r="B76" t="inlineStr">
        <is>
          <t>FRUTAS ANDALUZAS DE SEVILLA S.L.</t>
        </is>
      </c>
      <c r="C76" t="n">
        <v>705</v>
      </c>
      <c r="D76" t="inlineStr">
        <is>
          <t>CITRICOS</t>
        </is>
      </c>
      <c r="E76" t="n">
        <v>2026</v>
      </c>
      <c r="F76" t="n">
        <v>1</v>
      </c>
      <c r="G76" t="n">
        <v>1</v>
      </c>
      <c r="H76" t="inlineStr">
        <is>
          <t>Sí</t>
        </is>
      </c>
      <c r="J76" t="n">
        <v>705</v>
      </c>
      <c r="K76" t="n">
        <v>2026</v>
      </c>
      <c r="L76" t="inlineStr">
        <is>
          <t>1</t>
        </is>
      </c>
      <c r="M76" t="inlineStr">
        <is>
          <t>CITRICOS</t>
        </is>
      </c>
      <c r="N76" t="inlineStr">
        <is>
          <t>41055</t>
        </is>
      </c>
      <c r="O76" t="inlineStr">
        <is>
          <t>21</t>
        </is>
      </c>
      <c r="P76" t="inlineStr">
        <is>
          <t>11</t>
        </is>
      </c>
      <c r="Q76" t="inlineStr">
        <is>
          <t>2</t>
        </is>
      </c>
      <c r="R76" t="n">
        <v>3.3</v>
      </c>
      <c r="S76" t="n">
        <v>0</v>
      </c>
      <c r="T76" t="n">
        <v>3.3</v>
      </c>
      <c r="V76" t="inlineStr">
        <is>
          <t>Sí</t>
        </is>
      </c>
      <c r="W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inlineStr">
        <is>
          <t>calculated</t>
        </is>
      </c>
      <c r="E2" t="n">
        <v>14.39</v>
      </c>
      <c r="F2" t="n">
        <v>2806.05</v>
      </c>
      <c r="G2" t="n">
        <v>430968</v>
      </c>
      <c r="H2" t="n">
        <v>0.006511040262850142</v>
      </c>
      <c r="I2" t="n">
        <v>3552</v>
      </c>
      <c r="J2" t="n">
        <v>23.13</v>
      </c>
      <c r="K2" t="inlineStr">
        <is>
          <t>43 entregas ya figuran como liquidadas.; No existe tarifa BonCalidad para socio=798 campaña=2026 empresa=1 cultivo=INDUSTRIA.; No existe fuente acumulada disponible; saldo informativo calculado con cuota ya aplicada = 0.</t>
        </is>
      </c>
    </row>
    <row r="3">
      <c r="A3" t="n">
        <v>904</v>
      </c>
      <c r="B3" t="inlineStr">
        <is>
          <t>FERNANDEZ MELENDEZ,ANGEL</t>
        </is>
      </c>
      <c r="C3" t="inlineStr">
        <is>
          <t>LANE LATE</t>
        </is>
      </c>
      <c r="D3" t="inlineStr">
        <is>
          <t>calculated</t>
        </is>
      </c>
      <c r="E3" t="n">
        <v>1.8</v>
      </c>
      <c r="F3" t="n">
        <v>351</v>
      </c>
      <c r="G3" t="n">
        <v>58810</v>
      </c>
      <c r="H3" t="n">
        <v>0.005968372725726917</v>
      </c>
      <c r="I3" t="n">
        <v>3209</v>
      </c>
      <c r="J3" t="n">
        <v>19.15</v>
      </c>
      <c r="K3" t="inlineStr">
        <is>
          <t>43 entregas ya figuran como liquidadas.; No existe tarifa BonCalidad para socio=904 campaña=2026 empresa=1 cultivo=INDUSTRIA.; No existe fuente acumulada disponible; saldo informativo calculado con cuota ya aplicada = 0.</t>
        </is>
      </c>
    </row>
    <row r="4">
      <c r="A4" t="n">
        <v>990</v>
      </c>
      <c r="B4" t="inlineStr">
        <is>
          <t>SANCHEZ PEREZ,ANTONIO</t>
        </is>
      </c>
      <c r="C4" t="inlineStr">
        <is>
          <t>LANE LATE</t>
        </is>
      </c>
      <c r="D4" t="inlineStr">
        <is>
          <t>calculated</t>
        </is>
      </c>
      <c r="E4" t="n">
        <v>2.65</v>
      </c>
      <c r="F4" t="n">
        <v>516.75</v>
      </c>
      <c r="G4" t="n">
        <v>40408</v>
      </c>
      <c r="H4" t="n">
        <v>0.01278830924569392</v>
      </c>
      <c r="I4" t="n">
        <v>11720</v>
      </c>
      <c r="J4" t="n">
        <v>149.88</v>
      </c>
      <c r="K4" t="inlineStr">
        <is>
          <t>43 entregas ya figuran como liquidadas.; No existe tarifa BonCalidad para socio=990 campaña=2026 empresa=1 cultivo=INDUSTRIA.; No existe fuente acumulada disponible; saldo informativo calculado con cuota ya aplicada = 0.</t>
        </is>
      </c>
    </row>
    <row r="5">
      <c r="A5" t="n">
        <v>1178</v>
      </c>
      <c r="B5" t="inlineStr">
        <is>
          <t>CALZADO GARCIA,FRANCISCO JAVIER</t>
        </is>
      </c>
      <c r="C5" t="inlineStr">
        <is>
          <t>NAVEL POWEL</t>
        </is>
      </c>
      <c r="D5" t="inlineStr">
        <is>
          <t>calculated</t>
        </is>
      </c>
      <c r="E5" t="n">
        <v>9.630000000000001</v>
      </c>
      <c r="F5" t="n">
        <v>1877.85</v>
      </c>
      <c r="G5" t="n">
        <v>152504</v>
      </c>
      <c r="H5" t="n">
        <v>0.01231344751613072</v>
      </c>
      <c r="I5" t="n">
        <v>2948</v>
      </c>
      <c r="J5" t="n">
        <v>36.3</v>
      </c>
      <c r="K5" t="inlineStr">
        <is>
          <t>43 entregas ya figuran como liquidadas.; No existe tarifa BonCalidad para socio=1178 campaña=2026 empresa=1 cultivo=INDUSTRIA.; No existe fuente acumulada disponible; saldo informativo calculado con cuota ya aplicada = 0.</t>
        </is>
      </c>
    </row>
    <row r="6">
      <c r="A6" t="n">
        <v>1205</v>
      </c>
      <c r="B6" t="inlineStr">
        <is>
          <t>OLIVER JIMENEZ,MARIA MERCEDES</t>
        </is>
      </c>
      <c r="C6" t="inlineStr">
        <is>
          <t>LANE LATE</t>
        </is>
      </c>
      <c r="D6" t="inlineStr">
        <is>
          <t>calculated</t>
        </is>
      </c>
      <c r="E6" t="n">
        <v>1.86</v>
      </c>
      <c r="F6" t="n">
        <v>362.7</v>
      </c>
      <c r="G6" t="n">
        <v>43580</v>
      </c>
      <c r="H6" t="n">
        <v>0.008322625057365763</v>
      </c>
      <c r="I6" t="n">
        <v>1413</v>
      </c>
      <c r="J6" t="n">
        <v>11.76</v>
      </c>
      <c r="K6" t="inlineStr">
        <is>
          <t>43 entregas ya figuran como liquidadas.; No existe tarifa BonCalidad para socio=1205 campaña=2026 empresa=1 cultivo=INDUSTRIA.; No existe fuente acumulada disponible; saldo informativo calculado con cuota ya aplicada = 0.</t>
        </is>
      </c>
    </row>
    <row r="7">
      <c r="A7" t="n">
        <v>1255</v>
      </c>
      <c r="B7" t="inlineStr">
        <is>
          <t>CHAMIZO AGREDANO,JUAN</t>
        </is>
      </c>
      <c r="C7" t="inlineStr">
        <is>
          <t>LANE LATE</t>
        </is>
      </c>
      <c r="D7" t="inlineStr">
        <is>
          <t>calculated</t>
        </is>
      </c>
      <c r="E7" t="n">
        <v>0.98</v>
      </c>
      <c r="F7" t="n">
        <v>191.1</v>
      </c>
      <c r="G7" t="n">
        <v>29489</v>
      </c>
      <c r="H7" t="n">
        <v>0.00648038251551426</v>
      </c>
      <c r="I7" t="n">
        <v>382</v>
      </c>
      <c r="J7" t="n">
        <v>2.48</v>
      </c>
      <c r="K7" t="inlineStr">
        <is>
          <t>43 entregas ya figuran como liquidadas.; No existe tarifa BonCalidad para socio=1255 campaña=2026 empresa=1 cultivo=INDUSTRIA.; No existe fuente acumulada disponible; saldo informativo calculado con cuota ya aplicada = 0.</t>
        </is>
      </c>
    </row>
    <row r="8">
      <c r="A8" t="n">
        <v>1272</v>
      </c>
      <c r="B8" t="inlineStr">
        <is>
          <t>HERMANOS GONZALEZ ROLDAN,S.C.</t>
        </is>
      </c>
      <c r="C8" t="inlineStr">
        <is>
          <t>LANE LATE</t>
        </is>
      </c>
      <c r="D8" t="inlineStr">
        <is>
          <t>calculated</t>
        </is>
      </c>
      <c r="E8" t="n">
        <v>60.01</v>
      </c>
      <c r="F8" t="n">
        <v>11701.95</v>
      </c>
      <c r="G8" t="n">
        <v>636702</v>
      </c>
      <c r="H8" t="n">
        <v>0.01837900619127944</v>
      </c>
      <c r="I8" t="n">
        <v>955</v>
      </c>
      <c r="J8" t="n">
        <v>17.55</v>
      </c>
      <c r="K8" t="inlineStr">
        <is>
          <t>43 entregas ya figuran como liquidadas.; No existe tarifa BonCalidad para socio=1272 campaña=2026 empresa=1 cultivo=INDUSTRIA.; No existe fuente acumulada disponible; saldo informativo calculado con cuota ya aplicada = 0.</t>
        </is>
      </c>
    </row>
    <row r="9">
      <c r="A9" t="n">
        <v>1415</v>
      </c>
      <c r="B9" t="inlineStr">
        <is>
          <t>TOMENO SUAREZ,FERNANDO</t>
        </is>
      </c>
      <c r="C9" t="inlineStr">
        <is>
          <t>BARNFIELD</t>
        </is>
      </c>
      <c r="D9" t="inlineStr">
        <is>
          <t>calculated</t>
        </is>
      </c>
      <c r="E9" t="n">
        <v>7.49</v>
      </c>
      <c r="F9" t="n">
        <v>1460.55</v>
      </c>
      <c r="G9" t="n">
        <v>414468</v>
      </c>
      <c r="H9" t="n">
        <v>0.003523914994643736</v>
      </c>
      <c r="I9" t="n">
        <v>3543</v>
      </c>
      <c r="J9" t="n">
        <v>12.49</v>
      </c>
      <c r="K9" t="inlineStr">
        <is>
          <t>43 entregas ya figuran como liquidadas.; No existe tarifa BonCalidad para socio=1415 campaña=2026 empresa=1 cultivo=INDUSTRIA.; No existe fuente acumulada disponible; saldo informativo calculado con cuota ya aplicada = 0.</t>
        </is>
      </c>
    </row>
    <row r="10">
      <c r="A10" t="n">
        <v>1415</v>
      </c>
      <c r="B10" t="inlineStr">
        <is>
          <t>TOMENO SUAREZ,FERNANDO</t>
        </is>
      </c>
      <c r="C10" t="inlineStr">
        <is>
          <t>LANE LATE</t>
        </is>
      </c>
      <c r="D10" t="inlineStr">
        <is>
          <t>calculated</t>
        </is>
      </c>
      <c r="E10" t="n">
        <v>7.49</v>
      </c>
      <c r="F10" t="n">
        <v>1460.55</v>
      </c>
      <c r="G10" t="n">
        <v>414468</v>
      </c>
      <c r="H10" t="n">
        <v>0.003523914994643736</v>
      </c>
      <c r="I10" t="n">
        <v>6720</v>
      </c>
      <c r="J10" t="n">
        <v>23.68</v>
      </c>
      <c r="K10" t="inlineStr">
        <is>
          <t>43 entregas ya figuran como liquidadas.; No existe tarifa BonCalidad para socio=1415 campaña=2026 empresa=1 cultivo=INDUSTRIA.; No existe fuente acumulada disponible; saldo informativo calculado con cuota ya aplicada = 0.</t>
        </is>
      </c>
    </row>
    <row r="11">
      <c r="A11" t="n">
        <v>1445</v>
      </c>
      <c r="B11" t="inlineStr">
        <is>
          <t>REAL GARCIA,MIGUEL</t>
        </is>
      </c>
      <c r="C11" t="inlineStr">
        <is>
          <t>LANE LATE</t>
        </is>
      </c>
      <c r="D11" t="inlineStr">
        <is>
          <t>calculated</t>
        </is>
      </c>
      <c r="E11" t="n">
        <v>8.109999999999999</v>
      </c>
      <c r="F11" t="n">
        <v>1581.45</v>
      </c>
      <c r="G11" t="n">
        <v>171300</v>
      </c>
      <c r="H11" t="n">
        <v>0.009232049036777584</v>
      </c>
      <c r="I11" t="n">
        <v>2369</v>
      </c>
      <c r="J11" t="n">
        <v>21.87</v>
      </c>
      <c r="K11" t="inlineStr">
        <is>
          <t>43 entregas ya figuran como liquidadas.; No existe tarifa BonCalidad para socio=1445 campaña=2026 empresa=1 cultivo=INDUSTRIA.; No existe fuente acumulada disponible; saldo informativo calculado con cuota ya aplicada = 0.</t>
        </is>
      </c>
    </row>
    <row r="12">
      <c r="A12" t="n">
        <v>1500</v>
      </c>
      <c r="B12" t="inlineStr">
        <is>
          <t>JIMENEZ MALDONADO, PEDRO</t>
        </is>
      </c>
      <c r="C12" t="inlineStr">
        <is>
          <t>CHISLETT SUMER</t>
        </is>
      </c>
      <c r="D12" t="inlineStr">
        <is>
          <t>calculated</t>
        </is>
      </c>
      <c r="E12" t="n">
        <v>3.12</v>
      </c>
      <c r="F12" t="n">
        <v>608.4</v>
      </c>
      <c r="G12" t="n">
        <v>173709</v>
      </c>
      <c r="H12" t="n">
        <v>0.003502409201595772</v>
      </c>
      <c r="I12" t="n">
        <v>1243</v>
      </c>
      <c r="J12" t="n">
        <v>4.35</v>
      </c>
      <c r="K12" t="inlineStr">
        <is>
          <t>43 entregas ya figuran como liquidadas.; No existe tarifa BonCalidad para socio=1500 campaña=2026 empresa=1 cultivo=INDUSTRIA.; No existe fuente acumulada disponible; saldo informativo calculado con cuota ya aplicada = 0.</t>
        </is>
      </c>
    </row>
    <row r="13">
      <c r="A13" t="n">
        <v>1507</v>
      </c>
      <c r="B13" t="inlineStr">
        <is>
          <t>ZAMBRANO HINOJOSA, Mª ÁNGELES</t>
        </is>
      </c>
      <c r="C13" t="inlineStr">
        <is>
          <t>LANE LATE</t>
        </is>
      </c>
      <c r="D13" t="inlineStr">
        <is>
          <t>calculated</t>
        </is>
      </c>
      <c r="E13" t="n">
        <v>0.2436</v>
      </c>
      <c r="F13" t="n">
        <v>47.5</v>
      </c>
      <c r="G13" t="n">
        <v>5539</v>
      </c>
      <c r="H13" t="n">
        <v>0.008575555154359992</v>
      </c>
      <c r="I13" t="n">
        <v>5539</v>
      </c>
      <c r="J13" t="n">
        <v>47.5</v>
      </c>
      <c r="K13" t="inlineStr">
        <is>
          <t>43 entregas ya figuran como liquidadas.; No existe tarifa BonCalidad para socio=1507 campaña=2026 empresa=1 cultivo=INDUSTRIA.; No existe fuente acumulada disponible; saldo informativo calculado con cuota ya aplicada = 0.</t>
        </is>
      </c>
    </row>
    <row r="14">
      <c r="A14" t="n">
        <v>1544</v>
      </c>
      <c r="B14" t="inlineStr">
        <is>
          <t>HARO ORDOÑO, ALVARO</t>
        </is>
      </c>
      <c r="C14" t="inlineStr">
        <is>
          <t>LANE LATE</t>
        </is>
      </c>
      <c r="D14" t="inlineStr">
        <is>
          <t>calculated</t>
        </is>
      </c>
      <c r="E14" t="n">
        <v>3.8</v>
      </c>
      <c r="F14" t="n">
        <v>741</v>
      </c>
      <c r="G14" t="n">
        <v>131717</v>
      </c>
      <c r="H14" t="n">
        <v>0.005625697518163942</v>
      </c>
      <c r="I14" t="n">
        <v>3620</v>
      </c>
      <c r="J14" t="n">
        <v>20.37</v>
      </c>
      <c r="K14" t="inlineStr">
        <is>
          <t>43 entregas ya figuran como liquidadas.; No existe tarifa BonCalidad para socio=1544 campaña=2026 empresa=1 cultivo=INDUSTRIA.; No existe fuente acumulada disponible; saldo informativo calculado con cuota ya aplicada = 0.</t>
        </is>
      </c>
    </row>
    <row r="15">
      <c r="A15" t="n">
        <v>1597</v>
      </c>
      <c r="B15" t="inlineStr">
        <is>
          <t>CARBALLO SIRIA, ANTONIO JOSE</t>
        </is>
      </c>
      <c r="C15" t="inlineStr">
        <is>
          <t>LANE LATE</t>
        </is>
      </c>
      <c r="D15" t="inlineStr">
        <is>
          <t>calculated</t>
        </is>
      </c>
      <c r="E15" t="n">
        <v>5.63</v>
      </c>
      <c r="F15" t="n">
        <v>1097.85</v>
      </c>
      <c r="G15" t="n">
        <v>119651</v>
      </c>
      <c r="H15" t="n">
        <v>0.00917543522411012</v>
      </c>
      <c r="I15" t="n">
        <v>881</v>
      </c>
      <c r="J15" t="n">
        <v>8.08</v>
      </c>
      <c r="K15" t="inlineStr">
        <is>
          <t>43 entregas ya figuran como liquidadas.; No existe tarifa BonCalidad para socio=1597 campaña=2026 empresa=1 cultivo=INDUSTRIA.; No existe fuente acumulada disponible; saldo informativo calculado con cuota ya aplicada = 0.</t>
        </is>
      </c>
    </row>
    <row r="16">
      <c r="A16" t="n">
        <v>1627</v>
      </c>
      <c r="B16" t="inlineStr">
        <is>
          <t>FRUTAS ANDALUZAS DE SEVILLA S.L.</t>
        </is>
      </c>
      <c r="C16" t="inlineStr">
        <is>
          <t>LANE LATE</t>
        </is>
      </c>
      <c r="D16" t="inlineStr">
        <is>
          <t>calculated</t>
        </is>
      </c>
      <c r="E16" t="n">
        <v>6.77</v>
      </c>
      <c r="F16" t="n">
        <v>1320.15</v>
      </c>
      <c r="G16" t="n">
        <v>130552</v>
      </c>
      <c r="H16" t="n">
        <v>0.01011206262638642</v>
      </c>
      <c r="I16" t="n">
        <v>4559</v>
      </c>
      <c r="J16" t="n">
        <v>46.1</v>
      </c>
      <c r="K16" t="inlineStr">
        <is>
          <t>43 entregas ya figuran como liquidadas.; No existe tarifa BonCalidad para socio=1627 campaña=2026 empresa=1 cultivo=INDUSTRIA.;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INDUSTRIA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3552</v>
      </c>
      <c r="R2" t="n">
        <v>3552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  <row r="3">
      <c r="A3" t="n">
        <v>904</v>
      </c>
      <c r="B3" t="inlineStr">
        <is>
          <t>FERNANDEZ MELENDEZ,ANGEL</t>
        </is>
      </c>
      <c r="C3" t="inlineStr">
        <is>
          <t>LANE LATE</t>
        </is>
      </c>
      <c r="D3" t="inlineStr">
        <is>
          <t>2026</t>
        </is>
      </c>
      <c r="E3" t="inlineStr">
        <is>
          <t>1</t>
        </is>
      </c>
      <c r="F3" t="inlineStr">
        <is>
          <t>INDUSTRIA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CITRICOS</t>
        </is>
      </c>
      <c r="N3" t="n">
        <v>0</v>
      </c>
      <c r="O3" t="n">
        <v>0</v>
      </c>
      <c r="Q3" t="n">
        <v>3209</v>
      </c>
      <c r="R3" t="n">
        <v>3209</v>
      </c>
      <c r="U3" t="n">
        <v>0</v>
      </c>
      <c r="V3" t="n">
        <v>0</v>
      </c>
      <c r="W3" t="n">
        <v>0</v>
      </c>
      <c r="X3" t="inlineStr">
        <is>
          <t>disabled</t>
        </is>
      </c>
      <c r="Y3" t="inlineStr"/>
      <c r="Z3" t="inlineStr">
        <is>
          <t>SÍ</t>
        </is>
      </c>
    </row>
    <row r="4">
      <c r="A4" t="n">
        <v>990</v>
      </c>
      <c r="B4" t="inlineStr">
        <is>
          <t>SANCHEZ PEREZ,ANTONIO</t>
        </is>
      </c>
      <c r="C4" t="inlineStr">
        <is>
          <t>LANE LATE</t>
        </is>
      </c>
      <c r="D4" t="inlineStr">
        <is>
          <t>2026</t>
        </is>
      </c>
      <c r="E4" t="inlineStr">
        <is>
          <t>1</t>
        </is>
      </c>
      <c r="F4" t="inlineStr">
        <is>
          <t>INDUSTRIA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CITRICOS</t>
        </is>
      </c>
      <c r="N4" t="n">
        <v>0</v>
      </c>
      <c r="O4" t="n">
        <v>0</v>
      </c>
      <c r="Q4" t="n">
        <v>11720</v>
      </c>
      <c r="R4" t="n">
        <v>11720</v>
      </c>
      <c r="U4" t="n">
        <v>0</v>
      </c>
      <c r="V4" t="n">
        <v>0</v>
      </c>
      <c r="W4" t="n">
        <v>0</v>
      </c>
      <c r="X4" t="inlineStr">
        <is>
          <t>disabled</t>
        </is>
      </c>
      <c r="Y4" t="inlineStr"/>
      <c r="Z4" t="inlineStr">
        <is>
          <t>SÍ</t>
        </is>
      </c>
    </row>
    <row r="5">
      <c r="A5" t="n">
        <v>1178</v>
      </c>
      <c r="B5" t="inlineStr">
        <is>
          <t>CALZADO GARCIA,FRANCISCO JAVIER</t>
        </is>
      </c>
      <c r="C5" t="inlineStr">
        <is>
          <t>NAVEL POWEL</t>
        </is>
      </c>
      <c r="D5" t="inlineStr">
        <is>
          <t>2026</t>
        </is>
      </c>
      <c r="E5" t="inlineStr">
        <is>
          <t>1</t>
        </is>
      </c>
      <c r="F5" t="inlineStr">
        <is>
          <t>INDUSTRIA</t>
        </is>
      </c>
      <c r="G5" t="inlineStr">
        <is>
          <t>NO</t>
        </is>
      </c>
      <c r="H5" t="inlineStr">
        <is>
          <t>SÍ</t>
        </is>
      </c>
      <c r="I5" t="inlineStr">
        <is>
          <t>NO</t>
        </is>
      </c>
      <c r="J5" t="inlineStr">
        <is>
          <t>CITRICOS, KAKIS, MANDARINA</t>
        </is>
      </c>
      <c r="K5" t="inlineStr"/>
      <c r="L5" t="inlineStr">
        <is>
          <t>ORO</t>
        </is>
      </c>
      <c r="N5" t="n">
        <v>0</v>
      </c>
      <c r="O5" t="n">
        <v>0</v>
      </c>
      <c r="Q5" t="n">
        <v>2948</v>
      </c>
      <c r="R5" t="n">
        <v>2948</v>
      </c>
      <c r="U5" t="n">
        <v>0</v>
      </c>
      <c r="V5" t="n">
        <v>0</v>
      </c>
      <c r="W5" t="n">
        <v>0</v>
      </c>
      <c r="X5" t="inlineStr">
        <is>
          <t>disabled</t>
        </is>
      </c>
      <c r="Y5" t="inlineStr"/>
      <c r="Z5" t="inlineStr">
        <is>
          <t>SÍ</t>
        </is>
      </c>
    </row>
    <row r="6">
      <c r="A6" t="n">
        <v>1205</v>
      </c>
      <c r="B6" t="inlineStr">
        <is>
          <t>OLIVER JIMENEZ,MARIA MERCEDES</t>
        </is>
      </c>
      <c r="C6" t="inlineStr">
        <is>
          <t>LANE LATE</t>
        </is>
      </c>
      <c r="D6" t="inlineStr">
        <is>
          <t>2026</t>
        </is>
      </c>
      <c r="E6" t="inlineStr">
        <is>
          <t>1</t>
        </is>
      </c>
      <c r="F6" t="inlineStr">
        <is>
          <t>INDUSTRIA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CITRICOS</t>
        </is>
      </c>
      <c r="N6" t="n">
        <v>0</v>
      </c>
      <c r="O6" t="n">
        <v>0</v>
      </c>
      <c r="Q6" t="n">
        <v>1413</v>
      </c>
      <c r="R6" t="n">
        <v>1413</v>
      </c>
      <c r="U6" t="n">
        <v>0</v>
      </c>
      <c r="V6" t="n">
        <v>0</v>
      </c>
      <c r="W6" t="n">
        <v>0</v>
      </c>
      <c r="X6" t="inlineStr">
        <is>
          <t>disabled</t>
        </is>
      </c>
      <c r="Y6" t="inlineStr"/>
      <c r="Z6" t="inlineStr">
        <is>
          <t>SÍ</t>
        </is>
      </c>
    </row>
    <row r="7">
      <c r="A7" t="n">
        <v>1255</v>
      </c>
      <c r="B7" t="inlineStr">
        <is>
          <t>CHAMIZO AGREDANO,JUAN</t>
        </is>
      </c>
      <c r="C7" t="inlineStr">
        <is>
          <t>LANE LATE</t>
        </is>
      </c>
      <c r="D7" t="inlineStr">
        <is>
          <t>2026</t>
        </is>
      </c>
      <c r="E7" t="inlineStr">
        <is>
          <t>1</t>
        </is>
      </c>
      <c r="F7" t="inlineStr">
        <is>
          <t>INDUSTRIA</t>
        </is>
      </c>
      <c r="G7" t="inlineStr">
        <is>
          <t>NO</t>
        </is>
      </c>
      <c r="H7" t="inlineStr">
        <is>
          <t>SÍ</t>
        </is>
      </c>
      <c r="I7" t="inlineStr">
        <is>
          <t>NO</t>
        </is>
      </c>
      <c r="J7" t="inlineStr">
        <is>
          <t>CITRICOS</t>
        </is>
      </c>
      <c r="K7" t="inlineStr"/>
      <c r="L7" t="inlineStr">
        <is>
          <t>ORO</t>
        </is>
      </c>
      <c r="N7" t="n">
        <v>0</v>
      </c>
      <c r="O7" t="n">
        <v>0</v>
      </c>
      <c r="Q7" t="n">
        <v>382</v>
      </c>
      <c r="R7" t="n">
        <v>382</v>
      </c>
      <c r="U7" t="n">
        <v>0</v>
      </c>
      <c r="V7" t="n">
        <v>0</v>
      </c>
      <c r="W7" t="n">
        <v>0</v>
      </c>
      <c r="X7" t="inlineStr">
        <is>
          <t>disabled</t>
        </is>
      </c>
      <c r="Y7" t="inlineStr"/>
      <c r="Z7" t="inlineStr">
        <is>
          <t>SÍ</t>
        </is>
      </c>
    </row>
    <row r="8">
      <c r="A8" t="n">
        <v>1272</v>
      </c>
      <c r="B8" t="inlineStr">
        <is>
          <t>HERMANOS GONZALEZ ROLDAN,S.C.</t>
        </is>
      </c>
      <c r="C8" t="inlineStr">
        <is>
          <t>LANE LATE</t>
        </is>
      </c>
      <c r="D8" t="inlineStr">
        <is>
          <t>2026</t>
        </is>
      </c>
      <c r="E8" t="inlineStr">
        <is>
          <t>1</t>
        </is>
      </c>
      <c r="F8" t="inlineStr">
        <is>
          <t>INDUSTRIA</t>
        </is>
      </c>
      <c r="G8" t="inlineStr">
        <is>
          <t>NO</t>
        </is>
      </c>
      <c r="H8" t="inlineStr">
        <is>
          <t>SÍ</t>
        </is>
      </c>
      <c r="I8" t="inlineStr">
        <is>
          <t>NO</t>
        </is>
      </c>
      <c r="J8" t="inlineStr">
        <is>
          <t>CITRICOS</t>
        </is>
      </c>
      <c r="K8" t="inlineStr"/>
      <c r="L8" t="inlineStr">
        <is>
          <t>ORO</t>
        </is>
      </c>
      <c r="N8" t="n">
        <v>0</v>
      </c>
      <c r="O8" t="n">
        <v>0</v>
      </c>
      <c r="Q8" t="n">
        <v>955</v>
      </c>
      <c r="R8" t="n">
        <v>955</v>
      </c>
      <c r="U8" t="n">
        <v>0</v>
      </c>
      <c r="V8" t="n">
        <v>0</v>
      </c>
      <c r="W8" t="n">
        <v>0</v>
      </c>
      <c r="X8" t="inlineStr">
        <is>
          <t>disabled</t>
        </is>
      </c>
      <c r="Y8" t="inlineStr"/>
      <c r="Z8" t="inlineStr">
        <is>
          <t>SÍ</t>
        </is>
      </c>
    </row>
    <row r="9">
      <c r="A9" t="n">
        <v>1415</v>
      </c>
      <c r="B9" t="inlineStr">
        <is>
          <t>TOMENO SUAREZ,FERNANDO</t>
        </is>
      </c>
      <c r="C9" t="inlineStr">
        <is>
          <t>BARNFIELD</t>
        </is>
      </c>
      <c r="D9" t="inlineStr">
        <is>
          <t>2026</t>
        </is>
      </c>
      <c r="E9" t="inlineStr">
        <is>
          <t>1</t>
        </is>
      </c>
      <c r="F9" t="inlineStr">
        <is>
          <t>INDUSTRIA</t>
        </is>
      </c>
      <c r="G9" t="inlineStr">
        <is>
          <t>NO</t>
        </is>
      </c>
      <c r="H9" t="inlineStr">
        <is>
          <t>SÍ</t>
        </is>
      </c>
      <c r="I9" t="inlineStr">
        <is>
          <t>NO</t>
        </is>
      </c>
      <c r="J9" t="inlineStr">
        <is>
          <t>CITRICOS, MANDARINA</t>
        </is>
      </c>
      <c r="K9" t="inlineStr"/>
      <c r="L9" t="inlineStr">
        <is>
          <t>ORO</t>
        </is>
      </c>
      <c r="N9" t="n">
        <v>0</v>
      </c>
      <c r="O9" t="n">
        <v>0</v>
      </c>
      <c r="Q9" t="n">
        <v>3543</v>
      </c>
      <c r="R9" t="n">
        <v>3543</v>
      </c>
      <c r="U9" t="n">
        <v>0</v>
      </c>
      <c r="V9" t="n">
        <v>0</v>
      </c>
      <c r="W9" t="n">
        <v>0</v>
      </c>
      <c r="X9" t="inlineStr">
        <is>
          <t>disabled</t>
        </is>
      </c>
      <c r="Y9" t="inlineStr"/>
      <c r="Z9" t="inlineStr">
        <is>
          <t>SÍ</t>
        </is>
      </c>
    </row>
    <row r="10">
      <c r="A10" t="n">
        <v>1415</v>
      </c>
      <c r="B10" t="inlineStr">
        <is>
          <t>TOMENO SUAREZ,FERNANDO</t>
        </is>
      </c>
      <c r="C10" t="inlineStr">
        <is>
          <t>LANE LATE</t>
        </is>
      </c>
      <c r="D10" t="inlineStr">
        <is>
          <t>2026</t>
        </is>
      </c>
      <c r="E10" t="inlineStr">
        <is>
          <t>1</t>
        </is>
      </c>
      <c r="F10" t="inlineStr">
        <is>
          <t>INDUSTRIA</t>
        </is>
      </c>
      <c r="G10" t="inlineStr">
        <is>
          <t>NO</t>
        </is>
      </c>
      <c r="H10" t="inlineStr">
        <is>
          <t>SÍ</t>
        </is>
      </c>
      <c r="I10" t="inlineStr">
        <is>
          <t>NO</t>
        </is>
      </c>
      <c r="J10" t="inlineStr">
        <is>
          <t>CITRICOS, MANDARINA</t>
        </is>
      </c>
      <c r="K10" t="inlineStr"/>
      <c r="L10" t="inlineStr">
        <is>
          <t>ORO</t>
        </is>
      </c>
      <c r="N10" t="n">
        <v>0</v>
      </c>
      <c r="O10" t="n">
        <v>0</v>
      </c>
      <c r="Q10" t="n">
        <v>6720</v>
      </c>
      <c r="R10" t="n">
        <v>6720</v>
      </c>
      <c r="U10" t="n">
        <v>0</v>
      </c>
      <c r="V10" t="n">
        <v>0</v>
      </c>
      <c r="W10" t="n">
        <v>0</v>
      </c>
      <c r="X10" t="inlineStr">
        <is>
          <t>disabled</t>
        </is>
      </c>
      <c r="Y10" t="inlineStr"/>
      <c r="Z10" t="inlineStr">
        <is>
          <t>SÍ</t>
        </is>
      </c>
    </row>
    <row r="11">
      <c r="A11" t="n">
        <v>1445</v>
      </c>
      <c r="B11" t="inlineStr">
        <is>
          <t>REAL GARCIA,MIGUEL</t>
        </is>
      </c>
      <c r="C11" t="inlineStr">
        <is>
          <t>LANE LATE</t>
        </is>
      </c>
      <c r="D11" t="inlineStr">
        <is>
          <t>2026</t>
        </is>
      </c>
      <c r="E11" t="inlineStr">
        <is>
          <t>1</t>
        </is>
      </c>
      <c r="F11" t="inlineStr">
        <is>
          <t>INDUSTRIA</t>
        </is>
      </c>
      <c r="G11" t="inlineStr">
        <is>
          <t>NO</t>
        </is>
      </c>
      <c r="H11" t="inlineStr">
        <is>
          <t>SÍ</t>
        </is>
      </c>
      <c r="I11" t="inlineStr">
        <is>
          <t>NO</t>
        </is>
      </c>
      <c r="J11" t="inlineStr">
        <is>
          <t>CITRICOS</t>
        </is>
      </c>
      <c r="K11" t="inlineStr"/>
      <c r="L11" t="inlineStr">
        <is>
          <t>ORO</t>
        </is>
      </c>
      <c r="N11" t="n">
        <v>0</v>
      </c>
      <c r="O11" t="n">
        <v>0</v>
      </c>
      <c r="Q11" t="n">
        <v>2369</v>
      </c>
      <c r="R11" t="n">
        <v>2369</v>
      </c>
      <c r="U11" t="n">
        <v>0</v>
      </c>
      <c r="V11" t="n">
        <v>0</v>
      </c>
      <c r="W11" t="n">
        <v>0</v>
      </c>
      <c r="X11" t="inlineStr">
        <is>
          <t>disabled</t>
        </is>
      </c>
      <c r="Y11" t="inlineStr"/>
      <c r="Z11" t="inlineStr">
        <is>
          <t>SÍ</t>
        </is>
      </c>
    </row>
    <row r="12">
      <c r="A12" t="n">
        <v>1500</v>
      </c>
      <c r="B12" t="inlineStr">
        <is>
          <t>JIMENEZ MALDONADO, PEDRO</t>
        </is>
      </c>
      <c r="C12" t="inlineStr">
        <is>
          <t>CHISLETT SUMER</t>
        </is>
      </c>
      <c r="D12" t="inlineStr">
        <is>
          <t>2026</t>
        </is>
      </c>
      <c r="E12" t="inlineStr">
        <is>
          <t>1</t>
        </is>
      </c>
      <c r="F12" t="inlineStr">
        <is>
          <t>INDUSTRIA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CITRICOS</t>
        </is>
      </c>
      <c r="N12" t="n">
        <v>0</v>
      </c>
      <c r="O12" t="n">
        <v>0</v>
      </c>
      <c r="Q12" t="n">
        <v>1243</v>
      </c>
      <c r="R12" t="n">
        <v>1243</v>
      </c>
      <c r="U12" t="n">
        <v>0</v>
      </c>
      <c r="V12" t="n">
        <v>0</v>
      </c>
      <c r="W12" t="n">
        <v>0</v>
      </c>
      <c r="X12" t="inlineStr">
        <is>
          <t>disabled</t>
        </is>
      </c>
      <c r="Y12" t="inlineStr"/>
      <c r="Z12" t="inlineStr">
        <is>
          <t>SÍ</t>
        </is>
      </c>
    </row>
    <row r="13">
      <c r="A13" t="n">
        <v>1507</v>
      </c>
      <c r="B13" t="inlineStr">
        <is>
          <t>ZAMBRANO HINOJOSA, Mª ÁNGELES</t>
        </is>
      </c>
      <c r="C13" t="inlineStr">
        <is>
          <t>LANE LATE</t>
        </is>
      </c>
      <c r="D13" t="inlineStr">
        <is>
          <t>2026</t>
        </is>
      </c>
      <c r="E13" t="inlineStr">
        <is>
          <t>1</t>
        </is>
      </c>
      <c r="F13" t="inlineStr">
        <is>
          <t>INDUSTRIA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CITRICOS</t>
        </is>
      </c>
      <c r="N13" t="n">
        <v>0</v>
      </c>
      <c r="O13" t="n">
        <v>0</v>
      </c>
      <c r="Q13" t="n">
        <v>5539</v>
      </c>
      <c r="R13" t="n">
        <v>5539</v>
      </c>
      <c r="U13" t="n">
        <v>0</v>
      </c>
      <c r="V13" t="n">
        <v>0</v>
      </c>
      <c r="W13" t="n">
        <v>0</v>
      </c>
      <c r="X13" t="inlineStr">
        <is>
          <t>disabled</t>
        </is>
      </c>
      <c r="Y13" t="inlineStr"/>
      <c r="Z13" t="inlineStr">
        <is>
          <t>SÍ</t>
        </is>
      </c>
    </row>
    <row r="14">
      <c r="A14" t="n">
        <v>1544</v>
      </c>
      <c r="B14" t="inlineStr">
        <is>
          <t>HARO ORDOÑO, ALVARO</t>
        </is>
      </c>
      <c r="C14" t="inlineStr">
        <is>
          <t>LANE LATE</t>
        </is>
      </c>
      <c r="D14" t="inlineStr">
        <is>
          <t>2026</t>
        </is>
      </c>
      <c r="E14" t="inlineStr">
        <is>
          <t>1</t>
        </is>
      </c>
      <c r="F14" t="inlineStr">
        <is>
          <t>INDUSTRIA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CITRICOS</t>
        </is>
      </c>
      <c r="N14" t="n">
        <v>0</v>
      </c>
      <c r="O14" t="n">
        <v>0</v>
      </c>
      <c r="Q14" t="n">
        <v>3620</v>
      </c>
      <c r="R14" t="n">
        <v>3620</v>
      </c>
      <c r="U14" t="n">
        <v>0</v>
      </c>
      <c r="V14" t="n">
        <v>0</v>
      </c>
      <c r="W14" t="n">
        <v>0</v>
      </c>
      <c r="X14" t="inlineStr">
        <is>
          <t>disabled</t>
        </is>
      </c>
      <c r="Y14" t="inlineStr"/>
      <c r="Z14" t="inlineStr">
        <is>
          <t>SÍ</t>
        </is>
      </c>
    </row>
    <row r="15">
      <c r="A15" t="n">
        <v>1597</v>
      </c>
      <c r="B15" t="inlineStr">
        <is>
          <t>CARBALLO SIRIA, ANTONIO JOSE</t>
        </is>
      </c>
      <c r="C15" t="inlineStr">
        <is>
          <t>LANE LATE</t>
        </is>
      </c>
      <c r="D15" t="inlineStr">
        <is>
          <t>2026</t>
        </is>
      </c>
      <c r="E15" t="inlineStr">
        <is>
          <t>1</t>
        </is>
      </c>
      <c r="F15" t="inlineStr">
        <is>
          <t>INDUSTRIA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CITRICOS</t>
        </is>
      </c>
      <c r="N15" t="n">
        <v>0</v>
      </c>
      <c r="O15" t="n">
        <v>0</v>
      </c>
      <c r="Q15" t="n">
        <v>881</v>
      </c>
      <c r="R15" t="n">
        <v>881</v>
      </c>
      <c r="U15" t="n">
        <v>0</v>
      </c>
      <c r="V15" t="n">
        <v>0</v>
      </c>
      <c r="W15" t="n">
        <v>0</v>
      </c>
      <c r="X15" t="inlineStr">
        <is>
          <t>disabled</t>
        </is>
      </c>
      <c r="Y15" t="inlineStr"/>
      <c r="Z15" t="inlineStr">
        <is>
          <t>SÍ</t>
        </is>
      </c>
    </row>
    <row r="16">
      <c r="A16" t="n">
        <v>1627</v>
      </c>
      <c r="B16" t="inlineStr">
        <is>
          <t>FRUTAS ANDALUZAS DE SEVILLA S.L.</t>
        </is>
      </c>
      <c r="C16" t="inlineStr">
        <is>
          <t>LANE LATE</t>
        </is>
      </c>
      <c r="D16" t="inlineStr">
        <is>
          <t>2026</t>
        </is>
      </c>
      <c r="E16" t="inlineStr">
        <is>
          <t>1</t>
        </is>
      </c>
      <c r="F16" t="inlineStr">
        <is>
          <t>INDUSTRIA</t>
        </is>
      </c>
      <c r="G16" t="inlineStr">
        <is>
          <t>NO</t>
        </is>
      </c>
      <c r="H16" t="inlineStr">
        <is>
          <t>SÍ</t>
        </is>
      </c>
      <c r="I16" t="inlineStr">
        <is>
          <t>NO</t>
        </is>
      </c>
      <c r="J16" t="inlineStr">
        <is>
          <t>CITRICOS</t>
        </is>
      </c>
      <c r="K16" t="inlineStr"/>
      <c r="L16" t="inlineStr">
        <is>
          <t>ORO</t>
        </is>
      </c>
      <c r="N16" t="n">
        <v>0</v>
      </c>
      <c r="O16" t="n">
        <v>0</v>
      </c>
      <c r="Q16" t="n">
        <v>4559</v>
      </c>
      <c r="R16" t="n">
        <v>4559</v>
      </c>
      <c r="U16" t="n">
        <v>0</v>
      </c>
      <c r="V16" t="n">
        <v>0</v>
      </c>
      <c r="W16" t="n">
        <v>0</v>
      </c>
      <c r="X16" t="inlineStr">
        <is>
          <t>disabled</t>
        </is>
      </c>
      <c r="Y16" t="inlineStr"/>
      <c r="Z16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INDUSTRIA</t>
        </is>
      </c>
      <c r="D2" t="inlineStr">
        <is>
          <t>NAVEL TARDIA</t>
        </is>
      </c>
      <c r="E2" t="inlineStr">
        <is>
          <t>NAVEL TARDIA</t>
        </is>
      </c>
      <c r="F2" t="inlineStr">
        <is>
          <t>GROUP</t>
        </is>
      </c>
      <c r="G2" t="inlineStr">
        <is>
          <t>NAVEL</t>
        </is>
      </c>
      <c r="H2" t="inlineStr">
        <is>
          <t>TARDIA</t>
        </is>
      </c>
      <c r="I2" t="inlineStr">
        <is>
          <t>BARNFIELD, CHISLETT SUMER, LANE LATE, NAVEL POWEL</t>
        </is>
      </c>
      <c r="J2" t="n">
        <v>4</v>
      </c>
      <c r="K2" t="inlineStr">
        <is>
          <t>GROUP</t>
        </is>
      </c>
      <c r="L2" t="inlineStr"/>
      <c r="M2" t="inlineStr">
        <is>
          <t>NAVEL TARDIA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n">
        <v>1101.12</v>
      </c>
      <c r="E2" t="n">
        <v>1101.12</v>
      </c>
      <c r="F2" t="n">
        <v>222</v>
      </c>
      <c r="G2" t="n">
        <v>23.13</v>
      </c>
      <c r="H2" t="n">
        <v>0</v>
      </c>
      <c r="I2" t="n">
        <v>-39.43</v>
      </c>
      <c r="J2" t="n">
        <v>0</v>
      </c>
      <c r="K2" t="n">
        <v>816.5599999999999</v>
      </c>
      <c r="L2" t="n">
        <v>816.5599999999999</v>
      </c>
      <c r="M2" t="n">
        <v>816.5599999999999</v>
      </c>
      <c r="N2" t="n">
        <v>0</v>
      </c>
      <c r="O2" t="n">
        <v>0.22989</v>
      </c>
      <c r="P2" t="n">
        <v>0.25233</v>
      </c>
      <c r="Q2" t="inlineStr">
        <is>
          <t>SÍ</t>
        </is>
      </c>
      <c r="R2" t="inlineStr"/>
    </row>
    <row r="3">
      <c r="A3" t="n">
        <v>904</v>
      </c>
      <c r="B3" t="inlineStr">
        <is>
          <t>FERNANDEZ MELENDEZ,ANGEL</t>
        </is>
      </c>
      <c r="C3" t="inlineStr">
        <is>
          <t>LANE LATE</t>
        </is>
      </c>
      <c r="D3" t="n">
        <v>994.79</v>
      </c>
      <c r="E3" t="n">
        <v>994.79</v>
      </c>
      <c r="F3" t="n">
        <v>200.56</v>
      </c>
      <c r="G3" t="n">
        <v>19.15</v>
      </c>
      <c r="H3" t="n">
        <v>0</v>
      </c>
      <c r="I3" t="n">
        <v>-35.62</v>
      </c>
      <c r="J3" t="n">
        <v>0</v>
      </c>
      <c r="K3" t="n">
        <v>739.46</v>
      </c>
      <c r="L3" t="n">
        <v>739.46</v>
      </c>
      <c r="M3" t="n">
        <v>739.46</v>
      </c>
      <c r="N3" t="n">
        <v>0</v>
      </c>
      <c r="O3" t="n">
        <v>0.23043</v>
      </c>
      <c r="P3" t="n">
        <v>0.25292</v>
      </c>
      <c r="Q3" t="inlineStr">
        <is>
          <t>SÍ</t>
        </is>
      </c>
      <c r="R3" t="inlineStr"/>
    </row>
    <row r="4">
      <c r="A4" t="n">
        <v>990</v>
      </c>
      <c r="B4" t="inlineStr">
        <is>
          <t>SANCHEZ PEREZ,ANTONIO</t>
        </is>
      </c>
      <c r="C4" t="inlineStr">
        <is>
          <t>LANE LATE</t>
        </is>
      </c>
      <c r="D4" t="n">
        <v>3633.2</v>
      </c>
      <c r="E4" t="n">
        <v>3633.2</v>
      </c>
      <c r="F4" t="n">
        <v>732.5</v>
      </c>
      <c r="G4" t="n">
        <v>149.88</v>
      </c>
      <c r="H4" t="n">
        <v>0</v>
      </c>
      <c r="I4" t="n">
        <v>0</v>
      </c>
      <c r="J4" t="n">
        <v>0</v>
      </c>
      <c r="K4" t="n">
        <v>2750.82</v>
      </c>
      <c r="L4" t="n">
        <v>2750.82</v>
      </c>
      <c r="M4" t="n">
        <v>2750.82</v>
      </c>
      <c r="N4" t="n">
        <v>0</v>
      </c>
      <c r="O4" t="n">
        <v>0.23471</v>
      </c>
      <c r="P4" t="n">
        <v>0.25762</v>
      </c>
      <c r="Q4" t="inlineStr">
        <is>
          <t>SÍ</t>
        </is>
      </c>
      <c r="R4" t="inlineStr"/>
    </row>
    <row r="5">
      <c r="A5" t="n">
        <v>1178</v>
      </c>
      <c r="B5" t="inlineStr">
        <is>
          <t>CALZADO GARCIA,FRANCISCO JAVIER</t>
        </is>
      </c>
      <c r="C5" t="inlineStr">
        <is>
          <t>NAVEL POWEL</t>
        </is>
      </c>
      <c r="D5" t="n">
        <v>913.88</v>
      </c>
      <c r="E5" t="n">
        <v>913.88</v>
      </c>
      <c r="F5" t="n">
        <v>0</v>
      </c>
      <c r="G5" t="n">
        <v>36.3</v>
      </c>
      <c r="H5" t="n">
        <v>0</v>
      </c>
      <c r="I5" t="n">
        <v>0</v>
      </c>
      <c r="J5" t="n">
        <v>0</v>
      </c>
      <c r="K5" t="n">
        <v>877.58</v>
      </c>
      <c r="L5" t="n">
        <v>877.58</v>
      </c>
      <c r="M5" t="n">
        <v>877.58</v>
      </c>
      <c r="N5" t="n">
        <v>0</v>
      </c>
      <c r="O5" t="n">
        <v>0.29769</v>
      </c>
      <c r="P5" t="n">
        <v>0.32674</v>
      </c>
      <c r="Q5" t="inlineStr">
        <is>
          <t>SÍ</t>
        </is>
      </c>
      <c r="R5" t="inlineStr"/>
    </row>
    <row r="6">
      <c r="A6" t="n">
        <v>1205</v>
      </c>
      <c r="B6" t="inlineStr">
        <is>
          <t>OLIVER JIMENEZ,MARIA MERCEDES</t>
        </is>
      </c>
      <c r="C6" t="inlineStr">
        <is>
          <t>LANE LATE</t>
        </is>
      </c>
      <c r="D6" t="n">
        <v>438.03</v>
      </c>
      <c r="E6" t="n">
        <v>438.03</v>
      </c>
      <c r="F6" t="n">
        <v>88.31</v>
      </c>
      <c r="G6" t="n">
        <v>11.76</v>
      </c>
      <c r="H6" t="n">
        <v>0</v>
      </c>
      <c r="I6" t="n">
        <v>-15.68</v>
      </c>
      <c r="J6" t="n">
        <v>0</v>
      </c>
      <c r="K6" t="n">
        <v>322.28</v>
      </c>
      <c r="L6" t="n">
        <v>322.28</v>
      </c>
      <c r="M6" t="n">
        <v>322.28</v>
      </c>
      <c r="N6" t="n">
        <v>0</v>
      </c>
      <c r="O6" t="n">
        <v>0.22808</v>
      </c>
      <c r="P6" t="n">
        <v>0.25034</v>
      </c>
      <c r="Q6" t="inlineStr">
        <is>
          <t>SÍ</t>
        </is>
      </c>
      <c r="R6" t="inlineStr"/>
    </row>
    <row r="7">
      <c r="A7" t="n">
        <v>1255</v>
      </c>
      <c r="B7" t="inlineStr">
        <is>
          <t>CHAMIZO AGREDANO,JUAN</t>
        </is>
      </c>
      <c r="C7" t="inlineStr">
        <is>
          <t>LANE LATE</t>
        </is>
      </c>
      <c r="D7" t="n">
        <v>118.42</v>
      </c>
      <c r="E7" t="n">
        <v>118.42</v>
      </c>
      <c r="F7" t="n">
        <v>23.87</v>
      </c>
      <c r="G7" t="n">
        <v>2.48</v>
      </c>
      <c r="H7" t="n">
        <v>0</v>
      </c>
      <c r="I7" t="n">
        <v>-4.24</v>
      </c>
      <c r="J7" t="n">
        <v>0</v>
      </c>
      <c r="K7" t="n">
        <v>87.83</v>
      </c>
      <c r="L7" t="n">
        <v>87.83</v>
      </c>
      <c r="M7" t="n">
        <v>87.83</v>
      </c>
      <c r="N7" t="n">
        <v>0</v>
      </c>
      <c r="O7" t="n">
        <v>0.22992</v>
      </c>
      <c r="P7" t="n">
        <v>0.25236</v>
      </c>
      <c r="Q7" t="inlineStr">
        <is>
          <t>SÍ</t>
        </is>
      </c>
      <c r="R7" t="inlineStr"/>
    </row>
    <row r="8">
      <c r="A8" t="n">
        <v>1272</v>
      </c>
      <c r="B8" t="inlineStr">
        <is>
          <t>HERMANOS GONZALEZ ROLDAN,S.C.</t>
        </is>
      </c>
      <c r="C8" t="inlineStr">
        <is>
          <t>LANE LATE</t>
        </is>
      </c>
      <c r="D8" t="n">
        <v>296.05</v>
      </c>
      <c r="E8" t="n">
        <v>296.05</v>
      </c>
      <c r="F8" t="n">
        <v>59.69</v>
      </c>
      <c r="G8" t="n">
        <v>17.55</v>
      </c>
      <c r="H8" t="n">
        <v>0</v>
      </c>
      <c r="I8" t="n">
        <v>0</v>
      </c>
      <c r="J8" t="n">
        <v>0</v>
      </c>
      <c r="K8" t="n">
        <v>218.81</v>
      </c>
      <c r="L8" t="n">
        <v>218.81</v>
      </c>
      <c r="M8" t="n">
        <v>218.81</v>
      </c>
      <c r="N8" t="n">
        <v>0</v>
      </c>
      <c r="O8" t="n">
        <v>0.22912</v>
      </c>
      <c r="P8" t="n">
        <v>0.25149</v>
      </c>
      <c r="Q8" t="inlineStr">
        <is>
          <t>SÍ</t>
        </is>
      </c>
      <c r="R8" t="inlineStr"/>
    </row>
    <row r="9">
      <c r="A9" s="14" t="n">
        <v>1415</v>
      </c>
      <c r="B9" s="14" t="inlineStr">
        <is>
          <t>TOMENO SUAREZ,FERNANDO</t>
        </is>
      </c>
      <c r="C9" s="14" t="inlineStr">
        <is>
          <t>BARNFIELD</t>
        </is>
      </c>
      <c r="D9" s="14" t="n">
        <v>1098.33</v>
      </c>
      <c r="E9" s="14" t="n">
        <v>1098.33</v>
      </c>
      <c r="F9" s="14" t="n">
        <v>0</v>
      </c>
      <c r="G9" s="14" t="n">
        <v>12.49</v>
      </c>
      <c r="H9" s="14" t="n">
        <v>0</v>
      </c>
      <c r="I9" s="14" t="n">
        <v>-12.01</v>
      </c>
      <c r="J9" s="14" t="n">
        <v>0</v>
      </c>
      <c r="K9" s="14" t="n">
        <v>1073.83</v>
      </c>
      <c r="L9" s="14" t="n">
        <v>1073.83</v>
      </c>
      <c r="M9" s="14" t="n">
        <v>2020.34</v>
      </c>
      <c r="N9" s="14" t="n">
        <v>0</v>
      </c>
      <c r="O9" s="14" t="n">
        <v>0.30308</v>
      </c>
      <c r="P9" s="14" t="n">
        <v>0.33267</v>
      </c>
      <c r="Q9" s="14" t="inlineStr">
        <is>
          <t>NO</t>
        </is>
      </c>
      <c r="R9" s="14" t="inlineStr">
        <is>
          <t>Base imponible no alineada.</t>
        </is>
      </c>
    </row>
    <row r="10">
      <c r="A10" t="n">
        <v>1415</v>
      </c>
      <c r="B10" t="inlineStr">
        <is>
          <t>TOMENO SUAREZ,FERNANDO</t>
        </is>
      </c>
      <c r="C10" t="inlineStr">
        <is>
          <t>LANE LATE</t>
        </is>
      </c>
      <c r="D10" t="n">
        <v>2083.2</v>
      </c>
      <c r="E10" t="n">
        <v>2083.2</v>
      </c>
      <c r="F10" t="n">
        <v>0</v>
      </c>
      <c r="G10" t="n">
        <v>23.68</v>
      </c>
      <c r="H10" t="n">
        <v>0</v>
      </c>
      <c r="I10" t="n">
        <v>-39.18</v>
      </c>
      <c r="J10" t="n">
        <v>0</v>
      </c>
      <c r="K10" t="n">
        <v>2020.34</v>
      </c>
      <c r="L10" t="n">
        <v>2020.34</v>
      </c>
      <c r="M10" t="n">
        <v>2020.34</v>
      </c>
      <c r="N10" t="n">
        <v>0</v>
      </c>
      <c r="O10" t="n">
        <v>0.30065</v>
      </c>
      <c r="P10" t="n">
        <v>0.32999</v>
      </c>
      <c r="Q10" t="inlineStr">
        <is>
          <t>SÍ</t>
        </is>
      </c>
      <c r="R10" t="inlineStr"/>
    </row>
    <row r="11">
      <c r="A11" t="n">
        <v>1445</v>
      </c>
      <c r="B11" t="inlineStr">
        <is>
          <t>REAL GARCIA,MIGUEL</t>
        </is>
      </c>
      <c r="C11" t="inlineStr">
        <is>
          <t>LANE LATE</t>
        </is>
      </c>
      <c r="D11" t="n">
        <v>734.39</v>
      </c>
      <c r="E11" t="n">
        <v>734.39</v>
      </c>
      <c r="F11" t="n">
        <v>148.06</v>
      </c>
      <c r="G11" t="n">
        <v>21.87</v>
      </c>
      <c r="H11" t="n">
        <v>0</v>
      </c>
      <c r="I11" t="n">
        <v>-26.3</v>
      </c>
      <c r="J11" t="n">
        <v>0</v>
      </c>
      <c r="K11" t="n">
        <v>538.16</v>
      </c>
      <c r="L11" t="n">
        <v>538.16</v>
      </c>
      <c r="M11" t="n">
        <v>538.16</v>
      </c>
      <c r="N11" t="n">
        <v>0</v>
      </c>
      <c r="O11" t="n">
        <v>0.22717</v>
      </c>
      <c r="P11" t="n">
        <v>0.24934</v>
      </c>
      <c r="Q11" t="inlineStr">
        <is>
          <t>SÍ</t>
        </is>
      </c>
      <c r="R11" t="inlineStr"/>
    </row>
    <row r="12">
      <c r="A12" t="n">
        <v>1500</v>
      </c>
      <c r="B12" t="inlineStr">
        <is>
          <t>JIMENEZ MALDONADO, PEDRO</t>
        </is>
      </c>
      <c r="C12" t="inlineStr">
        <is>
          <t>CHISLETT SUMER</t>
        </is>
      </c>
      <c r="D12" t="n">
        <v>385.33</v>
      </c>
      <c r="E12" t="n">
        <v>385.33</v>
      </c>
      <c r="F12" t="n">
        <v>77.69</v>
      </c>
      <c r="G12" t="n">
        <v>4.35</v>
      </c>
      <c r="H12" t="n">
        <v>0</v>
      </c>
      <c r="I12" t="n">
        <v>-13.8</v>
      </c>
      <c r="J12" t="n">
        <v>0</v>
      </c>
      <c r="K12" t="n">
        <v>289.49</v>
      </c>
      <c r="L12" t="n">
        <v>289.49</v>
      </c>
      <c r="M12" t="n">
        <v>289.49</v>
      </c>
      <c r="N12" t="n">
        <v>0</v>
      </c>
      <c r="O12" t="n">
        <v>0.2329</v>
      </c>
      <c r="P12" t="n">
        <v>0.25562</v>
      </c>
      <c r="Q12" t="inlineStr">
        <is>
          <t>SÍ</t>
        </is>
      </c>
      <c r="R12" t="inlineStr"/>
    </row>
    <row r="13">
      <c r="A13" t="n">
        <v>1507</v>
      </c>
      <c r="B13" t="inlineStr">
        <is>
          <t>ZAMBRANO HINOJOSA, Mª ÁNGELES</t>
        </is>
      </c>
      <c r="C13" t="inlineStr">
        <is>
          <t>LANE LATE</t>
        </is>
      </c>
      <c r="D13" t="n">
        <v>1717.09</v>
      </c>
      <c r="E13" t="n">
        <v>1717.09</v>
      </c>
      <c r="F13" t="n">
        <v>271.5</v>
      </c>
      <c r="G13" t="n">
        <v>47.5</v>
      </c>
      <c r="H13" t="n">
        <v>0</v>
      </c>
      <c r="I13" t="n">
        <v>-58.43</v>
      </c>
      <c r="J13" t="n">
        <v>0</v>
      </c>
      <c r="K13" t="n">
        <v>1339.66</v>
      </c>
      <c r="L13" t="n">
        <v>1339.66</v>
      </c>
      <c r="M13" t="n">
        <v>1339.66</v>
      </c>
      <c r="N13" t="n">
        <v>0</v>
      </c>
      <c r="O13" t="n">
        <v>0.24186</v>
      </c>
      <c r="P13" t="n">
        <v>0.26546</v>
      </c>
      <c r="Q13" t="inlineStr">
        <is>
          <t>SÍ</t>
        </is>
      </c>
      <c r="R13" t="inlineStr"/>
    </row>
    <row r="14">
      <c r="A14" t="n">
        <v>1544</v>
      </c>
      <c r="B14" t="inlineStr">
        <is>
          <t>HARO ORDOÑO, ALVARO</t>
        </is>
      </c>
      <c r="C14" t="inlineStr">
        <is>
          <t>LANE LATE</t>
        </is>
      </c>
      <c r="D14" t="n">
        <v>1122.2</v>
      </c>
      <c r="E14" t="n">
        <v>1122.2</v>
      </c>
      <c r="F14" t="n">
        <v>0</v>
      </c>
      <c r="G14" t="n">
        <v>20.37</v>
      </c>
      <c r="H14" t="n">
        <v>0</v>
      </c>
      <c r="I14" t="n">
        <v>-32.19</v>
      </c>
      <c r="J14" t="n">
        <v>0</v>
      </c>
      <c r="K14" t="n">
        <v>1069.64</v>
      </c>
      <c r="L14" t="n">
        <v>1069.64</v>
      </c>
      <c r="M14" t="n">
        <v>1069.64</v>
      </c>
      <c r="N14" t="n">
        <v>0</v>
      </c>
      <c r="O14" t="n">
        <v>0.29548</v>
      </c>
      <c r="P14" t="n">
        <v>0.32432</v>
      </c>
      <c r="Q14" t="inlineStr">
        <is>
          <t>SÍ</t>
        </is>
      </c>
      <c r="R14" t="inlineStr"/>
    </row>
    <row r="15">
      <c r="A15" t="n">
        <v>1597</v>
      </c>
      <c r="B15" t="inlineStr">
        <is>
          <t>CARBALLO SIRIA, ANTONIO JOSE</t>
        </is>
      </c>
      <c r="C15" t="inlineStr">
        <is>
          <t>LANE LATE</t>
        </is>
      </c>
      <c r="D15" t="n">
        <v>273.11</v>
      </c>
      <c r="E15" t="n">
        <v>273.11</v>
      </c>
      <c r="F15" t="n">
        <v>55.06</v>
      </c>
      <c r="G15" t="n">
        <v>8.08</v>
      </c>
      <c r="H15" t="n">
        <v>0</v>
      </c>
      <c r="I15" t="n">
        <v>-9.779999999999999</v>
      </c>
      <c r="J15" t="n">
        <v>0</v>
      </c>
      <c r="K15" t="n">
        <v>200.19</v>
      </c>
      <c r="L15" t="n">
        <v>200.19</v>
      </c>
      <c r="M15" t="n">
        <v>200.19</v>
      </c>
      <c r="N15" t="n">
        <v>0</v>
      </c>
      <c r="O15" t="n">
        <v>0.22723</v>
      </c>
      <c r="P15" t="n">
        <v>0.24941</v>
      </c>
      <c r="Q15" t="inlineStr">
        <is>
          <t>SÍ</t>
        </is>
      </c>
      <c r="R15" t="inlineStr"/>
    </row>
    <row r="16">
      <c r="A16" t="n">
        <v>1627</v>
      </c>
      <c r="B16" t="inlineStr">
        <is>
          <t>FRUTAS ANDALUZAS DE SEVILLA S.L.</t>
        </is>
      </c>
      <c r="C16" t="inlineStr">
        <is>
          <t>LANE LATE</t>
        </is>
      </c>
      <c r="D16" t="n">
        <v>1413.29</v>
      </c>
      <c r="E16" t="n">
        <v>1413.29</v>
      </c>
      <c r="F16" t="n">
        <v>0</v>
      </c>
      <c r="G16" t="n">
        <v>46.1</v>
      </c>
      <c r="H16" t="n">
        <v>0</v>
      </c>
      <c r="I16" t="n">
        <v>-23.7</v>
      </c>
      <c r="J16" t="n">
        <v>0</v>
      </c>
      <c r="K16" t="n">
        <v>1343.49</v>
      </c>
      <c r="L16" t="n">
        <v>1343.49</v>
      </c>
      <c r="M16" t="n">
        <v>1343.49</v>
      </c>
      <c r="N16" t="n">
        <v>0</v>
      </c>
      <c r="O16" t="n">
        <v>0.29469</v>
      </c>
      <c r="P16" t="n">
        <v>0.32345</v>
      </c>
      <c r="Q16" t="inlineStr">
        <is>
          <t>SÍ</t>
        </is>
      </c>
      <c r="R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n">
        <v>816.5599999999999</v>
      </c>
      <c r="E2" t="n">
        <v>12</v>
      </c>
      <c r="F2" t="n">
        <v>1.12</v>
      </c>
      <c r="G2" t="n">
        <v>97.98999999999999</v>
      </c>
      <c r="H2" t="n">
        <v>914.55</v>
      </c>
      <c r="I2" t="n">
        <v>2</v>
      </c>
      <c r="J2" t="n">
        <v>0.98</v>
      </c>
      <c r="K2" t="n">
        <v>18.29</v>
      </c>
      <c r="L2" t="n">
        <v>896.26</v>
      </c>
      <c r="M2" t="n">
        <v>896.26</v>
      </c>
      <c r="N2" t="n">
        <v>896.26</v>
      </c>
      <c r="O2" t="n">
        <v>3552</v>
      </c>
      <c r="P2" t="n">
        <v>0.25233</v>
      </c>
      <c r="Q2" t="n">
        <v>0.25233</v>
      </c>
      <c r="R2" t="n">
        <v>0.25233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904</v>
      </c>
      <c r="B3" t="inlineStr">
        <is>
          <t>FERNANDEZ MELENDEZ,ANGEL</t>
        </is>
      </c>
      <c r="C3" t="inlineStr">
        <is>
          <t>LANE LATE</t>
        </is>
      </c>
      <c r="D3" t="n">
        <v>739.46</v>
      </c>
      <c r="E3" t="n">
        <v>12</v>
      </c>
      <c r="F3" t="n">
        <v>1.12</v>
      </c>
      <c r="G3" t="n">
        <v>88.73999999999999</v>
      </c>
      <c r="H3" t="n">
        <v>828.2</v>
      </c>
      <c r="I3" t="n">
        <v>2</v>
      </c>
      <c r="J3" t="n">
        <v>0.98</v>
      </c>
      <c r="K3" t="n">
        <v>16.56</v>
      </c>
      <c r="L3" t="n">
        <v>811.63</v>
      </c>
      <c r="M3" t="n">
        <v>811.63</v>
      </c>
      <c r="N3" t="n">
        <v>811.63</v>
      </c>
      <c r="O3" t="n">
        <v>3209</v>
      </c>
      <c r="P3" t="n">
        <v>0.25292</v>
      </c>
      <c r="Q3" t="n">
        <v>0.25292</v>
      </c>
      <c r="R3" t="n">
        <v>0.25292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990</v>
      </c>
      <c r="B4" t="inlineStr">
        <is>
          <t>SANCHEZ PEREZ,ANTONIO</t>
        </is>
      </c>
      <c r="C4" t="inlineStr">
        <is>
          <t>LANE LATE</t>
        </is>
      </c>
      <c r="D4" t="n">
        <v>2750.82</v>
      </c>
      <c r="E4" t="n">
        <v>12</v>
      </c>
      <c r="F4" t="n">
        <v>1.12</v>
      </c>
      <c r="G4" t="n">
        <v>330.1</v>
      </c>
      <c r="H4" t="n">
        <v>3080.92</v>
      </c>
      <c r="I4" t="n">
        <v>2</v>
      </c>
      <c r="J4" t="n">
        <v>0.98</v>
      </c>
      <c r="K4" t="n">
        <v>61.62</v>
      </c>
      <c r="L4" t="n">
        <v>3019.3</v>
      </c>
      <c r="M4" t="n">
        <v>3019.3</v>
      </c>
      <c r="N4" t="n">
        <v>3019.3</v>
      </c>
      <c r="O4" t="n">
        <v>11720</v>
      </c>
      <c r="P4" t="n">
        <v>0.25762</v>
      </c>
      <c r="Q4" t="n">
        <v>0.25762</v>
      </c>
      <c r="R4" t="n">
        <v>0.25762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1178</v>
      </c>
      <c r="B5" t="inlineStr">
        <is>
          <t>CALZADO GARCIA,FRANCISCO JAVIER</t>
        </is>
      </c>
      <c r="C5" t="inlineStr">
        <is>
          <t>NAVEL POWEL</t>
        </is>
      </c>
      <c r="D5" t="n">
        <v>877.58</v>
      </c>
      <c r="E5" t="n">
        <v>12</v>
      </c>
      <c r="F5" t="n">
        <v>1.12</v>
      </c>
      <c r="G5" t="n">
        <v>105.31</v>
      </c>
      <c r="H5" t="n">
        <v>982.89</v>
      </c>
      <c r="I5" t="n">
        <v>2</v>
      </c>
      <c r="J5" t="n">
        <v>0.98</v>
      </c>
      <c r="K5" t="n">
        <v>19.66</v>
      </c>
      <c r="L5" t="n">
        <v>963.23</v>
      </c>
      <c r="M5" t="n">
        <v>963.23</v>
      </c>
      <c r="N5" t="n">
        <v>963.23</v>
      </c>
      <c r="O5" t="n">
        <v>2948</v>
      </c>
      <c r="P5" t="n">
        <v>0.32674</v>
      </c>
      <c r="Q5" t="n">
        <v>0.32674</v>
      </c>
      <c r="R5" t="n">
        <v>0.32674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1205</v>
      </c>
      <c r="B6" t="inlineStr">
        <is>
          <t>OLIVER JIMENEZ,MARIA MERCEDES</t>
        </is>
      </c>
      <c r="C6" t="inlineStr">
        <is>
          <t>LANE LATE</t>
        </is>
      </c>
      <c r="D6" t="n">
        <v>322.28</v>
      </c>
      <c r="E6" t="n">
        <v>12</v>
      </c>
      <c r="F6" t="n">
        <v>1.12</v>
      </c>
      <c r="G6" t="n">
        <v>38.67</v>
      </c>
      <c r="H6" t="n">
        <v>360.95</v>
      </c>
      <c r="I6" t="n">
        <v>2</v>
      </c>
      <c r="J6" t="n">
        <v>0.98</v>
      </c>
      <c r="K6" t="n">
        <v>7.22</v>
      </c>
      <c r="L6" t="n">
        <v>353.73</v>
      </c>
      <c r="M6" t="n">
        <v>353.73</v>
      </c>
      <c r="N6" t="n">
        <v>353.73</v>
      </c>
      <c r="O6" t="n">
        <v>1413</v>
      </c>
      <c r="P6" t="n">
        <v>0.25034</v>
      </c>
      <c r="Q6" t="n">
        <v>0.25034</v>
      </c>
      <c r="R6" t="n">
        <v>0.25034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1255</v>
      </c>
      <c r="B7" t="inlineStr">
        <is>
          <t>CHAMIZO AGREDANO,JUAN</t>
        </is>
      </c>
      <c r="C7" t="inlineStr">
        <is>
          <t>LANE LATE</t>
        </is>
      </c>
      <c r="D7" t="n">
        <v>87.83</v>
      </c>
      <c r="E7" t="n">
        <v>12</v>
      </c>
      <c r="F7" t="n">
        <v>1.12</v>
      </c>
      <c r="G7" t="n">
        <v>10.54</v>
      </c>
      <c r="H7" t="n">
        <v>98.37</v>
      </c>
      <c r="I7" t="n">
        <v>2</v>
      </c>
      <c r="J7" t="n">
        <v>0.98</v>
      </c>
      <c r="K7" t="n">
        <v>1.97</v>
      </c>
      <c r="L7" t="n">
        <v>96.40000000000001</v>
      </c>
      <c r="M7" t="n">
        <v>96.40000000000001</v>
      </c>
      <c r="N7" t="n">
        <v>96.40000000000001</v>
      </c>
      <c r="O7" t="n">
        <v>382</v>
      </c>
      <c r="P7" t="n">
        <v>0.25236</v>
      </c>
      <c r="Q7" t="n">
        <v>0.25236</v>
      </c>
      <c r="R7" t="n">
        <v>0.25236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1272</v>
      </c>
      <c r="B8" t="inlineStr">
        <is>
          <t>HERMANOS GONZALEZ ROLDAN,S.C.</t>
        </is>
      </c>
      <c r="C8" t="inlineStr">
        <is>
          <t>LANE LATE</t>
        </is>
      </c>
      <c r="D8" t="n">
        <v>218.81</v>
      </c>
      <c r="E8" t="n">
        <v>12</v>
      </c>
      <c r="F8" t="n">
        <v>1.12</v>
      </c>
      <c r="G8" t="n">
        <v>26.26</v>
      </c>
      <c r="H8" t="n">
        <v>245.07</v>
      </c>
      <c r="I8" t="n">
        <v>2</v>
      </c>
      <c r="J8" t="n">
        <v>0.98</v>
      </c>
      <c r="K8" t="n">
        <v>4.9</v>
      </c>
      <c r="L8" t="n">
        <v>240.17</v>
      </c>
      <c r="M8" t="n">
        <v>240.17</v>
      </c>
      <c r="N8" t="n">
        <v>240.17</v>
      </c>
      <c r="O8" t="n">
        <v>955</v>
      </c>
      <c r="P8" t="n">
        <v>0.25149</v>
      </c>
      <c r="Q8" t="n">
        <v>0.25149</v>
      </c>
      <c r="R8" t="n">
        <v>0.25149</v>
      </c>
      <c r="S8" t="n">
        <v>0</v>
      </c>
      <c r="T8" t="n">
        <v>0</v>
      </c>
      <c r="U8" t="inlineStr">
        <is>
          <t>SÍ</t>
        </is>
      </c>
      <c r="V8" t="inlineStr"/>
    </row>
    <row r="9">
      <c r="A9" s="14" t="n">
        <v>1415</v>
      </c>
      <c r="B9" s="14" t="inlineStr">
        <is>
          <t>TOMENO SUAREZ,FERNANDO</t>
        </is>
      </c>
      <c r="C9" s="14" t="inlineStr">
        <is>
          <t>BARNFIELD</t>
        </is>
      </c>
      <c r="D9" s="14" t="n">
        <v>1073.83</v>
      </c>
      <c r="E9" s="14" t="n">
        <v>12</v>
      </c>
      <c r="F9" s="14" t="n">
        <v>1.12</v>
      </c>
      <c r="G9" s="14" t="n">
        <v>128.86</v>
      </c>
      <c r="H9" s="14" t="n">
        <v>1202.69</v>
      </c>
      <c r="I9" s="14" t="n">
        <v>2</v>
      </c>
      <c r="J9" s="14" t="n">
        <v>0.98</v>
      </c>
      <c r="K9" s="14" t="n">
        <v>24.05</v>
      </c>
      <c r="L9" s="14" t="n">
        <v>1178.64</v>
      </c>
      <c r="M9" s="14" t="n">
        <v>1178.64</v>
      </c>
      <c r="N9" s="14" t="n">
        <v>2217.53</v>
      </c>
      <c r="O9" s="14" t="n">
        <v>3543</v>
      </c>
      <c r="P9" s="14" t="n">
        <v>0.33267</v>
      </c>
      <c r="Q9" s="14" t="n">
        <v>0.33267</v>
      </c>
      <c r="R9" s="14" t="n">
        <v>0.32999</v>
      </c>
      <c r="S9" s="14" t="n">
        <v>0</v>
      </c>
      <c r="T9" s="14" t="n">
        <v>0</v>
      </c>
      <c r="U9" s="14" t="inlineStr">
        <is>
          <t>NO</t>
        </is>
      </c>
      <c r="V9" s="14" t="inlineStr">
        <is>
          <t>Fiscalidad no alineada.</t>
        </is>
      </c>
    </row>
    <row r="10">
      <c r="A10" t="n">
        <v>1415</v>
      </c>
      <c r="B10" t="inlineStr">
        <is>
          <t>TOMENO SUAREZ,FERNANDO</t>
        </is>
      </c>
      <c r="C10" t="inlineStr">
        <is>
          <t>LANE LATE</t>
        </is>
      </c>
      <c r="D10" t="n">
        <v>2020.34</v>
      </c>
      <c r="E10" t="n">
        <v>12</v>
      </c>
      <c r="F10" t="n">
        <v>1.12</v>
      </c>
      <c r="G10" t="n">
        <v>242.44</v>
      </c>
      <c r="H10" t="n">
        <v>2262.78</v>
      </c>
      <c r="I10" t="n">
        <v>2</v>
      </c>
      <c r="J10" t="n">
        <v>0.98</v>
      </c>
      <c r="K10" t="n">
        <v>45.26</v>
      </c>
      <c r="L10" t="n">
        <v>2217.53</v>
      </c>
      <c r="M10" t="n">
        <v>2217.53</v>
      </c>
      <c r="N10" t="n">
        <v>2217.53</v>
      </c>
      <c r="O10" t="n">
        <v>6720</v>
      </c>
      <c r="P10" t="n">
        <v>0.32999</v>
      </c>
      <c r="Q10" t="n">
        <v>0.32999</v>
      </c>
      <c r="R10" t="n">
        <v>0.32999</v>
      </c>
      <c r="S10" t="n">
        <v>0</v>
      </c>
      <c r="T10" t="n">
        <v>0</v>
      </c>
      <c r="U10" t="inlineStr">
        <is>
          <t>SÍ</t>
        </is>
      </c>
      <c r="V10" t="inlineStr"/>
    </row>
    <row r="11">
      <c r="A11" t="n">
        <v>1445</v>
      </c>
      <c r="B11" t="inlineStr">
        <is>
          <t>REAL GARCIA,MIGUEL</t>
        </is>
      </c>
      <c r="C11" t="inlineStr">
        <is>
          <t>LANE LATE</t>
        </is>
      </c>
      <c r="D11" t="n">
        <v>538.16</v>
      </c>
      <c r="E11" t="n">
        <v>12</v>
      </c>
      <c r="F11" t="n">
        <v>1.12</v>
      </c>
      <c r="G11" t="n">
        <v>64.58</v>
      </c>
      <c r="H11" t="n">
        <v>602.74</v>
      </c>
      <c r="I11" t="n">
        <v>2</v>
      </c>
      <c r="J11" t="n">
        <v>0.98</v>
      </c>
      <c r="K11" t="n">
        <v>12.05</v>
      </c>
      <c r="L11" t="n">
        <v>590.6799999999999</v>
      </c>
      <c r="M11" t="n">
        <v>590.6799999999999</v>
      </c>
      <c r="N11" t="n">
        <v>590.6799999999999</v>
      </c>
      <c r="O11" t="n">
        <v>2369</v>
      </c>
      <c r="P11" t="n">
        <v>0.24934</v>
      </c>
      <c r="Q11" t="n">
        <v>0.24934</v>
      </c>
      <c r="R11" t="n">
        <v>0.24934</v>
      </c>
      <c r="S11" t="n">
        <v>0</v>
      </c>
      <c r="T11" t="n">
        <v>0</v>
      </c>
      <c r="U11" t="inlineStr">
        <is>
          <t>SÍ</t>
        </is>
      </c>
      <c r="V11" t="inlineStr"/>
    </row>
    <row r="12">
      <c r="A12" t="n">
        <v>1500</v>
      </c>
      <c r="B12" t="inlineStr">
        <is>
          <t>JIMENEZ MALDONADO, PEDRO</t>
        </is>
      </c>
      <c r="C12" t="inlineStr">
        <is>
          <t>CHISLETT SUMER</t>
        </is>
      </c>
      <c r="D12" t="n">
        <v>289.49</v>
      </c>
      <c r="E12" t="n">
        <v>12</v>
      </c>
      <c r="F12" t="n">
        <v>1.12</v>
      </c>
      <c r="G12" t="n">
        <v>34.74</v>
      </c>
      <c r="H12" t="n">
        <v>324.23</v>
      </c>
      <c r="I12" t="n">
        <v>2</v>
      </c>
      <c r="J12" t="n">
        <v>0.98</v>
      </c>
      <c r="K12" t="n">
        <v>6.48</v>
      </c>
      <c r="L12" t="n">
        <v>317.74</v>
      </c>
      <c r="M12" t="n">
        <v>317.74</v>
      </c>
      <c r="N12" t="n">
        <v>317.74</v>
      </c>
      <c r="O12" t="n">
        <v>1243</v>
      </c>
      <c r="P12" t="n">
        <v>0.25562</v>
      </c>
      <c r="Q12" t="n">
        <v>0.25562</v>
      </c>
      <c r="R12" t="n">
        <v>0.25562</v>
      </c>
      <c r="S12" t="n">
        <v>0</v>
      </c>
      <c r="T12" t="n">
        <v>0</v>
      </c>
      <c r="U12" t="inlineStr">
        <is>
          <t>SÍ</t>
        </is>
      </c>
      <c r="V12" t="inlineStr"/>
    </row>
    <row r="13">
      <c r="A13" t="n">
        <v>1507</v>
      </c>
      <c r="B13" t="inlineStr">
        <is>
          <t>ZAMBRANO HINOJOSA, Mª ÁNGELES</t>
        </is>
      </c>
      <c r="C13" t="inlineStr">
        <is>
          <t>LANE LATE</t>
        </is>
      </c>
      <c r="D13" t="n">
        <v>1339.66</v>
      </c>
      <c r="E13" t="n">
        <v>12</v>
      </c>
      <c r="F13" t="n">
        <v>1.12</v>
      </c>
      <c r="G13" t="n">
        <v>160.76</v>
      </c>
      <c r="H13" t="n">
        <v>1500.42</v>
      </c>
      <c r="I13" t="n">
        <v>2</v>
      </c>
      <c r="J13" t="n">
        <v>0.98</v>
      </c>
      <c r="K13" t="n">
        <v>30.01</v>
      </c>
      <c r="L13" t="n">
        <v>1470.41</v>
      </c>
      <c r="M13" t="n">
        <v>1470.41</v>
      </c>
      <c r="N13" t="n">
        <v>1470.41</v>
      </c>
      <c r="O13" t="n">
        <v>5539</v>
      </c>
      <c r="P13" t="n">
        <v>0.26546</v>
      </c>
      <c r="Q13" t="n">
        <v>0.26546</v>
      </c>
      <c r="R13" t="n">
        <v>0.26546</v>
      </c>
      <c r="S13" t="n">
        <v>0</v>
      </c>
      <c r="T13" t="n">
        <v>0</v>
      </c>
      <c r="U13" t="inlineStr">
        <is>
          <t>SÍ</t>
        </is>
      </c>
      <c r="V13" t="inlineStr"/>
    </row>
    <row r="14">
      <c r="A14" t="n">
        <v>1544</v>
      </c>
      <c r="B14" t="inlineStr">
        <is>
          <t>HARO ORDOÑO, ALVARO</t>
        </is>
      </c>
      <c r="C14" t="inlineStr">
        <is>
          <t>LANE LATE</t>
        </is>
      </c>
      <c r="D14" t="n">
        <v>1069.64</v>
      </c>
      <c r="E14" t="n">
        <v>12</v>
      </c>
      <c r="F14" t="n">
        <v>1.12</v>
      </c>
      <c r="G14" t="n">
        <v>128.36</v>
      </c>
      <c r="H14" t="n">
        <v>1198</v>
      </c>
      <c r="I14" t="n">
        <v>2</v>
      </c>
      <c r="J14" t="n">
        <v>0.98</v>
      </c>
      <c r="K14" t="n">
        <v>23.96</v>
      </c>
      <c r="L14" t="n">
        <v>1174.04</v>
      </c>
      <c r="M14" t="n">
        <v>1174.04</v>
      </c>
      <c r="N14" t="n">
        <v>1174.04</v>
      </c>
      <c r="O14" t="n">
        <v>3620</v>
      </c>
      <c r="P14" t="n">
        <v>0.32432</v>
      </c>
      <c r="Q14" t="n">
        <v>0.32432</v>
      </c>
      <c r="R14" t="n">
        <v>0.32432</v>
      </c>
      <c r="S14" t="n">
        <v>0</v>
      </c>
      <c r="T14" t="n">
        <v>0</v>
      </c>
      <c r="U14" t="inlineStr">
        <is>
          <t>SÍ</t>
        </is>
      </c>
      <c r="V14" t="inlineStr"/>
    </row>
    <row r="15">
      <c r="A15" t="n">
        <v>1597</v>
      </c>
      <c r="B15" t="inlineStr">
        <is>
          <t>CARBALLO SIRIA, ANTONIO JOSE</t>
        </is>
      </c>
      <c r="C15" t="inlineStr">
        <is>
          <t>LANE LATE</t>
        </is>
      </c>
      <c r="D15" t="n">
        <v>200.19</v>
      </c>
      <c r="E15" t="n">
        <v>12</v>
      </c>
      <c r="F15" t="n">
        <v>1.12</v>
      </c>
      <c r="G15" t="n">
        <v>24.02</v>
      </c>
      <c r="H15" t="n">
        <v>224.21</v>
      </c>
      <c r="I15" t="n">
        <v>2</v>
      </c>
      <c r="J15" t="n">
        <v>0.98</v>
      </c>
      <c r="K15" t="n">
        <v>4.48</v>
      </c>
      <c r="L15" t="n">
        <v>219.73</v>
      </c>
      <c r="M15" t="n">
        <v>219.73</v>
      </c>
      <c r="N15" t="n">
        <v>219.73</v>
      </c>
      <c r="O15" t="n">
        <v>881</v>
      </c>
      <c r="P15" t="n">
        <v>0.24941</v>
      </c>
      <c r="Q15" t="n">
        <v>0.24941</v>
      </c>
      <c r="R15" t="n">
        <v>0.24941</v>
      </c>
      <c r="S15" t="n">
        <v>0</v>
      </c>
      <c r="T15" t="n">
        <v>0</v>
      </c>
      <c r="U15" t="inlineStr">
        <is>
          <t>SÍ</t>
        </is>
      </c>
      <c r="V15" t="inlineStr"/>
    </row>
    <row r="16">
      <c r="A16" t="n">
        <v>1627</v>
      </c>
      <c r="B16" t="inlineStr">
        <is>
          <t>FRUTAS ANDALUZAS DE SEVILLA S.L.</t>
        </is>
      </c>
      <c r="C16" t="inlineStr">
        <is>
          <t>LANE LATE</t>
        </is>
      </c>
      <c r="D16" t="n">
        <v>1343.49</v>
      </c>
      <c r="E16" t="n">
        <v>12</v>
      </c>
      <c r="F16" t="n">
        <v>1.12</v>
      </c>
      <c r="G16" t="n">
        <v>161.22</v>
      </c>
      <c r="H16" t="n">
        <v>1504.71</v>
      </c>
      <c r="I16" t="n">
        <v>2</v>
      </c>
      <c r="J16" t="n">
        <v>0.98</v>
      </c>
      <c r="K16" t="n">
        <v>30.09</v>
      </c>
      <c r="L16" t="n">
        <v>1474.61</v>
      </c>
      <c r="M16" t="n">
        <v>1474.61</v>
      </c>
      <c r="N16" t="n">
        <v>1474.61</v>
      </c>
      <c r="O16" t="n">
        <v>4559</v>
      </c>
      <c r="P16" t="n">
        <v>0.32345</v>
      </c>
      <c r="Q16" t="n">
        <v>0.32345</v>
      </c>
      <c r="R16" t="n">
        <v>0.32345</v>
      </c>
      <c r="S16" t="n">
        <v>0</v>
      </c>
      <c r="T16" t="n">
        <v>0</v>
      </c>
      <c r="U16" t="inlineStr">
        <is>
          <t>SÍ</t>
        </is>
      </c>
      <c r="V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4</v>
      </c>
      <c r="J2" t="n">
        <v>0</v>
      </c>
      <c r="K2" t="n">
        <v>0</v>
      </c>
      <c r="L2" t="n">
        <v>14.39</v>
      </c>
      <c r="M2" t="n">
        <v>195</v>
      </c>
      <c r="N2" t="n">
        <v>2806.05</v>
      </c>
      <c r="O2" t="n">
        <v>430968</v>
      </c>
      <c r="P2" t="n">
        <v>0.006511040262850142</v>
      </c>
      <c r="Q2" t="n">
        <v>3552</v>
      </c>
      <c r="R2" t="n">
        <v>23.13</v>
      </c>
      <c r="S2" t="n">
        <v>0</v>
      </c>
      <c r="T2" t="n">
        <v>23.13</v>
      </c>
      <c r="U2" t="n">
        <v>2782.92</v>
      </c>
      <c r="V2" t="inlineStr">
        <is>
          <t>OPEN</t>
        </is>
      </c>
      <c r="W2" t="inlineStr">
        <is>
          <t>calculated</t>
        </is>
      </c>
      <c r="X2" t="inlineStr">
        <is>
          <t>43 entregas ya figuran como liquidadas.; No existe tarifa BonCalidad para socio=798 campaña=2026 empresa=1 cultivo=INDUSTRIA.; No existe fuente acumulada disponible; saldo informativo calculado con cuota ya aplicada = 0.</t>
        </is>
      </c>
      <c r="Y2" t="inlineStr">
        <is>
          <t>SÍ</t>
        </is>
      </c>
    </row>
    <row r="3">
      <c r="A3" t="n">
        <v>904</v>
      </c>
      <c r="B3" t="inlineStr">
        <is>
          <t>FERNANDEZ MELENDEZ,ANGEL</t>
        </is>
      </c>
      <c r="C3" t="inlineStr">
        <is>
          <t>LANE LATE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1.8</v>
      </c>
      <c r="M3" t="n">
        <v>195</v>
      </c>
      <c r="N3" t="n">
        <v>351</v>
      </c>
      <c r="O3" t="n">
        <v>58810</v>
      </c>
      <c r="P3" t="n">
        <v>0.005968372725726917</v>
      </c>
      <c r="Q3" t="n">
        <v>3209</v>
      </c>
      <c r="R3" t="n">
        <v>19.15</v>
      </c>
      <c r="S3" t="n">
        <v>0</v>
      </c>
      <c r="T3" t="n">
        <v>19.15</v>
      </c>
      <c r="U3" t="n">
        <v>331.85</v>
      </c>
      <c r="V3" t="inlineStr">
        <is>
          <t>OPEN</t>
        </is>
      </c>
      <c r="W3" t="inlineStr">
        <is>
          <t>calculated</t>
        </is>
      </c>
      <c r="X3" t="inlineStr">
        <is>
          <t>43 entregas ya figuran como liquidadas.; No existe tarifa BonCalidad para socio=904 campaña=2026 empresa=1 cultivo=INDUSTRIA.; No existe fuente acumulada disponible; saldo informativo calculado con cuota ya aplicada = 0.</t>
        </is>
      </c>
      <c r="Y3" t="inlineStr">
        <is>
          <t>SÍ</t>
        </is>
      </c>
    </row>
    <row r="4">
      <c r="A4" t="n">
        <v>990</v>
      </c>
      <c r="B4" t="inlineStr">
        <is>
          <t>SANCHEZ PEREZ,ANTONIO</t>
        </is>
      </c>
      <c r="C4" t="inlineStr">
        <is>
          <t>LANE LATE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2</v>
      </c>
      <c r="H4" t="n">
        <v>2</v>
      </c>
      <c r="I4" t="n">
        <v>2</v>
      </c>
      <c r="J4" t="n">
        <v>0</v>
      </c>
      <c r="K4" t="n">
        <v>0</v>
      </c>
      <c r="L4" t="n">
        <v>2.65</v>
      </c>
      <c r="M4" t="n">
        <v>195</v>
      </c>
      <c r="N4" t="n">
        <v>516.75</v>
      </c>
      <c r="O4" t="n">
        <v>40408</v>
      </c>
      <c r="P4" t="n">
        <v>0.01278830924569392</v>
      </c>
      <c r="Q4" t="n">
        <v>11720</v>
      </c>
      <c r="R4" t="n">
        <v>149.88</v>
      </c>
      <c r="S4" t="n">
        <v>0</v>
      </c>
      <c r="T4" t="n">
        <v>149.88</v>
      </c>
      <c r="U4" t="n">
        <v>366.87</v>
      </c>
      <c r="V4" t="inlineStr">
        <is>
          <t>OPEN</t>
        </is>
      </c>
      <c r="W4" t="inlineStr">
        <is>
          <t>calculated</t>
        </is>
      </c>
      <c r="X4" t="inlineStr">
        <is>
          <t>43 entregas ya figuran como liquidadas.; No existe tarifa BonCalidad para socio=990 campaña=2026 empresa=1 cultivo=INDUSTRIA.; No existe fuente acumulada disponible; saldo informativo calculado con cuota ya aplicada = 0.</t>
        </is>
      </c>
      <c r="Y4" t="inlineStr">
        <is>
          <t>SÍ</t>
        </is>
      </c>
    </row>
    <row r="5">
      <c r="A5" t="n">
        <v>1178</v>
      </c>
      <c r="B5" t="inlineStr">
        <is>
          <t>CALZADO GARCIA,FRANCISCO JAVIER</t>
        </is>
      </c>
      <c r="C5" t="inlineStr">
        <is>
          <t>NAVEL POWEL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4</v>
      </c>
      <c r="H5" t="n">
        <v>4</v>
      </c>
      <c r="I5" t="n">
        <v>4</v>
      </c>
      <c r="J5" t="n">
        <v>0</v>
      </c>
      <c r="K5" t="n">
        <v>0</v>
      </c>
      <c r="L5" t="n">
        <v>9.630000000000001</v>
      </c>
      <c r="M5" t="n">
        <v>195</v>
      </c>
      <c r="N5" t="n">
        <v>1877.85</v>
      </c>
      <c r="O5" t="n">
        <v>152504</v>
      </c>
      <c r="P5" t="n">
        <v>0.01231344751613072</v>
      </c>
      <c r="Q5" t="n">
        <v>2948</v>
      </c>
      <c r="R5" t="n">
        <v>36.3</v>
      </c>
      <c r="S5" t="n">
        <v>0</v>
      </c>
      <c r="T5" t="n">
        <v>36.3</v>
      </c>
      <c r="U5" t="n">
        <v>1841.55</v>
      </c>
      <c r="V5" t="inlineStr">
        <is>
          <t>OPEN</t>
        </is>
      </c>
      <c r="W5" t="inlineStr">
        <is>
          <t>calculated</t>
        </is>
      </c>
      <c r="X5" t="inlineStr">
        <is>
          <t>43 entregas ya figuran como liquidadas.; No existe tarifa BonCalidad para socio=1178 campaña=2026 empresa=1 cultivo=INDUSTRIA.; No existe fuente acumulada disponible; saldo informativo calculado con cuota ya aplicada = 0.</t>
        </is>
      </c>
      <c r="Y5" t="inlineStr">
        <is>
          <t>SÍ</t>
        </is>
      </c>
    </row>
    <row r="6">
      <c r="A6" t="n">
        <v>1205</v>
      </c>
      <c r="B6" t="inlineStr">
        <is>
          <t>OLIVER JIMENEZ,MARIA MERCEDES</t>
        </is>
      </c>
      <c r="C6" t="inlineStr">
        <is>
          <t>LANE LATE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1.86</v>
      </c>
      <c r="M6" t="n">
        <v>195</v>
      </c>
      <c r="N6" t="n">
        <v>362.7</v>
      </c>
      <c r="O6" t="n">
        <v>43580</v>
      </c>
      <c r="P6" t="n">
        <v>0.008322625057365763</v>
      </c>
      <c r="Q6" t="n">
        <v>1413</v>
      </c>
      <c r="R6" t="n">
        <v>11.76</v>
      </c>
      <c r="S6" t="n">
        <v>0</v>
      </c>
      <c r="T6" t="n">
        <v>11.76</v>
      </c>
      <c r="U6" t="n">
        <v>350.94</v>
      </c>
      <c r="V6" t="inlineStr">
        <is>
          <t>OPEN</t>
        </is>
      </c>
      <c r="W6" t="inlineStr">
        <is>
          <t>calculated</t>
        </is>
      </c>
      <c r="X6" t="inlineStr">
        <is>
          <t>43 entregas ya figuran como liquidadas.; No existe tarifa BonCalidad para socio=1205 campaña=2026 empresa=1 cultivo=INDUSTRIA.; No existe fuente acumulada disponible; saldo informativo calculado con cuota ya aplicada = 0.</t>
        </is>
      </c>
      <c r="Y6" t="inlineStr">
        <is>
          <t>SÍ</t>
        </is>
      </c>
    </row>
    <row r="7">
      <c r="A7" t="n">
        <v>1255</v>
      </c>
      <c r="B7" t="inlineStr">
        <is>
          <t>CHAMIZO AGREDANO,JUAN</t>
        </is>
      </c>
      <c r="C7" t="inlineStr">
        <is>
          <t>LANE LATE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1</v>
      </c>
      <c r="H7" t="n">
        <v>1</v>
      </c>
      <c r="I7" t="n">
        <v>2</v>
      </c>
      <c r="J7" t="n">
        <v>0</v>
      </c>
      <c r="K7" t="n">
        <v>0</v>
      </c>
      <c r="L7" t="n">
        <v>0.98</v>
      </c>
      <c r="M7" t="n">
        <v>195</v>
      </c>
      <c r="N7" t="n">
        <v>191.1</v>
      </c>
      <c r="O7" t="n">
        <v>29489</v>
      </c>
      <c r="P7" t="n">
        <v>0.00648038251551426</v>
      </c>
      <c r="Q7" t="n">
        <v>382</v>
      </c>
      <c r="R7" t="n">
        <v>2.48</v>
      </c>
      <c r="S7" t="n">
        <v>0</v>
      </c>
      <c r="T7" t="n">
        <v>2.48</v>
      </c>
      <c r="U7" t="n">
        <v>188.62</v>
      </c>
      <c r="V7" t="inlineStr">
        <is>
          <t>OPEN</t>
        </is>
      </c>
      <c r="W7" t="inlineStr">
        <is>
          <t>calculated</t>
        </is>
      </c>
      <c r="X7" t="inlineStr">
        <is>
          <t>43 entregas ya figuran como liquidadas.; No existe tarifa BonCalidad para socio=1255 campaña=2026 empresa=1 cultivo=INDUSTRIA.; No existe fuente acumulada disponible; saldo informativo calculado con cuota ya aplicada = 0.</t>
        </is>
      </c>
      <c r="Y7" t="inlineStr">
        <is>
          <t>SÍ</t>
        </is>
      </c>
    </row>
    <row r="8">
      <c r="A8" t="n">
        <v>1272</v>
      </c>
      <c r="B8" t="inlineStr">
        <is>
          <t>HERMANOS GONZALEZ ROLDAN,S.C.</t>
        </is>
      </c>
      <c r="C8" t="inlineStr">
        <is>
          <t>LANE LATE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10</v>
      </c>
      <c r="H8" t="n">
        <v>10</v>
      </c>
      <c r="I8" t="n">
        <v>29</v>
      </c>
      <c r="J8" t="n">
        <v>0</v>
      </c>
      <c r="K8" t="n">
        <v>0</v>
      </c>
      <c r="L8" t="n">
        <v>60.01</v>
      </c>
      <c r="M8" t="n">
        <v>195</v>
      </c>
      <c r="N8" t="n">
        <v>11701.95</v>
      </c>
      <c r="O8" t="n">
        <v>636702</v>
      </c>
      <c r="P8" t="n">
        <v>0.01837900619127944</v>
      </c>
      <c r="Q8" t="n">
        <v>955</v>
      </c>
      <c r="R8" t="n">
        <v>17.55</v>
      </c>
      <c r="S8" t="n">
        <v>0</v>
      </c>
      <c r="T8" t="n">
        <v>17.55</v>
      </c>
      <c r="U8" t="n">
        <v>11684.4</v>
      </c>
      <c r="V8" t="inlineStr">
        <is>
          <t>OPEN</t>
        </is>
      </c>
      <c r="W8" t="inlineStr">
        <is>
          <t>calculated</t>
        </is>
      </c>
      <c r="X8" t="inlineStr">
        <is>
          <t>43 entregas ya figuran como liquidadas.; No existe tarifa BonCalidad para socio=1272 campaña=2026 empresa=1 cultivo=INDUSTRIA.; No existe fuente acumulada disponible; saldo informativo calculado con cuota ya aplicada = 0.</t>
        </is>
      </c>
      <c r="Y8" t="inlineStr">
        <is>
          <t>SÍ</t>
        </is>
      </c>
    </row>
    <row r="9">
      <c r="A9" t="n">
        <v>1415</v>
      </c>
      <c r="B9" t="inlineStr">
        <is>
          <t>TOMENO SUAREZ,FERNANDO</t>
        </is>
      </c>
      <c r="C9" t="inlineStr">
        <is>
          <t>BARNFIELD</t>
        </is>
      </c>
      <c r="D9" t="inlineStr">
        <is>
          <t>2026</t>
        </is>
      </c>
      <c r="E9" t="inlineStr">
        <is>
          <t>1</t>
        </is>
      </c>
      <c r="F9" t="inlineStr">
        <is>
          <t>DIRECTOCHF, DIRECTO, MANDARINA, INDUSTRIA, CITRICOS</t>
        </is>
      </c>
      <c r="G9" t="n">
        <v>5</v>
      </c>
      <c r="H9" t="n">
        <v>4</v>
      </c>
      <c r="I9" t="n">
        <v>4</v>
      </c>
      <c r="J9" t="n">
        <v>0</v>
      </c>
      <c r="K9" t="n">
        <v>0</v>
      </c>
      <c r="L9" t="n">
        <v>7.49</v>
      </c>
      <c r="M9" t="n">
        <v>195</v>
      </c>
      <c r="N9" t="n">
        <v>1460.55</v>
      </c>
      <c r="O9" t="n">
        <v>414468</v>
      </c>
      <c r="P9" t="n">
        <v>0.003523914994643736</v>
      </c>
      <c r="Q9" t="n">
        <v>3543</v>
      </c>
      <c r="R9" t="n">
        <v>12.49</v>
      </c>
      <c r="S9" t="n">
        <v>0</v>
      </c>
      <c r="T9" t="n">
        <v>36.17</v>
      </c>
      <c r="U9" t="n">
        <v>1424.38</v>
      </c>
      <c r="V9" t="inlineStr">
        <is>
          <t>OPEN</t>
        </is>
      </c>
      <c r="W9" t="inlineStr">
        <is>
          <t>calculated</t>
        </is>
      </c>
      <c r="X9" t="inlineStr">
        <is>
          <t>43 entregas ya figuran como liquidadas.; No existe tarifa BonCalidad para socio=1415 campaña=2026 empresa=1 cultivo=INDUSTRIA.; No existe fuente acumulada disponible; saldo informativo calculado con cuota ya aplicada = 0.</t>
        </is>
      </c>
      <c r="Y9" t="inlineStr">
        <is>
          <t>SÍ</t>
        </is>
      </c>
    </row>
    <row r="10">
      <c r="A10" t="n">
        <v>1415</v>
      </c>
      <c r="B10" t="inlineStr">
        <is>
          <t>TOMENO SUAREZ,FERNANDO</t>
        </is>
      </c>
      <c r="C10" t="inlineStr">
        <is>
          <t>LANE LATE</t>
        </is>
      </c>
      <c r="D10" t="inlineStr">
        <is>
          <t>2026</t>
        </is>
      </c>
      <c r="E10" t="inlineStr">
        <is>
          <t>1</t>
        </is>
      </c>
      <c r="F10" t="inlineStr">
        <is>
          <t>DIRECTOCHF, DIRECTO, MANDARINA, INDUSTRIA, CITRICOS</t>
        </is>
      </c>
      <c r="G10" t="n">
        <v>5</v>
      </c>
      <c r="H10" t="n">
        <v>4</v>
      </c>
      <c r="I10" t="n">
        <v>4</v>
      </c>
      <c r="J10" t="n">
        <v>0</v>
      </c>
      <c r="K10" t="n">
        <v>0</v>
      </c>
      <c r="L10" t="n">
        <v>7.49</v>
      </c>
      <c r="M10" t="n">
        <v>195</v>
      </c>
      <c r="N10" t="n">
        <v>1460.55</v>
      </c>
      <c r="O10" t="n">
        <v>414468</v>
      </c>
      <c r="P10" t="n">
        <v>0.003523914994643736</v>
      </c>
      <c r="Q10" t="n">
        <v>6720</v>
      </c>
      <c r="R10" t="n">
        <v>23.68</v>
      </c>
      <c r="S10" t="n">
        <v>0</v>
      </c>
      <c r="T10" t="n">
        <v>36.17</v>
      </c>
      <c r="U10" t="n">
        <v>1424.38</v>
      </c>
      <c r="V10" t="inlineStr">
        <is>
          <t>OPEN</t>
        </is>
      </c>
      <c r="W10" t="inlineStr">
        <is>
          <t>calculated</t>
        </is>
      </c>
      <c r="X10" t="inlineStr">
        <is>
          <t>43 entregas ya figuran como liquidadas.; No existe tarifa BonCalidad para socio=1415 campaña=2026 empresa=1 cultivo=INDUSTRIA.; No existe fuente acumulada disponible; saldo informativo calculado con cuota ya aplicada = 0.</t>
        </is>
      </c>
      <c r="Y10" t="inlineStr">
        <is>
          <t>SÍ</t>
        </is>
      </c>
    </row>
    <row r="11">
      <c r="A11" t="n">
        <v>1445</v>
      </c>
      <c r="B11" t="inlineStr">
        <is>
          <t>REAL GARCIA,MIGUEL</t>
        </is>
      </c>
      <c r="C11" t="inlineStr">
        <is>
          <t>LANE LATE</t>
        </is>
      </c>
      <c r="D11" t="inlineStr">
        <is>
          <t>2026</t>
        </is>
      </c>
      <c r="E11" t="inlineStr">
        <is>
          <t>1</t>
        </is>
      </c>
      <c r="F11" t="inlineStr">
        <is>
          <t>DIRECTOCHF, DIRECTO, MANDARINA, INDUSTRIA, CITRICOS</t>
        </is>
      </c>
      <c r="G11" t="n">
        <v>3</v>
      </c>
      <c r="H11" t="n">
        <v>3</v>
      </c>
      <c r="I11" t="n">
        <v>5</v>
      </c>
      <c r="J11" t="n">
        <v>0</v>
      </c>
      <c r="K11" t="n">
        <v>0</v>
      </c>
      <c r="L11" t="n">
        <v>8.109999999999999</v>
      </c>
      <c r="M11" t="n">
        <v>195</v>
      </c>
      <c r="N11" t="n">
        <v>1581.45</v>
      </c>
      <c r="O11" t="n">
        <v>171300</v>
      </c>
      <c r="P11" t="n">
        <v>0.009232049036777584</v>
      </c>
      <c r="Q11" t="n">
        <v>2369</v>
      </c>
      <c r="R11" t="n">
        <v>21.87</v>
      </c>
      <c r="S11" t="n">
        <v>0</v>
      </c>
      <c r="T11" t="n">
        <v>21.87</v>
      </c>
      <c r="U11" t="n">
        <v>1559.58</v>
      </c>
      <c r="V11" t="inlineStr">
        <is>
          <t>OPEN</t>
        </is>
      </c>
      <c r="W11" t="inlineStr">
        <is>
          <t>calculated</t>
        </is>
      </c>
      <c r="X11" t="inlineStr">
        <is>
          <t>43 entregas ya figuran como liquidadas.; No existe tarifa BonCalidad para socio=1445 campaña=2026 empresa=1 cultivo=INDUSTRIA.; No existe fuente acumulada disponible; saldo informativo calculado con cuota ya aplicada = 0.</t>
        </is>
      </c>
      <c r="Y11" t="inlineStr">
        <is>
          <t>SÍ</t>
        </is>
      </c>
    </row>
    <row r="12">
      <c r="A12" t="n">
        <v>1500</v>
      </c>
      <c r="B12" t="inlineStr">
        <is>
          <t>JIMENEZ MALDONADO, PEDRO</t>
        </is>
      </c>
      <c r="C12" t="inlineStr">
        <is>
          <t>CHISLETT SUMER</t>
        </is>
      </c>
      <c r="D12" t="inlineStr">
        <is>
          <t>2026</t>
        </is>
      </c>
      <c r="E12" t="inlineStr">
        <is>
          <t>1</t>
        </is>
      </c>
      <c r="F12" t="inlineStr">
        <is>
          <t>DIRECTOCHF, DIRECTO, MANDARINA, INDUSTRIA, CITRICOS</t>
        </is>
      </c>
      <c r="G12" t="n">
        <v>2</v>
      </c>
      <c r="H12" t="n">
        <v>1</v>
      </c>
      <c r="I12" t="n">
        <v>1</v>
      </c>
      <c r="J12" t="n">
        <v>0</v>
      </c>
      <c r="K12" t="n">
        <v>0</v>
      </c>
      <c r="L12" t="n">
        <v>3.12</v>
      </c>
      <c r="M12" t="n">
        <v>195</v>
      </c>
      <c r="N12" t="n">
        <v>608.4</v>
      </c>
      <c r="O12" t="n">
        <v>173709</v>
      </c>
      <c r="P12" t="n">
        <v>0.003502409201595772</v>
      </c>
      <c r="Q12" t="n">
        <v>1243</v>
      </c>
      <c r="R12" t="n">
        <v>4.35</v>
      </c>
      <c r="S12" t="n">
        <v>0</v>
      </c>
      <c r="T12" t="n">
        <v>4.35</v>
      </c>
      <c r="U12" t="n">
        <v>604.05</v>
      </c>
      <c r="V12" t="inlineStr">
        <is>
          <t>OPEN</t>
        </is>
      </c>
      <c r="W12" t="inlineStr">
        <is>
          <t>calculated</t>
        </is>
      </c>
      <c r="X12" t="inlineStr">
        <is>
          <t>43 entregas ya figuran como liquidadas.; No existe tarifa BonCalidad para socio=1500 campaña=2026 empresa=1 cultivo=INDUSTRIA.; No existe fuente acumulada disponible; saldo informativo calculado con cuota ya aplicada = 0.</t>
        </is>
      </c>
      <c r="Y12" t="inlineStr">
        <is>
          <t>SÍ</t>
        </is>
      </c>
    </row>
    <row r="13">
      <c r="A13" t="n">
        <v>1507</v>
      </c>
      <c r="B13" t="inlineStr">
        <is>
          <t>ZAMBRANO HINOJOSA, Mª ÁNGELES</t>
        </is>
      </c>
      <c r="C13" t="inlineStr">
        <is>
          <t>LANE LATE</t>
        </is>
      </c>
      <c r="D13" t="inlineStr">
        <is>
          <t>2026</t>
        </is>
      </c>
      <c r="E13" t="inlineStr">
        <is>
          <t>1</t>
        </is>
      </c>
      <c r="F13" t="inlineStr">
        <is>
          <t>DIRECTOCHF, DIRECTO, MANDARINA, INDUSTRIA, CITRICOS</t>
        </is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0.2436</v>
      </c>
      <c r="M13" t="n">
        <v>195</v>
      </c>
      <c r="N13" t="n">
        <v>47.5</v>
      </c>
      <c r="O13" t="n">
        <v>5539</v>
      </c>
      <c r="P13" t="n">
        <v>0.008575555154359992</v>
      </c>
      <c r="Q13" t="n">
        <v>5539</v>
      </c>
      <c r="R13" t="n">
        <v>47.5</v>
      </c>
      <c r="S13" t="n">
        <v>0</v>
      </c>
      <c r="T13" t="n">
        <v>47.5</v>
      </c>
      <c r="U13" t="n">
        <v>0</v>
      </c>
      <c r="V13" t="inlineStr">
        <is>
          <t>CLOSED</t>
        </is>
      </c>
      <c r="W13" t="inlineStr">
        <is>
          <t>calculated</t>
        </is>
      </c>
      <c r="X13" t="inlineStr">
        <is>
          <t>43 entregas ya figuran como liquidadas.; No existe tarifa BonCalidad para socio=1507 campaña=2026 empresa=1 cultivo=INDUSTRIA.; No existe fuente acumulada disponible; saldo informativo calculado con cuota ya aplicada = 0.</t>
        </is>
      </c>
      <c r="Y13" t="inlineStr">
        <is>
          <t>SÍ</t>
        </is>
      </c>
    </row>
    <row r="14">
      <c r="A14" t="n">
        <v>1544</v>
      </c>
      <c r="B14" t="inlineStr">
        <is>
          <t>HARO ORDOÑO, ALVARO</t>
        </is>
      </c>
      <c r="C14" t="inlineStr">
        <is>
          <t>LANE LATE</t>
        </is>
      </c>
      <c r="D14" t="inlineStr">
        <is>
          <t>2026</t>
        </is>
      </c>
      <c r="E14" t="inlineStr">
        <is>
          <t>1</t>
        </is>
      </c>
      <c r="F14" t="inlineStr">
        <is>
          <t>DIRECTOCHF, DIRECTO, MANDARINA, INDUSTRIA, CITRICOS</t>
        </is>
      </c>
      <c r="G14" t="n">
        <v>5</v>
      </c>
      <c r="H14" t="n">
        <v>4</v>
      </c>
      <c r="I14" t="n">
        <v>6</v>
      </c>
      <c r="J14" t="n">
        <v>0</v>
      </c>
      <c r="K14" t="n">
        <v>0</v>
      </c>
      <c r="L14" t="n">
        <v>3.8</v>
      </c>
      <c r="M14" t="n">
        <v>195</v>
      </c>
      <c r="N14" t="n">
        <v>741</v>
      </c>
      <c r="O14" t="n">
        <v>131717</v>
      </c>
      <c r="P14" t="n">
        <v>0.005625697518163942</v>
      </c>
      <c r="Q14" t="n">
        <v>3620</v>
      </c>
      <c r="R14" t="n">
        <v>20.37</v>
      </c>
      <c r="S14" t="n">
        <v>0</v>
      </c>
      <c r="T14" t="n">
        <v>20.37</v>
      </c>
      <c r="U14" t="n">
        <v>720.63</v>
      </c>
      <c r="V14" t="inlineStr">
        <is>
          <t>OPEN</t>
        </is>
      </c>
      <c r="W14" t="inlineStr">
        <is>
          <t>calculated</t>
        </is>
      </c>
      <c r="X14" t="inlineStr">
        <is>
          <t>43 entregas ya figuran como liquidadas.; No existe tarifa BonCalidad para socio=1544 campaña=2026 empresa=1 cultivo=INDUSTRIA.; No existe fuente acumulada disponible; saldo informativo calculado con cuota ya aplicada = 0.</t>
        </is>
      </c>
      <c r="Y14" t="inlineStr">
        <is>
          <t>SÍ</t>
        </is>
      </c>
    </row>
    <row r="15">
      <c r="A15" t="n">
        <v>1597</v>
      </c>
      <c r="B15" t="inlineStr">
        <is>
          <t>CARBALLO SIRIA, ANTONIO JOSE</t>
        </is>
      </c>
      <c r="C15" t="inlineStr">
        <is>
          <t>LANE LATE</t>
        </is>
      </c>
      <c r="D15" t="inlineStr">
        <is>
          <t>2026</t>
        </is>
      </c>
      <c r="E15" t="inlineStr">
        <is>
          <t>1</t>
        </is>
      </c>
      <c r="F15" t="inlineStr">
        <is>
          <t>DIRECTOCHF, DIRECTO, MANDARINA, INDUSTRIA, CITRICOS</t>
        </is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5.63</v>
      </c>
      <c r="M15" t="n">
        <v>195</v>
      </c>
      <c r="N15" t="n">
        <v>1097.85</v>
      </c>
      <c r="O15" t="n">
        <v>119651</v>
      </c>
      <c r="P15" t="n">
        <v>0.00917543522411012</v>
      </c>
      <c r="Q15" t="n">
        <v>881</v>
      </c>
      <c r="R15" t="n">
        <v>8.08</v>
      </c>
      <c r="S15" t="n">
        <v>0</v>
      </c>
      <c r="T15" t="n">
        <v>8.08</v>
      </c>
      <c r="U15" t="n">
        <v>1089.77</v>
      </c>
      <c r="V15" t="inlineStr">
        <is>
          <t>OPEN</t>
        </is>
      </c>
      <c r="W15" t="inlineStr">
        <is>
          <t>calculated</t>
        </is>
      </c>
      <c r="X15" t="inlineStr">
        <is>
          <t>43 entregas ya figuran como liquidadas.; No existe tarifa BonCalidad para socio=1597 campaña=2026 empresa=1 cultivo=INDUSTRIA.; No existe fuente acumulada disponible; saldo informativo calculado con cuota ya aplicada = 0.</t>
        </is>
      </c>
      <c r="Y15" t="inlineStr">
        <is>
          <t>SÍ</t>
        </is>
      </c>
    </row>
    <row r="16">
      <c r="A16" t="n">
        <v>1627</v>
      </c>
      <c r="B16" t="inlineStr">
        <is>
          <t>FRUTAS ANDALUZAS DE SEVILLA S.L.</t>
        </is>
      </c>
      <c r="C16" t="inlineStr">
        <is>
          <t>LANE LATE</t>
        </is>
      </c>
      <c r="D16" t="inlineStr">
        <is>
          <t>2026</t>
        </is>
      </c>
      <c r="E16" t="inlineStr">
        <is>
          <t>1</t>
        </is>
      </c>
      <c r="F16" t="inlineStr">
        <is>
          <t>DIRECTOCHF, DIRECTO, MANDARINA, INDUSTRIA, CITRICOS</t>
        </is>
      </c>
      <c r="G16" t="n">
        <v>2</v>
      </c>
      <c r="H16" t="n">
        <v>2</v>
      </c>
      <c r="I16" t="n">
        <v>3</v>
      </c>
      <c r="J16" t="n">
        <v>0</v>
      </c>
      <c r="K16" t="n">
        <v>0</v>
      </c>
      <c r="L16" t="n">
        <v>6.77</v>
      </c>
      <c r="M16" t="n">
        <v>195</v>
      </c>
      <c r="N16" t="n">
        <v>1320.15</v>
      </c>
      <c r="O16" t="n">
        <v>130552</v>
      </c>
      <c r="P16" t="n">
        <v>0.01011206262638642</v>
      </c>
      <c r="Q16" t="n">
        <v>4559</v>
      </c>
      <c r="R16" t="n">
        <v>46.1</v>
      </c>
      <c r="S16" t="n">
        <v>0</v>
      </c>
      <c r="T16" t="n">
        <v>46.1</v>
      </c>
      <c r="U16" t="n">
        <v>1274.05</v>
      </c>
      <c r="V16" t="inlineStr">
        <is>
          <t>OPEN</t>
        </is>
      </c>
      <c r="W16" t="inlineStr">
        <is>
          <t>calculated</t>
        </is>
      </c>
      <c r="X16" t="inlineStr">
        <is>
          <t>43 entregas ya figuran como liquidadas.; No existe tarifa BonCalidad para socio=1627 campaña=2026 empresa=1 cultivo=INDUSTRIA.; No existe fuente acumulada disponible; saldo informativo calculado con cuota ya aplicada = 0.</t>
        </is>
      </c>
      <c r="Y16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798</v>
      </c>
      <c r="B2" t="inlineStr">
        <is>
          <t>PAREJA PAREJA,ISABEL</t>
        </is>
      </c>
      <c r="C2" t="n">
        <v>411</v>
      </c>
      <c r="D2" t="inlineStr">
        <is>
          <t>8077</t>
        </is>
      </c>
      <c r="E2" t="inlineStr">
        <is>
          <t>12</t>
        </is>
      </c>
      <c r="F2" t="inlineStr">
        <is>
          <t>127</t>
        </is>
      </c>
      <c r="G2" t="inlineStr">
        <is>
          <t>3</t>
        </is>
      </c>
      <c r="H2" t="n">
        <v>2005</v>
      </c>
      <c r="I2" t="n">
        <v>5.45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14.39</v>
      </c>
      <c r="P2" t="n">
        <v>2806.05</v>
      </c>
      <c r="Q2" t="n">
        <v>430968</v>
      </c>
      <c r="R2" t="n">
        <v>0.006511040262850142</v>
      </c>
      <c r="S2" t="n">
        <v>3552</v>
      </c>
      <c r="T2" t="n">
        <v>23.13</v>
      </c>
    </row>
    <row r="3">
      <c r="A3" t="n">
        <v>798</v>
      </c>
      <c r="B3" t="inlineStr">
        <is>
          <t>PAREJA PAREJA,ISABEL</t>
        </is>
      </c>
      <c r="C3" t="n">
        <v>412</v>
      </c>
      <c r="D3" t="inlineStr">
        <is>
          <t>8078</t>
        </is>
      </c>
      <c r="E3" t="inlineStr">
        <is>
          <t>12</t>
        </is>
      </c>
      <c r="F3" t="inlineStr">
        <is>
          <t>131</t>
        </is>
      </c>
      <c r="G3" t="inlineStr">
        <is>
          <t>3</t>
        </is>
      </c>
      <c r="H3" t="n">
        <v>2005</v>
      </c>
      <c r="I3" t="n">
        <v>0.03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14.39</v>
      </c>
      <c r="P3" t="n">
        <v>2806.05</v>
      </c>
      <c r="Q3" t="n">
        <v>430968</v>
      </c>
      <c r="R3" t="n">
        <v>0.006511040262850142</v>
      </c>
      <c r="S3" t="n">
        <v>3552</v>
      </c>
      <c r="T3" t="n">
        <v>23.13</v>
      </c>
    </row>
    <row r="4">
      <c r="A4" t="n">
        <v>798</v>
      </c>
      <c r="B4" t="inlineStr">
        <is>
          <t>PAREJA PAREJA,ISABEL</t>
        </is>
      </c>
      <c r="C4" t="n">
        <v>412</v>
      </c>
      <c r="D4" t="inlineStr">
        <is>
          <t>8079</t>
        </is>
      </c>
      <c r="E4" t="inlineStr">
        <is>
          <t>12</t>
        </is>
      </c>
      <c r="F4" t="inlineStr">
        <is>
          <t>131</t>
        </is>
      </c>
      <c r="G4" t="inlineStr">
        <is>
          <t>1</t>
        </is>
      </c>
      <c r="H4" t="n">
        <v>2002</v>
      </c>
      <c r="I4" t="n">
        <v>4.81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14.39</v>
      </c>
      <c r="P4" t="n">
        <v>2806.05</v>
      </c>
      <c r="Q4" t="n">
        <v>430968</v>
      </c>
      <c r="R4" t="n">
        <v>0.006511040262850142</v>
      </c>
      <c r="S4" t="n">
        <v>3552</v>
      </c>
      <c r="T4" t="n">
        <v>23.13</v>
      </c>
    </row>
    <row r="5">
      <c r="A5" t="n">
        <v>798</v>
      </c>
      <c r="B5" t="inlineStr">
        <is>
          <t>PAREJA PAREJA,ISABEL</t>
        </is>
      </c>
      <c r="C5" t="n">
        <v>412</v>
      </c>
      <c r="D5" t="inlineStr">
        <is>
          <t>8080</t>
        </is>
      </c>
      <c r="E5" t="inlineStr">
        <is>
          <t>12</t>
        </is>
      </c>
      <c r="F5" t="inlineStr">
        <is>
          <t>130</t>
        </is>
      </c>
      <c r="G5" t="inlineStr">
        <is>
          <t>2</t>
        </is>
      </c>
      <c r="H5" t="n">
        <v>2005</v>
      </c>
      <c r="I5" t="n">
        <v>4.1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14.39</v>
      </c>
      <c r="P5" t="n">
        <v>2806.05</v>
      </c>
      <c r="Q5" t="n">
        <v>430968</v>
      </c>
      <c r="R5" t="n">
        <v>0.006511040262850142</v>
      </c>
      <c r="S5" t="n">
        <v>3552</v>
      </c>
      <c r="T5" t="n">
        <v>23.13</v>
      </c>
    </row>
    <row r="6">
      <c r="A6" t="n">
        <v>904</v>
      </c>
      <c r="B6" t="inlineStr">
        <is>
          <t>FERNANDEZ MELENDEZ,ANGEL</t>
        </is>
      </c>
      <c r="C6" t="n">
        <v>266</v>
      </c>
      <c r="D6" t="inlineStr">
        <is>
          <t>8156</t>
        </is>
      </c>
      <c r="E6" t="inlineStr">
        <is>
          <t>13</t>
        </is>
      </c>
      <c r="F6" t="inlineStr">
        <is>
          <t>36</t>
        </is>
      </c>
      <c r="G6" t="inlineStr">
        <is>
          <t>1</t>
        </is>
      </c>
      <c r="H6" t="n">
        <v>2006</v>
      </c>
      <c r="I6" t="n">
        <v>1.8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1.8</v>
      </c>
      <c r="P6" t="n">
        <v>351</v>
      </c>
      <c r="Q6" t="n">
        <v>58810</v>
      </c>
      <c r="R6" t="n">
        <v>0.005968372725726917</v>
      </c>
      <c r="S6" t="n">
        <v>3209</v>
      </c>
      <c r="T6" t="n">
        <v>19.15</v>
      </c>
    </row>
    <row r="7">
      <c r="A7" t="n">
        <v>990</v>
      </c>
      <c r="B7" t="inlineStr">
        <is>
          <t>SANCHEZ PEREZ,ANTONIO</t>
        </is>
      </c>
      <c r="C7" t="n">
        <v>78</v>
      </c>
      <c r="D7" t="inlineStr">
        <is>
          <t>8220</t>
        </is>
      </c>
      <c r="E7" t="inlineStr">
        <is>
          <t>29</t>
        </is>
      </c>
      <c r="F7" t="inlineStr">
        <is>
          <t>15</t>
        </is>
      </c>
      <c r="G7" t="inlineStr">
        <is>
          <t>1</t>
        </is>
      </c>
      <c r="H7" t="n">
        <v>1988</v>
      </c>
      <c r="I7" t="n">
        <v>1.03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2.65</v>
      </c>
      <c r="P7" t="n">
        <v>516.75</v>
      </c>
      <c r="Q7" t="n">
        <v>40408</v>
      </c>
      <c r="R7" t="n">
        <v>0.01278830924569392</v>
      </c>
      <c r="S7" t="n">
        <v>11720</v>
      </c>
      <c r="T7" t="n">
        <v>149.88</v>
      </c>
    </row>
    <row r="8">
      <c r="A8" t="n">
        <v>990</v>
      </c>
      <c r="B8" t="inlineStr">
        <is>
          <t>SANCHEZ PEREZ,ANTONIO</t>
        </is>
      </c>
      <c r="C8" t="n">
        <v>590</v>
      </c>
      <c r="D8" t="inlineStr">
        <is>
          <t>8219</t>
        </is>
      </c>
      <c r="E8" t="inlineStr">
        <is>
          <t>29</t>
        </is>
      </c>
      <c r="F8" t="inlineStr">
        <is>
          <t>142</t>
        </is>
      </c>
      <c r="G8" t="inlineStr">
        <is>
          <t>1</t>
        </is>
      </c>
      <c r="H8" t="n">
        <v>2019</v>
      </c>
      <c r="I8" t="n">
        <v>1.62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2.65</v>
      </c>
      <c r="P8" t="n">
        <v>516.75</v>
      </c>
      <c r="Q8" t="n">
        <v>40408</v>
      </c>
      <c r="R8" t="n">
        <v>0.01278830924569392</v>
      </c>
      <c r="S8" t="n">
        <v>11720</v>
      </c>
      <c r="T8" t="n">
        <v>149.88</v>
      </c>
    </row>
    <row r="9">
      <c r="A9" t="n">
        <v>1178</v>
      </c>
      <c r="B9" t="inlineStr">
        <is>
          <t>CALZADO GARCIA,FRANCISCO JAVIER</t>
        </is>
      </c>
      <c r="C9" t="n">
        <v>171</v>
      </c>
      <c r="D9" t="inlineStr">
        <is>
          <t>8376</t>
        </is>
      </c>
      <c r="E9" t="inlineStr">
        <is>
          <t>11</t>
        </is>
      </c>
      <c r="F9" t="inlineStr">
        <is>
          <t>82</t>
        </is>
      </c>
      <c r="G9" t="inlineStr">
        <is>
          <t>2</t>
        </is>
      </c>
      <c r="H9" t="n">
        <v>2004</v>
      </c>
      <c r="I9" t="n">
        <v>3.84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9.630000000000001</v>
      </c>
      <c r="P9" t="n">
        <v>1877.85</v>
      </c>
      <c r="Q9" t="n">
        <v>152504</v>
      </c>
      <c r="R9" t="n">
        <v>0.01231344751613072</v>
      </c>
      <c r="S9" t="n">
        <v>2948</v>
      </c>
      <c r="T9" t="n">
        <v>36.3</v>
      </c>
    </row>
    <row r="10">
      <c r="A10" t="n">
        <v>1178</v>
      </c>
      <c r="B10" t="inlineStr">
        <is>
          <t>CALZADO GARCIA,FRANCISCO JAVIER</t>
        </is>
      </c>
      <c r="C10" t="n">
        <v>528</v>
      </c>
      <c r="D10" t="inlineStr">
        <is>
          <t>8374</t>
        </is>
      </c>
      <c r="E10" t="inlineStr">
        <is>
          <t>11</t>
        </is>
      </c>
      <c r="F10" t="inlineStr">
        <is>
          <t>92</t>
        </is>
      </c>
      <c r="G10" t="inlineStr">
        <is>
          <t>1</t>
        </is>
      </c>
      <c r="H10" t="n">
        <v>2011</v>
      </c>
      <c r="I10" t="n">
        <v>2.69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9.630000000000001</v>
      </c>
      <c r="P10" t="n">
        <v>1877.85</v>
      </c>
      <c r="Q10" t="n">
        <v>152504</v>
      </c>
      <c r="R10" t="n">
        <v>0.01231344751613072</v>
      </c>
      <c r="S10" t="n">
        <v>2948</v>
      </c>
      <c r="T10" t="n">
        <v>36.3</v>
      </c>
    </row>
    <row r="11">
      <c r="A11" t="n">
        <v>1178</v>
      </c>
      <c r="B11" t="inlineStr">
        <is>
          <t>CALZADO GARCIA,FRANCISCO JAVIER</t>
        </is>
      </c>
      <c r="C11" t="n">
        <v>548</v>
      </c>
      <c r="D11" t="inlineStr">
        <is>
          <t>8375</t>
        </is>
      </c>
      <c r="E11" t="inlineStr">
        <is>
          <t>11</t>
        </is>
      </c>
      <c r="F11" t="inlineStr">
        <is>
          <t>92</t>
        </is>
      </c>
      <c r="G11" t="inlineStr">
        <is>
          <t>1</t>
        </is>
      </c>
      <c r="H11" t="n">
        <v>2011</v>
      </c>
      <c r="I11" t="n">
        <v>0.1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9.630000000000001</v>
      </c>
      <c r="P11" t="n">
        <v>1877.85</v>
      </c>
      <c r="Q11" t="n">
        <v>152504</v>
      </c>
      <c r="R11" t="n">
        <v>0.01231344751613072</v>
      </c>
      <c r="S11" t="n">
        <v>2948</v>
      </c>
      <c r="T11" t="n">
        <v>36.3</v>
      </c>
    </row>
    <row r="12">
      <c r="A12" t="n">
        <v>1178</v>
      </c>
      <c r="B12" t="inlineStr">
        <is>
          <t>CALZADO GARCIA,FRANCISCO JAVIER</t>
        </is>
      </c>
      <c r="C12" t="n">
        <v>641</v>
      </c>
      <c r="D12" t="inlineStr">
        <is>
          <t>6454</t>
        </is>
      </c>
      <c r="E12" t="inlineStr">
        <is>
          <t>11</t>
        </is>
      </c>
      <c r="F12" t="inlineStr">
        <is>
          <t>82</t>
        </is>
      </c>
      <c r="G12" t="inlineStr">
        <is>
          <t>2</t>
        </is>
      </c>
      <c r="H12" t="n">
        <v>2020</v>
      </c>
      <c r="I12" t="n">
        <v>3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9.630000000000001</v>
      </c>
      <c r="P12" t="n">
        <v>1877.85</v>
      </c>
      <c r="Q12" t="n">
        <v>152504</v>
      </c>
      <c r="R12" t="n">
        <v>0.01231344751613072</v>
      </c>
      <c r="S12" t="n">
        <v>2948</v>
      </c>
      <c r="T12" t="n">
        <v>36.3</v>
      </c>
    </row>
    <row r="13">
      <c r="A13" t="n">
        <v>1205</v>
      </c>
      <c r="B13" t="inlineStr">
        <is>
          <t>OLIVER JIMENEZ,MARIA MERCEDES</t>
        </is>
      </c>
      <c r="C13" t="n">
        <v>586</v>
      </c>
      <c r="D13" t="inlineStr">
        <is>
          <t>8439</t>
        </is>
      </c>
      <c r="E13" t="inlineStr">
        <is>
          <t>13</t>
        </is>
      </c>
      <c r="F13" t="inlineStr">
        <is>
          <t>53</t>
        </is>
      </c>
      <c r="G13" t="inlineStr">
        <is>
          <t>1</t>
        </is>
      </c>
      <c r="H13" t="n">
        <v>2018</v>
      </c>
      <c r="I13" t="n">
        <v>1.86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1.86</v>
      </c>
      <c r="P13" t="n">
        <v>362.7</v>
      </c>
      <c r="Q13" t="n">
        <v>43580</v>
      </c>
      <c r="R13" t="n">
        <v>0.008322625057365763</v>
      </c>
      <c r="S13" t="n">
        <v>1413</v>
      </c>
      <c r="T13" t="n">
        <v>11.76</v>
      </c>
    </row>
    <row r="14">
      <c r="A14" t="n">
        <v>1255</v>
      </c>
      <c r="B14" t="inlineStr">
        <is>
          <t>CHAMIZO AGREDANO,JUAN</t>
        </is>
      </c>
      <c r="C14" t="n">
        <v>185</v>
      </c>
      <c r="D14" t="inlineStr">
        <is>
          <t>8517</t>
        </is>
      </c>
      <c r="E14" t="inlineStr">
        <is>
          <t>13</t>
        </is>
      </c>
      <c r="F14" t="inlineStr">
        <is>
          <t>9511</t>
        </is>
      </c>
      <c r="G14" t="inlineStr">
        <is>
          <t>2</t>
        </is>
      </c>
      <c r="H14" t="n">
        <v>2005</v>
      </c>
      <c r="I14" t="n">
        <v>0.04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0.98</v>
      </c>
      <c r="P14" t="n">
        <v>191.1</v>
      </c>
      <c r="Q14" t="n">
        <v>29489</v>
      </c>
      <c r="R14" t="n">
        <v>0.00648038251551426</v>
      </c>
      <c r="S14" t="n">
        <v>382</v>
      </c>
      <c r="T14" t="n">
        <v>2.48</v>
      </c>
    </row>
    <row r="15">
      <c r="A15" t="n">
        <v>1255</v>
      </c>
      <c r="B15" t="inlineStr">
        <is>
          <t>CHAMIZO AGREDANO,JUAN</t>
        </is>
      </c>
      <c r="C15" t="n">
        <v>185</v>
      </c>
      <c r="D15" t="inlineStr">
        <is>
          <t>8518</t>
        </is>
      </c>
      <c r="E15" t="inlineStr">
        <is>
          <t>13</t>
        </is>
      </c>
      <c r="F15" t="inlineStr">
        <is>
          <t>105</t>
        </is>
      </c>
      <c r="G15" t="inlineStr">
        <is>
          <t>1</t>
        </is>
      </c>
      <c r="H15" t="n">
        <v>2005</v>
      </c>
      <c r="I15" t="n">
        <v>0.9399999999999999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0.98</v>
      </c>
      <c r="P15" t="n">
        <v>191.1</v>
      </c>
      <c r="Q15" t="n">
        <v>29489</v>
      </c>
      <c r="R15" t="n">
        <v>0.00648038251551426</v>
      </c>
      <c r="S15" t="n">
        <v>382</v>
      </c>
      <c r="T15" t="n">
        <v>2.48</v>
      </c>
    </row>
    <row r="16">
      <c r="A16" t="n">
        <v>1272</v>
      </c>
      <c r="B16" t="inlineStr">
        <is>
          <t>HERMANOS GONZALEZ ROLDAN,S.C.</t>
        </is>
      </c>
      <c r="C16" t="n">
        <v>196</v>
      </c>
      <c r="D16" t="inlineStr">
        <is>
          <t>8585</t>
        </is>
      </c>
      <c r="E16" t="inlineStr">
        <is>
          <t>22</t>
        </is>
      </c>
      <c r="F16" t="inlineStr">
        <is>
          <t>17</t>
        </is>
      </c>
      <c r="G16" t="inlineStr">
        <is>
          <t>3</t>
        </is>
      </c>
      <c r="H16" t="n">
        <v>2003</v>
      </c>
      <c r="I16" t="n">
        <v>4.94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60.01</v>
      </c>
      <c r="P16" t="n">
        <v>11701.95</v>
      </c>
      <c r="Q16" t="n">
        <v>636702</v>
      </c>
      <c r="R16" t="n">
        <v>0.01837900619127944</v>
      </c>
      <c r="S16" t="n">
        <v>955</v>
      </c>
      <c r="T16" t="n">
        <v>17.55</v>
      </c>
    </row>
    <row r="17">
      <c r="A17" t="n">
        <v>1272</v>
      </c>
      <c r="B17" t="inlineStr">
        <is>
          <t>HERMANOS GONZALEZ ROLDAN,S.C.</t>
        </is>
      </c>
      <c r="C17" t="n">
        <v>232</v>
      </c>
      <c r="D17" t="inlineStr">
        <is>
          <t>8583</t>
        </is>
      </c>
      <c r="E17" t="inlineStr">
        <is>
          <t>13</t>
        </is>
      </c>
      <c r="F17" t="inlineStr">
        <is>
          <t>192</t>
        </is>
      </c>
      <c r="G17" t="inlineStr">
        <is>
          <t>2</t>
        </is>
      </c>
      <c r="H17" t="n">
        <v>2001</v>
      </c>
      <c r="I17" t="n">
        <v>1.86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60.01</v>
      </c>
      <c r="P17" t="n">
        <v>11701.95</v>
      </c>
      <c r="Q17" t="n">
        <v>636702</v>
      </c>
      <c r="R17" t="n">
        <v>0.01837900619127944</v>
      </c>
      <c r="S17" t="n">
        <v>955</v>
      </c>
      <c r="T17" t="n">
        <v>17.55</v>
      </c>
    </row>
    <row r="18">
      <c r="A18" t="n">
        <v>1272</v>
      </c>
      <c r="B18" t="inlineStr">
        <is>
          <t>HERMANOS GONZALEZ ROLDAN,S.C.</t>
        </is>
      </c>
      <c r="C18" t="n">
        <v>232</v>
      </c>
      <c r="D18" t="inlineStr">
        <is>
          <t>8584</t>
        </is>
      </c>
      <c r="E18" t="inlineStr">
        <is>
          <t>13</t>
        </is>
      </c>
      <c r="F18" t="inlineStr">
        <is>
          <t>394</t>
        </is>
      </c>
      <c r="G18" t="inlineStr">
        <is>
          <t>2</t>
        </is>
      </c>
      <c r="H18" t="n">
        <v>2001</v>
      </c>
      <c r="I18" t="n">
        <v>1.3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60.01</v>
      </c>
      <c r="P18" t="n">
        <v>11701.95</v>
      </c>
      <c r="Q18" t="n">
        <v>636702</v>
      </c>
      <c r="R18" t="n">
        <v>0.01837900619127944</v>
      </c>
      <c r="S18" t="n">
        <v>955</v>
      </c>
      <c r="T18" t="n">
        <v>17.55</v>
      </c>
    </row>
    <row r="19">
      <c r="A19" t="n">
        <v>1272</v>
      </c>
      <c r="B19" t="inlineStr">
        <is>
          <t>HERMANOS GONZALEZ ROLDAN,S.C.</t>
        </is>
      </c>
      <c r="C19" t="n">
        <v>234</v>
      </c>
      <c r="D19" t="inlineStr">
        <is>
          <t>8715</t>
        </is>
      </c>
      <c r="E19" t="inlineStr">
        <is>
          <t>13</t>
        </is>
      </c>
      <c r="F19" t="inlineStr">
        <is>
          <t>190</t>
        </is>
      </c>
      <c r="G19" t="inlineStr">
        <is>
          <t>1</t>
        </is>
      </c>
      <c r="H19" t="n">
        <v>1997</v>
      </c>
      <c r="I19" t="n">
        <v>1.05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60.01</v>
      </c>
      <c r="P19" t="n">
        <v>11701.95</v>
      </c>
      <c r="Q19" t="n">
        <v>636702</v>
      </c>
      <c r="R19" t="n">
        <v>0.01837900619127944</v>
      </c>
      <c r="S19" t="n">
        <v>955</v>
      </c>
      <c r="T19" t="n">
        <v>17.55</v>
      </c>
    </row>
    <row r="20">
      <c r="A20" t="n">
        <v>1272</v>
      </c>
      <c r="B20" t="inlineStr">
        <is>
          <t>HERMANOS GONZALEZ ROLDAN,S.C.</t>
        </is>
      </c>
      <c r="C20" t="n">
        <v>236</v>
      </c>
      <c r="D20" t="inlineStr">
        <is>
          <t>8716</t>
        </is>
      </c>
      <c r="E20" t="inlineStr">
        <is>
          <t>13</t>
        </is>
      </c>
      <c r="F20" t="inlineStr">
        <is>
          <t>191</t>
        </is>
      </c>
      <c r="G20" t="inlineStr">
        <is>
          <t>2</t>
        </is>
      </c>
      <c r="H20" t="n">
        <v>2001</v>
      </c>
      <c r="I20" t="n">
        <v>1.05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60.01</v>
      </c>
      <c r="P20" t="n">
        <v>11701.95</v>
      </c>
      <c r="Q20" t="n">
        <v>636702</v>
      </c>
      <c r="R20" t="n">
        <v>0.01837900619127944</v>
      </c>
      <c r="S20" t="n">
        <v>955</v>
      </c>
      <c r="T20" t="n">
        <v>17.55</v>
      </c>
    </row>
    <row r="21">
      <c r="A21" t="n">
        <v>1272</v>
      </c>
      <c r="B21" t="inlineStr">
        <is>
          <t>HERMANOS GONZALEZ ROLDAN,S.C.</t>
        </is>
      </c>
      <c r="C21" t="n">
        <v>251</v>
      </c>
      <c r="D21" t="inlineStr">
        <is>
          <t>8586</t>
        </is>
      </c>
      <c r="E21" t="inlineStr">
        <is>
          <t>13</t>
        </is>
      </c>
      <c r="F21" t="inlineStr">
        <is>
          <t>192</t>
        </is>
      </c>
      <c r="G21" t="inlineStr">
        <is>
          <t>2</t>
        </is>
      </c>
      <c r="H21" t="n">
        <v>2001</v>
      </c>
      <c r="I21" t="n">
        <v>0.62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60.01</v>
      </c>
      <c r="P21" t="n">
        <v>11701.95</v>
      </c>
      <c r="Q21" t="n">
        <v>636702</v>
      </c>
      <c r="R21" t="n">
        <v>0.01837900619127944</v>
      </c>
      <c r="S21" t="n">
        <v>955</v>
      </c>
      <c r="T21" t="n">
        <v>17.55</v>
      </c>
    </row>
    <row r="22">
      <c r="A22" t="n">
        <v>1272</v>
      </c>
      <c r="B22" t="inlineStr">
        <is>
          <t>HERMANOS GONZALEZ ROLDAN,S.C.</t>
        </is>
      </c>
      <c r="C22" t="n">
        <v>251</v>
      </c>
      <c r="D22" t="inlineStr">
        <is>
          <t>8587</t>
        </is>
      </c>
      <c r="E22" t="inlineStr">
        <is>
          <t>13</t>
        </is>
      </c>
      <c r="F22" t="inlineStr">
        <is>
          <t>192</t>
        </is>
      </c>
      <c r="G22" t="inlineStr">
        <is>
          <t>4</t>
        </is>
      </c>
      <c r="H22" t="n">
        <v>2001</v>
      </c>
      <c r="I22" t="n">
        <v>0.12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60.01</v>
      </c>
      <c r="P22" t="n">
        <v>11701.95</v>
      </c>
      <c r="Q22" t="n">
        <v>636702</v>
      </c>
      <c r="R22" t="n">
        <v>0.01837900619127944</v>
      </c>
      <c r="S22" t="n">
        <v>955</v>
      </c>
      <c r="T22" t="n">
        <v>17.55</v>
      </c>
    </row>
    <row r="23">
      <c r="A23" t="n">
        <v>1272</v>
      </c>
      <c r="B23" t="inlineStr">
        <is>
          <t>HERMANOS GONZALEZ ROLDAN,S.C.</t>
        </is>
      </c>
      <c r="C23" t="n">
        <v>251</v>
      </c>
      <c r="D23" t="inlineStr">
        <is>
          <t>8588</t>
        </is>
      </c>
      <c r="E23" t="inlineStr">
        <is>
          <t>13</t>
        </is>
      </c>
      <c r="F23" t="inlineStr">
        <is>
          <t>394</t>
        </is>
      </c>
      <c r="G23" t="inlineStr">
        <is>
          <t>2</t>
        </is>
      </c>
      <c r="H23" t="n">
        <v>2001</v>
      </c>
      <c r="I23" t="n">
        <v>1.42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60.01</v>
      </c>
      <c r="P23" t="n">
        <v>11701.95</v>
      </c>
      <c r="Q23" t="n">
        <v>636702</v>
      </c>
      <c r="R23" t="n">
        <v>0.01837900619127944</v>
      </c>
      <c r="S23" t="n">
        <v>955</v>
      </c>
      <c r="T23" t="n">
        <v>17.55</v>
      </c>
    </row>
    <row r="24">
      <c r="A24" t="n">
        <v>1272</v>
      </c>
      <c r="B24" t="inlineStr">
        <is>
          <t>HERMANOS GONZALEZ ROLDAN,S.C.</t>
        </is>
      </c>
      <c r="C24" t="n">
        <v>359</v>
      </c>
      <c r="D24" t="inlineStr">
        <is>
          <t>8589</t>
        </is>
      </c>
      <c r="E24" t="inlineStr">
        <is>
          <t>13</t>
        </is>
      </c>
      <c r="F24" t="inlineStr">
        <is>
          <t>186</t>
        </is>
      </c>
      <c r="G24" t="inlineStr">
        <is>
          <t>1</t>
        </is>
      </c>
      <c r="H24" t="n">
        <v>2017</v>
      </c>
      <c r="I24" t="n">
        <v>3.4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60.01</v>
      </c>
      <c r="P24" t="n">
        <v>11701.95</v>
      </c>
      <c r="Q24" t="n">
        <v>636702</v>
      </c>
      <c r="R24" t="n">
        <v>0.01837900619127944</v>
      </c>
      <c r="S24" t="n">
        <v>955</v>
      </c>
      <c r="T24" t="n">
        <v>17.55</v>
      </c>
    </row>
    <row r="25">
      <c r="A25" t="n">
        <v>1272</v>
      </c>
      <c r="B25" t="inlineStr">
        <is>
          <t>HERMANOS GONZALEZ ROLDAN,S.C.</t>
        </is>
      </c>
      <c r="C25" t="n">
        <v>359</v>
      </c>
      <c r="D25" t="inlineStr">
        <is>
          <t>8637</t>
        </is>
      </c>
      <c r="E25" t="inlineStr">
        <is>
          <t>13</t>
        </is>
      </c>
      <c r="F25" t="inlineStr">
        <is>
          <t>187</t>
        </is>
      </c>
      <c r="G25" t="inlineStr">
        <is>
          <t>1</t>
        </is>
      </c>
      <c r="H25" t="n">
        <v>2017</v>
      </c>
      <c r="I25" t="n">
        <v>1.78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60.01</v>
      </c>
      <c r="P25" t="n">
        <v>11701.95</v>
      </c>
      <c r="Q25" t="n">
        <v>636702</v>
      </c>
      <c r="R25" t="n">
        <v>0.01837900619127944</v>
      </c>
      <c r="S25" t="n">
        <v>955</v>
      </c>
      <c r="T25" t="n">
        <v>17.55</v>
      </c>
    </row>
    <row r="26">
      <c r="A26" t="n">
        <v>1272</v>
      </c>
      <c r="B26" t="inlineStr">
        <is>
          <t>HERMANOS GONZALEZ ROLDAN,S.C.</t>
        </is>
      </c>
      <c r="C26" t="n">
        <v>359</v>
      </c>
      <c r="D26" t="inlineStr">
        <is>
          <t>8638</t>
        </is>
      </c>
      <c r="E26" t="inlineStr">
        <is>
          <t>13</t>
        </is>
      </c>
      <c r="F26" t="inlineStr">
        <is>
          <t>188</t>
        </is>
      </c>
      <c r="G26" t="inlineStr">
        <is>
          <t>1</t>
        </is>
      </c>
      <c r="H26" t="n">
        <v>2017</v>
      </c>
      <c r="I26" t="n">
        <v>1.6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60.01</v>
      </c>
      <c r="P26" t="n">
        <v>11701.95</v>
      </c>
      <c r="Q26" t="n">
        <v>636702</v>
      </c>
      <c r="R26" t="n">
        <v>0.01837900619127944</v>
      </c>
      <c r="S26" t="n">
        <v>955</v>
      </c>
      <c r="T26" t="n">
        <v>17.55</v>
      </c>
    </row>
    <row r="27">
      <c r="A27" t="n">
        <v>1272</v>
      </c>
      <c r="B27" t="inlineStr">
        <is>
          <t>HERMANOS GONZALEZ ROLDAN,S.C.</t>
        </is>
      </c>
      <c r="C27" t="n">
        <v>360</v>
      </c>
      <c r="D27" t="inlineStr">
        <is>
          <t>8639</t>
        </is>
      </c>
      <c r="E27" t="inlineStr">
        <is>
          <t>22</t>
        </is>
      </c>
      <c r="F27" t="inlineStr">
        <is>
          <t>23</t>
        </is>
      </c>
      <c r="G27" t="inlineStr">
        <is>
          <t>1</t>
        </is>
      </c>
      <c r="H27" t="n">
        <v>2019</v>
      </c>
      <c r="I27" t="n">
        <v>3.38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60.01</v>
      </c>
      <c r="P27" t="n">
        <v>11701.95</v>
      </c>
      <c r="Q27" t="n">
        <v>636702</v>
      </c>
      <c r="R27" t="n">
        <v>0.01837900619127944</v>
      </c>
      <c r="S27" t="n">
        <v>955</v>
      </c>
      <c r="T27" t="n">
        <v>17.55</v>
      </c>
    </row>
    <row r="28">
      <c r="A28" t="n">
        <v>1272</v>
      </c>
      <c r="B28" t="inlineStr">
        <is>
          <t>HERMANOS GONZALEZ ROLDAN,S.C.</t>
        </is>
      </c>
      <c r="C28" t="n">
        <v>360</v>
      </c>
      <c r="D28" t="inlineStr">
        <is>
          <t>8640</t>
        </is>
      </c>
      <c r="E28" t="inlineStr">
        <is>
          <t>22</t>
        </is>
      </c>
      <c r="F28" t="inlineStr">
        <is>
          <t>41</t>
        </is>
      </c>
      <c r="G28" t="inlineStr">
        <is>
          <t>4</t>
        </is>
      </c>
      <c r="H28" t="n">
        <v>2019</v>
      </c>
      <c r="I28" t="n">
        <v>5.9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60.01</v>
      </c>
      <c r="P28" t="n">
        <v>11701.95</v>
      </c>
      <c r="Q28" t="n">
        <v>636702</v>
      </c>
      <c r="R28" t="n">
        <v>0.01837900619127944</v>
      </c>
      <c r="S28" t="n">
        <v>955</v>
      </c>
      <c r="T28" t="n">
        <v>17.55</v>
      </c>
    </row>
    <row r="29">
      <c r="A29" t="n">
        <v>1272</v>
      </c>
      <c r="B29" t="inlineStr">
        <is>
          <t>HERMANOS GONZALEZ ROLDAN,S.C.</t>
        </is>
      </c>
      <c r="C29" t="n">
        <v>360</v>
      </c>
      <c r="D29" t="inlineStr">
        <is>
          <t>8641</t>
        </is>
      </c>
      <c r="E29" t="inlineStr">
        <is>
          <t>22</t>
        </is>
      </c>
      <c r="F29" t="inlineStr">
        <is>
          <t>9020</t>
        </is>
      </c>
      <c r="G29" t="inlineStr">
        <is>
          <t>4</t>
        </is>
      </c>
      <c r="H29" t="n">
        <v>2019</v>
      </c>
      <c r="I29" t="n">
        <v>0.15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60.01</v>
      </c>
      <c r="P29" t="n">
        <v>11701.95</v>
      </c>
      <c r="Q29" t="n">
        <v>636702</v>
      </c>
      <c r="R29" t="n">
        <v>0.01837900619127944</v>
      </c>
      <c r="S29" t="n">
        <v>955</v>
      </c>
      <c r="T29" t="n">
        <v>17.55</v>
      </c>
    </row>
    <row r="30">
      <c r="A30" t="n">
        <v>1272</v>
      </c>
      <c r="B30" t="inlineStr">
        <is>
          <t>HERMANOS GONZALEZ ROLDAN,S.C.</t>
        </is>
      </c>
      <c r="C30" t="n">
        <v>360</v>
      </c>
      <c r="D30" t="inlineStr">
        <is>
          <t>8642</t>
        </is>
      </c>
      <c r="E30" t="inlineStr">
        <is>
          <t>24</t>
        </is>
      </c>
      <c r="F30" t="inlineStr">
        <is>
          <t>1</t>
        </is>
      </c>
      <c r="G30" t="inlineStr">
        <is>
          <t>2</t>
        </is>
      </c>
      <c r="H30" t="n">
        <v>2019</v>
      </c>
      <c r="I30" t="n">
        <v>5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60.01</v>
      </c>
      <c r="P30" t="n">
        <v>11701.95</v>
      </c>
      <c r="Q30" t="n">
        <v>636702</v>
      </c>
      <c r="R30" t="n">
        <v>0.01837900619127944</v>
      </c>
      <c r="S30" t="n">
        <v>955</v>
      </c>
      <c r="T30" t="n">
        <v>17.55</v>
      </c>
    </row>
    <row r="31">
      <c r="A31" t="n">
        <v>1272</v>
      </c>
      <c r="B31" t="inlineStr">
        <is>
          <t>HERMANOS GONZALEZ ROLDAN,S.C.</t>
        </is>
      </c>
      <c r="C31" t="n">
        <v>367</v>
      </c>
      <c r="D31" t="inlineStr">
        <is>
          <t>8569</t>
        </is>
      </c>
      <c r="E31" t="inlineStr">
        <is>
          <t>2</t>
        </is>
      </c>
      <c r="F31" t="inlineStr">
        <is>
          <t>309</t>
        </is>
      </c>
      <c r="G31" t="inlineStr">
        <is>
          <t>1</t>
        </is>
      </c>
      <c r="H31" t="n">
        <v>2017</v>
      </c>
      <c r="I31" t="n">
        <v>0.71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60.01</v>
      </c>
      <c r="P31" t="n">
        <v>11701.95</v>
      </c>
      <c r="Q31" t="n">
        <v>636702</v>
      </c>
      <c r="R31" t="n">
        <v>0.01837900619127944</v>
      </c>
      <c r="S31" t="n">
        <v>955</v>
      </c>
      <c r="T31" t="n">
        <v>17.55</v>
      </c>
    </row>
    <row r="32">
      <c r="A32" t="n">
        <v>1272</v>
      </c>
      <c r="B32" t="inlineStr">
        <is>
          <t>HERMANOS GONZALEZ ROLDAN,S.C.</t>
        </is>
      </c>
      <c r="C32" t="n">
        <v>367</v>
      </c>
      <c r="D32" t="inlineStr">
        <is>
          <t>8570</t>
        </is>
      </c>
      <c r="E32" t="inlineStr">
        <is>
          <t>2</t>
        </is>
      </c>
      <c r="F32" t="inlineStr">
        <is>
          <t>310</t>
        </is>
      </c>
      <c r="G32" t="inlineStr">
        <is>
          <t>1</t>
        </is>
      </c>
      <c r="H32" t="n">
        <v>2017</v>
      </c>
      <c r="I32" t="n">
        <v>0.62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60.01</v>
      </c>
      <c r="P32" t="n">
        <v>11701.95</v>
      </c>
      <c r="Q32" t="n">
        <v>636702</v>
      </c>
      <c r="R32" t="n">
        <v>0.01837900619127944</v>
      </c>
      <c r="S32" t="n">
        <v>955</v>
      </c>
      <c r="T32" t="n">
        <v>17.55</v>
      </c>
    </row>
    <row r="33">
      <c r="A33" t="n">
        <v>1272</v>
      </c>
      <c r="B33" t="inlineStr">
        <is>
          <t>HERMANOS GONZALEZ ROLDAN,S.C.</t>
        </is>
      </c>
      <c r="C33" t="n">
        <v>367</v>
      </c>
      <c r="D33" t="inlineStr">
        <is>
          <t>8571</t>
        </is>
      </c>
      <c r="E33" t="inlineStr">
        <is>
          <t>2</t>
        </is>
      </c>
      <c r="F33" t="inlineStr">
        <is>
          <t>311</t>
        </is>
      </c>
      <c r="G33" t="inlineStr">
        <is>
          <t>1</t>
        </is>
      </c>
      <c r="H33" t="n">
        <v>2017</v>
      </c>
      <c r="I33" t="n">
        <v>0.46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60.01</v>
      </c>
      <c r="P33" t="n">
        <v>11701.95</v>
      </c>
      <c r="Q33" t="n">
        <v>636702</v>
      </c>
      <c r="R33" t="n">
        <v>0.01837900619127944</v>
      </c>
      <c r="S33" t="n">
        <v>955</v>
      </c>
      <c r="T33" t="n">
        <v>17.55</v>
      </c>
    </row>
    <row r="34">
      <c r="A34" t="n">
        <v>1272</v>
      </c>
      <c r="B34" t="inlineStr">
        <is>
          <t>HERMANOS GONZALEZ ROLDAN,S.C.</t>
        </is>
      </c>
      <c r="C34" t="n">
        <v>367</v>
      </c>
      <c r="D34" t="inlineStr">
        <is>
          <t>8572</t>
        </is>
      </c>
      <c r="E34" t="inlineStr">
        <is>
          <t>2</t>
        </is>
      </c>
      <c r="F34" t="inlineStr">
        <is>
          <t>187</t>
        </is>
      </c>
      <c r="G34" t="inlineStr">
        <is>
          <t>1</t>
        </is>
      </c>
      <c r="H34" t="n">
        <v>217</v>
      </c>
      <c r="I34" t="n">
        <v>0.3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60.01</v>
      </c>
      <c r="P34" t="n">
        <v>11701.95</v>
      </c>
      <c r="Q34" t="n">
        <v>636702</v>
      </c>
      <c r="R34" t="n">
        <v>0.01837900619127944</v>
      </c>
      <c r="S34" t="n">
        <v>955</v>
      </c>
      <c r="T34" t="n">
        <v>17.55</v>
      </c>
    </row>
    <row r="35">
      <c r="A35" t="n">
        <v>1272</v>
      </c>
      <c r="B35" t="inlineStr">
        <is>
          <t>HERMANOS GONZALEZ ROLDAN,S.C.</t>
        </is>
      </c>
      <c r="C35" t="n">
        <v>369</v>
      </c>
      <c r="D35" t="inlineStr">
        <is>
          <t>8581</t>
        </is>
      </c>
      <c r="E35" t="inlineStr">
        <is>
          <t>14</t>
        </is>
      </c>
      <c r="F35" t="inlineStr">
        <is>
          <t>20</t>
        </is>
      </c>
      <c r="G35" t="inlineStr">
        <is>
          <t>8</t>
        </is>
      </c>
      <c r="H35" t="n">
        <v>2019</v>
      </c>
      <c r="I35" t="n">
        <v>0.09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60.01</v>
      </c>
      <c r="P35" t="n">
        <v>11701.95</v>
      </c>
      <c r="Q35" t="n">
        <v>636702</v>
      </c>
      <c r="R35" t="n">
        <v>0.01837900619127944</v>
      </c>
      <c r="S35" t="n">
        <v>955</v>
      </c>
      <c r="T35" t="n">
        <v>17.55</v>
      </c>
    </row>
    <row r="36">
      <c r="A36" t="n">
        <v>1272</v>
      </c>
      <c r="B36" t="inlineStr">
        <is>
          <t>HERMANOS GONZALEZ ROLDAN,S.C.</t>
        </is>
      </c>
      <c r="C36" t="n">
        <v>369</v>
      </c>
      <c r="D36" t="inlineStr">
        <is>
          <t>8582</t>
        </is>
      </c>
      <c r="E36" t="inlineStr">
        <is>
          <t>14</t>
        </is>
      </c>
      <c r="F36" t="inlineStr">
        <is>
          <t>21</t>
        </is>
      </c>
      <c r="G36" t="inlineStr">
        <is>
          <t>1</t>
        </is>
      </c>
      <c r="H36" t="n">
        <v>2019</v>
      </c>
      <c r="I36" t="n">
        <v>0.5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60.01</v>
      </c>
      <c r="P36" t="n">
        <v>11701.95</v>
      </c>
      <c r="Q36" t="n">
        <v>636702</v>
      </c>
      <c r="R36" t="n">
        <v>0.01837900619127944</v>
      </c>
      <c r="S36" t="n">
        <v>955</v>
      </c>
      <c r="T36" t="n">
        <v>17.55</v>
      </c>
    </row>
    <row r="37">
      <c r="A37" t="n">
        <v>1272</v>
      </c>
      <c r="B37" t="inlineStr">
        <is>
          <t>HERMANOS GONZALEZ ROLDAN,S.C.</t>
        </is>
      </c>
      <c r="C37" t="n">
        <v>646</v>
      </c>
      <c r="D37" t="inlineStr">
        <is>
          <t>8573</t>
        </is>
      </c>
      <c r="E37" t="inlineStr">
        <is>
          <t>7</t>
        </is>
      </c>
      <c r="F37" t="inlineStr">
        <is>
          <t>125</t>
        </is>
      </c>
      <c r="G37" t="inlineStr">
        <is>
          <t>5</t>
        </is>
      </c>
      <c r="H37" t="n">
        <v>2020</v>
      </c>
      <c r="I37" t="n">
        <v>0.07000000000000001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60.01</v>
      </c>
      <c r="P37" t="n">
        <v>11701.95</v>
      </c>
      <c r="Q37" t="n">
        <v>636702</v>
      </c>
      <c r="R37" t="n">
        <v>0.01837900619127944</v>
      </c>
      <c r="S37" t="n">
        <v>955</v>
      </c>
      <c r="T37" t="n">
        <v>17.55</v>
      </c>
    </row>
    <row r="38">
      <c r="A38" t="n">
        <v>1272</v>
      </c>
      <c r="B38" t="inlineStr">
        <is>
          <t>HERMANOS GONZALEZ ROLDAN,S.C.</t>
        </is>
      </c>
      <c r="C38" t="n">
        <v>646</v>
      </c>
      <c r="D38" t="inlineStr">
        <is>
          <t>8574</t>
        </is>
      </c>
      <c r="E38" t="inlineStr">
        <is>
          <t>7</t>
        </is>
      </c>
      <c r="F38" t="inlineStr">
        <is>
          <t>126</t>
        </is>
      </c>
      <c r="G38" t="inlineStr">
        <is>
          <t>1</t>
        </is>
      </c>
      <c r="H38" t="n">
        <v>2020</v>
      </c>
      <c r="I38" t="n">
        <v>1.17</v>
      </c>
      <c r="J38" t="n">
        <v>1</v>
      </c>
      <c r="L38" t="inlineStr">
        <is>
          <t>Sí</t>
        </is>
      </c>
      <c r="M38" t="inlineStr">
        <is>
          <t>Sí</t>
        </is>
      </c>
      <c r="N38" t="inlineStr">
        <is>
          <t>VALIDA</t>
        </is>
      </c>
      <c r="O38" t="n">
        <v>60.01</v>
      </c>
      <c r="P38" t="n">
        <v>11701.95</v>
      </c>
      <c r="Q38" t="n">
        <v>636702</v>
      </c>
      <c r="R38" t="n">
        <v>0.01837900619127944</v>
      </c>
      <c r="S38" t="n">
        <v>955</v>
      </c>
      <c r="T38" t="n">
        <v>17.55</v>
      </c>
    </row>
    <row r="39">
      <c r="A39" t="n">
        <v>1272</v>
      </c>
      <c r="B39" t="inlineStr">
        <is>
          <t>HERMANOS GONZALEZ ROLDAN,S.C.</t>
        </is>
      </c>
      <c r="C39" t="n">
        <v>646</v>
      </c>
      <c r="D39" t="inlineStr">
        <is>
          <t>8575</t>
        </is>
      </c>
      <c r="E39" t="inlineStr">
        <is>
          <t>7</t>
        </is>
      </c>
      <c r="F39" t="inlineStr">
        <is>
          <t>126</t>
        </is>
      </c>
      <c r="G39" t="inlineStr">
        <is>
          <t>2</t>
        </is>
      </c>
      <c r="H39" t="n">
        <v>2020</v>
      </c>
      <c r="I39" t="n">
        <v>0.29</v>
      </c>
      <c r="J39" t="n">
        <v>1</v>
      </c>
      <c r="L39" t="inlineStr">
        <is>
          <t>Sí</t>
        </is>
      </c>
      <c r="M39" t="inlineStr">
        <is>
          <t>Sí</t>
        </is>
      </c>
      <c r="N39" t="inlineStr">
        <is>
          <t>VALIDA</t>
        </is>
      </c>
      <c r="O39" t="n">
        <v>60.01</v>
      </c>
      <c r="P39" t="n">
        <v>11701.95</v>
      </c>
      <c r="Q39" t="n">
        <v>636702</v>
      </c>
      <c r="R39" t="n">
        <v>0.01837900619127944</v>
      </c>
      <c r="S39" t="n">
        <v>955</v>
      </c>
      <c r="T39" t="n">
        <v>17.55</v>
      </c>
    </row>
    <row r="40">
      <c r="A40" t="n">
        <v>1272</v>
      </c>
      <c r="B40" t="inlineStr">
        <is>
          <t>HERMANOS GONZALEZ ROLDAN,S.C.</t>
        </is>
      </c>
      <c r="C40" t="n">
        <v>646</v>
      </c>
      <c r="D40" t="inlineStr">
        <is>
          <t>8576</t>
        </is>
      </c>
      <c r="E40" t="inlineStr">
        <is>
          <t>7</t>
        </is>
      </c>
      <c r="F40" t="inlineStr">
        <is>
          <t>127</t>
        </is>
      </c>
      <c r="G40" t="inlineStr">
        <is>
          <t>1</t>
        </is>
      </c>
      <c r="H40" t="n">
        <v>2020</v>
      </c>
      <c r="I40" t="n">
        <v>3.78</v>
      </c>
      <c r="J40" t="n">
        <v>1</v>
      </c>
      <c r="L40" t="inlineStr">
        <is>
          <t>Sí</t>
        </is>
      </c>
      <c r="M40" t="inlineStr">
        <is>
          <t>Sí</t>
        </is>
      </c>
      <c r="N40" t="inlineStr">
        <is>
          <t>VALIDA</t>
        </is>
      </c>
      <c r="O40" t="n">
        <v>60.01</v>
      </c>
      <c r="P40" t="n">
        <v>11701.95</v>
      </c>
      <c r="Q40" t="n">
        <v>636702</v>
      </c>
      <c r="R40" t="n">
        <v>0.01837900619127944</v>
      </c>
      <c r="S40" t="n">
        <v>955</v>
      </c>
      <c r="T40" t="n">
        <v>17.55</v>
      </c>
    </row>
    <row r="41">
      <c r="A41" t="n">
        <v>1272</v>
      </c>
      <c r="B41" t="inlineStr">
        <is>
          <t>HERMANOS GONZALEZ ROLDAN,S.C.</t>
        </is>
      </c>
      <c r="C41" t="n">
        <v>646</v>
      </c>
      <c r="D41" t="inlineStr">
        <is>
          <t>8577</t>
        </is>
      </c>
      <c r="E41" t="inlineStr">
        <is>
          <t>8</t>
        </is>
      </c>
      <c r="F41" t="inlineStr">
        <is>
          <t>39</t>
        </is>
      </c>
      <c r="G41" t="inlineStr">
        <is>
          <t>10</t>
        </is>
      </c>
      <c r="H41" t="n">
        <v>2020</v>
      </c>
      <c r="I41" t="n">
        <v>13.31</v>
      </c>
      <c r="J41" t="n">
        <v>1</v>
      </c>
      <c r="L41" t="inlineStr">
        <is>
          <t>Sí</t>
        </is>
      </c>
      <c r="M41" t="inlineStr">
        <is>
          <t>Sí</t>
        </is>
      </c>
      <c r="N41" t="inlineStr">
        <is>
          <t>VALIDA</t>
        </is>
      </c>
      <c r="O41" t="n">
        <v>60.01</v>
      </c>
      <c r="P41" t="n">
        <v>11701.95</v>
      </c>
      <c r="Q41" t="n">
        <v>636702</v>
      </c>
      <c r="R41" t="n">
        <v>0.01837900619127944</v>
      </c>
      <c r="S41" t="n">
        <v>955</v>
      </c>
      <c r="T41" t="n">
        <v>17.55</v>
      </c>
    </row>
    <row r="42">
      <c r="A42" t="n">
        <v>1272</v>
      </c>
      <c r="B42" t="inlineStr">
        <is>
          <t>HERMANOS GONZALEZ ROLDAN,S.C.</t>
        </is>
      </c>
      <c r="C42" t="n">
        <v>646</v>
      </c>
      <c r="D42" t="inlineStr">
        <is>
          <t>8578</t>
        </is>
      </c>
      <c r="E42" t="inlineStr">
        <is>
          <t>8</t>
        </is>
      </c>
      <c r="F42" t="inlineStr">
        <is>
          <t>63</t>
        </is>
      </c>
      <c r="G42" t="inlineStr">
        <is>
          <t>5</t>
        </is>
      </c>
      <c r="H42" t="n">
        <v>2020</v>
      </c>
      <c r="I42" t="n">
        <v>4.42</v>
      </c>
      <c r="J42" t="n">
        <v>1</v>
      </c>
      <c r="L42" t="inlineStr">
        <is>
          <t>Sí</t>
        </is>
      </c>
      <c r="M42" t="inlineStr">
        <is>
          <t>Sí</t>
        </is>
      </c>
      <c r="N42" t="inlineStr">
        <is>
          <t>VALIDA</t>
        </is>
      </c>
      <c r="O42" t="n">
        <v>60.01</v>
      </c>
      <c r="P42" t="n">
        <v>11701.95</v>
      </c>
      <c r="Q42" t="n">
        <v>636702</v>
      </c>
      <c r="R42" t="n">
        <v>0.01837900619127944</v>
      </c>
      <c r="S42" t="n">
        <v>955</v>
      </c>
      <c r="T42" t="n">
        <v>17.55</v>
      </c>
    </row>
    <row r="43">
      <c r="A43" t="n">
        <v>1272</v>
      </c>
      <c r="B43" t="inlineStr">
        <is>
          <t>HERMANOS GONZALEZ ROLDAN,S.C.</t>
        </is>
      </c>
      <c r="C43" t="n">
        <v>646</v>
      </c>
      <c r="D43" t="inlineStr">
        <is>
          <t>8579</t>
        </is>
      </c>
      <c r="E43" t="inlineStr">
        <is>
          <t>8</t>
        </is>
      </c>
      <c r="F43" t="inlineStr">
        <is>
          <t>9028</t>
        </is>
      </c>
      <c r="G43" t="inlineStr">
        <is>
          <t>1</t>
        </is>
      </c>
      <c r="H43" t="n">
        <v>2020</v>
      </c>
      <c r="I43" t="n">
        <v>0.53</v>
      </c>
      <c r="J43" t="n">
        <v>1</v>
      </c>
      <c r="L43" t="inlineStr">
        <is>
          <t>Sí</t>
        </is>
      </c>
      <c r="M43" t="inlineStr">
        <is>
          <t>Sí</t>
        </is>
      </c>
      <c r="N43" t="inlineStr">
        <is>
          <t>VALIDA</t>
        </is>
      </c>
      <c r="O43" t="n">
        <v>60.01</v>
      </c>
      <c r="P43" t="n">
        <v>11701.95</v>
      </c>
      <c r="Q43" t="n">
        <v>636702</v>
      </c>
      <c r="R43" t="n">
        <v>0.01837900619127944</v>
      </c>
      <c r="S43" t="n">
        <v>955</v>
      </c>
      <c r="T43" t="n">
        <v>17.55</v>
      </c>
    </row>
    <row r="44">
      <c r="A44" t="n">
        <v>1272</v>
      </c>
      <c r="B44" t="inlineStr">
        <is>
          <t>HERMANOS GONZALEZ ROLDAN,S.C.</t>
        </is>
      </c>
      <c r="C44" t="n">
        <v>646</v>
      </c>
      <c r="D44" t="inlineStr">
        <is>
          <t>8580</t>
        </is>
      </c>
      <c r="E44" t="inlineStr">
        <is>
          <t>8</t>
        </is>
      </c>
      <c r="F44" t="inlineStr">
        <is>
          <t>9028</t>
        </is>
      </c>
      <c r="G44" t="inlineStr">
        <is>
          <t>7</t>
        </is>
      </c>
      <c r="H44" t="n">
        <v>2020</v>
      </c>
      <c r="I44" t="n">
        <v>0.19</v>
      </c>
      <c r="J44" t="n">
        <v>1</v>
      </c>
      <c r="L44" t="inlineStr">
        <is>
          <t>Sí</t>
        </is>
      </c>
      <c r="M44" t="inlineStr">
        <is>
          <t>Sí</t>
        </is>
      </c>
      <c r="N44" t="inlineStr">
        <is>
          <t>VALIDA</t>
        </is>
      </c>
      <c r="O44" t="n">
        <v>60.01</v>
      </c>
      <c r="P44" t="n">
        <v>11701.95</v>
      </c>
      <c r="Q44" t="n">
        <v>636702</v>
      </c>
      <c r="R44" t="n">
        <v>0.01837900619127944</v>
      </c>
      <c r="S44" t="n">
        <v>955</v>
      </c>
      <c r="T44" t="n">
        <v>17.55</v>
      </c>
    </row>
    <row r="45">
      <c r="A45" t="n">
        <v>1415</v>
      </c>
      <c r="B45" t="inlineStr">
        <is>
          <t>TOMENO SUAREZ,FERNANDO</t>
        </is>
      </c>
      <c r="C45" t="n">
        <v>708</v>
      </c>
      <c r="I45" t="n">
        <v>1.33</v>
      </c>
      <c r="J45" t="n">
        <v>0</v>
      </c>
      <c r="M45" t="inlineStr">
        <is>
          <t>No</t>
        </is>
      </c>
      <c r="N45" t="inlineStr">
        <is>
          <t>CHA_NO_SELECCIONADO; CHA_NO_ACTIVO</t>
        </is>
      </c>
      <c r="O45" t="n">
        <v>7.49</v>
      </c>
      <c r="P45" t="n">
        <v>1460.55</v>
      </c>
      <c r="Q45" t="n">
        <v>414468</v>
      </c>
      <c r="R45" t="n">
        <v>0.003523914994643736</v>
      </c>
      <c r="S45" t="n">
        <v>3543</v>
      </c>
      <c r="T45" t="n">
        <v>12.49</v>
      </c>
    </row>
    <row r="46">
      <c r="A46" t="n">
        <v>1415</v>
      </c>
      <c r="B46" t="inlineStr">
        <is>
          <t>TOMENO SUAREZ,FERNANDO</t>
        </is>
      </c>
      <c r="C46" t="n">
        <v>168</v>
      </c>
      <c r="D46" t="inlineStr">
        <is>
          <t>8790</t>
        </is>
      </c>
      <c r="E46" t="inlineStr">
        <is>
          <t>23</t>
        </is>
      </c>
      <c r="F46" t="inlineStr">
        <is>
          <t>60</t>
        </is>
      </c>
      <c r="G46" t="inlineStr">
        <is>
          <t>5</t>
        </is>
      </c>
      <c r="H46" t="n">
        <v>1990</v>
      </c>
      <c r="I46" t="n">
        <v>3.31</v>
      </c>
      <c r="J46" t="n">
        <v>1</v>
      </c>
      <c r="L46" t="inlineStr">
        <is>
          <t>Sí</t>
        </is>
      </c>
      <c r="M46" t="inlineStr">
        <is>
          <t>Sí</t>
        </is>
      </c>
      <c r="N46" t="inlineStr">
        <is>
          <t>VALIDA</t>
        </is>
      </c>
      <c r="O46" t="n">
        <v>7.49</v>
      </c>
      <c r="P46" t="n">
        <v>1460.55</v>
      </c>
      <c r="Q46" t="n">
        <v>414468</v>
      </c>
      <c r="R46" t="n">
        <v>0.003523914994643736</v>
      </c>
      <c r="S46" t="n">
        <v>3543</v>
      </c>
      <c r="T46" t="n">
        <v>12.49</v>
      </c>
    </row>
    <row r="47">
      <c r="A47" t="n">
        <v>1415</v>
      </c>
      <c r="B47" t="inlineStr">
        <is>
          <t>TOMENO SUAREZ,FERNANDO</t>
        </is>
      </c>
      <c r="C47" t="n">
        <v>358</v>
      </c>
      <c r="D47" t="inlineStr">
        <is>
          <t>8791</t>
        </is>
      </c>
      <c r="E47" t="inlineStr">
        <is>
          <t>21</t>
        </is>
      </c>
      <c r="F47" t="inlineStr">
        <is>
          <t>110</t>
        </is>
      </c>
      <c r="G47" t="inlineStr">
        <is>
          <t>3</t>
        </is>
      </c>
      <c r="H47" t="n">
        <v>2006</v>
      </c>
      <c r="I47" t="n">
        <v>0.07000000000000001</v>
      </c>
      <c r="J47" t="n">
        <v>1</v>
      </c>
      <c r="L47" t="inlineStr">
        <is>
          <t>Sí</t>
        </is>
      </c>
      <c r="M47" t="inlineStr">
        <is>
          <t>Sí</t>
        </is>
      </c>
      <c r="N47" t="inlineStr">
        <is>
          <t>VALIDA</t>
        </is>
      </c>
      <c r="O47" t="n">
        <v>7.49</v>
      </c>
      <c r="P47" t="n">
        <v>1460.55</v>
      </c>
      <c r="Q47" t="n">
        <v>414468</v>
      </c>
      <c r="R47" t="n">
        <v>0.003523914994643736</v>
      </c>
      <c r="S47" t="n">
        <v>3543</v>
      </c>
      <c r="T47" t="n">
        <v>12.49</v>
      </c>
    </row>
    <row r="48">
      <c r="A48" t="n">
        <v>1415</v>
      </c>
      <c r="B48" t="inlineStr">
        <is>
          <t>TOMENO SUAREZ,FERNANDO</t>
        </is>
      </c>
      <c r="C48" t="n">
        <v>358</v>
      </c>
      <c r="D48" t="inlineStr">
        <is>
          <t>8792</t>
        </is>
      </c>
      <c r="E48" t="inlineStr">
        <is>
          <t>21</t>
        </is>
      </c>
      <c r="F48" t="inlineStr">
        <is>
          <t>111</t>
        </is>
      </c>
      <c r="G48" t="inlineStr">
        <is>
          <t>2</t>
        </is>
      </c>
      <c r="H48" t="n">
        <v>2006</v>
      </c>
      <c r="I48" t="n">
        <v>1.98</v>
      </c>
      <c r="J48" t="n">
        <v>1</v>
      </c>
      <c r="L48" t="inlineStr">
        <is>
          <t>Sí</t>
        </is>
      </c>
      <c r="M48" t="inlineStr">
        <is>
          <t>Sí</t>
        </is>
      </c>
      <c r="N48" t="inlineStr">
        <is>
          <t>VALIDA</t>
        </is>
      </c>
      <c r="O48" t="n">
        <v>7.49</v>
      </c>
      <c r="P48" t="n">
        <v>1460.55</v>
      </c>
      <c r="Q48" t="n">
        <v>414468</v>
      </c>
      <c r="R48" t="n">
        <v>0.003523914994643736</v>
      </c>
      <c r="S48" t="n">
        <v>3543</v>
      </c>
      <c r="T48" t="n">
        <v>12.49</v>
      </c>
    </row>
    <row r="49">
      <c r="A49" t="n">
        <v>1415</v>
      </c>
      <c r="B49" t="inlineStr">
        <is>
          <t>TOMENO SUAREZ,FERNANDO</t>
        </is>
      </c>
      <c r="C49" t="n">
        <v>672</v>
      </c>
      <c r="D49" t="inlineStr">
        <is>
          <t>8789</t>
        </is>
      </c>
      <c r="E49" t="inlineStr">
        <is>
          <t>21</t>
        </is>
      </c>
      <c r="F49" t="inlineStr">
        <is>
          <t>9</t>
        </is>
      </c>
      <c r="G49" t="inlineStr">
        <is>
          <t>1</t>
        </is>
      </c>
      <c r="I49" t="n">
        <v>2.73</v>
      </c>
      <c r="J49" t="n">
        <v>1</v>
      </c>
      <c r="L49" t="inlineStr">
        <is>
          <t>No</t>
        </is>
      </c>
      <c r="M49" t="inlineStr">
        <is>
          <t>No</t>
        </is>
      </c>
      <c r="N49" t="inlineStr">
        <is>
          <t>ANO_NO_VALIDO</t>
        </is>
      </c>
      <c r="O49" t="n">
        <v>7.49</v>
      </c>
      <c r="P49" t="n">
        <v>1460.55</v>
      </c>
      <c r="Q49" t="n">
        <v>414468</v>
      </c>
      <c r="R49" t="n">
        <v>0.003523914994643736</v>
      </c>
      <c r="S49" t="n">
        <v>3543</v>
      </c>
      <c r="T49" t="n">
        <v>12.49</v>
      </c>
    </row>
    <row r="50">
      <c r="A50" t="n">
        <v>1415</v>
      </c>
      <c r="B50" t="inlineStr">
        <is>
          <t>TOMENO SUAREZ,FERNANDO</t>
        </is>
      </c>
      <c r="C50" t="n">
        <v>615</v>
      </c>
      <c r="D50" t="inlineStr">
        <is>
          <t>6460</t>
        </is>
      </c>
      <c r="E50" t="inlineStr">
        <is>
          <t>21</t>
        </is>
      </c>
      <c r="F50" t="inlineStr">
        <is>
          <t>110</t>
        </is>
      </c>
      <c r="G50" t="inlineStr">
        <is>
          <t>3</t>
        </is>
      </c>
      <c r="H50" t="n">
        <v>2016</v>
      </c>
      <c r="I50" t="n">
        <v>2.13</v>
      </c>
      <c r="J50" t="n">
        <v>1</v>
      </c>
      <c r="L50" t="inlineStr">
        <is>
          <t>Sí</t>
        </is>
      </c>
      <c r="M50" t="inlineStr">
        <is>
          <t>Sí</t>
        </is>
      </c>
      <c r="N50" t="inlineStr">
        <is>
          <t>VALIDA</t>
        </is>
      </c>
      <c r="O50" t="n">
        <v>7.49</v>
      </c>
      <c r="P50" t="n">
        <v>1460.55</v>
      </c>
      <c r="Q50" t="n">
        <v>414468</v>
      </c>
      <c r="R50" t="n">
        <v>0.003523914994643736</v>
      </c>
      <c r="S50" t="n">
        <v>3543</v>
      </c>
      <c r="T50" t="n">
        <v>12.49</v>
      </c>
    </row>
    <row r="51">
      <c r="A51" t="n">
        <v>1415</v>
      </c>
      <c r="B51" t="inlineStr">
        <is>
          <t>TOMENO SUAREZ,FERNANDO</t>
        </is>
      </c>
      <c r="C51" t="n">
        <v>708</v>
      </c>
      <c r="I51" t="n">
        <v>1.33</v>
      </c>
      <c r="J51" t="n">
        <v>0</v>
      </c>
      <c r="M51" t="inlineStr">
        <is>
          <t>No</t>
        </is>
      </c>
      <c r="N51" t="inlineStr">
        <is>
          <t>CHA_NO_SELECCIONADO; CHA_NO_ACTIVO</t>
        </is>
      </c>
      <c r="O51" t="n">
        <v>7.49</v>
      </c>
      <c r="P51" t="n">
        <v>1460.55</v>
      </c>
      <c r="Q51" t="n">
        <v>414468</v>
      </c>
      <c r="R51" t="n">
        <v>0.003523914994643736</v>
      </c>
      <c r="S51" t="n">
        <v>6720</v>
      </c>
      <c r="T51" t="n">
        <v>23.68</v>
      </c>
    </row>
    <row r="52">
      <c r="A52" t="n">
        <v>1415</v>
      </c>
      <c r="B52" t="inlineStr">
        <is>
          <t>TOMENO SUAREZ,FERNANDO</t>
        </is>
      </c>
      <c r="C52" t="n">
        <v>168</v>
      </c>
      <c r="D52" t="inlineStr">
        <is>
          <t>8790</t>
        </is>
      </c>
      <c r="E52" t="inlineStr">
        <is>
          <t>23</t>
        </is>
      </c>
      <c r="F52" t="inlineStr">
        <is>
          <t>60</t>
        </is>
      </c>
      <c r="G52" t="inlineStr">
        <is>
          <t>5</t>
        </is>
      </c>
      <c r="H52" t="n">
        <v>1990</v>
      </c>
      <c r="I52" t="n">
        <v>3.31</v>
      </c>
      <c r="J52" t="n">
        <v>1</v>
      </c>
      <c r="L52" t="inlineStr">
        <is>
          <t>Sí</t>
        </is>
      </c>
      <c r="M52" t="inlineStr">
        <is>
          <t>Sí</t>
        </is>
      </c>
      <c r="N52" t="inlineStr">
        <is>
          <t>VALIDA</t>
        </is>
      </c>
      <c r="O52" t="n">
        <v>7.49</v>
      </c>
      <c r="P52" t="n">
        <v>1460.55</v>
      </c>
      <c r="Q52" t="n">
        <v>414468</v>
      </c>
      <c r="R52" t="n">
        <v>0.003523914994643736</v>
      </c>
      <c r="S52" t="n">
        <v>6720</v>
      </c>
      <c r="T52" t="n">
        <v>23.68</v>
      </c>
    </row>
    <row r="53">
      <c r="A53" t="n">
        <v>1415</v>
      </c>
      <c r="B53" t="inlineStr">
        <is>
          <t>TOMENO SUAREZ,FERNANDO</t>
        </is>
      </c>
      <c r="C53" t="n">
        <v>358</v>
      </c>
      <c r="D53" t="inlineStr">
        <is>
          <t>8791</t>
        </is>
      </c>
      <c r="E53" t="inlineStr">
        <is>
          <t>21</t>
        </is>
      </c>
      <c r="F53" t="inlineStr">
        <is>
          <t>110</t>
        </is>
      </c>
      <c r="G53" t="inlineStr">
        <is>
          <t>3</t>
        </is>
      </c>
      <c r="H53" t="n">
        <v>2006</v>
      </c>
      <c r="I53" t="n">
        <v>0.07000000000000001</v>
      </c>
      <c r="J53" t="n">
        <v>1</v>
      </c>
      <c r="L53" t="inlineStr">
        <is>
          <t>Sí</t>
        </is>
      </c>
      <c r="M53" t="inlineStr">
        <is>
          <t>Sí</t>
        </is>
      </c>
      <c r="N53" t="inlineStr">
        <is>
          <t>VALIDA</t>
        </is>
      </c>
      <c r="O53" t="n">
        <v>7.49</v>
      </c>
      <c r="P53" t="n">
        <v>1460.55</v>
      </c>
      <c r="Q53" t="n">
        <v>414468</v>
      </c>
      <c r="R53" t="n">
        <v>0.003523914994643736</v>
      </c>
      <c r="S53" t="n">
        <v>6720</v>
      </c>
      <c r="T53" t="n">
        <v>23.68</v>
      </c>
    </row>
    <row r="54">
      <c r="A54" t="n">
        <v>1415</v>
      </c>
      <c r="B54" t="inlineStr">
        <is>
          <t>TOMENO SUAREZ,FERNANDO</t>
        </is>
      </c>
      <c r="C54" t="n">
        <v>358</v>
      </c>
      <c r="D54" t="inlineStr">
        <is>
          <t>8792</t>
        </is>
      </c>
      <c r="E54" t="inlineStr">
        <is>
          <t>21</t>
        </is>
      </c>
      <c r="F54" t="inlineStr">
        <is>
          <t>111</t>
        </is>
      </c>
      <c r="G54" t="inlineStr">
        <is>
          <t>2</t>
        </is>
      </c>
      <c r="H54" t="n">
        <v>2006</v>
      </c>
      <c r="I54" t="n">
        <v>1.98</v>
      </c>
      <c r="J54" t="n">
        <v>1</v>
      </c>
      <c r="L54" t="inlineStr">
        <is>
          <t>Sí</t>
        </is>
      </c>
      <c r="M54" t="inlineStr">
        <is>
          <t>Sí</t>
        </is>
      </c>
      <c r="N54" t="inlineStr">
        <is>
          <t>VALIDA</t>
        </is>
      </c>
      <c r="O54" t="n">
        <v>7.49</v>
      </c>
      <c r="P54" t="n">
        <v>1460.55</v>
      </c>
      <c r="Q54" t="n">
        <v>414468</v>
      </c>
      <c r="R54" t="n">
        <v>0.003523914994643736</v>
      </c>
      <c r="S54" t="n">
        <v>6720</v>
      </c>
      <c r="T54" t="n">
        <v>23.68</v>
      </c>
    </row>
    <row r="55">
      <c r="A55" t="n">
        <v>1415</v>
      </c>
      <c r="B55" t="inlineStr">
        <is>
          <t>TOMENO SUAREZ,FERNANDO</t>
        </is>
      </c>
      <c r="C55" t="n">
        <v>672</v>
      </c>
      <c r="D55" t="inlineStr">
        <is>
          <t>8789</t>
        </is>
      </c>
      <c r="E55" t="inlineStr">
        <is>
          <t>21</t>
        </is>
      </c>
      <c r="F55" t="inlineStr">
        <is>
          <t>9</t>
        </is>
      </c>
      <c r="G55" t="inlineStr">
        <is>
          <t>1</t>
        </is>
      </c>
      <c r="I55" t="n">
        <v>2.73</v>
      </c>
      <c r="J55" t="n">
        <v>1</v>
      </c>
      <c r="L55" t="inlineStr">
        <is>
          <t>No</t>
        </is>
      </c>
      <c r="M55" t="inlineStr">
        <is>
          <t>No</t>
        </is>
      </c>
      <c r="N55" t="inlineStr">
        <is>
          <t>ANO_NO_VALIDO</t>
        </is>
      </c>
      <c r="O55" t="n">
        <v>7.49</v>
      </c>
      <c r="P55" t="n">
        <v>1460.55</v>
      </c>
      <c r="Q55" t="n">
        <v>414468</v>
      </c>
      <c r="R55" t="n">
        <v>0.003523914994643736</v>
      </c>
      <c r="S55" t="n">
        <v>6720</v>
      </c>
      <c r="T55" t="n">
        <v>23.68</v>
      </c>
    </row>
    <row r="56">
      <c r="A56" t="n">
        <v>1415</v>
      </c>
      <c r="B56" t="inlineStr">
        <is>
          <t>TOMENO SUAREZ,FERNANDO</t>
        </is>
      </c>
      <c r="C56" t="n">
        <v>615</v>
      </c>
      <c r="D56" t="inlineStr">
        <is>
          <t>6460</t>
        </is>
      </c>
      <c r="E56" t="inlineStr">
        <is>
          <t>21</t>
        </is>
      </c>
      <c r="F56" t="inlineStr">
        <is>
          <t>110</t>
        </is>
      </c>
      <c r="G56" t="inlineStr">
        <is>
          <t>3</t>
        </is>
      </c>
      <c r="H56" t="n">
        <v>2016</v>
      </c>
      <c r="I56" t="n">
        <v>2.13</v>
      </c>
      <c r="J56" t="n">
        <v>1</v>
      </c>
      <c r="L56" t="inlineStr">
        <is>
          <t>Sí</t>
        </is>
      </c>
      <c r="M56" t="inlineStr">
        <is>
          <t>Sí</t>
        </is>
      </c>
      <c r="N56" t="inlineStr">
        <is>
          <t>VALIDA</t>
        </is>
      </c>
      <c r="O56" t="n">
        <v>7.49</v>
      </c>
      <c r="P56" t="n">
        <v>1460.55</v>
      </c>
      <c r="Q56" t="n">
        <v>414468</v>
      </c>
      <c r="R56" t="n">
        <v>0.003523914994643736</v>
      </c>
      <c r="S56" t="n">
        <v>6720</v>
      </c>
      <c r="T56" t="n">
        <v>23.68</v>
      </c>
    </row>
    <row r="57">
      <c r="A57" t="n">
        <v>1445</v>
      </c>
      <c r="B57" t="inlineStr">
        <is>
          <t>REAL GARCIA,MIGUEL</t>
        </is>
      </c>
      <c r="C57" t="n">
        <v>192</v>
      </c>
      <c r="D57" t="inlineStr">
        <is>
          <t>8862</t>
        </is>
      </c>
      <c r="E57" t="inlineStr">
        <is>
          <t>13</t>
        </is>
      </c>
      <c r="F57" t="inlineStr">
        <is>
          <t>38</t>
        </is>
      </c>
      <c r="G57" t="inlineStr">
        <is>
          <t>1</t>
        </is>
      </c>
      <c r="H57" t="n">
        <v>2006</v>
      </c>
      <c r="I57" t="n">
        <v>2.88</v>
      </c>
      <c r="J57" t="n">
        <v>1</v>
      </c>
      <c r="L57" t="inlineStr">
        <is>
          <t>Sí</t>
        </is>
      </c>
      <c r="M57" t="inlineStr">
        <is>
          <t>Sí</t>
        </is>
      </c>
      <c r="N57" t="inlineStr">
        <is>
          <t>VALIDA</t>
        </is>
      </c>
      <c r="O57" t="n">
        <v>8.109999999999999</v>
      </c>
      <c r="P57" t="n">
        <v>1581.45</v>
      </c>
      <c r="Q57" t="n">
        <v>171300</v>
      </c>
      <c r="R57" t="n">
        <v>0.009232049036777584</v>
      </c>
      <c r="S57" t="n">
        <v>2369</v>
      </c>
      <c r="T57" t="n">
        <v>21.87</v>
      </c>
    </row>
    <row r="58">
      <c r="A58" t="n">
        <v>1445</v>
      </c>
      <c r="B58" t="inlineStr">
        <is>
          <t>REAL GARCIA,MIGUEL</t>
        </is>
      </c>
      <c r="C58" t="n">
        <v>193</v>
      </c>
      <c r="D58" t="inlineStr">
        <is>
          <t>8863</t>
        </is>
      </c>
      <c r="E58" t="inlineStr">
        <is>
          <t>12</t>
        </is>
      </c>
      <c r="F58" t="inlineStr">
        <is>
          <t>24</t>
        </is>
      </c>
      <c r="G58" t="inlineStr">
        <is>
          <t>3</t>
        </is>
      </c>
      <c r="H58" t="n">
        <v>2000</v>
      </c>
      <c r="I58" t="n">
        <v>0.5600000000000001</v>
      </c>
      <c r="J58" t="n">
        <v>1</v>
      </c>
      <c r="L58" t="inlineStr">
        <is>
          <t>Sí</t>
        </is>
      </c>
      <c r="M58" t="inlineStr">
        <is>
          <t>Sí</t>
        </is>
      </c>
      <c r="N58" t="inlineStr">
        <is>
          <t>VALIDA</t>
        </is>
      </c>
      <c r="O58" t="n">
        <v>8.109999999999999</v>
      </c>
      <c r="P58" t="n">
        <v>1581.45</v>
      </c>
      <c r="Q58" t="n">
        <v>171300</v>
      </c>
      <c r="R58" t="n">
        <v>0.009232049036777584</v>
      </c>
      <c r="S58" t="n">
        <v>2369</v>
      </c>
      <c r="T58" t="n">
        <v>21.87</v>
      </c>
    </row>
    <row r="59">
      <c r="A59" t="n">
        <v>1445</v>
      </c>
      <c r="B59" t="inlineStr">
        <is>
          <t>REAL GARCIA,MIGUEL</t>
        </is>
      </c>
      <c r="C59" t="n">
        <v>193</v>
      </c>
      <c r="D59" t="inlineStr">
        <is>
          <t>8864</t>
        </is>
      </c>
      <c r="E59" t="inlineStr">
        <is>
          <t>12</t>
        </is>
      </c>
      <c r="F59" t="inlineStr">
        <is>
          <t>24</t>
        </is>
      </c>
      <c r="G59" t="inlineStr">
        <is>
          <t>3</t>
        </is>
      </c>
      <c r="H59" t="n">
        <v>1998</v>
      </c>
      <c r="I59" t="n">
        <v>1.57</v>
      </c>
      <c r="J59" t="n">
        <v>1</v>
      </c>
      <c r="L59" t="inlineStr">
        <is>
          <t>Sí</t>
        </is>
      </c>
      <c r="M59" t="inlineStr">
        <is>
          <t>Sí</t>
        </is>
      </c>
      <c r="N59" t="inlineStr">
        <is>
          <t>VALIDA</t>
        </is>
      </c>
      <c r="O59" t="n">
        <v>8.109999999999999</v>
      </c>
      <c r="P59" t="n">
        <v>1581.45</v>
      </c>
      <c r="Q59" t="n">
        <v>171300</v>
      </c>
      <c r="R59" t="n">
        <v>0.009232049036777584</v>
      </c>
      <c r="S59" t="n">
        <v>2369</v>
      </c>
      <c r="T59" t="n">
        <v>21.87</v>
      </c>
    </row>
    <row r="60">
      <c r="A60" t="n">
        <v>1445</v>
      </c>
      <c r="B60" t="inlineStr">
        <is>
          <t>REAL GARCIA,MIGUEL</t>
        </is>
      </c>
      <c r="C60" t="n">
        <v>193</v>
      </c>
      <c r="D60" t="inlineStr">
        <is>
          <t>8865</t>
        </is>
      </c>
      <c r="E60" t="inlineStr">
        <is>
          <t>12</t>
        </is>
      </c>
      <c r="F60" t="inlineStr">
        <is>
          <t>25</t>
        </is>
      </c>
      <c r="G60" t="inlineStr">
        <is>
          <t>1</t>
        </is>
      </c>
      <c r="H60" t="n">
        <v>1996</v>
      </c>
      <c r="I60" t="n">
        <v>1.21</v>
      </c>
      <c r="J60" t="n">
        <v>1</v>
      </c>
      <c r="L60" t="inlineStr">
        <is>
          <t>Sí</t>
        </is>
      </c>
      <c r="M60" t="inlineStr">
        <is>
          <t>Sí</t>
        </is>
      </c>
      <c r="N60" t="inlineStr">
        <is>
          <t>VALIDA</t>
        </is>
      </c>
      <c r="O60" t="n">
        <v>8.109999999999999</v>
      </c>
      <c r="P60" t="n">
        <v>1581.45</v>
      </c>
      <c r="Q60" t="n">
        <v>171300</v>
      </c>
      <c r="R60" t="n">
        <v>0.009232049036777584</v>
      </c>
      <c r="S60" t="n">
        <v>2369</v>
      </c>
      <c r="T60" t="n">
        <v>21.87</v>
      </c>
    </row>
    <row r="61">
      <c r="A61" t="n">
        <v>1445</v>
      </c>
      <c r="B61" t="inlineStr">
        <is>
          <t>REAL GARCIA,MIGUEL</t>
        </is>
      </c>
      <c r="C61" t="n">
        <v>263</v>
      </c>
      <c r="D61" t="inlineStr">
        <is>
          <t>8861</t>
        </is>
      </c>
      <c r="E61" t="inlineStr">
        <is>
          <t>12</t>
        </is>
      </c>
      <c r="F61" t="inlineStr">
        <is>
          <t>24</t>
        </is>
      </c>
      <c r="G61" t="inlineStr">
        <is>
          <t>3</t>
        </is>
      </c>
      <c r="H61" t="n">
        <v>2012</v>
      </c>
      <c r="I61" t="n">
        <v>1.89</v>
      </c>
      <c r="J61" t="n">
        <v>1</v>
      </c>
      <c r="L61" t="inlineStr">
        <is>
          <t>Sí</t>
        </is>
      </c>
      <c r="M61" t="inlineStr">
        <is>
          <t>Sí</t>
        </is>
      </c>
      <c r="N61" t="inlineStr">
        <is>
          <t>VALIDA</t>
        </is>
      </c>
      <c r="O61" t="n">
        <v>8.109999999999999</v>
      </c>
      <c r="P61" t="n">
        <v>1581.45</v>
      </c>
      <c r="Q61" t="n">
        <v>171300</v>
      </c>
      <c r="R61" t="n">
        <v>0.009232049036777584</v>
      </c>
      <c r="S61" t="n">
        <v>2369</v>
      </c>
      <c r="T61" t="n">
        <v>21.87</v>
      </c>
    </row>
    <row r="62">
      <c r="A62" t="n">
        <v>1500</v>
      </c>
      <c r="B62" t="inlineStr">
        <is>
          <t>JIMENEZ MALDONADO, PEDRO</t>
        </is>
      </c>
      <c r="C62" t="n">
        <v>674</v>
      </c>
      <c r="I62" t="n">
        <v>2.75</v>
      </c>
      <c r="J62" t="n">
        <v>0</v>
      </c>
      <c r="M62" t="inlineStr">
        <is>
          <t>No</t>
        </is>
      </c>
      <c r="N62" t="inlineStr">
        <is>
          <t>CHA_NO_SELECCIONADO; CHA_NO_ACTIVO</t>
        </is>
      </c>
      <c r="O62" t="n">
        <v>3.12</v>
      </c>
      <c r="P62" t="n">
        <v>608.4</v>
      </c>
      <c r="Q62" t="n">
        <v>173709</v>
      </c>
      <c r="R62" t="n">
        <v>0.003502409201595772</v>
      </c>
      <c r="S62" t="n">
        <v>1243</v>
      </c>
      <c r="T62" t="n">
        <v>4.35</v>
      </c>
    </row>
    <row r="63">
      <c r="A63" t="n">
        <v>1500</v>
      </c>
      <c r="B63" t="inlineStr">
        <is>
          <t>JIMENEZ MALDONADO, PEDRO</t>
        </is>
      </c>
      <c r="C63" t="n">
        <v>198</v>
      </c>
      <c r="D63" t="inlineStr">
        <is>
          <t>9002</t>
        </is>
      </c>
      <c r="E63" t="inlineStr">
        <is>
          <t>7</t>
        </is>
      </c>
      <c r="F63" t="inlineStr">
        <is>
          <t>121</t>
        </is>
      </c>
      <c r="G63" t="inlineStr">
        <is>
          <t>1</t>
        </is>
      </c>
      <c r="H63" t="n">
        <v>2004</v>
      </c>
      <c r="I63" t="n">
        <v>3.12</v>
      </c>
      <c r="J63" t="n">
        <v>1</v>
      </c>
      <c r="L63" t="inlineStr">
        <is>
          <t>Sí</t>
        </is>
      </c>
      <c r="M63" t="inlineStr">
        <is>
          <t>Sí</t>
        </is>
      </c>
      <c r="N63" t="inlineStr">
        <is>
          <t>VALIDA</t>
        </is>
      </c>
      <c r="O63" t="n">
        <v>3.12</v>
      </c>
      <c r="P63" t="n">
        <v>608.4</v>
      </c>
      <c r="Q63" t="n">
        <v>173709</v>
      </c>
      <c r="R63" t="n">
        <v>0.003502409201595772</v>
      </c>
      <c r="S63" t="n">
        <v>1243</v>
      </c>
      <c r="T63" t="n">
        <v>4.35</v>
      </c>
    </row>
    <row r="64">
      <c r="A64" t="n">
        <v>1507</v>
      </c>
      <c r="B64" t="inlineStr">
        <is>
          <t>ZAMBRANO HINOJOSA, Mª ÁNGELES</t>
        </is>
      </c>
      <c r="C64" t="n">
        <v>589</v>
      </c>
      <c r="D64" t="inlineStr">
        <is>
          <t>9286</t>
        </is>
      </c>
      <c r="E64" t="inlineStr">
        <is>
          <t>30</t>
        </is>
      </c>
      <c r="F64" t="inlineStr">
        <is>
          <t>65</t>
        </is>
      </c>
      <c r="G64" t="inlineStr">
        <is>
          <t>1</t>
        </is>
      </c>
      <c r="H64" t="n">
        <v>2019</v>
      </c>
      <c r="I64" t="n">
        <v>0.2436</v>
      </c>
      <c r="J64" t="n">
        <v>1</v>
      </c>
      <c r="L64" t="inlineStr">
        <is>
          <t>Sí</t>
        </is>
      </c>
      <c r="M64" t="inlineStr">
        <is>
          <t>Sí</t>
        </is>
      </c>
      <c r="N64" t="inlineStr">
        <is>
          <t>VALIDA</t>
        </is>
      </c>
      <c r="O64" t="n">
        <v>0.2436</v>
      </c>
      <c r="P64" t="n">
        <v>47.5</v>
      </c>
      <c r="Q64" t="n">
        <v>5539</v>
      </c>
      <c r="R64" t="n">
        <v>0.008575555154359992</v>
      </c>
      <c r="S64" t="n">
        <v>5539</v>
      </c>
      <c r="T64" t="n">
        <v>47.5</v>
      </c>
    </row>
    <row r="65">
      <c r="A65" t="n">
        <v>1544</v>
      </c>
      <c r="B65" t="inlineStr">
        <is>
          <t>HARO ORDOÑO, ALVARO</t>
        </is>
      </c>
      <c r="C65" t="n">
        <v>662</v>
      </c>
      <c r="I65" t="n">
        <v>1.4429</v>
      </c>
      <c r="J65" t="n">
        <v>0</v>
      </c>
      <c r="M65" t="inlineStr">
        <is>
          <t>No</t>
        </is>
      </c>
      <c r="N65" t="inlineStr">
        <is>
          <t>CHA_NO_SELECCIONADO; CHA_NO_ACTIVO</t>
        </is>
      </c>
      <c r="O65" t="n">
        <v>3.8</v>
      </c>
      <c r="P65" t="n">
        <v>741</v>
      </c>
      <c r="Q65" t="n">
        <v>131717</v>
      </c>
      <c r="R65" t="n">
        <v>0.005625697518163942</v>
      </c>
      <c r="S65" t="n">
        <v>3620</v>
      </c>
      <c r="T65" t="n">
        <v>20.37</v>
      </c>
    </row>
    <row r="66">
      <c r="A66" t="n">
        <v>1544</v>
      </c>
      <c r="B66" t="inlineStr">
        <is>
          <t>HARO ORDOÑO, ALVARO</t>
        </is>
      </c>
      <c r="C66" t="n">
        <v>575</v>
      </c>
      <c r="D66" t="inlineStr">
        <is>
          <t>9148</t>
        </is>
      </c>
      <c r="E66" t="inlineStr">
        <is>
          <t>7</t>
        </is>
      </c>
      <c r="F66" t="inlineStr">
        <is>
          <t>158</t>
        </is>
      </c>
      <c r="G66" t="inlineStr">
        <is>
          <t>3</t>
        </is>
      </c>
      <c r="H66" t="n">
        <v>2015</v>
      </c>
      <c r="I66" t="n">
        <v>0.22</v>
      </c>
      <c r="J66" t="n">
        <v>1</v>
      </c>
      <c r="L66" t="inlineStr">
        <is>
          <t>Sí</t>
        </is>
      </c>
      <c r="M66" t="inlineStr">
        <is>
          <t>Sí</t>
        </is>
      </c>
      <c r="N66" t="inlineStr">
        <is>
          <t>VALIDA</t>
        </is>
      </c>
      <c r="O66" t="n">
        <v>3.8</v>
      </c>
      <c r="P66" t="n">
        <v>741</v>
      </c>
      <c r="Q66" t="n">
        <v>131717</v>
      </c>
      <c r="R66" t="n">
        <v>0.005625697518163942</v>
      </c>
      <c r="S66" t="n">
        <v>3620</v>
      </c>
      <c r="T66" t="n">
        <v>20.37</v>
      </c>
    </row>
    <row r="67">
      <c r="A67" t="n">
        <v>1544</v>
      </c>
      <c r="B67" t="inlineStr">
        <is>
          <t>HARO ORDOÑO, ALVARO</t>
        </is>
      </c>
      <c r="C67" t="n">
        <v>575</v>
      </c>
      <c r="D67" t="inlineStr">
        <is>
          <t>9149</t>
        </is>
      </c>
      <c r="E67" t="inlineStr">
        <is>
          <t>7</t>
        </is>
      </c>
      <c r="F67" t="inlineStr">
        <is>
          <t>158</t>
        </is>
      </c>
      <c r="G67" t="inlineStr">
        <is>
          <t>3</t>
        </is>
      </c>
      <c r="H67" t="n">
        <v>2019</v>
      </c>
      <c r="I67" t="n">
        <v>0.29</v>
      </c>
      <c r="J67" t="n">
        <v>1</v>
      </c>
      <c r="L67" t="inlineStr">
        <is>
          <t>Sí</t>
        </is>
      </c>
      <c r="M67" t="inlineStr">
        <is>
          <t>Sí</t>
        </is>
      </c>
      <c r="N67" t="inlineStr">
        <is>
          <t>VALIDA</t>
        </is>
      </c>
      <c r="O67" t="n">
        <v>3.8</v>
      </c>
      <c r="P67" t="n">
        <v>741</v>
      </c>
      <c r="Q67" t="n">
        <v>131717</v>
      </c>
      <c r="R67" t="n">
        <v>0.005625697518163942</v>
      </c>
      <c r="S67" t="n">
        <v>3620</v>
      </c>
      <c r="T67" t="n">
        <v>20.37</v>
      </c>
    </row>
    <row r="68">
      <c r="A68" t="n">
        <v>1544</v>
      </c>
      <c r="B68" t="inlineStr">
        <is>
          <t>HARO ORDOÑO, ALVARO</t>
        </is>
      </c>
      <c r="C68" t="n">
        <v>576</v>
      </c>
      <c r="D68" t="inlineStr">
        <is>
          <t>9150</t>
        </is>
      </c>
      <c r="E68" t="inlineStr">
        <is>
          <t>7</t>
        </is>
      </c>
      <c r="F68" t="inlineStr">
        <is>
          <t>158</t>
        </is>
      </c>
      <c r="G68" t="inlineStr">
        <is>
          <t>3</t>
        </is>
      </c>
      <c r="H68" t="n">
        <v>2016</v>
      </c>
      <c r="I68" t="n">
        <v>0.66</v>
      </c>
      <c r="J68" t="n">
        <v>1</v>
      </c>
      <c r="L68" t="inlineStr">
        <is>
          <t>Sí</t>
        </is>
      </c>
      <c r="M68" t="inlineStr">
        <is>
          <t>Sí</t>
        </is>
      </c>
      <c r="N68" t="inlineStr">
        <is>
          <t>VALIDA</t>
        </is>
      </c>
      <c r="O68" t="n">
        <v>3.8</v>
      </c>
      <c r="P68" t="n">
        <v>741</v>
      </c>
      <c r="Q68" t="n">
        <v>131717</v>
      </c>
      <c r="R68" t="n">
        <v>0.005625697518163942</v>
      </c>
      <c r="S68" t="n">
        <v>3620</v>
      </c>
      <c r="T68" t="n">
        <v>20.37</v>
      </c>
    </row>
    <row r="69">
      <c r="A69" t="n">
        <v>1544</v>
      </c>
      <c r="B69" t="inlineStr">
        <is>
          <t>HARO ORDOÑO, ALVARO</t>
        </is>
      </c>
      <c r="C69" t="n">
        <v>578</v>
      </c>
      <c r="D69" t="inlineStr">
        <is>
          <t>9151</t>
        </is>
      </c>
      <c r="E69" t="inlineStr">
        <is>
          <t>7</t>
        </is>
      </c>
      <c r="F69" t="inlineStr">
        <is>
          <t>98</t>
        </is>
      </c>
      <c r="G69" t="inlineStr">
        <is>
          <t>1</t>
        </is>
      </c>
      <c r="H69" t="n">
        <v>2017</v>
      </c>
      <c r="I69" t="n">
        <v>1.01</v>
      </c>
      <c r="J69" t="n">
        <v>1</v>
      </c>
      <c r="L69" t="inlineStr">
        <is>
          <t>Sí</t>
        </is>
      </c>
      <c r="M69" t="inlineStr">
        <is>
          <t>Sí</t>
        </is>
      </c>
      <c r="N69" t="inlineStr">
        <is>
          <t>VALIDA</t>
        </is>
      </c>
      <c r="O69" t="n">
        <v>3.8</v>
      </c>
      <c r="P69" t="n">
        <v>741</v>
      </c>
      <c r="Q69" t="n">
        <v>131717</v>
      </c>
      <c r="R69" t="n">
        <v>0.005625697518163942</v>
      </c>
      <c r="S69" t="n">
        <v>3620</v>
      </c>
      <c r="T69" t="n">
        <v>20.37</v>
      </c>
    </row>
    <row r="70">
      <c r="A70" t="n">
        <v>1544</v>
      </c>
      <c r="B70" t="inlineStr">
        <is>
          <t>HARO ORDOÑO, ALVARO</t>
        </is>
      </c>
      <c r="C70" t="n">
        <v>578</v>
      </c>
      <c r="D70" t="inlineStr">
        <is>
          <t>9152</t>
        </is>
      </c>
      <c r="E70" t="inlineStr">
        <is>
          <t>7</t>
        </is>
      </c>
      <c r="F70" t="inlineStr">
        <is>
          <t>98</t>
        </is>
      </c>
      <c r="G70" t="inlineStr">
        <is>
          <t>1</t>
        </is>
      </c>
      <c r="H70" t="n">
        <v>2020</v>
      </c>
      <c r="I70" t="n">
        <v>1.37</v>
      </c>
      <c r="J70" t="n">
        <v>1</v>
      </c>
      <c r="L70" t="inlineStr">
        <is>
          <t>Sí</t>
        </is>
      </c>
      <c r="M70" t="inlineStr">
        <is>
          <t>Sí</t>
        </is>
      </c>
      <c r="N70" t="inlineStr">
        <is>
          <t>VALIDA</t>
        </is>
      </c>
      <c r="O70" t="n">
        <v>3.8</v>
      </c>
      <c r="P70" t="n">
        <v>741</v>
      </c>
      <c r="Q70" t="n">
        <v>131717</v>
      </c>
      <c r="R70" t="n">
        <v>0.005625697518163942</v>
      </c>
      <c r="S70" t="n">
        <v>3620</v>
      </c>
      <c r="T70" t="n">
        <v>20.37</v>
      </c>
    </row>
    <row r="71">
      <c r="A71" t="n">
        <v>1544</v>
      </c>
      <c r="B71" t="inlineStr">
        <is>
          <t>HARO ORDOÑO, ALVARO</t>
        </is>
      </c>
      <c r="C71" t="n">
        <v>596</v>
      </c>
      <c r="D71" t="inlineStr">
        <is>
          <t>9147</t>
        </is>
      </c>
      <c r="E71" t="inlineStr">
        <is>
          <t>7</t>
        </is>
      </c>
      <c r="F71" t="inlineStr">
        <is>
          <t>158</t>
        </is>
      </c>
      <c r="G71" t="inlineStr">
        <is>
          <t>3</t>
        </is>
      </c>
      <c r="H71" t="n">
        <v>2020</v>
      </c>
      <c r="I71" t="n">
        <v>0.25</v>
      </c>
      <c r="J71" t="n">
        <v>1</v>
      </c>
      <c r="L71" t="inlineStr">
        <is>
          <t>Sí</t>
        </is>
      </c>
      <c r="M71" t="inlineStr">
        <is>
          <t>Sí</t>
        </is>
      </c>
      <c r="N71" t="inlineStr">
        <is>
          <t>VALIDA</t>
        </is>
      </c>
      <c r="O71" t="n">
        <v>3.8</v>
      </c>
      <c r="P71" t="n">
        <v>741</v>
      </c>
      <c r="Q71" t="n">
        <v>131717</v>
      </c>
      <c r="R71" t="n">
        <v>0.005625697518163942</v>
      </c>
      <c r="S71" t="n">
        <v>3620</v>
      </c>
      <c r="T71" t="n">
        <v>20.37</v>
      </c>
    </row>
    <row r="72">
      <c r="A72" t="n">
        <v>1597</v>
      </c>
      <c r="B72" t="inlineStr">
        <is>
          <t>CARBALLO SIRIA, ANTONIO JOSE</t>
        </is>
      </c>
      <c r="C72" t="n">
        <v>678</v>
      </c>
      <c r="D72" t="inlineStr">
        <is>
          <t>9451</t>
        </is>
      </c>
      <c r="E72" t="inlineStr">
        <is>
          <t>13</t>
        </is>
      </c>
      <c r="F72" t="inlineStr">
        <is>
          <t>160</t>
        </is>
      </c>
      <c r="G72" t="inlineStr">
        <is>
          <t>1</t>
        </is>
      </c>
      <c r="H72" t="n">
        <v>2019</v>
      </c>
      <c r="I72" t="n">
        <v>2.93</v>
      </c>
      <c r="J72" t="n">
        <v>1</v>
      </c>
      <c r="L72" t="inlineStr">
        <is>
          <t>Sí</t>
        </is>
      </c>
      <c r="M72" t="inlineStr">
        <is>
          <t>Sí</t>
        </is>
      </c>
      <c r="N72" t="inlineStr">
        <is>
          <t>VALIDA</t>
        </is>
      </c>
      <c r="O72" t="n">
        <v>5.63</v>
      </c>
      <c r="P72" t="n">
        <v>1097.85</v>
      </c>
      <c r="Q72" t="n">
        <v>119651</v>
      </c>
      <c r="R72" t="n">
        <v>0.00917543522411012</v>
      </c>
      <c r="S72" t="n">
        <v>881</v>
      </c>
      <c r="T72" t="n">
        <v>8.08</v>
      </c>
    </row>
    <row r="73">
      <c r="A73" t="n">
        <v>1597</v>
      </c>
      <c r="B73" t="inlineStr">
        <is>
          <t>CARBALLO SIRIA, ANTONIO JOSE</t>
        </is>
      </c>
      <c r="C73" t="n">
        <v>679</v>
      </c>
      <c r="D73" t="inlineStr">
        <is>
          <t>9452</t>
        </is>
      </c>
      <c r="E73" t="inlineStr">
        <is>
          <t>13</t>
        </is>
      </c>
      <c r="F73" t="inlineStr">
        <is>
          <t>30</t>
        </is>
      </c>
      <c r="G73" t="inlineStr">
        <is>
          <t>1</t>
        </is>
      </c>
      <c r="H73" t="n">
        <v>2015</v>
      </c>
      <c r="I73" t="n">
        <v>2.7</v>
      </c>
      <c r="J73" t="n">
        <v>1</v>
      </c>
      <c r="L73" t="inlineStr">
        <is>
          <t>Sí</t>
        </is>
      </c>
      <c r="M73" t="inlineStr">
        <is>
          <t>Sí</t>
        </is>
      </c>
      <c r="N73" t="inlineStr">
        <is>
          <t>VALIDA</t>
        </is>
      </c>
      <c r="O73" t="n">
        <v>5.63</v>
      </c>
      <c r="P73" t="n">
        <v>1097.85</v>
      </c>
      <c r="Q73" t="n">
        <v>119651</v>
      </c>
      <c r="R73" t="n">
        <v>0.00917543522411012</v>
      </c>
      <c r="S73" t="n">
        <v>881</v>
      </c>
      <c r="T73" t="n">
        <v>8.08</v>
      </c>
    </row>
    <row r="74">
      <c r="A74" t="n">
        <v>1627</v>
      </c>
      <c r="B74" t="inlineStr">
        <is>
          <t>FRUTAS ANDALUZAS DE SEVILLA S.L.</t>
        </is>
      </c>
      <c r="C74" t="n">
        <v>362</v>
      </c>
      <c r="D74" t="inlineStr">
        <is>
          <t>8793</t>
        </is>
      </c>
      <c r="E74" t="inlineStr">
        <is>
          <t>21</t>
        </is>
      </c>
      <c r="F74" t="inlineStr">
        <is>
          <t>111</t>
        </is>
      </c>
      <c r="G74" t="inlineStr">
        <is>
          <t>2</t>
        </is>
      </c>
      <c r="H74" t="n">
        <v>2006</v>
      </c>
      <c r="I74" t="n">
        <v>2.06</v>
      </c>
      <c r="J74" t="n">
        <v>1</v>
      </c>
      <c r="L74" t="inlineStr">
        <is>
          <t>Sí</t>
        </is>
      </c>
      <c r="M74" t="inlineStr">
        <is>
          <t>Sí</t>
        </is>
      </c>
      <c r="N74" t="inlineStr">
        <is>
          <t>VALIDA</t>
        </is>
      </c>
      <c r="O74" t="n">
        <v>6.77</v>
      </c>
      <c r="P74" t="n">
        <v>1320.15</v>
      </c>
      <c r="Q74" t="n">
        <v>130552</v>
      </c>
      <c r="R74" t="n">
        <v>0.01011206262638642</v>
      </c>
      <c r="S74" t="n">
        <v>4559</v>
      </c>
      <c r="T74" t="n">
        <v>46.1</v>
      </c>
    </row>
    <row r="75">
      <c r="A75" t="n">
        <v>1627</v>
      </c>
      <c r="B75" t="inlineStr">
        <is>
          <t>FRUTAS ANDALUZAS DE SEVILLA S.L.</t>
        </is>
      </c>
      <c r="C75" t="n">
        <v>362</v>
      </c>
      <c r="D75" t="inlineStr">
        <is>
          <t>8794</t>
        </is>
      </c>
      <c r="E75" t="inlineStr">
        <is>
          <t>21</t>
        </is>
      </c>
      <c r="F75" t="inlineStr">
        <is>
          <t>10</t>
        </is>
      </c>
      <c r="G75" t="inlineStr">
        <is>
          <t>1</t>
        </is>
      </c>
      <c r="H75" t="n">
        <v>2006</v>
      </c>
      <c r="I75" t="n">
        <v>1.41</v>
      </c>
      <c r="J75" t="n">
        <v>1</v>
      </c>
      <c r="L75" t="inlineStr">
        <is>
          <t>Sí</t>
        </is>
      </c>
      <c r="M75" t="inlineStr">
        <is>
          <t>Sí</t>
        </is>
      </c>
      <c r="N75" t="inlineStr">
        <is>
          <t>VALIDA</t>
        </is>
      </c>
      <c r="O75" t="n">
        <v>6.77</v>
      </c>
      <c r="P75" t="n">
        <v>1320.15</v>
      </c>
      <c r="Q75" t="n">
        <v>130552</v>
      </c>
      <c r="R75" t="n">
        <v>0.01011206262638642</v>
      </c>
      <c r="S75" t="n">
        <v>4559</v>
      </c>
      <c r="T75" t="n">
        <v>46.1</v>
      </c>
    </row>
    <row r="76">
      <c r="A76" t="n">
        <v>1627</v>
      </c>
      <c r="B76" t="inlineStr">
        <is>
          <t>FRUTAS ANDALUZAS DE SEVILLA S.L.</t>
        </is>
      </c>
      <c r="C76" t="n">
        <v>705</v>
      </c>
      <c r="D76" t="inlineStr">
        <is>
          <t>9365</t>
        </is>
      </c>
      <c r="E76" t="inlineStr">
        <is>
          <t>21</t>
        </is>
      </c>
      <c r="F76" t="inlineStr">
        <is>
          <t>11</t>
        </is>
      </c>
      <c r="G76" t="inlineStr">
        <is>
          <t>2</t>
        </is>
      </c>
      <c r="H76" t="n">
        <v>2010</v>
      </c>
      <c r="I76" t="n">
        <v>3.3</v>
      </c>
      <c r="J76" t="n">
        <v>1</v>
      </c>
      <c r="L76" t="inlineStr">
        <is>
          <t>Sí</t>
        </is>
      </c>
      <c r="M76" t="inlineStr">
        <is>
          <t>Sí</t>
        </is>
      </c>
      <c r="N76" t="inlineStr">
        <is>
          <t>VALIDA</t>
        </is>
      </c>
      <c r="O76" t="n">
        <v>6.77</v>
      </c>
      <c r="P76" t="n">
        <v>1320.15</v>
      </c>
      <c r="Q76" t="n">
        <v>130552</v>
      </c>
      <c r="R76" t="n">
        <v>0.01011206262638642</v>
      </c>
      <c r="S76" t="n">
        <v>4559</v>
      </c>
      <c r="T76" t="n">
        <v>46.1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798</v>
      </c>
      <c r="B2" t="inlineStr">
        <is>
          <t>PAREJA PAREJA,ISABEL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LANE LATE</t>
        </is>
      </c>
      <c r="I2" t="n">
        <v>411</v>
      </c>
      <c r="J2" t="n">
        <v>24168</v>
      </c>
      <c r="K2" t="n">
        <v>23068</v>
      </c>
      <c r="L2" t="n">
        <v>23068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798</v>
      </c>
      <c r="B3" t="inlineStr">
        <is>
          <t>PAREJA PAREJA,ISABEL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LANE LATE</t>
        </is>
      </c>
      <c r="I3" t="n">
        <v>411</v>
      </c>
      <c r="J3" t="n">
        <v>24154</v>
      </c>
      <c r="K3" t="n">
        <v>23594</v>
      </c>
      <c r="L3" t="n">
        <v>23594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798</v>
      </c>
      <c r="B4" t="inlineStr">
        <is>
          <t>PAREJA PAREJA,ISABEL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LANE LATE</t>
        </is>
      </c>
      <c r="I4" t="n">
        <v>411</v>
      </c>
      <c r="J4" t="n">
        <v>13122</v>
      </c>
      <c r="K4" t="n">
        <v>12579</v>
      </c>
      <c r="L4" t="n">
        <v>12579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798</v>
      </c>
      <c r="B5" t="inlineStr">
        <is>
          <t>PAREJA PAREJA,ISABEL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LANE LATE</t>
        </is>
      </c>
      <c r="I5" t="n">
        <v>411</v>
      </c>
      <c r="J5" t="n">
        <v>16070</v>
      </c>
      <c r="K5" t="n">
        <v>7305</v>
      </c>
      <c r="L5" t="n">
        <v>7305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798</v>
      </c>
      <c r="B6" t="inlineStr">
        <is>
          <t>PAREJA PAREJA,ISABEL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LANE LATE</t>
        </is>
      </c>
      <c r="I6" t="n">
        <v>411</v>
      </c>
      <c r="J6" t="n">
        <v>15520</v>
      </c>
      <c r="K6" t="n">
        <v>0</v>
      </c>
      <c r="L6" t="n">
        <v>15520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798</v>
      </c>
      <c r="B7" t="inlineStr">
        <is>
          <t>PAREJA PAREJA,ISABEL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LANE LATE</t>
        </is>
      </c>
      <c r="I7" t="n">
        <v>411</v>
      </c>
      <c r="J7" t="n">
        <v>15295</v>
      </c>
      <c r="K7" t="n">
        <v>15069</v>
      </c>
      <c r="L7" t="n">
        <v>15069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798</v>
      </c>
      <c r="B8" t="inlineStr">
        <is>
          <t>PAREJA PAREJA,ISABEL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LANE LATE</t>
        </is>
      </c>
      <c r="I8" t="n">
        <v>411</v>
      </c>
      <c r="J8" t="n">
        <v>16035</v>
      </c>
      <c r="K8" t="n">
        <v>7670</v>
      </c>
      <c r="L8" t="n">
        <v>7670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798</v>
      </c>
      <c r="B9" t="inlineStr">
        <is>
          <t>PAREJA PAREJA,ISABEL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LANE LATE</t>
        </is>
      </c>
      <c r="I9" t="n">
        <v>411</v>
      </c>
      <c r="J9" t="n">
        <v>8820</v>
      </c>
      <c r="K9" t="n">
        <v>0</v>
      </c>
      <c r="L9" t="n">
        <v>8820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798</v>
      </c>
      <c r="B10" t="inlineStr">
        <is>
          <t>PAREJA PAREJA,ISABEL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LANE LATE</t>
        </is>
      </c>
      <c r="I10" t="n">
        <v>411</v>
      </c>
      <c r="J10" t="n">
        <v>8670</v>
      </c>
      <c r="K10" t="n">
        <v>7061</v>
      </c>
      <c r="L10" t="n">
        <v>7061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798</v>
      </c>
      <c r="B11" t="inlineStr">
        <is>
          <t>PAREJA PAREJA,ISABEL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SALUSTIANA</t>
        </is>
      </c>
      <c r="I11" t="n">
        <v>412</v>
      </c>
      <c r="J11" t="n">
        <v>22908</v>
      </c>
      <c r="K11" t="n">
        <v>0</v>
      </c>
      <c r="L11" t="n">
        <v>22908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798</v>
      </c>
      <c r="B12" t="inlineStr">
        <is>
          <t>PAREJA PAREJA,ISABEL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SALUSTIANA</t>
        </is>
      </c>
      <c r="I12" t="n">
        <v>412</v>
      </c>
      <c r="J12" t="n">
        <v>23400</v>
      </c>
      <c r="K12" t="n">
        <v>0</v>
      </c>
      <c r="L12" t="n">
        <v>23400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798</v>
      </c>
      <c r="B13" t="inlineStr">
        <is>
          <t>PAREJA PAREJA,ISABEL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SALUSTIANA</t>
        </is>
      </c>
      <c r="I13" t="n">
        <v>412</v>
      </c>
      <c r="J13" t="n">
        <v>21675</v>
      </c>
      <c r="K13" t="n">
        <v>23740</v>
      </c>
      <c r="L13" t="n">
        <v>23740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798</v>
      </c>
      <c r="B14" t="inlineStr">
        <is>
          <t>PAREJA PAREJA,ISABEL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SALUSTIANA</t>
        </is>
      </c>
      <c r="I14" t="n">
        <v>412</v>
      </c>
      <c r="J14" t="n">
        <v>22608</v>
      </c>
      <c r="K14" t="n">
        <v>0</v>
      </c>
      <c r="L14" t="n">
        <v>22608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798</v>
      </c>
      <c r="B15" t="inlineStr">
        <is>
          <t>PAREJA PAREJA,ISABEL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412</v>
      </c>
      <c r="J15" t="n">
        <v>21914</v>
      </c>
      <c r="K15" t="n">
        <v>0</v>
      </c>
      <c r="L15" t="n">
        <v>21914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798</v>
      </c>
      <c r="B16" t="inlineStr">
        <is>
          <t>PAREJA PAREJA,ISABEL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412</v>
      </c>
      <c r="J16" t="n">
        <v>22420</v>
      </c>
      <c r="K16" t="n">
        <v>0</v>
      </c>
      <c r="L16" t="n">
        <v>22420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798</v>
      </c>
      <c r="B17" t="inlineStr">
        <is>
          <t>PAREJA PAREJA,ISABEL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412</v>
      </c>
      <c r="J17" t="n">
        <v>21800</v>
      </c>
      <c r="K17" t="n">
        <v>0</v>
      </c>
      <c r="L17" t="n">
        <v>21800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798</v>
      </c>
      <c r="B18" t="inlineStr">
        <is>
          <t>PAREJA PAREJA,ISABEL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SALUSTIANA</t>
        </is>
      </c>
      <c r="I18" t="n">
        <v>412</v>
      </c>
      <c r="J18" t="n">
        <v>23680</v>
      </c>
      <c r="K18" t="n">
        <v>0</v>
      </c>
      <c r="L18" t="n">
        <v>23680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798</v>
      </c>
      <c r="B19" t="inlineStr">
        <is>
          <t>PAREJA PAREJA,ISABEL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SALUSTIANA</t>
        </is>
      </c>
      <c r="I19" t="n">
        <v>412</v>
      </c>
      <c r="J19" t="n">
        <v>21764</v>
      </c>
      <c r="K19" t="n">
        <v>0</v>
      </c>
      <c r="L19" t="n">
        <v>21764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798</v>
      </c>
      <c r="B20" t="inlineStr">
        <is>
          <t>PAREJA PAREJA,ISABEL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SALUSTIANA</t>
        </is>
      </c>
      <c r="I20" t="n">
        <v>412</v>
      </c>
      <c r="J20" t="n">
        <v>23456</v>
      </c>
      <c r="K20" t="n">
        <v>0</v>
      </c>
      <c r="L20" t="n">
        <v>23456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798</v>
      </c>
      <c r="B21" t="inlineStr">
        <is>
          <t>PAREJA PAREJA,ISABEL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SALUSTIANA</t>
        </is>
      </c>
      <c r="I21" t="n">
        <v>412</v>
      </c>
      <c r="J21" t="n">
        <v>23464</v>
      </c>
      <c r="K21" t="n">
        <v>0</v>
      </c>
      <c r="L21" t="n">
        <v>23464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798</v>
      </c>
      <c r="B22" t="inlineStr">
        <is>
          <t>PAREJA PAREJA,ISABEL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SALUSTIANA</t>
        </is>
      </c>
      <c r="I22" t="n">
        <v>412</v>
      </c>
      <c r="J22" t="n">
        <v>23468</v>
      </c>
      <c r="K22" t="n">
        <v>0</v>
      </c>
      <c r="L22" t="n">
        <v>23468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798</v>
      </c>
      <c r="B23" t="inlineStr">
        <is>
          <t>PAREJA PAREJA,ISABEL</t>
        </is>
      </c>
      <c r="E23" t="n">
        <v>2026</v>
      </c>
      <c r="F23" t="n">
        <v>1</v>
      </c>
      <c r="G23" t="inlineStr">
        <is>
          <t>INDUSTRIA</t>
        </is>
      </c>
      <c r="H23" t="inlineStr">
        <is>
          <t>SALUSTIANA</t>
        </is>
      </c>
      <c r="I23" t="n">
        <v>412</v>
      </c>
      <c r="J23" t="n">
        <v>19756</v>
      </c>
      <c r="K23" t="n">
        <v>0</v>
      </c>
      <c r="L23" t="n">
        <v>19756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798</v>
      </c>
      <c r="B24" t="inlineStr">
        <is>
          <t>PAREJA PAREJA,ISABEL</t>
        </is>
      </c>
      <c r="E24" t="n">
        <v>2026</v>
      </c>
      <c r="F24" t="n">
        <v>1</v>
      </c>
      <c r="G24" t="inlineStr">
        <is>
          <t>INDUSTRIA</t>
        </is>
      </c>
      <c r="H24" t="inlineStr">
        <is>
          <t>SALUSTIANA</t>
        </is>
      </c>
      <c r="I24" t="n">
        <v>412</v>
      </c>
      <c r="J24" t="n">
        <v>12352</v>
      </c>
      <c r="K24" t="n">
        <v>0</v>
      </c>
      <c r="L24" t="n">
        <v>12352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798</v>
      </c>
      <c r="B25" t="inlineStr">
        <is>
          <t>PAREJA PAREJA,ISABEL</t>
        </is>
      </c>
      <c r="E25" t="n">
        <v>2026</v>
      </c>
      <c r="F25" t="n">
        <v>1</v>
      </c>
      <c r="G25" t="inlineStr">
        <is>
          <t>INDUSTRIA</t>
        </is>
      </c>
      <c r="H25" t="inlineStr">
        <is>
          <t>LANE LATE</t>
        </is>
      </c>
      <c r="I25" t="n">
        <v>411</v>
      </c>
      <c r="J25" t="n">
        <v>23952</v>
      </c>
      <c r="K25" t="n">
        <v>992</v>
      </c>
      <c r="L25" t="n">
        <v>992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798</v>
      </c>
      <c r="B26" t="inlineStr">
        <is>
          <t>PAREJA PAREJA,ISABEL</t>
        </is>
      </c>
      <c r="E26" t="n">
        <v>2026</v>
      </c>
      <c r="F26" t="n">
        <v>1</v>
      </c>
      <c r="G26" t="inlineStr">
        <is>
          <t>INDUSTRIA</t>
        </is>
      </c>
      <c r="H26" t="inlineStr">
        <is>
          <t>LANE LATE</t>
        </is>
      </c>
      <c r="I26" t="n">
        <v>411</v>
      </c>
      <c r="J26" t="n">
        <v>24046</v>
      </c>
      <c r="K26" t="n">
        <v>506</v>
      </c>
      <c r="L26" t="n">
        <v>506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798</v>
      </c>
      <c r="B27" t="inlineStr">
        <is>
          <t>PAREJA PAREJA,ISABEL</t>
        </is>
      </c>
      <c r="E27" t="n">
        <v>2026</v>
      </c>
      <c r="F27" t="n">
        <v>1</v>
      </c>
      <c r="G27" t="inlineStr">
        <is>
          <t>INDUSTRIA</t>
        </is>
      </c>
      <c r="H27" t="inlineStr">
        <is>
          <t>LANE LATE</t>
        </is>
      </c>
      <c r="I27" t="n">
        <v>411</v>
      </c>
      <c r="J27" t="n">
        <v>14526</v>
      </c>
      <c r="K27" t="n">
        <v>489</v>
      </c>
      <c r="L27" t="n">
        <v>489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798</v>
      </c>
      <c r="B28" t="inlineStr">
        <is>
          <t>PAREJA PAREJA,ISABEL</t>
        </is>
      </c>
      <c r="E28" t="n">
        <v>2026</v>
      </c>
      <c r="F28" t="n">
        <v>1</v>
      </c>
      <c r="G28" t="inlineStr">
        <is>
          <t>INDUSTRIA</t>
        </is>
      </c>
      <c r="H28" t="inlineStr">
        <is>
          <t>LANE LATE</t>
        </is>
      </c>
      <c r="I28" t="n">
        <v>411</v>
      </c>
      <c r="J28" t="n">
        <v>15265</v>
      </c>
      <c r="K28" t="n">
        <v>325</v>
      </c>
      <c r="L28" t="n">
        <v>325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798</v>
      </c>
      <c r="B29" t="inlineStr">
        <is>
          <t>PAREJA PAREJA,ISABEL</t>
        </is>
      </c>
      <c r="E29" t="n">
        <v>2026</v>
      </c>
      <c r="F29" t="n">
        <v>1</v>
      </c>
      <c r="G29" t="inlineStr">
        <is>
          <t>INDUSTRIA</t>
        </is>
      </c>
      <c r="H29" t="inlineStr">
        <is>
          <t>LANE LATE</t>
        </is>
      </c>
      <c r="I29" t="n">
        <v>411</v>
      </c>
      <c r="J29" t="n">
        <v>15225</v>
      </c>
      <c r="K29" t="n">
        <v>191</v>
      </c>
      <c r="L29" t="n">
        <v>191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798</v>
      </c>
      <c r="B30" t="inlineStr">
        <is>
          <t>PAREJA PAREJA,ISABEL</t>
        </is>
      </c>
      <c r="E30" t="n">
        <v>2026</v>
      </c>
      <c r="F30" t="n">
        <v>1</v>
      </c>
      <c r="G30" t="inlineStr">
        <is>
          <t>INDUSTRIA</t>
        </is>
      </c>
      <c r="H30" t="inlineStr">
        <is>
          <t>LANE LATE</t>
        </is>
      </c>
      <c r="I30" t="n">
        <v>411</v>
      </c>
      <c r="J30" t="n">
        <v>7795</v>
      </c>
      <c r="K30" t="n">
        <v>1049</v>
      </c>
      <c r="L30" t="n">
        <v>1049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904</v>
      </c>
      <c r="B31" t="inlineStr">
        <is>
          <t>FERNANDEZ MELENDEZ,ANGEL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LANE LATE</t>
        </is>
      </c>
      <c r="I31" t="n">
        <v>266</v>
      </c>
      <c r="J31" t="n">
        <v>15850</v>
      </c>
      <c r="K31" t="n">
        <v>6433</v>
      </c>
      <c r="L31" t="n">
        <v>6433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904</v>
      </c>
      <c r="B32" t="inlineStr">
        <is>
          <t>FERNANDEZ MELENDEZ,ANGEL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LANE LATE</t>
        </is>
      </c>
      <c r="I32" t="n">
        <v>266</v>
      </c>
      <c r="J32" t="n">
        <v>15360</v>
      </c>
      <c r="K32" t="n">
        <v>12990</v>
      </c>
      <c r="L32" t="n">
        <v>12990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904</v>
      </c>
      <c r="B33" t="inlineStr">
        <is>
          <t>FERNANDEZ MELENDEZ,ANGEL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LANE LATE</t>
        </is>
      </c>
      <c r="I33" t="n">
        <v>266</v>
      </c>
      <c r="J33" t="n">
        <v>15010</v>
      </c>
      <c r="K33" t="n">
        <v>0</v>
      </c>
      <c r="L33" t="n">
        <v>15010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904</v>
      </c>
      <c r="B34" t="inlineStr">
        <is>
          <t>FERNANDEZ MELENDEZ,ANGEL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LANE LATE</t>
        </is>
      </c>
      <c r="I34" t="n">
        <v>266</v>
      </c>
      <c r="J34" t="n">
        <v>15640</v>
      </c>
      <c r="K34" t="n">
        <v>8577</v>
      </c>
      <c r="L34" t="n">
        <v>8577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904</v>
      </c>
      <c r="B35" t="inlineStr">
        <is>
          <t>FERNANDEZ MELENDEZ,ANGEL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LANE LATE</t>
        </is>
      </c>
      <c r="I35" t="n">
        <v>266</v>
      </c>
      <c r="J35" t="n">
        <v>13850</v>
      </c>
      <c r="K35" t="n">
        <v>12591</v>
      </c>
      <c r="L35" t="n">
        <v>12591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904</v>
      </c>
      <c r="B36" t="inlineStr">
        <is>
          <t>FERNANDEZ MELENDEZ,ANGEL</t>
        </is>
      </c>
      <c r="E36" t="n">
        <v>2026</v>
      </c>
      <c r="F36" t="n">
        <v>1</v>
      </c>
      <c r="G36" t="inlineStr">
        <is>
          <t>INDUSTRIA</t>
        </is>
      </c>
      <c r="H36" t="inlineStr">
        <is>
          <t>LANE LATE</t>
        </is>
      </c>
      <c r="I36" t="n">
        <v>266</v>
      </c>
      <c r="J36" t="n">
        <v>16410</v>
      </c>
      <c r="K36" t="n">
        <v>2160</v>
      </c>
      <c r="L36" t="n">
        <v>2160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904</v>
      </c>
      <c r="B37" t="inlineStr">
        <is>
          <t>FERNANDEZ MELENDEZ,ANGEL</t>
        </is>
      </c>
      <c r="E37" t="n">
        <v>2026</v>
      </c>
      <c r="F37" t="n">
        <v>1</v>
      </c>
      <c r="G37" t="inlineStr">
        <is>
          <t>INDUSTRIA</t>
        </is>
      </c>
      <c r="H37" t="inlineStr">
        <is>
          <t>LANE LATE</t>
        </is>
      </c>
      <c r="I37" t="n">
        <v>266</v>
      </c>
      <c r="J37" t="n">
        <v>13535</v>
      </c>
      <c r="K37" t="n">
        <v>1049</v>
      </c>
      <c r="L37" t="n">
        <v>1049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990</v>
      </c>
      <c r="B38" t="inlineStr">
        <is>
          <t>SANCHEZ PEREZ,ANTONIO</t>
        </is>
      </c>
      <c r="E38" t="n">
        <v>2026</v>
      </c>
      <c r="F38" t="n">
        <v>1</v>
      </c>
      <c r="G38" t="inlineStr">
        <is>
          <t>INDUSTRIA</t>
        </is>
      </c>
      <c r="H38" t="inlineStr">
        <is>
          <t>VALENCIA</t>
        </is>
      </c>
      <c r="I38" t="n">
        <v>78</v>
      </c>
      <c r="J38" t="n">
        <v>12020</v>
      </c>
      <c r="K38" t="n">
        <v>0</v>
      </c>
      <c r="L38" t="n">
        <v>12020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990</v>
      </c>
      <c r="B39" t="inlineStr">
        <is>
          <t>SANCHEZ PEREZ,ANTONIO</t>
        </is>
      </c>
      <c r="E39" t="n">
        <v>2026</v>
      </c>
      <c r="F39" t="n">
        <v>1</v>
      </c>
      <c r="G39" t="inlineStr">
        <is>
          <t>INDUSTRIA</t>
        </is>
      </c>
      <c r="H39" t="inlineStr">
        <is>
          <t>VALENCIA</t>
        </is>
      </c>
      <c r="I39" t="n">
        <v>78</v>
      </c>
      <c r="J39" t="n">
        <v>9888</v>
      </c>
      <c r="K39" t="n">
        <v>0</v>
      </c>
      <c r="L39" t="n">
        <v>9888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990</v>
      </c>
      <c r="B40" t="inlineStr">
        <is>
          <t>SANCHEZ PEREZ,ANTONIO</t>
        </is>
      </c>
      <c r="E40" t="n">
        <v>2026</v>
      </c>
      <c r="F40" t="n">
        <v>1</v>
      </c>
      <c r="G40" t="inlineStr">
        <is>
          <t>INDUSTRIA</t>
        </is>
      </c>
      <c r="H40" t="inlineStr">
        <is>
          <t>VALENCIA</t>
        </is>
      </c>
      <c r="I40" t="n">
        <v>78</v>
      </c>
      <c r="J40" t="n">
        <v>6780</v>
      </c>
      <c r="K40" t="n">
        <v>0</v>
      </c>
      <c r="L40" t="n">
        <v>6780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990</v>
      </c>
      <c r="B41" t="inlineStr">
        <is>
          <t>SANCHEZ PEREZ,ANTONIO</t>
        </is>
      </c>
      <c r="E41" t="n">
        <v>2026</v>
      </c>
      <c r="F41" t="n">
        <v>1</v>
      </c>
      <c r="G41" t="inlineStr">
        <is>
          <t>INDUSTRIA</t>
        </is>
      </c>
      <c r="H41" t="inlineStr">
        <is>
          <t>LANE LATE</t>
        </is>
      </c>
      <c r="I41" t="n">
        <v>590</v>
      </c>
      <c r="J41" t="n">
        <v>11720</v>
      </c>
      <c r="K41" t="n">
        <v>0</v>
      </c>
      <c r="L41" t="n">
        <v>11720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1178</v>
      </c>
      <c r="B42" t="inlineStr">
        <is>
          <t>CALZADO GARCIA,FRANCISCO JAVIER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SALUSTIANA</t>
        </is>
      </c>
      <c r="I42" t="n">
        <v>171</v>
      </c>
      <c r="J42" t="n">
        <v>988</v>
      </c>
      <c r="K42" t="n">
        <v>0</v>
      </c>
      <c r="L42" t="n">
        <v>988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1178</v>
      </c>
      <c r="B43" t="inlineStr">
        <is>
          <t>CALZADO GARCIA,FRANCISCO JAVIER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SALUSTIANA</t>
        </is>
      </c>
      <c r="I43" t="n">
        <v>171</v>
      </c>
      <c r="J43" t="n">
        <v>11795</v>
      </c>
      <c r="K43" t="n">
        <v>11427</v>
      </c>
      <c r="L43" t="n">
        <v>11427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1178</v>
      </c>
      <c r="B44" t="inlineStr">
        <is>
          <t>CALZADO GARCIA,FRANCISCO JAVIER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SALUSTIANA</t>
        </is>
      </c>
      <c r="I44" t="n">
        <v>171</v>
      </c>
      <c r="J44" t="n">
        <v>11840</v>
      </c>
      <c r="K44" t="n">
        <v>0</v>
      </c>
      <c r="L44" t="n">
        <v>11840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1178</v>
      </c>
      <c r="B45" t="inlineStr">
        <is>
          <t>CALZADO GARCIA,FRANCISCO JAVIER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SALUSTIANA</t>
        </is>
      </c>
      <c r="I45" t="n">
        <v>171</v>
      </c>
      <c r="J45" t="n">
        <v>12895</v>
      </c>
      <c r="K45" t="n">
        <v>997</v>
      </c>
      <c r="L45" t="n">
        <v>997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1178</v>
      </c>
      <c r="B46" t="inlineStr">
        <is>
          <t>CALZADO GARCIA,FRANCISCO JAVIER</t>
        </is>
      </c>
      <c r="E46" t="n">
        <v>2026</v>
      </c>
      <c r="F46" t="n">
        <v>1</v>
      </c>
      <c r="G46" t="inlineStr">
        <is>
          <t>CITRICOS</t>
        </is>
      </c>
      <c r="H46" t="inlineStr">
        <is>
          <t>SALUSTIANA</t>
        </is>
      </c>
      <c r="I46" t="n">
        <v>171</v>
      </c>
      <c r="J46" t="n">
        <v>2940</v>
      </c>
      <c r="K46" t="n">
        <v>0</v>
      </c>
      <c r="L46" t="n">
        <v>2940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1178</v>
      </c>
      <c r="B47" t="inlineStr">
        <is>
          <t>CALZADO GARCIA,FRANCISCO JAVIER</t>
        </is>
      </c>
      <c r="E47" t="n">
        <v>2026</v>
      </c>
      <c r="F47" t="n">
        <v>1</v>
      </c>
      <c r="G47" t="inlineStr">
        <is>
          <t>CITRICOS</t>
        </is>
      </c>
      <c r="H47" t="inlineStr">
        <is>
          <t>SALUSTIANA</t>
        </is>
      </c>
      <c r="I47" t="n">
        <v>171</v>
      </c>
      <c r="J47" t="n">
        <v>11915</v>
      </c>
      <c r="K47" t="n">
        <v>10306</v>
      </c>
      <c r="L47" t="n">
        <v>10306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1178</v>
      </c>
      <c r="B48" t="inlineStr">
        <is>
          <t>CALZADO GARCIA,FRANCISCO JAVIER</t>
        </is>
      </c>
      <c r="E48" t="n">
        <v>2026</v>
      </c>
      <c r="F48" t="n">
        <v>1</v>
      </c>
      <c r="G48" t="inlineStr">
        <is>
          <t>CITRICOS</t>
        </is>
      </c>
      <c r="H48" t="inlineStr">
        <is>
          <t>SALUSTIANA</t>
        </is>
      </c>
      <c r="I48" t="n">
        <v>171</v>
      </c>
      <c r="J48" t="n">
        <v>11940</v>
      </c>
      <c r="K48" t="n">
        <v>0</v>
      </c>
      <c r="L48" t="n">
        <v>11940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1178</v>
      </c>
      <c r="B49" t="inlineStr">
        <is>
          <t>CALZADO GARCIA,FRANCISCO JAVIER</t>
        </is>
      </c>
      <c r="E49" t="n">
        <v>2026</v>
      </c>
      <c r="F49" t="n">
        <v>1</v>
      </c>
      <c r="G49" t="inlineStr">
        <is>
          <t>CITRICOS</t>
        </is>
      </c>
      <c r="H49" t="inlineStr">
        <is>
          <t>SALUSTIANA</t>
        </is>
      </c>
      <c r="I49" t="n">
        <v>171</v>
      </c>
      <c r="J49" t="n">
        <v>11580</v>
      </c>
      <c r="K49" t="n">
        <v>11143</v>
      </c>
      <c r="L49" t="n">
        <v>11143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1178</v>
      </c>
      <c r="B50" t="inlineStr">
        <is>
          <t>CALZADO GARCIA,FRANCISCO JAVIER</t>
        </is>
      </c>
      <c r="E50" t="n">
        <v>2026</v>
      </c>
      <c r="F50" t="n">
        <v>1</v>
      </c>
      <c r="G50" t="inlineStr">
        <is>
          <t>CITRICOS</t>
        </is>
      </c>
      <c r="H50" t="inlineStr">
        <is>
          <t>SALUSTIANA</t>
        </is>
      </c>
      <c r="I50" t="n">
        <v>171</v>
      </c>
      <c r="J50" t="n">
        <v>12965</v>
      </c>
      <c r="K50" t="n">
        <v>4391</v>
      </c>
      <c r="L50" t="n">
        <v>4391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1178</v>
      </c>
      <c r="B51" t="inlineStr">
        <is>
          <t>CALZADO GARCIA,FRANCISCO JAVIER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SALUSTIANA</t>
        </is>
      </c>
      <c r="I51" t="n">
        <v>171</v>
      </c>
      <c r="J51" t="n">
        <v>12615</v>
      </c>
      <c r="K51" t="n">
        <v>7769</v>
      </c>
      <c r="L51" t="n">
        <v>7769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1178</v>
      </c>
      <c r="B52" t="inlineStr">
        <is>
          <t>CALZADO GARCIA,FRANCISCO JAVIER</t>
        </is>
      </c>
      <c r="E52" t="n">
        <v>2026</v>
      </c>
      <c r="F52" t="n">
        <v>1</v>
      </c>
      <c r="G52" t="inlineStr">
        <is>
          <t>DIRECTO</t>
        </is>
      </c>
      <c r="H52" t="inlineStr">
        <is>
          <t>NAVEL POWEL</t>
        </is>
      </c>
      <c r="I52" t="n">
        <v>528</v>
      </c>
      <c r="J52" t="n">
        <v>13300</v>
      </c>
      <c r="K52" t="n">
        <v>0</v>
      </c>
      <c r="L52" t="n">
        <v>13300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1178</v>
      </c>
      <c r="B53" t="inlineStr">
        <is>
          <t>CALZADO GARCIA,FRANCISCO JAVIER</t>
        </is>
      </c>
      <c r="E53" t="n">
        <v>2026</v>
      </c>
      <c r="F53" t="n">
        <v>1</v>
      </c>
      <c r="G53" t="inlineStr">
        <is>
          <t>DIRECTO</t>
        </is>
      </c>
      <c r="H53" t="inlineStr">
        <is>
          <t>NAVEL POWEL</t>
        </is>
      </c>
      <c r="I53" t="n">
        <v>528</v>
      </c>
      <c r="J53" t="n">
        <v>7680</v>
      </c>
      <c r="K53" t="n">
        <v>0</v>
      </c>
      <c r="L53" t="n">
        <v>7680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1178</v>
      </c>
      <c r="B54" t="inlineStr">
        <is>
          <t>CALZADO GARCIA,FRANCISCO JAVIER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SALUSTIANA</t>
        </is>
      </c>
      <c r="I54" t="n">
        <v>171</v>
      </c>
      <c r="J54" t="n">
        <v>12985</v>
      </c>
      <c r="K54" t="n">
        <v>333</v>
      </c>
      <c r="L54" t="n">
        <v>333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1178</v>
      </c>
      <c r="B55" t="inlineStr">
        <is>
          <t>CALZADO GARCIA,FRANCISCO JAVIER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SALUSTIANA</t>
        </is>
      </c>
      <c r="I55" t="n">
        <v>171</v>
      </c>
      <c r="J55" t="n">
        <v>11670</v>
      </c>
      <c r="K55" t="n">
        <v>437</v>
      </c>
      <c r="L55" t="n">
        <v>437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1178</v>
      </c>
      <c r="B56" t="inlineStr">
        <is>
          <t>CALZADO GARCIA,FRANCISCO JAVIER</t>
        </is>
      </c>
      <c r="E56" t="n">
        <v>2026</v>
      </c>
      <c r="F56" t="n">
        <v>1</v>
      </c>
      <c r="G56" t="inlineStr">
        <is>
          <t>INDUSTRIA</t>
        </is>
      </c>
      <c r="H56" t="inlineStr">
        <is>
          <t>SALUSTIANA</t>
        </is>
      </c>
      <c r="I56" t="n">
        <v>171</v>
      </c>
      <c r="J56" t="n">
        <v>11230</v>
      </c>
      <c r="K56" t="n">
        <v>367</v>
      </c>
      <c r="L56" t="n">
        <v>367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1178</v>
      </c>
      <c r="B57" t="inlineStr">
        <is>
          <t>CALZADO GARCIA,FRANCISCO JAVIER</t>
        </is>
      </c>
      <c r="E57" t="n">
        <v>2026</v>
      </c>
      <c r="F57" t="n">
        <v>1</v>
      </c>
      <c r="G57" t="inlineStr">
        <is>
          <t>INDUSTRIA</t>
        </is>
      </c>
      <c r="H57" t="inlineStr">
        <is>
          <t>SALUSTIANA</t>
        </is>
      </c>
      <c r="I57" t="n">
        <v>171</v>
      </c>
      <c r="J57" t="n">
        <v>12490</v>
      </c>
      <c r="K57" t="n">
        <v>530</v>
      </c>
      <c r="L57" t="n">
        <v>530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1178</v>
      </c>
      <c r="B58" t="inlineStr">
        <is>
          <t>CALZADO GARCIA,FRANCISCO JAVIER</t>
        </is>
      </c>
      <c r="E58" t="n">
        <v>2026</v>
      </c>
      <c r="F58" t="n">
        <v>1</v>
      </c>
      <c r="G58" t="inlineStr">
        <is>
          <t>INDUSTRIA</t>
        </is>
      </c>
      <c r="H58" t="inlineStr">
        <is>
          <t>NAVEL POWEL</t>
        </is>
      </c>
      <c r="I58" t="n">
        <v>528</v>
      </c>
      <c r="J58" t="n">
        <v>518</v>
      </c>
      <c r="K58" t="n">
        <v>0</v>
      </c>
      <c r="L58" t="n">
        <v>518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1178</v>
      </c>
      <c r="B59" t="inlineStr">
        <is>
          <t>CALZADO GARCIA,FRANCISCO JAVIER</t>
        </is>
      </c>
      <c r="E59" t="n">
        <v>2026</v>
      </c>
      <c r="F59" t="n">
        <v>1</v>
      </c>
      <c r="G59" t="inlineStr">
        <is>
          <t>INDUSTRIA</t>
        </is>
      </c>
      <c r="H59" t="inlineStr">
        <is>
          <t>NAVEL POWEL</t>
        </is>
      </c>
      <c r="I59" t="n">
        <v>528</v>
      </c>
      <c r="J59" t="n">
        <v>498</v>
      </c>
      <c r="K59" t="n">
        <v>0</v>
      </c>
      <c r="L59" t="n">
        <v>498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1178</v>
      </c>
      <c r="B60" t="inlineStr">
        <is>
          <t>CALZADO GARCIA,FRANCISCO JAVIER</t>
        </is>
      </c>
      <c r="E60" t="n">
        <v>2026</v>
      </c>
      <c r="F60" t="n">
        <v>1</v>
      </c>
      <c r="G60" t="inlineStr">
        <is>
          <t>INDUSTRIA</t>
        </is>
      </c>
      <c r="H60" t="inlineStr">
        <is>
          <t>NAVEL POWEL</t>
        </is>
      </c>
      <c r="I60" t="n">
        <v>528</v>
      </c>
      <c r="J60" t="n">
        <v>478</v>
      </c>
      <c r="K60" t="n">
        <v>0</v>
      </c>
      <c r="L60" t="n">
        <v>478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1178</v>
      </c>
      <c r="B61" t="inlineStr">
        <is>
          <t>CALZADO GARCIA,FRANCISCO JAVIER</t>
        </is>
      </c>
      <c r="E61" t="n">
        <v>2026</v>
      </c>
      <c r="F61" t="n">
        <v>1</v>
      </c>
      <c r="G61" t="inlineStr">
        <is>
          <t>INDUSTRIA</t>
        </is>
      </c>
      <c r="H61" t="inlineStr">
        <is>
          <t>NAVEL POWEL</t>
        </is>
      </c>
      <c r="I61" t="n">
        <v>528</v>
      </c>
      <c r="J61" t="n">
        <v>458</v>
      </c>
      <c r="K61" t="n">
        <v>0</v>
      </c>
      <c r="L61" t="n">
        <v>458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1178</v>
      </c>
      <c r="B62" t="inlineStr">
        <is>
          <t>CALZADO GARCIA,FRANCISCO JAVIER</t>
        </is>
      </c>
      <c r="E62" t="n">
        <v>2026</v>
      </c>
      <c r="F62" t="n">
        <v>1</v>
      </c>
      <c r="G62" t="inlineStr">
        <is>
          <t>MANDARINA</t>
        </is>
      </c>
      <c r="H62" t="inlineStr">
        <is>
          <t>TANGO</t>
        </is>
      </c>
      <c r="I62" t="n">
        <v>641</v>
      </c>
      <c r="J62" t="n">
        <v>21416</v>
      </c>
      <c r="K62" t="n">
        <v>0</v>
      </c>
      <c r="L62" t="n">
        <v>21416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1178</v>
      </c>
      <c r="B63" t="inlineStr">
        <is>
          <t>CALZADO GARCIA,FRANCISCO JAVIER</t>
        </is>
      </c>
      <c r="E63" t="n">
        <v>2026</v>
      </c>
      <c r="F63" t="n">
        <v>1</v>
      </c>
      <c r="G63" t="inlineStr">
        <is>
          <t>MANDARINA</t>
        </is>
      </c>
      <c r="H63" t="inlineStr">
        <is>
          <t>TANGO</t>
        </is>
      </c>
      <c r="I63" t="n">
        <v>641</v>
      </c>
      <c r="J63" t="n">
        <v>21136</v>
      </c>
      <c r="K63" t="n">
        <v>0</v>
      </c>
      <c r="L63" t="n">
        <v>21136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1178</v>
      </c>
      <c r="B64" t="inlineStr">
        <is>
          <t>CALZADO GARCIA,FRANCISCO JAVIER</t>
        </is>
      </c>
      <c r="E64" t="n">
        <v>2026</v>
      </c>
      <c r="F64" t="n">
        <v>1</v>
      </c>
      <c r="G64" t="inlineStr">
        <is>
          <t>MANDARINA</t>
        </is>
      </c>
      <c r="H64" t="inlineStr">
        <is>
          <t>TANGO</t>
        </is>
      </c>
      <c r="I64" t="n">
        <v>641</v>
      </c>
      <c r="J64" t="n">
        <v>10616</v>
      </c>
      <c r="K64" t="n">
        <v>0</v>
      </c>
      <c r="L64" t="n">
        <v>10616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1205</v>
      </c>
      <c r="B65" t="inlineStr">
        <is>
          <t>OLIVER JIMENEZ,MARIA MERCEDES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LANE LATE</t>
        </is>
      </c>
      <c r="I65" t="n">
        <v>586</v>
      </c>
      <c r="J65" t="n">
        <v>14200</v>
      </c>
      <c r="K65" t="n">
        <v>0</v>
      </c>
      <c r="L65" t="n">
        <v>14200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1205</v>
      </c>
      <c r="B66" t="inlineStr">
        <is>
          <t>OLIVER JIMENEZ,MARIA MERCEDES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LANE LATE</t>
        </is>
      </c>
      <c r="I66" t="n">
        <v>586</v>
      </c>
      <c r="J66" t="n">
        <v>14510</v>
      </c>
      <c r="K66" t="n">
        <v>0</v>
      </c>
      <c r="L66" t="n">
        <v>14510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1205</v>
      </c>
      <c r="B67" t="inlineStr">
        <is>
          <t>OLIVER JIMENEZ,MARIA MERCEDES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LANE LATE</t>
        </is>
      </c>
      <c r="I67" t="n">
        <v>586</v>
      </c>
      <c r="J67" t="n">
        <v>14650</v>
      </c>
      <c r="K67" t="n">
        <v>13192</v>
      </c>
      <c r="L67" t="n">
        <v>13192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1205</v>
      </c>
      <c r="B68" t="inlineStr">
        <is>
          <t>OLIVER JIMENEZ,MARIA MERCEDES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LANE LATE</t>
        </is>
      </c>
      <c r="I68" t="n">
        <v>586</v>
      </c>
      <c r="J68" t="n">
        <v>955</v>
      </c>
      <c r="K68" t="n">
        <v>265</v>
      </c>
      <c r="L68" t="n">
        <v>265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1205</v>
      </c>
      <c r="B69" t="inlineStr">
        <is>
          <t>OLIVER JIMENEZ,MARIA MERCEDES</t>
        </is>
      </c>
      <c r="E69" t="n">
        <v>2026</v>
      </c>
      <c r="F69" t="n">
        <v>1</v>
      </c>
      <c r="G69" t="inlineStr">
        <is>
          <t>INDUSTRIA</t>
        </is>
      </c>
      <c r="H69" t="inlineStr">
        <is>
          <t>LANE LATE</t>
        </is>
      </c>
      <c r="I69" t="n">
        <v>586</v>
      </c>
      <c r="J69" t="n">
        <v>15840</v>
      </c>
      <c r="K69" t="n">
        <v>1318</v>
      </c>
      <c r="L69" t="n">
        <v>1318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1205</v>
      </c>
      <c r="B70" t="inlineStr">
        <is>
          <t>OLIVER JIMENEZ,MARIA MERCEDES</t>
        </is>
      </c>
      <c r="E70" t="n">
        <v>2026</v>
      </c>
      <c r="F70" t="n">
        <v>1</v>
      </c>
      <c r="G70" t="inlineStr">
        <is>
          <t>INDUSTRIA</t>
        </is>
      </c>
      <c r="H70" t="inlineStr">
        <is>
          <t>LANE LATE</t>
        </is>
      </c>
      <c r="I70" t="n">
        <v>586</v>
      </c>
      <c r="J70" t="n">
        <v>-515</v>
      </c>
      <c r="K70" t="n">
        <v>95</v>
      </c>
      <c r="L70" t="n">
        <v>95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1255</v>
      </c>
      <c r="B71" t="inlineStr">
        <is>
          <t>CHAMIZO AGREDANO,JUAN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LANE LATE</t>
        </is>
      </c>
      <c r="I71" t="n">
        <v>185</v>
      </c>
      <c r="J71" t="n">
        <v>9992</v>
      </c>
      <c r="K71" t="n">
        <v>5027</v>
      </c>
      <c r="L71" t="n">
        <v>5027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1255</v>
      </c>
      <c r="B72" t="inlineStr">
        <is>
          <t>CHAMIZO AGREDANO,JUAN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LANE LATE</t>
        </is>
      </c>
      <c r="I72" t="n">
        <v>185</v>
      </c>
      <c r="J72" t="n">
        <v>4452</v>
      </c>
      <c r="K72" t="n">
        <v>0</v>
      </c>
      <c r="L72" t="n">
        <v>4452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1255</v>
      </c>
      <c r="B73" t="inlineStr">
        <is>
          <t>CHAMIZO AGREDANO,JUAN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LANE LATE</t>
        </is>
      </c>
      <c r="I73" t="n">
        <v>185</v>
      </c>
      <c r="J73" t="n">
        <v>20045</v>
      </c>
      <c r="K73" t="n">
        <v>18564</v>
      </c>
      <c r="L73" t="n">
        <v>18564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1255</v>
      </c>
      <c r="B74" t="inlineStr">
        <is>
          <t>CHAMIZO AGREDANO,JUAN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LANE LATE</t>
        </is>
      </c>
      <c r="I74" t="n">
        <v>185</v>
      </c>
      <c r="J74" t="n">
        <v>1064</v>
      </c>
      <c r="K74" t="n">
        <v>0</v>
      </c>
      <c r="L74" t="n">
        <v>1064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1255</v>
      </c>
      <c r="B75" t="inlineStr">
        <is>
          <t>CHAMIZO AGREDANO,JUAN</t>
        </is>
      </c>
      <c r="E75" t="n">
        <v>2026</v>
      </c>
      <c r="F75" t="n">
        <v>1</v>
      </c>
      <c r="G75" t="inlineStr">
        <is>
          <t>INDUSTRIA</t>
        </is>
      </c>
      <c r="H75" t="inlineStr">
        <is>
          <t>LANE LATE</t>
        </is>
      </c>
      <c r="I75" t="n">
        <v>185</v>
      </c>
      <c r="J75" t="n">
        <v>382</v>
      </c>
      <c r="K75" t="n">
        <v>0</v>
      </c>
      <c r="L75" t="n">
        <v>382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1272</v>
      </c>
      <c r="B76" t="inlineStr">
        <is>
          <t>HERMANOS GONZALEZ ROLDAN,S.C.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NAVELINA</t>
        </is>
      </c>
      <c r="I76" t="n">
        <v>369</v>
      </c>
      <c r="J76" t="n">
        <v>9620</v>
      </c>
      <c r="K76" t="n">
        <v>0</v>
      </c>
      <c r="L76" t="n">
        <v>9620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1272</v>
      </c>
      <c r="B77" t="inlineStr">
        <is>
          <t>HERMANOS GONZALEZ ROLDAN,S.C.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NEWHALL</t>
        </is>
      </c>
      <c r="I77" t="n">
        <v>234</v>
      </c>
      <c r="J77" t="n">
        <v>7440</v>
      </c>
      <c r="K77" t="n">
        <v>1976</v>
      </c>
      <c r="L77" t="n">
        <v>1976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1272</v>
      </c>
      <c r="B78" t="inlineStr">
        <is>
          <t>HERMANOS GONZALEZ ROLDAN,S.C.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SALUSTIANA</t>
        </is>
      </c>
      <c r="I78" t="n">
        <v>236</v>
      </c>
      <c r="J78" t="n">
        <v>11765</v>
      </c>
      <c r="K78" t="n">
        <v>9578</v>
      </c>
      <c r="L78" t="n">
        <v>9578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1272</v>
      </c>
      <c r="B79" t="inlineStr">
        <is>
          <t>HERMANOS GONZALEZ ROLDAN,S.C.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NEWHALL</t>
        </is>
      </c>
      <c r="I79" t="n">
        <v>234</v>
      </c>
      <c r="J79" t="n">
        <v>1239</v>
      </c>
      <c r="K79" t="n">
        <v>0</v>
      </c>
      <c r="L79" t="n">
        <v>1239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1272</v>
      </c>
      <c r="B80" t="inlineStr">
        <is>
          <t>HERMANOS GONZALEZ ROLDAN,S.C.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SALUSTIANA</t>
        </is>
      </c>
      <c r="I80" t="n">
        <v>236</v>
      </c>
      <c r="J80" t="n">
        <v>11845</v>
      </c>
      <c r="K80" t="n">
        <v>9344</v>
      </c>
      <c r="L80" t="n">
        <v>9344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1272</v>
      </c>
      <c r="B81" t="inlineStr">
        <is>
          <t>HERMANOS GONZALEZ ROLDAN,S.C.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SALUSTIANA</t>
        </is>
      </c>
      <c r="I81" t="n">
        <v>236</v>
      </c>
      <c r="J81" t="n">
        <v>11090</v>
      </c>
      <c r="K81" t="n">
        <v>9355</v>
      </c>
      <c r="L81" t="n">
        <v>9355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1272</v>
      </c>
      <c r="B82" t="inlineStr">
        <is>
          <t>HERMANOS GONZALEZ ROLDAN,S.C.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NEWHALL</t>
        </is>
      </c>
      <c r="I82" t="n">
        <v>234</v>
      </c>
      <c r="J82" t="n">
        <v>7125</v>
      </c>
      <c r="K82" t="n">
        <v>4939</v>
      </c>
      <c r="L82" t="n">
        <v>4939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1272</v>
      </c>
      <c r="B83" t="inlineStr">
        <is>
          <t>HERMANOS GONZALEZ ROLDAN,S.C.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SALUSTIANA</t>
        </is>
      </c>
      <c r="I83" t="n">
        <v>236</v>
      </c>
      <c r="J83" t="n">
        <v>12615</v>
      </c>
      <c r="K83" t="n">
        <v>2256</v>
      </c>
      <c r="L83" t="n">
        <v>2256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1272</v>
      </c>
      <c r="B84" t="inlineStr">
        <is>
          <t>HERMANOS GONZALEZ ROLDAN,S.C.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SALUSTIANA</t>
        </is>
      </c>
      <c r="I84" t="n">
        <v>236</v>
      </c>
      <c r="J84" t="n">
        <v>24180</v>
      </c>
      <c r="K84" t="n">
        <v>15220</v>
      </c>
      <c r="L84" t="n">
        <v>15220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1272</v>
      </c>
      <c r="B85" t="inlineStr">
        <is>
          <t>HERMANOS GONZALEZ ROLDAN,S.C.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SALUSTIANA</t>
        </is>
      </c>
      <c r="I85" t="n">
        <v>236</v>
      </c>
      <c r="J85" t="n">
        <v>25695</v>
      </c>
      <c r="K85" t="n">
        <v>2386</v>
      </c>
      <c r="L85" t="n">
        <v>2386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1272</v>
      </c>
      <c r="B86" t="inlineStr">
        <is>
          <t>HERMANOS GONZALEZ ROLDAN,S.C.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SALUSTIANA</t>
        </is>
      </c>
      <c r="I86" t="n">
        <v>236</v>
      </c>
      <c r="J86" t="n">
        <v>25020</v>
      </c>
      <c r="K86" t="n">
        <v>7103</v>
      </c>
      <c r="L86" t="n">
        <v>7103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1272</v>
      </c>
      <c r="B87" t="inlineStr">
        <is>
          <t>HERMANOS GONZALEZ ROLDAN,S.C.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SALUSTIANA</t>
        </is>
      </c>
      <c r="I87" t="n">
        <v>236</v>
      </c>
      <c r="J87" t="n">
        <v>23945</v>
      </c>
      <c r="K87" t="n">
        <v>19429</v>
      </c>
      <c r="L87" t="n">
        <v>19429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1272</v>
      </c>
      <c r="B88" t="inlineStr">
        <is>
          <t>HERMANOS GONZALEZ ROLDAN,S.C.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SALUSTIANA</t>
        </is>
      </c>
      <c r="I88" t="n">
        <v>251</v>
      </c>
      <c r="J88" t="n">
        <v>22376</v>
      </c>
      <c r="K88" t="n">
        <v>6883</v>
      </c>
      <c r="L88" t="n">
        <v>6883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1272</v>
      </c>
      <c r="B89" t="inlineStr">
        <is>
          <t>HERMANOS GONZALEZ ROLDAN,S.C.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SALUSTIANA</t>
        </is>
      </c>
      <c r="I89" t="n">
        <v>251</v>
      </c>
      <c r="J89" t="n">
        <v>13790</v>
      </c>
      <c r="K89" t="n">
        <v>0</v>
      </c>
      <c r="L89" t="n">
        <v>13790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1272</v>
      </c>
      <c r="B90" t="inlineStr">
        <is>
          <t>HERMANOS GONZALEZ ROLDAN,S.C.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SALUSTIANA</t>
        </is>
      </c>
      <c r="I90" t="n">
        <v>251</v>
      </c>
      <c r="J90" t="n">
        <v>7922</v>
      </c>
      <c r="K90" t="n">
        <v>0</v>
      </c>
      <c r="L90" t="n">
        <v>7922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1272</v>
      </c>
      <c r="B91" t="inlineStr">
        <is>
          <t>HERMANOS GONZALEZ ROLDAN,S.C.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SALUSTIANA</t>
        </is>
      </c>
      <c r="I91" t="n">
        <v>251</v>
      </c>
      <c r="J91" t="n">
        <v>21512</v>
      </c>
      <c r="K91" t="n">
        <v>13765</v>
      </c>
      <c r="L91" t="n">
        <v>13765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1272</v>
      </c>
      <c r="B92" t="inlineStr">
        <is>
          <t>HERMANOS GONZALEZ ROLDAN,S.C.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LANE LATE</t>
        </is>
      </c>
      <c r="I92" t="n">
        <v>646</v>
      </c>
      <c r="J92" t="n">
        <v>22680</v>
      </c>
      <c r="K92" t="n">
        <v>0</v>
      </c>
      <c r="L92" t="n">
        <v>22680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1272</v>
      </c>
      <c r="B93" t="inlineStr">
        <is>
          <t>HERMANOS GONZALEZ ROLDAN,S.C.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LANE LATE</t>
        </is>
      </c>
      <c r="I93" t="n">
        <v>646</v>
      </c>
      <c r="J93" t="n">
        <v>13670</v>
      </c>
      <c r="K93" t="n">
        <v>0</v>
      </c>
      <c r="L93" t="n">
        <v>13670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1272</v>
      </c>
      <c r="B94" t="inlineStr">
        <is>
          <t>HERMANOS GONZALEZ ROLDAN,S.C.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LANE LATE</t>
        </is>
      </c>
      <c r="I94" t="n">
        <v>646</v>
      </c>
      <c r="J94" t="n">
        <v>14000</v>
      </c>
      <c r="K94" t="n">
        <v>0</v>
      </c>
      <c r="L94" t="n">
        <v>14000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1272</v>
      </c>
      <c r="B95" t="inlineStr">
        <is>
          <t>HERMANOS GONZALEZ ROLDAN,S.C.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LANE LATE</t>
        </is>
      </c>
      <c r="I95" t="n">
        <v>646</v>
      </c>
      <c r="J95" t="n">
        <v>13880</v>
      </c>
      <c r="K95" t="n">
        <v>0</v>
      </c>
      <c r="L95" t="n">
        <v>13880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1272</v>
      </c>
      <c r="B96" t="inlineStr">
        <is>
          <t>HERMANOS GONZALEZ ROLDAN,S.C.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LANE LATE</t>
        </is>
      </c>
      <c r="I96" t="n">
        <v>646</v>
      </c>
      <c r="J96" t="n">
        <v>11890</v>
      </c>
      <c r="K96" t="n">
        <v>0</v>
      </c>
      <c r="L96" t="n">
        <v>11890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1272</v>
      </c>
      <c r="B97" t="inlineStr">
        <is>
          <t>HERMANOS GONZALEZ ROLDAN,S.C.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LANE LATE</t>
        </is>
      </c>
      <c r="I97" t="n">
        <v>646</v>
      </c>
      <c r="J97" t="n">
        <v>13810</v>
      </c>
      <c r="K97" t="n">
        <v>0</v>
      </c>
      <c r="L97" t="n">
        <v>13810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1272</v>
      </c>
      <c r="B98" t="inlineStr">
        <is>
          <t>HERMANOS GONZALEZ ROLDAN,S.C.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LANE LATE</t>
        </is>
      </c>
      <c r="I98" t="n">
        <v>646</v>
      </c>
      <c r="J98" t="n">
        <v>11130</v>
      </c>
      <c r="K98" t="n">
        <v>0</v>
      </c>
      <c r="L98" t="n">
        <v>11130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1272</v>
      </c>
      <c r="B99" t="inlineStr">
        <is>
          <t>HERMANOS GONZALEZ ROLDAN,S.C.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LANE LATE</t>
        </is>
      </c>
      <c r="I99" t="n">
        <v>646</v>
      </c>
      <c r="J99" t="n">
        <v>3470</v>
      </c>
      <c r="K99" t="n">
        <v>0</v>
      </c>
      <c r="L99" t="n">
        <v>3470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1272</v>
      </c>
      <c r="B100" t="inlineStr">
        <is>
          <t>HERMANOS GONZALEZ ROLDAN,S.C.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LANE LATE</t>
        </is>
      </c>
      <c r="I100" t="n">
        <v>646</v>
      </c>
      <c r="J100" t="n">
        <v>14790</v>
      </c>
      <c r="K100" t="n">
        <v>12497</v>
      </c>
      <c r="L100" t="n">
        <v>12497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1272</v>
      </c>
      <c r="B101" t="inlineStr">
        <is>
          <t>HERMANOS GONZALEZ ROLDAN,S.C.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LANE LATE</t>
        </is>
      </c>
      <c r="I101" t="n">
        <v>646</v>
      </c>
      <c r="J101" t="n">
        <v>14975</v>
      </c>
      <c r="K101" t="n">
        <v>9289</v>
      </c>
      <c r="L101" t="n">
        <v>9289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1272</v>
      </c>
      <c r="B102" t="inlineStr">
        <is>
          <t>HERMANOS GONZALEZ ROLDAN,S.C.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LANE LATE</t>
        </is>
      </c>
      <c r="I102" t="n">
        <v>646</v>
      </c>
      <c r="J102" t="n">
        <v>15840</v>
      </c>
      <c r="K102" t="n">
        <v>2083</v>
      </c>
      <c r="L102" t="n">
        <v>2083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1272</v>
      </c>
      <c r="B103" t="inlineStr">
        <is>
          <t>HERMANOS GONZALEZ ROLDAN,S.C.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LANE LATE</t>
        </is>
      </c>
      <c r="I103" t="n">
        <v>646</v>
      </c>
      <c r="J103" t="n">
        <v>14490</v>
      </c>
      <c r="K103" t="n">
        <v>0</v>
      </c>
      <c r="L103" t="n">
        <v>14490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1272</v>
      </c>
      <c r="B104" t="inlineStr">
        <is>
          <t>HERMANOS GONZALEZ ROLDAN,S.C.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LANE LATE</t>
        </is>
      </c>
      <c r="I104" t="n">
        <v>646</v>
      </c>
      <c r="J104" t="n">
        <v>14480</v>
      </c>
      <c r="K104" t="n">
        <v>0</v>
      </c>
      <c r="L104" t="n">
        <v>14480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1272</v>
      </c>
      <c r="B105" t="inlineStr">
        <is>
          <t>HERMANOS GONZALEZ ROLDAN,S.C.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LANE LATE</t>
        </is>
      </c>
      <c r="I105" t="n">
        <v>646</v>
      </c>
      <c r="J105" t="n">
        <v>15700</v>
      </c>
      <c r="K105" t="n">
        <v>2063</v>
      </c>
      <c r="L105" t="n">
        <v>2063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1272</v>
      </c>
      <c r="B106" t="inlineStr">
        <is>
          <t>HERMANOS GONZALEZ ROLDAN,S.C.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LANE LATE</t>
        </is>
      </c>
      <c r="I106" t="n">
        <v>646</v>
      </c>
      <c r="J106" t="n">
        <v>15395</v>
      </c>
      <c r="K106" t="n">
        <v>5161</v>
      </c>
      <c r="L106" t="n">
        <v>5161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1272</v>
      </c>
      <c r="B107" t="inlineStr">
        <is>
          <t>HERMANOS GONZALEZ ROLDAN,S.C.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LANE LATE</t>
        </is>
      </c>
      <c r="I107" t="n">
        <v>646</v>
      </c>
      <c r="J107" t="n">
        <v>14650</v>
      </c>
      <c r="K107" t="n">
        <v>12377</v>
      </c>
      <c r="L107" t="n">
        <v>12377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1272</v>
      </c>
      <c r="B108" t="inlineStr">
        <is>
          <t>HERMANOS GONZALEZ ROLDAN,S.C.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LANE LATE</t>
        </is>
      </c>
      <c r="I108" t="n">
        <v>646</v>
      </c>
      <c r="J108" t="n">
        <v>10110</v>
      </c>
      <c r="K108" t="n">
        <v>0</v>
      </c>
      <c r="L108" t="n">
        <v>10110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1272</v>
      </c>
      <c r="B109" t="inlineStr">
        <is>
          <t>HERMANOS GONZALEZ ROLDAN,S.C.</t>
        </is>
      </c>
      <c r="E109" t="n">
        <v>2026</v>
      </c>
      <c r="F109" t="n">
        <v>1</v>
      </c>
      <c r="G109" t="inlineStr">
        <is>
          <t>CITRICOS</t>
        </is>
      </c>
      <c r="H109" t="inlineStr">
        <is>
          <t>LANE LATE</t>
        </is>
      </c>
      <c r="I109" t="n">
        <v>196</v>
      </c>
      <c r="J109" t="n">
        <v>14240</v>
      </c>
      <c r="K109" t="n">
        <v>0</v>
      </c>
      <c r="L109" t="n">
        <v>14240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1272</v>
      </c>
      <c r="B110" t="inlineStr">
        <is>
          <t>HERMANOS GONZALEZ ROLDAN,S.C.</t>
        </is>
      </c>
      <c r="E110" t="n">
        <v>2026</v>
      </c>
      <c r="F110" t="n">
        <v>1</v>
      </c>
      <c r="G110" t="inlineStr">
        <is>
          <t>DIRECTO</t>
        </is>
      </c>
      <c r="H110" t="inlineStr">
        <is>
          <t>LANE LATE</t>
        </is>
      </c>
      <c r="I110" t="n">
        <v>232</v>
      </c>
      <c r="J110" t="n">
        <v>22670</v>
      </c>
      <c r="K110" t="n">
        <v>0</v>
      </c>
      <c r="L110" t="n">
        <v>22670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1272</v>
      </c>
      <c r="B111" t="inlineStr">
        <is>
          <t>HERMANOS GONZALEZ ROLDAN,S.C.</t>
        </is>
      </c>
      <c r="E111" t="n">
        <v>2026</v>
      </c>
      <c r="F111" t="n">
        <v>1</v>
      </c>
      <c r="G111" t="inlineStr">
        <is>
          <t>DIRECTO</t>
        </is>
      </c>
      <c r="H111" t="inlineStr">
        <is>
          <t>LANE LATE</t>
        </is>
      </c>
      <c r="I111" t="n">
        <v>232</v>
      </c>
      <c r="J111" t="n">
        <v>6992</v>
      </c>
      <c r="K111" t="n">
        <v>0</v>
      </c>
      <c r="L111" t="n">
        <v>6992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1272</v>
      </c>
      <c r="B112" t="inlineStr">
        <is>
          <t>HERMANOS GONZALEZ ROLDAN,S.C.</t>
        </is>
      </c>
      <c r="E112" t="n">
        <v>2026</v>
      </c>
      <c r="F112" t="n">
        <v>1</v>
      </c>
      <c r="G112" t="inlineStr">
        <is>
          <t>DIRECTO</t>
        </is>
      </c>
      <c r="H112" t="inlineStr">
        <is>
          <t>LANE LATE</t>
        </is>
      </c>
      <c r="I112" t="n">
        <v>232</v>
      </c>
      <c r="J112" t="n">
        <v>21650</v>
      </c>
      <c r="K112" t="n">
        <v>0</v>
      </c>
      <c r="L112" t="n">
        <v>21650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1272</v>
      </c>
      <c r="B113" t="inlineStr">
        <is>
          <t>HERMANOS GONZALEZ ROLDAN,S.C.</t>
        </is>
      </c>
      <c r="E113" t="n">
        <v>2026</v>
      </c>
      <c r="F113" t="n">
        <v>1</v>
      </c>
      <c r="G113" t="inlineStr">
        <is>
          <t>DIRECTO</t>
        </is>
      </c>
      <c r="H113" t="inlineStr">
        <is>
          <t>LANE LATE</t>
        </is>
      </c>
      <c r="I113" t="n">
        <v>232</v>
      </c>
      <c r="J113" t="n">
        <v>22440</v>
      </c>
      <c r="K113" t="n">
        <v>0</v>
      </c>
      <c r="L113" t="n">
        <v>22440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1272</v>
      </c>
      <c r="B114" t="inlineStr">
        <is>
          <t>HERMANOS GONZALEZ ROLDAN,S.C.</t>
        </is>
      </c>
      <c r="E114" t="n">
        <v>2026</v>
      </c>
      <c r="F114" t="n">
        <v>1</v>
      </c>
      <c r="G114" t="inlineStr">
        <is>
          <t>DIRECTO</t>
        </is>
      </c>
      <c r="H114" t="inlineStr">
        <is>
          <t>LANE LATE</t>
        </is>
      </c>
      <c r="I114" t="n">
        <v>232</v>
      </c>
      <c r="J114" t="n">
        <v>22120</v>
      </c>
      <c r="K114" t="n">
        <v>0</v>
      </c>
      <c r="L114" t="n">
        <v>22120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1272</v>
      </c>
      <c r="B115" t="inlineStr">
        <is>
          <t>HERMANOS GONZALEZ ROLDAN,S.C.</t>
        </is>
      </c>
      <c r="E115" t="n">
        <v>2026</v>
      </c>
      <c r="F115" t="n">
        <v>1</v>
      </c>
      <c r="G115" t="inlineStr">
        <is>
          <t>DIRECTO</t>
        </is>
      </c>
      <c r="H115" t="inlineStr">
        <is>
          <t>LANE LATE</t>
        </is>
      </c>
      <c r="I115" t="n">
        <v>232</v>
      </c>
      <c r="J115" t="n">
        <v>22760</v>
      </c>
      <c r="K115" t="n">
        <v>0</v>
      </c>
      <c r="L115" t="n">
        <v>22760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1272</v>
      </c>
      <c r="B116" t="inlineStr">
        <is>
          <t>HERMANOS GONZALEZ ROLDAN,S.C.</t>
        </is>
      </c>
      <c r="E116" t="n">
        <v>2026</v>
      </c>
      <c r="F116" t="n">
        <v>1</v>
      </c>
      <c r="G116" t="inlineStr">
        <is>
          <t>DIRECTO</t>
        </is>
      </c>
      <c r="H116" t="inlineStr">
        <is>
          <t>LANE LATE</t>
        </is>
      </c>
      <c r="I116" t="n">
        <v>232</v>
      </c>
      <c r="J116" t="n">
        <v>23260</v>
      </c>
      <c r="K116" t="n">
        <v>0</v>
      </c>
      <c r="L116" t="n">
        <v>23260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1272</v>
      </c>
      <c r="B117" t="inlineStr">
        <is>
          <t>HERMANOS GONZALEZ ROLDAN,S.C.</t>
        </is>
      </c>
      <c r="E117" t="n">
        <v>2026</v>
      </c>
      <c r="F117" t="n">
        <v>1</v>
      </c>
      <c r="G117" t="inlineStr">
        <is>
          <t>DIRECTO</t>
        </is>
      </c>
      <c r="H117" t="inlineStr">
        <is>
          <t>LANE LATE</t>
        </is>
      </c>
      <c r="I117" t="n">
        <v>232</v>
      </c>
      <c r="J117" t="n">
        <v>22715</v>
      </c>
      <c r="K117" t="n">
        <v>0</v>
      </c>
      <c r="L117" t="n">
        <v>22715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1272</v>
      </c>
      <c r="B118" t="inlineStr">
        <is>
          <t>HERMANOS GONZALEZ ROLDAN,S.C.</t>
        </is>
      </c>
      <c r="E118" t="n">
        <v>2026</v>
      </c>
      <c r="F118" t="n">
        <v>1</v>
      </c>
      <c r="G118" t="inlineStr">
        <is>
          <t>DIRECTO</t>
        </is>
      </c>
      <c r="H118" t="inlineStr">
        <is>
          <t>LANE LATE</t>
        </is>
      </c>
      <c r="I118" t="n">
        <v>232</v>
      </c>
      <c r="J118" t="n">
        <v>22620</v>
      </c>
      <c r="K118" t="n">
        <v>0</v>
      </c>
      <c r="L118" t="n">
        <v>22620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1272</v>
      </c>
      <c r="B119" t="inlineStr">
        <is>
          <t>HERMANOS GONZALEZ ROLDAN,S.C.</t>
        </is>
      </c>
      <c r="E119" t="n">
        <v>2026</v>
      </c>
      <c r="F119" t="n">
        <v>1</v>
      </c>
      <c r="G119" t="inlineStr">
        <is>
          <t>DIRECTO</t>
        </is>
      </c>
      <c r="H119" t="inlineStr">
        <is>
          <t>LANE LATE</t>
        </is>
      </c>
      <c r="I119" t="n">
        <v>232</v>
      </c>
      <c r="J119" t="n">
        <v>23640</v>
      </c>
      <c r="K119" t="n">
        <v>0</v>
      </c>
      <c r="L119" t="n">
        <v>23640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1272</v>
      </c>
      <c r="B120" t="inlineStr">
        <is>
          <t>HERMANOS GONZALEZ ROLDAN,S.C.</t>
        </is>
      </c>
      <c r="E120" t="n">
        <v>2026</v>
      </c>
      <c r="F120" t="n">
        <v>1</v>
      </c>
      <c r="G120" t="inlineStr">
        <is>
          <t>DIRECTO</t>
        </is>
      </c>
      <c r="H120" t="inlineStr">
        <is>
          <t>LANE LATE</t>
        </is>
      </c>
      <c r="I120" t="n">
        <v>232</v>
      </c>
      <c r="J120" t="n">
        <v>22820</v>
      </c>
      <c r="K120" t="n">
        <v>0</v>
      </c>
      <c r="L120" t="n">
        <v>22820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1272</v>
      </c>
      <c r="B121" t="inlineStr">
        <is>
          <t>HERMANOS GONZALEZ ROLDAN,S.C.</t>
        </is>
      </c>
      <c r="E121" t="n">
        <v>2026</v>
      </c>
      <c r="F121" t="n">
        <v>1</v>
      </c>
      <c r="G121" t="inlineStr">
        <is>
          <t>DIRECTO</t>
        </is>
      </c>
      <c r="H121" t="inlineStr">
        <is>
          <t>LANE LATE</t>
        </is>
      </c>
      <c r="I121" t="n">
        <v>232</v>
      </c>
      <c r="J121" t="n">
        <v>24445</v>
      </c>
      <c r="K121" t="n">
        <v>0</v>
      </c>
      <c r="L121" t="n">
        <v>24445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1272</v>
      </c>
      <c r="B122" t="inlineStr">
        <is>
          <t>HERMANOS GONZALEZ ROLDAN,S.C.</t>
        </is>
      </c>
      <c r="E122" t="n">
        <v>2026</v>
      </c>
      <c r="F122" t="n">
        <v>1</v>
      </c>
      <c r="G122" t="inlineStr">
        <is>
          <t>DIRECTO</t>
        </is>
      </c>
      <c r="H122" t="inlineStr">
        <is>
          <t>LANE LATE</t>
        </is>
      </c>
      <c r="I122" t="n">
        <v>360</v>
      </c>
      <c r="J122" t="n">
        <v>12280</v>
      </c>
      <c r="K122" t="n">
        <v>0</v>
      </c>
      <c r="L122" t="n">
        <v>12280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1272</v>
      </c>
      <c r="B123" t="inlineStr">
        <is>
          <t>HERMANOS GONZALEZ ROLDAN,S.C.</t>
        </is>
      </c>
      <c r="E123" t="n">
        <v>2026</v>
      </c>
      <c r="F123" t="n">
        <v>1</v>
      </c>
      <c r="G123" t="inlineStr">
        <is>
          <t>DIRECTO</t>
        </is>
      </c>
      <c r="H123" t="inlineStr">
        <is>
          <t>LANE LATE</t>
        </is>
      </c>
      <c r="I123" t="n">
        <v>360</v>
      </c>
      <c r="J123" t="n">
        <v>11940</v>
      </c>
      <c r="K123" t="n">
        <v>0</v>
      </c>
      <c r="L123" t="n">
        <v>11940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1272</v>
      </c>
      <c r="B124" t="inlineStr">
        <is>
          <t>HERMANOS GONZALEZ ROLDAN,S.C.</t>
        </is>
      </c>
      <c r="E124" t="n">
        <v>2026</v>
      </c>
      <c r="F124" t="n">
        <v>1</v>
      </c>
      <c r="G124" t="inlineStr">
        <is>
          <t>DIRECTO</t>
        </is>
      </c>
      <c r="H124" t="inlineStr">
        <is>
          <t>LANE LATE</t>
        </is>
      </c>
      <c r="I124" t="n">
        <v>360</v>
      </c>
      <c r="J124" t="n">
        <v>2760</v>
      </c>
      <c r="K124" t="n">
        <v>0</v>
      </c>
      <c r="L124" t="n">
        <v>2760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1272</v>
      </c>
      <c r="B125" t="inlineStr">
        <is>
          <t>HERMANOS GONZALEZ ROLDAN,S.C.</t>
        </is>
      </c>
      <c r="E125" t="n">
        <v>2026</v>
      </c>
      <c r="F125" t="n">
        <v>1</v>
      </c>
      <c r="G125" t="inlineStr">
        <is>
          <t>DIRECTO</t>
        </is>
      </c>
      <c r="H125" t="inlineStr">
        <is>
          <t>LANE LATE</t>
        </is>
      </c>
      <c r="I125" t="n">
        <v>360</v>
      </c>
      <c r="J125" t="n">
        <v>9520</v>
      </c>
      <c r="K125" t="n">
        <v>0</v>
      </c>
      <c r="L125" t="n">
        <v>9520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1272</v>
      </c>
      <c r="B126" t="inlineStr">
        <is>
          <t>HERMANOS GONZALEZ ROLDAN,S.C.</t>
        </is>
      </c>
      <c r="E126" t="n">
        <v>2026</v>
      </c>
      <c r="F126" t="n">
        <v>1</v>
      </c>
      <c r="G126" t="inlineStr">
        <is>
          <t>INDUSTRIA</t>
        </is>
      </c>
      <c r="H126" t="inlineStr">
        <is>
          <t>NEWHALL</t>
        </is>
      </c>
      <c r="I126" t="n">
        <v>234</v>
      </c>
      <c r="J126" t="n">
        <v>703</v>
      </c>
      <c r="K126" t="n">
        <v>0</v>
      </c>
      <c r="L126" t="n">
        <v>703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1272</v>
      </c>
      <c r="B127" t="inlineStr">
        <is>
          <t>HERMANOS GONZALEZ ROLDAN,S.C.</t>
        </is>
      </c>
      <c r="E127" t="n">
        <v>2026</v>
      </c>
      <c r="F127" t="n">
        <v>1</v>
      </c>
      <c r="G127" t="inlineStr">
        <is>
          <t>INDUSTRIA</t>
        </is>
      </c>
      <c r="H127" t="inlineStr">
        <is>
          <t>SALUSTIANA</t>
        </is>
      </c>
      <c r="I127" t="n">
        <v>236</v>
      </c>
      <c r="J127" t="n">
        <v>10915</v>
      </c>
      <c r="K127" t="n">
        <v>1560</v>
      </c>
      <c r="L127" t="n">
        <v>1560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1272</v>
      </c>
      <c r="B128" t="inlineStr">
        <is>
          <t>HERMANOS GONZALEZ ROLDAN,S.C.</t>
        </is>
      </c>
      <c r="E128" t="n">
        <v>2026</v>
      </c>
      <c r="F128" t="n">
        <v>1</v>
      </c>
      <c r="G128" t="inlineStr">
        <is>
          <t>INDUSTRIA</t>
        </is>
      </c>
      <c r="H128" t="inlineStr">
        <is>
          <t>LANE LATE</t>
        </is>
      </c>
      <c r="I128" t="n">
        <v>367</v>
      </c>
      <c r="J128" t="n">
        <v>665</v>
      </c>
      <c r="K128" t="n">
        <v>0</v>
      </c>
      <c r="L128" t="n">
        <v>665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1272</v>
      </c>
      <c r="B129" t="inlineStr">
        <is>
          <t>HERMANOS GONZALEZ ROLDAN,S.C.</t>
        </is>
      </c>
      <c r="E129" t="n">
        <v>2026</v>
      </c>
      <c r="F129" t="n">
        <v>1</v>
      </c>
      <c r="G129" t="inlineStr">
        <is>
          <t>INDUSTRIA</t>
        </is>
      </c>
      <c r="H129" t="inlineStr">
        <is>
          <t>LANE LATE</t>
        </is>
      </c>
      <c r="I129" t="n">
        <v>367</v>
      </c>
      <c r="J129" t="n">
        <v>290</v>
      </c>
      <c r="K129" t="n">
        <v>0</v>
      </c>
      <c r="L129" t="n">
        <v>290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1272</v>
      </c>
      <c r="B130" t="inlineStr">
        <is>
          <t>HERMANOS GONZALEZ ROLDAN,S.C.</t>
        </is>
      </c>
      <c r="E130" t="n">
        <v>2026</v>
      </c>
      <c r="F130" t="n">
        <v>1</v>
      </c>
      <c r="G130" t="inlineStr">
        <is>
          <t>INDUSTRIA</t>
        </is>
      </c>
      <c r="H130" t="inlineStr">
        <is>
          <t>SALUSTIANA</t>
        </is>
      </c>
      <c r="I130" t="n">
        <v>236</v>
      </c>
      <c r="J130" t="n">
        <v>23235</v>
      </c>
      <c r="K130" t="n">
        <v>1017</v>
      </c>
      <c r="L130" t="n">
        <v>1017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1272</v>
      </c>
      <c r="B131" t="inlineStr">
        <is>
          <t>HERMANOS GONZALEZ ROLDAN,S.C.</t>
        </is>
      </c>
      <c r="E131" t="n">
        <v>2026</v>
      </c>
      <c r="F131" t="n">
        <v>1</v>
      </c>
      <c r="G131" t="inlineStr">
        <is>
          <t>INDUSTRIA</t>
        </is>
      </c>
      <c r="H131" t="inlineStr">
        <is>
          <t>SALUSTIANA</t>
        </is>
      </c>
      <c r="I131" t="n">
        <v>236</v>
      </c>
      <c r="J131" t="n">
        <v>25765</v>
      </c>
      <c r="K131" t="n">
        <v>1710</v>
      </c>
      <c r="L131" t="n">
        <v>1710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1415</v>
      </c>
      <c r="B132" t="inlineStr">
        <is>
          <t>TOMENO SUAREZ,FERNANDO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LANE LATE</t>
        </is>
      </c>
      <c r="I132" t="n">
        <v>358</v>
      </c>
      <c r="J132" t="n">
        <v>14650</v>
      </c>
      <c r="K132" t="n">
        <v>0</v>
      </c>
      <c r="L132" t="n">
        <v>14650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1415</v>
      </c>
      <c r="B133" t="inlineStr">
        <is>
          <t>TOMENO SUAREZ,FERNANDO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LANE LATE</t>
        </is>
      </c>
      <c r="I133" t="n">
        <v>358</v>
      </c>
      <c r="J133" t="n">
        <v>13952</v>
      </c>
      <c r="K133" t="n">
        <v>896</v>
      </c>
      <c r="L133" t="n">
        <v>896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1415</v>
      </c>
      <c r="B134" t="inlineStr">
        <is>
          <t>TOMENO SUAREZ,FERNANDO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LANE LATE</t>
        </is>
      </c>
      <c r="I134" t="n">
        <v>358</v>
      </c>
      <c r="J134" t="n">
        <v>13304</v>
      </c>
      <c r="K134" t="n">
        <v>6274</v>
      </c>
      <c r="L134" t="n">
        <v>6274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1415</v>
      </c>
      <c r="B135" t="inlineStr">
        <is>
          <t>TOMENO SUAREZ,FERNANDO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LANE LATE</t>
        </is>
      </c>
      <c r="I135" t="n">
        <v>358</v>
      </c>
      <c r="J135" t="n">
        <v>13412</v>
      </c>
      <c r="K135" t="n">
        <v>5378</v>
      </c>
      <c r="L135" t="n">
        <v>5378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1415</v>
      </c>
      <c r="B136" t="inlineStr">
        <is>
          <t>TOMENO SUAREZ,FERNANDO</t>
        </is>
      </c>
      <c r="E136" t="n">
        <v>2026</v>
      </c>
      <c r="F136" t="n">
        <v>1</v>
      </c>
      <c r="G136" t="inlineStr">
        <is>
          <t>CITRICOS</t>
        </is>
      </c>
      <c r="H136" t="inlineStr">
        <is>
          <t>LANE LATE</t>
        </is>
      </c>
      <c r="I136" t="n">
        <v>358</v>
      </c>
      <c r="J136" t="n">
        <v>14700</v>
      </c>
      <c r="K136" t="n">
        <v>0</v>
      </c>
      <c r="L136" t="n">
        <v>14700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1415</v>
      </c>
      <c r="B137" t="inlineStr">
        <is>
          <t>TOMENO SUAREZ,FERNANDO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LANE LATE</t>
        </is>
      </c>
      <c r="I137" t="n">
        <v>358</v>
      </c>
      <c r="J137" t="n">
        <v>14850</v>
      </c>
      <c r="K137" t="n">
        <v>14065</v>
      </c>
      <c r="L137" t="n">
        <v>14065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1415</v>
      </c>
      <c r="B138" t="inlineStr">
        <is>
          <t>TOMENO SUAREZ,FERNANDO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BARNFIELD</t>
        </is>
      </c>
      <c r="I138" t="n">
        <v>672</v>
      </c>
      <c r="J138" t="n">
        <v>14540</v>
      </c>
      <c r="K138" t="n">
        <v>0</v>
      </c>
      <c r="L138" t="n">
        <v>14540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1415</v>
      </c>
      <c r="B139" t="inlineStr">
        <is>
          <t>TOMENO SUAREZ,FERNANDO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BARNFIELD</t>
        </is>
      </c>
      <c r="I139" t="n">
        <v>672</v>
      </c>
      <c r="J139" t="n">
        <v>14805</v>
      </c>
      <c r="K139" t="n">
        <v>13618</v>
      </c>
      <c r="L139" t="n">
        <v>13618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1415</v>
      </c>
      <c r="B140" t="inlineStr">
        <is>
          <t>TOMENO SUAREZ,FERNANDO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BARNFIELD</t>
        </is>
      </c>
      <c r="I140" t="n">
        <v>672</v>
      </c>
      <c r="J140" t="n">
        <v>14050</v>
      </c>
      <c r="K140" t="n">
        <v>13288</v>
      </c>
      <c r="L140" t="n">
        <v>13288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1415</v>
      </c>
      <c r="B141" t="inlineStr">
        <is>
          <t>TOMENO SUAREZ,FERNANDO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BARNFIELD</t>
        </is>
      </c>
      <c r="I141" t="n">
        <v>672</v>
      </c>
      <c r="J141" t="n">
        <v>14820</v>
      </c>
      <c r="K141" t="n">
        <v>0</v>
      </c>
      <c r="L141" t="n">
        <v>14820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1415</v>
      </c>
      <c r="B142" t="inlineStr">
        <is>
          <t>TOMENO SUAREZ,FERNANDO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BARNFIELD</t>
        </is>
      </c>
      <c r="I142" t="n">
        <v>672</v>
      </c>
      <c r="J142" t="n">
        <v>14180</v>
      </c>
      <c r="K142" t="n">
        <v>0</v>
      </c>
      <c r="L142" t="n">
        <v>14180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1415</v>
      </c>
      <c r="B143" t="inlineStr">
        <is>
          <t>TOMENO SUAREZ,FERNANDO</t>
        </is>
      </c>
      <c r="E143" t="n">
        <v>2026</v>
      </c>
      <c r="F143" t="n">
        <v>1</v>
      </c>
      <c r="G143" t="inlineStr">
        <is>
          <t>CITRICOS</t>
        </is>
      </c>
      <c r="H143" t="inlineStr">
        <is>
          <t>BARNFIELD</t>
        </is>
      </c>
      <c r="I143" t="n">
        <v>672</v>
      </c>
      <c r="J143" t="n">
        <v>14510</v>
      </c>
      <c r="K143" t="n">
        <v>0</v>
      </c>
      <c r="L143" t="n">
        <v>14510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1415</v>
      </c>
      <c r="B144" t="inlineStr">
        <is>
          <t>TOMENO SUAREZ,FERNANDO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BARNFIELD</t>
        </is>
      </c>
      <c r="I144" t="n">
        <v>672</v>
      </c>
      <c r="J144" t="n">
        <v>981</v>
      </c>
      <c r="K144" t="n">
        <v>0</v>
      </c>
      <c r="L144" t="n">
        <v>981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1415</v>
      </c>
      <c r="B145" t="inlineStr">
        <is>
          <t>TOMENO SUAREZ,FERNANDO</t>
        </is>
      </c>
      <c r="E145" t="n">
        <v>2026</v>
      </c>
      <c r="F145" t="n">
        <v>1</v>
      </c>
      <c r="G145" t="inlineStr">
        <is>
          <t>DIRECTO</t>
        </is>
      </c>
      <c r="H145" t="inlineStr">
        <is>
          <t>SALUSTIANA</t>
        </is>
      </c>
      <c r="I145" t="n">
        <v>168</v>
      </c>
      <c r="J145" t="n">
        <v>22640</v>
      </c>
      <c r="K145" t="n">
        <v>0</v>
      </c>
      <c r="L145" t="n">
        <v>22640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1415</v>
      </c>
      <c r="B146" t="inlineStr">
        <is>
          <t>TOMENO SUAREZ,FERNANDO</t>
        </is>
      </c>
      <c r="E146" t="n">
        <v>2026</v>
      </c>
      <c r="F146" t="n">
        <v>1</v>
      </c>
      <c r="G146" t="inlineStr">
        <is>
          <t>DIRECTO</t>
        </is>
      </c>
      <c r="H146" t="inlineStr">
        <is>
          <t>SALUSTIANA</t>
        </is>
      </c>
      <c r="I146" t="n">
        <v>168</v>
      </c>
      <c r="J146" t="n">
        <v>14940</v>
      </c>
      <c r="K146" t="n">
        <v>0</v>
      </c>
      <c r="L146" t="n">
        <v>14940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1415</v>
      </c>
      <c r="B147" t="inlineStr">
        <is>
          <t>TOMENO SUAREZ,FERNANDO</t>
        </is>
      </c>
      <c r="E147" t="n">
        <v>2026</v>
      </c>
      <c r="F147" t="n">
        <v>1</v>
      </c>
      <c r="G147" t="inlineStr">
        <is>
          <t>DIRECTO</t>
        </is>
      </c>
      <c r="H147" t="inlineStr">
        <is>
          <t>SALUSTIANA</t>
        </is>
      </c>
      <c r="I147" t="n">
        <v>168</v>
      </c>
      <c r="J147" t="n">
        <v>22980</v>
      </c>
      <c r="K147" t="n">
        <v>0</v>
      </c>
      <c r="L147" t="n">
        <v>22980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1415</v>
      </c>
      <c r="B148" t="inlineStr">
        <is>
          <t>TOMENO SUAREZ,FERNANDO</t>
        </is>
      </c>
      <c r="E148" t="n">
        <v>2026</v>
      </c>
      <c r="F148" t="n">
        <v>1</v>
      </c>
      <c r="G148" t="inlineStr">
        <is>
          <t>DIRECTO</t>
        </is>
      </c>
      <c r="H148" t="inlineStr">
        <is>
          <t>SALUSTIANA</t>
        </is>
      </c>
      <c r="I148" t="n">
        <v>168</v>
      </c>
      <c r="J148" t="n">
        <v>23620</v>
      </c>
      <c r="K148" t="n">
        <v>0</v>
      </c>
      <c r="L148" t="n">
        <v>23620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1415</v>
      </c>
      <c r="B149" t="inlineStr">
        <is>
          <t>TOMENO SUAREZ,FERNANDO</t>
        </is>
      </c>
      <c r="E149" t="n">
        <v>2026</v>
      </c>
      <c r="F149" t="n">
        <v>1</v>
      </c>
      <c r="G149" t="inlineStr">
        <is>
          <t>DIRECTO</t>
        </is>
      </c>
      <c r="H149" t="inlineStr">
        <is>
          <t>SALUSTIANA</t>
        </is>
      </c>
      <c r="I149" t="n">
        <v>168</v>
      </c>
      <c r="J149" t="n">
        <v>22620</v>
      </c>
      <c r="K149" t="n">
        <v>0</v>
      </c>
      <c r="L149" t="n">
        <v>22620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1415</v>
      </c>
      <c r="B150" t="inlineStr">
        <is>
          <t>TOMENO SUAREZ,FERNANDO</t>
        </is>
      </c>
      <c r="E150" t="n">
        <v>2026</v>
      </c>
      <c r="F150" t="n">
        <v>1</v>
      </c>
      <c r="G150" t="inlineStr">
        <is>
          <t>DIRECTO</t>
        </is>
      </c>
      <c r="H150" t="inlineStr">
        <is>
          <t>SALUSTIANA</t>
        </is>
      </c>
      <c r="I150" t="n">
        <v>168</v>
      </c>
      <c r="J150" t="n">
        <v>23220</v>
      </c>
      <c r="K150" t="n">
        <v>0</v>
      </c>
      <c r="L150" t="n">
        <v>23220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1415</v>
      </c>
      <c r="B151" t="inlineStr">
        <is>
          <t>TOMENO SUAREZ,FERNANDO</t>
        </is>
      </c>
      <c r="E151" t="n">
        <v>2026</v>
      </c>
      <c r="F151" t="n">
        <v>1</v>
      </c>
      <c r="G151" t="inlineStr">
        <is>
          <t>DIRECTO</t>
        </is>
      </c>
      <c r="H151" t="inlineStr">
        <is>
          <t>BARBERINA</t>
        </is>
      </c>
      <c r="I151" t="n">
        <v>708</v>
      </c>
      <c r="J151" t="n">
        <v>21500</v>
      </c>
      <c r="K151" t="n">
        <v>0</v>
      </c>
      <c r="L151" t="n">
        <v>21500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1415</v>
      </c>
      <c r="B152" t="inlineStr">
        <is>
          <t>TOMENO SUAREZ,FERNANDO</t>
        </is>
      </c>
      <c r="E152" t="n">
        <v>2026</v>
      </c>
      <c r="F152" t="n">
        <v>1</v>
      </c>
      <c r="G152" t="inlineStr">
        <is>
          <t>DIRECTO</t>
        </is>
      </c>
      <c r="H152" t="inlineStr">
        <is>
          <t>BARBERINA</t>
        </is>
      </c>
      <c r="I152" t="n">
        <v>708</v>
      </c>
      <c r="J152" t="n">
        <v>21200</v>
      </c>
      <c r="K152" t="n">
        <v>0</v>
      </c>
      <c r="L152" t="n">
        <v>21200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1415</v>
      </c>
      <c r="B153" t="inlineStr">
        <is>
          <t>TOMENO SUAREZ,FERNANDO</t>
        </is>
      </c>
      <c r="E153" t="n">
        <v>2026</v>
      </c>
      <c r="F153" t="n">
        <v>1</v>
      </c>
      <c r="G153" t="inlineStr">
        <is>
          <t>DIRECTO</t>
        </is>
      </c>
      <c r="H153" t="inlineStr">
        <is>
          <t>BARBERINA</t>
        </is>
      </c>
      <c r="I153" t="n">
        <v>708</v>
      </c>
      <c r="J153" t="n">
        <v>21340</v>
      </c>
      <c r="K153" t="n">
        <v>0</v>
      </c>
      <c r="L153" t="n">
        <v>21340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1415</v>
      </c>
      <c r="B154" t="inlineStr">
        <is>
          <t>TOMENO SUAREZ,FERNANDO</t>
        </is>
      </c>
      <c r="E154" t="n">
        <v>2026</v>
      </c>
      <c r="F154" t="n">
        <v>1</v>
      </c>
      <c r="G154" t="inlineStr">
        <is>
          <t>DIRECTO</t>
        </is>
      </c>
      <c r="H154" t="inlineStr">
        <is>
          <t>BARBERINA</t>
        </is>
      </c>
      <c r="I154" t="n">
        <v>708</v>
      </c>
      <c r="J154" t="n">
        <v>20180</v>
      </c>
      <c r="K154" t="n">
        <v>0</v>
      </c>
      <c r="L154" t="n">
        <v>20180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1415</v>
      </c>
      <c r="B155" t="inlineStr">
        <is>
          <t>TOMENO SUAREZ,FERNANDO</t>
        </is>
      </c>
      <c r="E155" t="n">
        <v>2026</v>
      </c>
      <c r="F155" t="n">
        <v>1</v>
      </c>
      <c r="G155" t="inlineStr">
        <is>
          <t>DIRECTO</t>
        </is>
      </c>
      <c r="H155" t="inlineStr">
        <is>
          <t>SALUSTIANA</t>
        </is>
      </c>
      <c r="I155" t="n">
        <v>168</v>
      </c>
      <c r="J155" t="n">
        <v>0</v>
      </c>
      <c r="K155" t="n">
        <v>6543</v>
      </c>
      <c r="L155" t="n">
        <v>6543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1415</v>
      </c>
      <c r="B156" t="inlineStr">
        <is>
          <t>TOMENO SUAREZ,FERNANDO</t>
        </is>
      </c>
      <c r="E156" t="n">
        <v>2026</v>
      </c>
      <c r="F156" t="n">
        <v>1</v>
      </c>
      <c r="G156" t="inlineStr">
        <is>
          <t>INDUSTRIA</t>
        </is>
      </c>
      <c r="H156" t="inlineStr">
        <is>
          <t>LANE LATE</t>
        </is>
      </c>
      <c r="I156" t="n">
        <v>358</v>
      </c>
      <c r="J156" t="n">
        <v>2475</v>
      </c>
      <c r="K156" t="n">
        <v>0</v>
      </c>
      <c r="L156" t="n">
        <v>2475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1415</v>
      </c>
      <c r="B157" t="inlineStr">
        <is>
          <t>TOMENO SUAREZ,FERNANDO</t>
        </is>
      </c>
      <c r="E157" t="n">
        <v>2026</v>
      </c>
      <c r="F157" t="n">
        <v>1</v>
      </c>
      <c r="G157" t="inlineStr">
        <is>
          <t>INDUSTRIA</t>
        </is>
      </c>
      <c r="H157" t="inlineStr">
        <is>
          <t>LANE LATE</t>
        </is>
      </c>
      <c r="I157" t="n">
        <v>358</v>
      </c>
      <c r="J157" t="n">
        <v>3530</v>
      </c>
      <c r="K157" t="n">
        <v>0</v>
      </c>
      <c r="L157" t="n">
        <v>3530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1415</v>
      </c>
      <c r="B158" t="inlineStr">
        <is>
          <t>TOMENO SUAREZ,FERNANDO</t>
        </is>
      </c>
      <c r="E158" t="n">
        <v>2026</v>
      </c>
      <c r="F158" t="n">
        <v>1</v>
      </c>
      <c r="G158" t="inlineStr">
        <is>
          <t>INDUSTRIA</t>
        </is>
      </c>
      <c r="H158" t="inlineStr">
        <is>
          <t>LANE LATE</t>
        </is>
      </c>
      <c r="I158" t="n">
        <v>358</v>
      </c>
      <c r="J158" t="n">
        <v>14710</v>
      </c>
      <c r="K158" t="n">
        <v>715</v>
      </c>
      <c r="L158" t="n">
        <v>715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1415</v>
      </c>
      <c r="B159" t="inlineStr">
        <is>
          <t>TOMENO SUAREZ,FERNANDO</t>
        </is>
      </c>
      <c r="E159" t="n">
        <v>2026</v>
      </c>
      <c r="F159" t="n">
        <v>1</v>
      </c>
      <c r="G159" t="inlineStr">
        <is>
          <t>INDUSTRIA</t>
        </is>
      </c>
      <c r="H159" t="inlineStr">
        <is>
          <t>BARNFIELD</t>
        </is>
      </c>
      <c r="I159" t="n">
        <v>672</v>
      </c>
      <c r="J159" t="n">
        <v>14595</v>
      </c>
      <c r="K159" t="n">
        <v>1082</v>
      </c>
      <c r="L159" t="n">
        <v>1082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1415</v>
      </c>
      <c r="B160" t="inlineStr">
        <is>
          <t>TOMENO SUAREZ,FERNANDO</t>
        </is>
      </c>
      <c r="E160" t="n">
        <v>2026</v>
      </c>
      <c r="F160" t="n">
        <v>1</v>
      </c>
      <c r="G160" t="inlineStr">
        <is>
          <t>INDUSTRIA</t>
        </is>
      </c>
      <c r="H160" t="inlineStr">
        <is>
          <t>BARNFIELD</t>
        </is>
      </c>
      <c r="I160" t="n">
        <v>672</v>
      </c>
      <c r="J160" t="n">
        <v>13910</v>
      </c>
      <c r="K160" t="n">
        <v>692</v>
      </c>
      <c r="L160" t="n">
        <v>692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1415</v>
      </c>
      <c r="B161" t="inlineStr">
        <is>
          <t>TOMENO SUAREZ,FERNANDO</t>
        </is>
      </c>
      <c r="E161" t="n">
        <v>2026</v>
      </c>
      <c r="F161" t="n">
        <v>1</v>
      </c>
      <c r="G161" t="inlineStr">
        <is>
          <t>INDUSTRIA</t>
        </is>
      </c>
      <c r="H161" t="inlineStr">
        <is>
          <t>BARNFIELD</t>
        </is>
      </c>
      <c r="I161" t="n">
        <v>672</v>
      </c>
      <c r="J161" t="n">
        <v>2855</v>
      </c>
      <c r="K161" t="n">
        <v>1769</v>
      </c>
      <c r="L161" t="n">
        <v>1769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1415</v>
      </c>
      <c r="B162" t="inlineStr">
        <is>
          <t>TOMENO SUAREZ,FERNANDO</t>
        </is>
      </c>
      <c r="E162" t="n">
        <v>2026</v>
      </c>
      <c r="F162" t="n">
        <v>1</v>
      </c>
      <c r="G162" t="inlineStr">
        <is>
          <t>MANDARINA</t>
        </is>
      </c>
      <c r="H162" t="inlineStr">
        <is>
          <t>TANGO</t>
        </is>
      </c>
      <c r="I162" t="n">
        <v>615</v>
      </c>
      <c r="J162" t="n">
        <v>16796</v>
      </c>
      <c r="K162" t="n">
        <v>0</v>
      </c>
      <c r="L162" t="n">
        <v>16796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1415</v>
      </c>
      <c r="B163" t="inlineStr">
        <is>
          <t>TOMENO SUAREZ,FERNANDO</t>
        </is>
      </c>
      <c r="E163" t="n">
        <v>2026</v>
      </c>
      <c r="F163" t="n">
        <v>1</v>
      </c>
      <c r="G163" t="inlineStr">
        <is>
          <t>MANDARINA</t>
        </is>
      </c>
      <c r="H163" t="inlineStr">
        <is>
          <t>TANGO</t>
        </is>
      </c>
      <c r="I163" t="n">
        <v>615</v>
      </c>
      <c r="J163" t="n">
        <v>11431</v>
      </c>
      <c r="K163" t="n">
        <v>0</v>
      </c>
      <c r="L163" t="n">
        <v>11431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1415</v>
      </c>
      <c r="B164" t="inlineStr">
        <is>
          <t>TOMENO SUAREZ,FERNANDO</t>
        </is>
      </c>
      <c r="E164" t="n">
        <v>2026</v>
      </c>
      <c r="F164" t="n">
        <v>1</v>
      </c>
      <c r="G164" t="inlineStr">
        <is>
          <t>MANDARINA</t>
        </is>
      </c>
      <c r="H164" t="inlineStr">
        <is>
          <t>TANGO</t>
        </is>
      </c>
      <c r="I164" t="n">
        <v>615</v>
      </c>
      <c r="J164" t="n">
        <v>13295</v>
      </c>
      <c r="K164" t="n">
        <v>0</v>
      </c>
      <c r="L164" t="n">
        <v>13295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1445</v>
      </c>
      <c r="B165" t="inlineStr">
        <is>
          <t>REAL GARCIA,MIGUEL</t>
        </is>
      </c>
      <c r="E165" t="n">
        <v>2026</v>
      </c>
      <c r="F165" t="n">
        <v>1</v>
      </c>
      <c r="G165" t="inlineStr">
        <is>
          <t>CITRICOS</t>
        </is>
      </c>
      <c r="H165" t="inlineStr">
        <is>
          <t>NAVELINA</t>
        </is>
      </c>
      <c r="I165" t="n">
        <v>263</v>
      </c>
      <c r="J165" t="n">
        <v>12735</v>
      </c>
      <c r="K165" t="n">
        <v>9235</v>
      </c>
      <c r="L165" t="n">
        <v>9235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1445</v>
      </c>
      <c r="B166" t="inlineStr">
        <is>
          <t>REAL GARCIA,MIGUEL</t>
        </is>
      </c>
      <c r="E166" t="n">
        <v>2026</v>
      </c>
      <c r="F166" t="n">
        <v>1</v>
      </c>
      <c r="G166" t="inlineStr">
        <is>
          <t>CITRICOS</t>
        </is>
      </c>
      <c r="H166" t="inlineStr">
        <is>
          <t>NAVELINA</t>
        </is>
      </c>
      <c r="I166" t="n">
        <v>263</v>
      </c>
      <c r="J166" t="n">
        <v>1105</v>
      </c>
      <c r="K166" t="n">
        <v>339</v>
      </c>
      <c r="L166" t="n">
        <v>339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1445</v>
      </c>
      <c r="B167" t="inlineStr">
        <is>
          <t>REAL GARCIA,MIGUEL</t>
        </is>
      </c>
      <c r="E167" t="n">
        <v>2026</v>
      </c>
      <c r="F167" t="n">
        <v>1</v>
      </c>
      <c r="G167" t="inlineStr">
        <is>
          <t>CITRICOS</t>
        </is>
      </c>
      <c r="H167" t="inlineStr">
        <is>
          <t>NAVELINA</t>
        </is>
      </c>
      <c r="I167" t="n">
        <v>263</v>
      </c>
      <c r="J167" t="n">
        <v>12860</v>
      </c>
      <c r="K167" t="n">
        <v>8337</v>
      </c>
      <c r="L167" t="n">
        <v>8337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1445</v>
      </c>
      <c r="B168" t="inlineStr">
        <is>
          <t>REAL GARCIA,MIGUEL</t>
        </is>
      </c>
      <c r="E168" t="n">
        <v>2026</v>
      </c>
      <c r="F168" t="n">
        <v>1</v>
      </c>
      <c r="G168" t="inlineStr">
        <is>
          <t>CITRICOS</t>
        </is>
      </c>
      <c r="H168" t="inlineStr">
        <is>
          <t>NAVELINA</t>
        </is>
      </c>
      <c r="I168" t="n">
        <v>263</v>
      </c>
      <c r="J168" t="n">
        <v>5525</v>
      </c>
      <c r="K168" t="n">
        <v>3171</v>
      </c>
      <c r="L168" t="n">
        <v>3171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1445</v>
      </c>
      <c r="B169" t="inlineStr">
        <is>
          <t>REAL GARCIA,MIGUEL</t>
        </is>
      </c>
      <c r="E169" t="n">
        <v>2026</v>
      </c>
      <c r="F169" t="n">
        <v>1</v>
      </c>
      <c r="G169" t="inlineStr">
        <is>
          <t>CITRICOS</t>
        </is>
      </c>
      <c r="H169" t="inlineStr">
        <is>
          <t>LANE LATE</t>
        </is>
      </c>
      <c r="I169" t="n">
        <v>192</v>
      </c>
      <c r="J169" t="n">
        <v>15100</v>
      </c>
      <c r="K169" t="n">
        <v>0</v>
      </c>
      <c r="L169" t="n">
        <v>15100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1445</v>
      </c>
      <c r="B170" t="inlineStr">
        <is>
          <t>REAL GARCIA,MIGUEL</t>
        </is>
      </c>
      <c r="E170" t="n">
        <v>2026</v>
      </c>
      <c r="F170" t="n">
        <v>1</v>
      </c>
      <c r="G170" t="inlineStr">
        <is>
          <t>CITRICOS</t>
        </is>
      </c>
      <c r="H170" t="inlineStr">
        <is>
          <t>LANE LATE</t>
        </is>
      </c>
      <c r="I170" t="n">
        <v>192</v>
      </c>
      <c r="J170" t="n">
        <v>10560</v>
      </c>
      <c r="K170" t="n">
        <v>1813</v>
      </c>
      <c r="L170" t="n">
        <v>1813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1445</v>
      </c>
      <c r="B171" t="inlineStr">
        <is>
          <t>REAL GARCIA,MIGUEL</t>
        </is>
      </c>
      <c r="E171" t="n">
        <v>2026</v>
      </c>
      <c r="F171" t="n">
        <v>1</v>
      </c>
      <c r="G171" t="inlineStr">
        <is>
          <t>CITRICOS</t>
        </is>
      </c>
      <c r="H171" t="inlineStr">
        <is>
          <t>LANE LATE</t>
        </is>
      </c>
      <c r="I171" t="n">
        <v>192</v>
      </c>
      <c r="J171" t="n">
        <v>7855</v>
      </c>
      <c r="K171" t="n">
        <v>4401</v>
      </c>
      <c r="L171" t="n">
        <v>4401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1445</v>
      </c>
      <c r="B172" t="inlineStr">
        <is>
          <t>REAL GARCIA,MIGUEL</t>
        </is>
      </c>
      <c r="E172" t="n">
        <v>2026</v>
      </c>
      <c r="F172" t="n">
        <v>1</v>
      </c>
      <c r="G172" t="inlineStr">
        <is>
          <t>CITRICOS</t>
        </is>
      </c>
      <c r="H172" t="inlineStr">
        <is>
          <t>LANE LATE</t>
        </is>
      </c>
      <c r="I172" t="n">
        <v>192</v>
      </c>
      <c r="J172" t="n">
        <v>9965</v>
      </c>
      <c r="K172" t="n">
        <v>7977</v>
      </c>
      <c r="L172" t="n">
        <v>7977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1445</v>
      </c>
      <c r="B173" t="inlineStr">
        <is>
          <t>REAL GARCIA,MIGUEL</t>
        </is>
      </c>
      <c r="E173" t="n">
        <v>2026</v>
      </c>
      <c r="F173" t="n">
        <v>1</v>
      </c>
      <c r="G173" t="inlineStr">
        <is>
          <t>INDUSTRIA</t>
        </is>
      </c>
      <c r="H173" t="inlineStr">
        <is>
          <t>NAVELINA</t>
        </is>
      </c>
      <c r="I173" t="n">
        <v>263</v>
      </c>
      <c r="J173" t="n">
        <v>12420</v>
      </c>
      <c r="K173" t="n">
        <v>3185</v>
      </c>
      <c r="L173" t="n">
        <v>3185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1445</v>
      </c>
      <c r="B174" t="inlineStr">
        <is>
          <t>REAL GARCIA,MIGUEL</t>
        </is>
      </c>
      <c r="E174" t="n">
        <v>2026</v>
      </c>
      <c r="F174" t="n">
        <v>1</v>
      </c>
      <c r="G174" t="inlineStr">
        <is>
          <t>INDUSTRIA</t>
        </is>
      </c>
      <c r="H174" t="inlineStr">
        <is>
          <t>NAVELINA</t>
        </is>
      </c>
      <c r="I174" t="n">
        <v>263</v>
      </c>
      <c r="J174" t="n">
        <v>1070</v>
      </c>
      <c r="K174" t="n">
        <v>696</v>
      </c>
      <c r="L174" t="n">
        <v>696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1445</v>
      </c>
      <c r="B175" t="inlineStr">
        <is>
          <t>REAL GARCIA,MIGUEL</t>
        </is>
      </c>
      <c r="E175" t="n">
        <v>2026</v>
      </c>
      <c r="F175" t="n">
        <v>1</v>
      </c>
      <c r="G175" t="inlineStr">
        <is>
          <t>INDUSTRIA</t>
        </is>
      </c>
      <c r="H175" t="inlineStr">
        <is>
          <t>NAVELINA</t>
        </is>
      </c>
      <c r="I175" t="n">
        <v>263</v>
      </c>
      <c r="J175" t="n">
        <v>13280</v>
      </c>
      <c r="K175" t="n">
        <v>4103</v>
      </c>
      <c r="L175" t="n">
        <v>4103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1445</v>
      </c>
      <c r="B176" t="inlineStr">
        <is>
          <t>REAL GARCIA,MIGUEL</t>
        </is>
      </c>
      <c r="E176" t="n">
        <v>2026</v>
      </c>
      <c r="F176" t="n">
        <v>1</v>
      </c>
      <c r="G176" t="inlineStr">
        <is>
          <t>INDUSTRIA</t>
        </is>
      </c>
      <c r="H176" t="inlineStr">
        <is>
          <t>NAVELINA</t>
        </is>
      </c>
      <c r="I176" t="n">
        <v>263</v>
      </c>
      <c r="J176" t="n">
        <v>5665</v>
      </c>
      <c r="K176" t="n">
        <v>1514</v>
      </c>
      <c r="L176" t="n">
        <v>1514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1445</v>
      </c>
      <c r="B177" t="inlineStr">
        <is>
          <t>REAL GARCIA,MIGUEL</t>
        </is>
      </c>
      <c r="E177" t="n">
        <v>2026</v>
      </c>
      <c r="F177" t="n">
        <v>1</v>
      </c>
      <c r="G177" t="inlineStr">
        <is>
          <t>INDUSTRIA</t>
        </is>
      </c>
      <c r="H177" t="inlineStr">
        <is>
          <t>SALUSTIANA</t>
        </is>
      </c>
      <c r="I177" t="n">
        <v>193</v>
      </c>
      <c r="J177" t="n">
        <v>31940</v>
      </c>
      <c r="K177" t="n">
        <v>0</v>
      </c>
      <c r="L177" t="n">
        <v>31940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1445</v>
      </c>
      <c r="B178" t="inlineStr">
        <is>
          <t>REAL GARCIA,MIGUEL</t>
        </is>
      </c>
      <c r="E178" t="n">
        <v>2026</v>
      </c>
      <c r="F178" t="n">
        <v>1</v>
      </c>
      <c r="G178" t="inlineStr">
        <is>
          <t>INDUSTRIA</t>
        </is>
      </c>
      <c r="H178" t="inlineStr">
        <is>
          <t>SALUSTIANA</t>
        </is>
      </c>
      <c r="I178" t="n">
        <v>193</v>
      </c>
      <c r="J178" t="n">
        <v>26040</v>
      </c>
      <c r="K178" t="n">
        <v>0</v>
      </c>
      <c r="L178" t="n">
        <v>26040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1445</v>
      </c>
      <c r="B179" t="inlineStr">
        <is>
          <t>REAL GARCIA,MIGUEL</t>
        </is>
      </c>
      <c r="E179" t="n">
        <v>2026</v>
      </c>
      <c r="F179" t="n">
        <v>1</v>
      </c>
      <c r="G179" t="inlineStr">
        <is>
          <t>INDUSTRIA</t>
        </is>
      </c>
      <c r="H179" t="inlineStr">
        <is>
          <t>SALUSTIANA</t>
        </is>
      </c>
      <c r="I179" t="n">
        <v>193</v>
      </c>
      <c r="J179" t="n">
        <v>27700</v>
      </c>
      <c r="K179" t="n">
        <v>0</v>
      </c>
      <c r="L179" t="n">
        <v>27700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1445</v>
      </c>
      <c r="B180" t="inlineStr">
        <is>
          <t>REAL GARCIA,MIGUEL</t>
        </is>
      </c>
      <c r="E180" t="n">
        <v>2026</v>
      </c>
      <c r="F180" t="n">
        <v>1</v>
      </c>
      <c r="G180" t="inlineStr">
        <is>
          <t>INDUSTRIA</t>
        </is>
      </c>
      <c r="H180" t="inlineStr">
        <is>
          <t>SALUSTIANA</t>
        </is>
      </c>
      <c r="I180" t="n">
        <v>193</v>
      </c>
      <c r="J180" t="n">
        <v>23380</v>
      </c>
      <c r="K180" t="n">
        <v>0</v>
      </c>
      <c r="L180" t="n">
        <v>23380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  <row r="181">
      <c r="A181" t="n">
        <v>1445</v>
      </c>
      <c r="B181" t="inlineStr">
        <is>
          <t>REAL GARCIA,MIGUEL</t>
        </is>
      </c>
      <c r="E181" t="n">
        <v>2026</v>
      </c>
      <c r="F181" t="n">
        <v>1</v>
      </c>
      <c r="G181" t="inlineStr">
        <is>
          <t>INDUSTRIA</t>
        </is>
      </c>
      <c r="H181" t="inlineStr">
        <is>
          <t>LANE LATE</t>
        </is>
      </c>
      <c r="I181" t="n">
        <v>192</v>
      </c>
      <c r="J181" t="n">
        <v>7925</v>
      </c>
      <c r="K181" t="n">
        <v>2369</v>
      </c>
      <c r="L181" t="n">
        <v>2369</v>
      </c>
      <c r="M181" t="inlineStr">
        <is>
          <t>Sí</t>
        </is>
      </c>
      <c r="N181" t="inlineStr"/>
      <c r="O181" t="inlineStr">
        <is>
          <t>Informativa</t>
        </is>
      </c>
      <c r="P181" t="inlineStr">
        <is>
          <t>No interviene en el prorrateo</t>
        </is>
      </c>
    </row>
    <row r="182">
      <c r="A182" t="n">
        <v>1500</v>
      </c>
      <c r="B182" t="inlineStr">
        <is>
          <t>JIMENEZ MALDONADO, PEDRO</t>
        </is>
      </c>
      <c r="E182" t="n">
        <v>2026</v>
      </c>
      <c r="F182" t="n">
        <v>1</v>
      </c>
      <c r="G182" t="inlineStr">
        <is>
          <t>CITRICOS</t>
        </is>
      </c>
      <c r="H182" t="inlineStr">
        <is>
          <t>CHISLETT SUMER</t>
        </is>
      </c>
      <c r="I182" t="n">
        <v>674</v>
      </c>
      <c r="J182" t="n">
        <v>14740</v>
      </c>
      <c r="K182" t="n">
        <v>0</v>
      </c>
      <c r="L182" t="n">
        <v>14740</v>
      </c>
      <c r="M182" t="inlineStr">
        <is>
          <t>Sí</t>
        </is>
      </c>
      <c r="N182" t="inlineStr"/>
      <c r="O182" t="inlineStr">
        <is>
          <t>Informativa</t>
        </is>
      </c>
      <c r="P182" t="inlineStr">
        <is>
          <t>No interviene en el prorrateo</t>
        </is>
      </c>
    </row>
    <row r="183">
      <c r="A183" t="n">
        <v>1500</v>
      </c>
      <c r="B183" t="inlineStr">
        <is>
          <t>JIMENEZ MALDONADO, PEDRO</t>
        </is>
      </c>
      <c r="E183" t="n">
        <v>2026</v>
      </c>
      <c r="F183" t="n">
        <v>1</v>
      </c>
      <c r="G183" t="inlineStr">
        <is>
          <t>CITRICOS</t>
        </is>
      </c>
      <c r="H183" t="inlineStr">
        <is>
          <t>CHISLETT SUMER</t>
        </is>
      </c>
      <c r="I183" t="n">
        <v>674</v>
      </c>
      <c r="J183" t="n">
        <v>14490</v>
      </c>
      <c r="K183" t="n">
        <v>13710</v>
      </c>
      <c r="L183" t="n">
        <v>13710</v>
      </c>
      <c r="M183" t="inlineStr">
        <is>
          <t>Sí</t>
        </is>
      </c>
      <c r="N183" t="inlineStr"/>
      <c r="O183" t="inlineStr">
        <is>
          <t>Informativa</t>
        </is>
      </c>
      <c r="P183" t="inlineStr">
        <is>
          <t>No interviene en el prorrateo</t>
        </is>
      </c>
    </row>
    <row r="184">
      <c r="A184" t="n">
        <v>1500</v>
      </c>
      <c r="B184" t="inlineStr">
        <is>
          <t>JIMENEZ MALDONADO, PEDRO</t>
        </is>
      </c>
      <c r="E184" t="n">
        <v>2026</v>
      </c>
      <c r="F184" t="n">
        <v>1</v>
      </c>
      <c r="G184" t="inlineStr">
        <is>
          <t>CITRICOS</t>
        </is>
      </c>
      <c r="H184" t="inlineStr">
        <is>
          <t>CHISLETT SUMER</t>
        </is>
      </c>
      <c r="I184" t="n">
        <v>674</v>
      </c>
      <c r="J184" t="n">
        <v>14020</v>
      </c>
      <c r="K184" t="n">
        <v>0</v>
      </c>
      <c r="L184" t="n">
        <v>14020</v>
      </c>
      <c r="M184" t="inlineStr">
        <is>
          <t>Sí</t>
        </is>
      </c>
      <c r="N184" t="inlineStr"/>
      <c r="O184" t="inlineStr">
        <is>
          <t>Informativa</t>
        </is>
      </c>
      <c r="P184" t="inlineStr">
        <is>
          <t>No interviene en el prorrateo</t>
        </is>
      </c>
    </row>
    <row r="185">
      <c r="A185" t="n">
        <v>1500</v>
      </c>
      <c r="B185" t="inlineStr">
        <is>
          <t>JIMENEZ MALDONADO, PEDRO</t>
        </is>
      </c>
      <c r="E185" t="n">
        <v>2026</v>
      </c>
      <c r="F185" t="n">
        <v>1</v>
      </c>
      <c r="G185" t="inlineStr">
        <is>
          <t>CITRICOS</t>
        </is>
      </c>
      <c r="H185" t="inlineStr">
        <is>
          <t>CHISLETT SUMER</t>
        </is>
      </c>
      <c r="I185" t="n">
        <v>674</v>
      </c>
      <c r="J185" t="n">
        <v>8110</v>
      </c>
      <c r="K185" t="n">
        <v>0</v>
      </c>
      <c r="L185" t="n">
        <v>8110</v>
      </c>
      <c r="M185" t="inlineStr">
        <is>
          <t>Sí</t>
        </is>
      </c>
      <c r="N185" t="inlineStr"/>
      <c r="O185" t="inlineStr">
        <is>
          <t>Informativa</t>
        </is>
      </c>
      <c r="P185" t="inlineStr">
        <is>
          <t>No interviene en el prorrateo</t>
        </is>
      </c>
    </row>
    <row r="186">
      <c r="A186" t="n">
        <v>1500</v>
      </c>
      <c r="B186" t="inlineStr">
        <is>
          <t>JIMENEZ MALDONADO, PEDRO</t>
        </is>
      </c>
      <c r="E186" t="n">
        <v>2026</v>
      </c>
      <c r="F186" t="n">
        <v>1</v>
      </c>
      <c r="G186" t="inlineStr">
        <is>
          <t>CITRICOS</t>
        </is>
      </c>
      <c r="H186" t="inlineStr">
        <is>
          <t>CHISLETT SUMER</t>
        </is>
      </c>
      <c r="I186" t="n">
        <v>674</v>
      </c>
      <c r="J186" t="n">
        <v>10280</v>
      </c>
      <c r="K186" t="n">
        <v>9257</v>
      </c>
      <c r="L186" t="n">
        <v>9257</v>
      </c>
      <c r="M186" t="inlineStr">
        <is>
          <t>Sí</t>
        </is>
      </c>
      <c r="N186" t="inlineStr"/>
      <c r="O186" t="inlineStr">
        <is>
          <t>Informativa</t>
        </is>
      </c>
      <c r="P186" t="inlineStr">
        <is>
          <t>No interviene en el prorrateo</t>
        </is>
      </c>
    </row>
    <row r="187">
      <c r="A187" t="n">
        <v>1500</v>
      </c>
      <c r="B187" t="inlineStr">
        <is>
          <t>JIMENEZ MALDONADO, PEDRO</t>
        </is>
      </c>
      <c r="E187" t="n">
        <v>2026</v>
      </c>
      <c r="F187" t="n">
        <v>1</v>
      </c>
      <c r="G187" t="inlineStr">
        <is>
          <t>DIRECTO</t>
        </is>
      </c>
      <c r="H187" t="inlineStr">
        <is>
          <t>SALUSTIANA</t>
        </is>
      </c>
      <c r="I187" t="n">
        <v>198</v>
      </c>
      <c r="J187" t="n">
        <v>21540</v>
      </c>
      <c r="K187" t="n">
        <v>0</v>
      </c>
      <c r="L187" t="n">
        <v>21540</v>
      </c>
      <c r="M187" t="inlineStr">
        <is>
          <t>Sí</t>
        </is>
      </c>
      <c r="N187" t="inlineStr"/>
      <c r="O187" t="inlineStr">
        <is>
          <t>Informativa</t>
        </is>
      </c>
      <c r="P187" t="inlineStr">
        <is>
          <t>No interviene en el prorrateo</t>
        </is>
      </c>
    </row>
    <row r="188">
      <c r="A188" t="n">
        <v>1500</v>
      </c>
      <c r="B188" t="inlineStr">
        <is>
          <t>JIMENEZ MALDONADO, PEDRO</t>
        </is>
      </c>
      <c r="E188" t="n">
        <v>2026</v>
      </c>
      <c r="F188" t="n">
        <v>1</v>
      </c>
      <c r="G188" t="inlineStr">
        <is>
          <t>DIRECTO</t>
        </is>
      </c>
      <c r="H188" t="inlineStr">
        <is>
          <t>SALUSTIANA</t>
        </is>
      </c>
      <c r="I188" t="n">
        <v>198</v>
      </c>
      <c r="J188" t="n">
        <v>12440</v>
      </c>
      <c r="K188" t="n">
        <v>0</v>
      </c>
      <c r="L188" t="n">
        <v>12440</v>
      </c>
      <c r="M188" t="inlineStr">
        <is>
          <t>Sí</t>
        </is>
      </c>
      <c r="N188" t="inlineStr"/>
      <c r="O188" t="inlineStr">
        <is>
          <t>Informativa</t>
        </is>
      </c>
      <c r="P188" t="inlineStr">
        <is>
          <t>No interviene en el prorrateo</t>
        </is>
      </c>
    </row>
    <row r="189">
      <c r="A189" t="n">
        <v>1500</v>
      </c>
      <c r="B189" t="inlineStr">
        <is>
          <t>JIMENEZ MALDONADO, PEDRO</t>
        </is>
      </c>
      <c r="E189" t="n">
        <v>2026</v>
      </c>
      <c r="F189" t="n">
        <v>1</v>
      </c>
      <c r="G189" t="inlineStr">
        <is>
          <t>DIRECTO</t>
        </is>
      </c>
      <c r="H189" t="inlineStr">
        <is>
          <t>SALUSTIANA</t>
        </is>
      </c>
      <c r="I189" t="n">
        <v>198</v>
      </c>
      <c r="J189" t="n">
        <v>21280</v>
      </c>
      <c r="K189" t="n">
        <v>0</v>
      </c>
      <c r="L189" t="n">
        <v>21280</v>
      </c>
      <c r="M189" t="inlineStr">
        <is>
          <t>Sí</t>
        </is>
      </c>
      <c r="N189" t="inlineStr"/>
      <c r="O189" t="inlineStr">
        <is>
          <t>Informativa</t>
        </is>
      </c>
      <c r="P189" t="inlineStr">
        <is>
          <t>No interviene en el prorrateo</t>
        </is>
      </c>
    </row>
    <row r="190">
      <c r="A190" t="n">
        <v>1500</v>
      </c>
      <c r="B190" t="inlineStr">
        <is>
          <t>JIMENEZ MALDONADO, PEDRO</t>
        </is>
      </c>
      <c r="E190" t="n">
        <v>2026</v>
      </c>
      <c r="F190" t="n">
        <v>1</v>
      </c>
      <c r="G190" t="inlineStr">
        <is>
          <t>DIRECTO</t>
        </is>
      </c>
      <c r="H190" t="inlineStr">
        <is>
          <t>SALUSTIANA</t>
        </is>
      </c>
      <c r="I190" t="n">
        <v>198</v>
      </c>
      <c r="J190" t="n">
        <v>21440</v>
      </c>
      <c r="K190" t="n">
        <v>0</v>
      </c>
      <c r="L190" t="n">
        <v>21440</v>
      </c>
      <c r="M190" t="inlineStr">
        <is>
          <t>Sí</t>
        </is>
      </c>
      <c r="N190" t="inlineStr"/>
      <c r="O190" t="inlineStr">
        <is>
          <t>Informativa</t>
        </is>
      </c>
      <c r="P190" t="inlineStr">
        <is>
          <t>No interviene en el prorrateo</t>
        </is>
      </c>
    </row>
    <row r="191">
      <c r="A191" t="n">
        <v>1500</v>
      </c>
      <c r="B191" t="inlineStr">
        <is>
          <t>JIMENEZ MALDONADO, PEDRO</t>
        </is>
      </c>
      <c r="E191" t="n">
        <v>2026</v>
      </c>
      <c r="F191" t="n">
        <v>1</v>
      </c>
      <c r="G191" t="inlineStr">
        <is>
          <t>DIRECTO</t>
        </is>
      </c>
      <c r="H191" t="inlineStr">
        <is>
          <t>SALUSTIANA</t>
        </is>
      </c>
      <c r="I191" t="n">
        <v>198</v>
      </c>
      <c r="J191" t="n">
        <v>21620</v>
      </c>
      <c r="K191" t="n">
        <v>0</v>
      </c>
      <c r="L191" t="n">
        <v>21620</v>
      </c>
      <c r="M191" t="inlineStr">
        <is>
          <t>Sí</t>
        </is>
      </c>
      <c r="N191" t="inlineStr"/>
      <c r="O191" t="inlineStr">
        <is>
          <t>Informativa</t>
        </is>
      </c>
      <c r="P191" t="inlineStr">
        <is>
          <t>No interviene en el prorrateo</t>
        </is>
      </c>
    </row>
    <row r="192">
      <c r="A192" t="n">
        <v>1500</v>
      </c>
      <c r="B192" t="inlineStr">
        <is>
          <t>JIMENEZ MALDONADO, PEDRO</t>
        </is>
      </c>
      <c r="E192" t="n">
        <v>2026</v>
      </c>
      <c r="F192" t="n">
        <v>1</v>
      </c>
      <c r="G192" t="inlineStr">
        <is>
          <t>DIRECTO</t>
        </is>
      </c>
      <c r="H192" t="inlineStr">
        <is>
          <t>SALUSTIANA</t>
        </is>
      </c>
      <c r="I192" t="n">
        <v>198</v>
      </c>
      <c r="J192" t="n">
        <v>11540</v>
      </c>
      <c r="K192" t="n">
        <v>0</v>
      </c>
      <c r="L192" t="n">
        <v>11540</v>
      </c>
      <c r="M192" t="inlineStr">
        <is>
          <t>Sí</t>
        </is>
      </c>
      <c r="N192" t="inlineStr"/>
      <c r="O192" t="inlineStr">
        <is>
          <t>Informativa</t>
        </is>
      </c>
      <c r="P192" t="inlineStr">
        <is>
          <t>No interviene en el prorrateo</t>
        </is>
      </c>
    </row>
    <row r="193">
      <c r="A193" t="n">
        <v>1500</v>
      </c>
      <c r="B193" t="inlineStr">
        <is>
          <t>JIMENEZ MALDONADO, PEDRO</t>
        </is>
      </c>
      <c r="E193" t="n">
        <v>2026</v>
      </c>
      <c r="F193" t="n">
        <v>1</v>
      </c>
      <c r="G193" t="inlineStr">
        <is>
          <t>DIRECTO</t>
        </is>
      </c>
      <c r="H193" t="inlineStr">
        <is>
          <t>CHISLETT SUMER</t>
        </is>
      </c>
      <c r="I193" t="n">
        <v>674</v>
      </c>
      <c r="J193" t="n">
        <v>22160</v>
      </c>
      <c r="K193" t="n">
        <v>2769</v>
      </c>
      <c r="L193" t="n">
        <v>2769</v>
      </c>
      <c r="M193" t="inlineStr">
        <is>
          <t>Sí</t>
        </is>
      </c>
      <c r="N193" t="inlineStr"/>
      <c r="O193" t="inlineStr">
        <is>
          <t>Informativa</t>
        </is>
      </c>
      <c r="P193" t="inlineStr">
        <is>
          <t>No interviene en el prorrateo</t>
        </is>
      </c>
    </row>
    <row r="194">
      <c r="A194" t="n">
        <v>1500</v>
      </c>
      <c r="B194" t="inlineStr">
        <is>
          <t>JIMENEZ MALDONADO, PEDRO</t>
        </is>
      </c>
      <c r="E194" t="n">
        <v>2026</v>
      </c>
      <c r="F194" t="n">
        <v>1</v>
      </c>
      <c r="G194" t="inlineStr">
        <is>
          <t>INDUSTRIA</t>
        </is>
      </c>
      <c r="H194" t="inlineStr">
        <is>
          <t>CHISLETT SUMER</t>
        </is>
      </c>
      <c r="I194" t="n">
        <v>674</v>
      </c>
      <c r="J194" t="n">
        <v>14350</v>
      </c>
      <c r="K194" t="n">
        <v>710</v>
      </c>
      <c r="L194" t="n">
        <v>710</v>
      </c>
      <c r="M194" t="inlineStr">
        <is>
          <t>Sí</t>
        </is>
      </c>
      <c r="N194" t="inlineStr"/>
      <c r="O194" t="inlineStr">
        <is>
          <t>Informativa</t>
        </is>
      </c>
      <c r="P194" t="inlineStr">
        <is>
          <t>No interviene en el prorrateo</t>
        </is>
      </c>
    </row>
    <row r="195">
      <c r="A195" t="n">
        <v>1500</v>
      </c>
      <c r="B195" t="inlineStr">
        <is>
          <t>JIMENEZ MALDONADO, PEDRO</t>
        </is>
      </c>
      <c r="E195" t="n">
        <v>2026</v>
      </c>
      <c r="F195" t="n">
        <v>1</v>
      </c>
      <c r="G195" t="inlineStr">
        <is>
          <t>INDUSTRIA</t>
        </is>
      </c>
      <c r="H195" t="inlineStr">
        <is>
          <t>CHISLETT SUMER</t>
        </is>
      </c>
      <c r="I195" t="n">
        <v>674</v>
      </c>
      <c r="J195" t="n">
        <v>11190</v>
      </c>
      <c r="K195" t="n">
        <v>533</v>
      </c>
      <c r="L195" t="n">
        <v>533</v>
      </c>
      <c r="M195" t="inlineStr">
        <is>
          <t>Sí</t>
        </is>
      </c>
      <c r="N195" t="inlineStr"/>
      <c r="O195" t="inlineStr">
        <is>
          <t>Informativa</t>
        </is>
      </c>
      <c r="P195" t="inlineStr">
        <is>
          <t>No interviene en el prorrateo</t>
        </is>
      </c>
    </row>
    <row r="196">
      <c r="A196" t="n">
        <v>1507</v>
      </c>
      <c r="B196" t="inlineStr">
        <is>
          <t>ZAMBRANO HINOJOSA, Mª ÁNGELES</t>
        </is>
      </c>
      <c r="E196" t="n">
        <v>2026</v>
      </c>
      <c r="F196" t="n">
        <v>1</v>
      </c>
      <c r="G196" t="inlineStr">
        <is>
          <t>INDUSTRIA</t>
        </is>
      </c>
      <c r="H196" t="inlineStr">
        <is>
          <t>LANE LATE</t>
        </is>
      </c>
      <c r="I196" t="n">
        <v>589</v>
      </c>
      <c r="J196" t="n">
        <v>235</v>
      </c>
      <c r="K196" t="n">
        <v>0</v>
      </c>
      <c r="L196" t="n">
        <v>235</v>
      </c>
      <c r="M196" t="inlineStr">
        <is>
          <t>Sí</t>
        </is>
      </c>
      <c r="N196" t="inlineStr"/>
      <c r="O196" t="inlineStr">
        <is>
          <t>Informativa</t>
        </is>
      </c>
      <c r="P196" t="inlineStr">
        <is>
          <t>No interviene en el prorrateo</t>
        </is>
      </c>
    </row>
    <row r="197">
      <c r="A197" t="n">
        <v>1507</v>
      </c>
      <c r="B197" t="inlineStr">
        <is>
          <t>ZAMBRANO HINOJOSA, Mª ÁNGELES</t>
        </is>
      </c>
      <c r="E197" t="n">
        <v>2026</v>
      </c>
      <c r="F197" t="n">
        <v>1</v>
      </c>
      <c r="G197" t="inlineStr">
        <is>
          <t>INDUSTRIA</t>
        </is>
      </c>
      <c r="H197" t="inlineStr">
        <is>
          <t>LANE LATE</t>
        </is>
      </c>
      <c r="I197" t="n">
        <v>589</v>
      </c>
      <c r="J197" t="n">
        <v>225</v>
      </c>
      <c r="K197" t="n">
        <v>0</v>
      </c>
      <c r="L197" t="n">
        <v>225</v>
      </c>
      <c r="M197" t="inlineStr">
        <is>
          <t>Sí</t>
        </is>
      </c>
      <c r="N197" t="inlineStr"/>
      <c r="O197" t="inlineStr">
        <is>
          <t>Informativa</t>
        </is>
      </c>
      <c r="P197" t="inlineStr">
        <is>
          <t>No interviene en el prorrateo</t>
        </is>
      </c>
    </row>
    <row r="198">
      <c r="A198" t="n">
        <v>1507</v>
      </c>
      <c r="B198" t="inlineStr">
        <is>
          <t>ZAMBRANO HINOJOSA, Mª ÁNGELES</t>
        </is>
      </c>
      <c r="E198" t="n">
        <v>2026</v>
      </c>
      <c r="F198" t="n">
        <v>1</v>
      </c>
      <c r="G198" t="inlineStr">
        <is>
          <t>INDUSTRIA</t>
        </is>
      </c>
      <c r="H198" t="inlineStr">
        <is>
          <t>LANE LATE</t>
        </is>
      </c>
      <c r="I198" t="n">
        <v>589</v>
      </c>
      <c r="J198" t="n">
        <v>230</v>
      </c>
      <c r="K198" t="n">
        <v>0</v>
      </c>
      <c r="L198" t="n">
        <v>230</v>
      </c>
      <c r="M198" t="inlineStr">
        <is>
          <t>Sí</t>
        </is>
      </c>
      <c r="N198" t="inlineStr"/>
      <c r="O198" t="inlineStr">
        <is>
          <t>Informativa</t>
        </is>
      </c>
      <c r="P198" t="inlineStr">
        <is>
          <t>No interviene en el prorrateo</t>
        </is>
      </c>
    </row>
    <row r="199">
      <c r="A199" t="n">
        <v>1507</v>
      </c>
      <c r="B199" t="inlineStr">
        <is>
          <t>ZAMBRANO HINOJOSA, Mª ÁNGELES</t>
        </is>
      </c>
      <c r="E199" t="n">
        <v>2026</v>
      </c>
      <c r="F199" t="n">
        <v>1</v>
      </c>
      <c r="G199" t="inlineStr">
        <is>
          <t>INDUSTRIA</t>
        </is>
      </c>
      <c r="H199" t="inlineStr">
        <is>
          <t>LANE LATE</t>
        </is>
      </c>
      <c r="I199" t="n">
        <v>589</v>
      </c>
      <c r="J199" t="n">
        <v>275</v>
      </c>
      <c r="K199" t="n">
        <v>0</v>
      </c>
      <c r="L199" t="n">
        <v>275</v>
      </c>
      <c r="M199" t="inlineStr">
        <is>
          <t>Sí</t>
        </is>
      </c>
      <c r="N199" t="inlineStr"/>
      <c r="O199" t="inlineStr">
        <is>
          <t>Informativa</t>
        </is>
      </c>
      <c r="P199" t="inlineStr">
        <is>
          <t>No interviene en el prorrateo</t>
        </is>
      </c>
    </row>
    <row r="200">
      <c r="A200" t="n">
        <v>1507</v>
      </c>
      <c r="B200" t="inlineStr">
        <is>
          <t>ZAMBRANO HINOJOSA, Mª ÁNGELES</t>
        </is>
      </c>
      <c r="E200" t="n">
        <v>2026</v>
      </c>
      <c r="F200" t="n">
        <v>1</v>
      </c>
      <c r="G200" t="inlineStr">
        <is>
          <t>INDUSTRIA</t>
        </is>
      </c>
      <c r="H200" t="inlineStr">
        <is>
          <t>LANE LATE</t>
        </is>
      </c>
      <c r="I200" t="n">
        <v>589</v>
      </c>
      <c r="J200" t="n">
        <v>4344</v>
      </c>
      <c r="K200" t="n">
        <v>0</v>
      </c>
      <c r="L200" t="n">
        <v>4344</v>
      </c>
      <c r="M200" t="inlineStr">
        <is>
          <t>Sí</t>
        </is>
      </c>
      <c r="N200" t="inlineStr"/>
      <c r="O200" t="inlineStr">
        <is>
          <t>Informativa</t>
        </is>
      </c>
      <c r="P200" t="inlineStr">
        <is>
          <t>No interviene en el prorrateo</t>
        </is>
      </c>
    </row>
    <row r="201">
      <c r="A201" t="n">
        <v>1544</v>
      </c>
      <c r="B201" t="inlineStr">
        <is>
          <t>HARO ORDOÑO, ALVARO</t>
        </is>
      </c>
      <c r="E201" t="n">
        <v>2026</v>
      </c>
      <c r="F201" t="n">
        <v>1</v>
      </c>
      <c r="G201" t="inlineStr">
        <is>
          <t>CITRICOS</t>
        </is>
      </c>
      <c r="H201" t="inlineStr">
        <is>
          <t>SALUSTIANA</t>
        </is>
      </c>
      <c r="I201" t="n">
        <v>662</v>
      </c>
      <c r="J201" t="n">
        <v>12060</v>
      </c>
      <c r="K201" t="n">
        <v>0</v>
      </c>
      <c r="L201" t="n">
        <v>12060</v>
      </c>
      <c r="M201" t="inlineStr">
        <is>
          <t>Sí</t>
        </is>
      </c>
      <c r="N201" t="inlineStr"/>
      <c r="O201" t="inlineStr">
        <is>
          <t>Informativa</t>
        </is>
      </c>
      <c r="P201" t="inlineStr">
        <is>
          <t>No interviene en el prorrateo</t>
        </is>
      </c>
    </row>
    <row r="202">
      <c r="A202" t="n">
        <v>1544</v>
      </c>
      <c r="B202" t="inlineStr">
        <is>
          <t>HARO ORDOÑO, ALVARO</t>
        </is>
      </c>
      <c r="E202" t="n">
        <v>2026</v>
      </c>
      <c r="F202" t="n">
        <v>1</v>
      </c>
      <c r="G202" t="inlineStr">
        <is>
          <t>CITRICOS</t>
        </is>
      </c>
      <c r="H202" t="inlineStr">
        <is>
          <t>SALUSTIANA</t>
        </is>
      </c>
      <c r="I202" t="n">
        <v>662</v>
      </c>
      <c r="J202" t="n">
        <v>10880</v>
      </c>
      <c r="K202" t="n">
        <v>0</v>
      </c>
      <c r="L202" t="n">
        <v>10880</v>
      </c>
      <c r="M202" t="inlineStr">
        <is>
          <t>Sí</t>
        </is>
      </c>
      <c r="N202" t="inlineStr"/>
      <c r="O202" t="inlineStr">
        <is>
          <t>Informativa</t>
        </is>
      </c>
      <c r="P202" t="inlineStr">
        <is>
          <t>No interviene en el prorrateo</t>
        </is>
      </c>
    </row>
    <row r="203">
      <c r="A203" t="n">
        <v>1544</v>
      </c>
      <c r="B203" t="inlineStr">
        <is>
          <t>HARO ORDOÑO, ALVARO</t>
        </is>
      </c>
      <c r="E203" t="n">
        <v>2026</v>
      </c>
      <c r="F203" t="n">
        <v>1</v>
      </c>
      <c r="G203" t="inlineStr">
        <is>
          <t>CITRICOS</t>
        </is>
      </c>
      <c r="H203" t="inlineStr">
        <is>
          <t>SALUSTIANA</t>
        </is>
      </c>
      <c r="I203" t="n">
        <v>662</v>
      </c>
      <c r="J203" t="n">
        <v>7100</v>
      </c>
      <c r="K203" t="n">
        <v>0</v>
      </c>
      <c r="L203" t="n">
        <v>7100</v>
      </c>
      <c r="M203" t="inlineStr">
        <is>
          <t>Sí</t>
        </is>
      </c>
      <c r="N203" t="inlineStr"/>
      <c r="O203" t="inlineStr">
        <is>
          <t>Informativa</t>
        </is>
      </c>
      <c r="P203" t="inlineStr">
        <is>
          <t>No interviene en el prorrateo</t>
        </is>
      </c>
    </row>
    <row r="204">
      <c r="A204" t="n">
        <v>1544</v>
      </c>
      <c r="B204" t="inlineStr">
        <is>
          <t>HARO ORDOÑO, ALVARO</t>
        </is>
      </c>
      <c r="E204" t="n">
        <v>2026</v>
      </c>
      <c r="F204" t="n">
        <v>1</v>
      </c>
      <c r="G204" t="inlineStr">
        <is>
          <t>DIRECTO</t>
        </is>
      </c>
      <c r="H204" t="inlineStr">
        <is>
          <t>NAVELINA</t>
        </is>
      </c>
      <c r="I204" t="n">
        <v>596</v>
      </c>
      <c r="J204" t="n">
        <v>4000</v>
      </c>
      <c r="K204" t="n">
        <v>0</v>
      </c>
      <c r="L204" t="n">
        <v>4000</v>
      </c>
      <c r="M204" t="inlineStr">
        <is>
          <t>Sí</t>
        </is>
      </c>
      <c r="N204" t="inlineStr"/>
      <c r="O204" t="inlineStr">
        <is>
          <t>Informativa</t>
        </is>
      </c>
      <c r="P204" t="inlineStr">
        <is>
          <t>No interviene en el prorrateo</t>
        </is>
      </c>
    </row>
    <row r="205">
      <c r="A205" t="n">
        <v>1544</v>
      </c>
      <c r="B205" t="inlineStr">
        <is>
          <t>HARO ORDOÑO, ALVARO</t>
        </is>
      </c>
      <c r="E205" t="n">
        <v>2026</v>
      </c>
      <c r="F205" t="n">
        <v>1</v>
      </c>
      <c r="G205" t="inlineStr">
        <is>
          <t>DIRECTO</t>
        </is>
      </c>
      <c r="H205" t="inlineStr">
        <is>
          <t>NAVELINA</t>
        </is>
      </c>
      <c r="I205" t="n">
        <v>575</v>
      </c>
      <c r="J205" t="n">
        <v>9962</v>
      </c>
      <c r="K205" t="n">
        <v>0</v>
      </c>
      <c r="L205" t="n">
        <v>9962</v>
      </c>
      <c r="M205" t="inlineStr">
        <is>
          <t>Sí</t>
        </is>
      </c>
      <c r="N205" t="inlineStr"/>
      <c r="O205" t="inlineStr">
        <is>
          <t>Informativa</t>
        </is>
      </c>
      <c r="P205" t="inlineStr">
        <is>
          <t>No interviene en el prorrateo</t>
        </is>
      </c>
    </row>
    <row r="206">
      <c r="A206" t="n">
        <v>1544</v>
      </c>
      <c r="B206" t="inlineStr">
        <is>
          <t>HARO ORDOÑO, ALVARO</t>
        </is>
      </c>
      <c r="E206" t="n">
        <v>2026</v>
      </c>
      <c r="F206" t="n">
        <v>1</v>
      </c>
      <c r="G206" t="inlineStr">
        <is>
          <t>DIRECTO</t>
        </is>
      </c>
      <c r="H206" t="inlineStr">
        <is>
          <t>LANE LATE</t>
        </is>
      </c>
      <c r="I206" t="n">
        <v>576</v>
      </c>
      <c r="J206" t="n">
        <v>21260</v>
      </c>
      <c r="K206" t="n">
        <v>0</v>
      </c>
      <c r="L206" t="n">
        <v>21260</v>
      </c>
      <c r="M206" t="inlineStr">
        <is>
          <t>Sí</t>
        </is>
      </c>
      <c r="N206" t="inlineStr"/>
      <c r="O206" t="inlineStr">
        <is>
          <t>Informativa</t>
        </is>
      </c>
      <c r="P206" t="inlineStr">
        <is>
          <t>No interviene en el prorrateo</t>
        </is>
      </c>
    </row>
    <row r="207">
      <c r="A207" t="n">
        <v>1544</v>
      </c>
      <c r="B207" t="inlineStr">
        <is>
          <t>HARO ORDOÑO, ALVARO</t>
        </is>
      </c>
      <c r="E207" t="n">
        <v>2026</v>
      </c>
      <c r="F207" t="n">
        <v>1</v>
      </c>
      <c r="G207" t="inlineStr">
        <is>
          <t>DIRECTO</t>
        </is>
      </c>
      <c r="H207" t="inlineStr">
        <is>
          <t>CHISLETT SUMER</t>
        </is>
      </c>
      <c r="I207" t="n">
        <v>578</v>
      </c>
      <c r="J207" t="n">
        <v>23900</v>
      </c>
      <c r="K207" t="n">
        <v>0</v>
      </c>
      <c r="L207" t="n">
        <v>23900</v>
      </c>
      <c r="M207" t="inlineStr">
        <is>
          <t>Sí</t>
        </is>
      </c>
      <c r="N207" t="inlineStr"/>
      <c r="O207" t="inlineStr">
        <is>
          <t>Informativa</t>
        </is>
      </c>
      <c r="P207" t="inlineStr">
        <is>
          <t>No interviene en el prorrateo</t>
        </is>
      </c>
    </row>
    <row r="208">
      <c r="A208" t="n">
        <v>1544</v>
      </c>
      <c r="B208" t="inlineStr">
        <is>
          <t>HARO ORDOÑO, ALVARO</t>
        </is>
      </c>
      <c r="E208" t="n">
        <v>2026</v>
      </c>
      <c r="F208" t="n">
        <v>1</v>
      </c>
      <c r="G208" t="inlineStr">
        <is>
          <t>DIRECTO</t>
        </is>
      </c>
      <c r="H208" t="inlineStr">
        <is>
          <t>CHISLETT SUMER</t>
        </is>
      </c>
      <c r="I208" t="n">
        <v>578</v>
      </c>
      <c r="J208" t="n">
        <v>23405</v>
      </c>
      <c r="K208" t="n">
        <v>0</v>
      </c>
      <c r="L208" t="n">
        <v>23405</v>
      </c>
      <c r="M208" t="inlineStr">
        <is>
          <t>Sí</t>
        </is>
      </c>
      <c r="N208" t="inlineStr"/>
      <c r="O208" t="inlineStr">
        <is>
          <t>Informativa</t>
        </is>
      </c>
      <c r="P208" t="inlineStr">
        <is>
          <t>No interviene en el prorrateo</t>
        </is>
      </c>
    </row>
    <row r="209">
      <c r="A209" t="n">
        <v>1544</v>
      </c>
      <c r="B209" t="inlineStr">
        <is>
          <t>HARO ORDOÑO, ALVARO</t>
        </is>
      </c>
      <c r="E209" t="n">
        <v>2026</v>
      </c>
      <c r="F209" t="n">
        <v>1</v>
      </c>
      <c r="G209" t="inlineStr">
        <is>
          <t>DIRECTO</t>
        </is>
      </c>
      <c r="H209" t="inlineStr">
        <is>
          <t>CHISLETT SUMER</t>
        </is>
      </c>
      <c r="I209" t="n">
        <v>578</v>
      </c>
      <c r="J209" t="n">
        <v>5700</v>
      </c>
      <c r="K209" t="n">
        <v>0</v>
      </c>
      <c r="L209" t="n">
        <v>5700</v>
      </c>
      <c r="M209" t="inlineStr">
        <is>
          <t>Sí</t>
        </is>
      </c>
      <c r="N209" t="inlineStr"/>
      <c r="O209" t="inlineStr">
        <is>
          <t>Informativa</t>
        </is>
      </c>
      <c r="P209" t="inlineStr">
        <is>
          <t>No interviene en el prorrateo</t>
        </is>
      </c>
    </row>
    <row r="210">
      <c r="A210" t="n">
        <v>1544</v>
      </c>
      <c r="B210" t="inlineStr">
        <is>
          <t>HARO ORDOÑO, ALVARO</t>
        </is>
      </c>
      <c r="E210" t="n">
        <v>2026</v>
      </c>
      <c r="F210" t="n">
        <v>1</v>
      </c>
      <c r="G210" t="inlineStr">
        <is>
          <t>INDUSTRIA</t>
        </is>
      </c>
      <c r="H210" t="inlineStr">
        <is>
          <t>SALUSTIANA</t>
        </is>
      </c>
      <c r="I210" t="n">
        <v>662</v>
      </c>
      <c r="J210" t="n">
        <v>720</v>
      </c>
      <c r="K210" t="n">
        <v>0</v>
      </c>
      <c r="L210" t="n">
        <v>720</v>
      </c>
      <c r="M210" t="inlineStr">
        <is>
          <t>Sí</t>
        </is>
      </c>
      <c r="N210" t="inlineStr"/>
      <c r="O210" t="inlineStr">
        <is>
          <t>Informativa</t>
        </is>
      </c>
      <c r="P210" t="inlineStr">
        <is>
          <t>No interviene en el prorrateo</t>
        </is>
      </c>
    </row>
    <row r="211">
      <c r="A211" t="n">
        <v>1544</v>
      </c>
      <c r="B211" t="inlineStr">
        <is>
          <t>HARO ORDOÑO, ALVARO</t>
        </is>
      </c>
      <c r="E211" t="n">
        <v>2026</v>
      </c>
      <c r="F211" t="n">
        <v>1</v>
      </c>
      <c r="G211" t="inlineStr">
        <is>
          <t>INDUSTRIA</t>
        </is>
      </c>
      <c r="H211" t="inlineStr">
        <is>
          <t>SALUSTIANA</t>
        </is>
      </c>
      <c r="I211" t="n">
        <v>662</v>
      </c>
      <c r="J211" t="n">
        <v>710</v>
      </c>
      <c r="K211" t="n">
        <v>0</v>
      </c>
      <c r="L211" t="n">
        <v>710</v>
      </c>
      <c r="M211" t="inlineStr">
        <is>
          <t>Sí</t>
        </is>
      </c>
      <c r="N211" t="inlineStr"/>
      <c r="O211" t="inlineStr">
        <is>
          <t>Informativa</t>
        </is>
      </c>
      <c r="P211" t="inlineStr">
        <is>
          <t>No interviene en el prorrateo</t>
        </is>
      </c>
    </row>
    <row r="212">
      <c r="A212" t="n">
        <v>1544</v>
      </c>
      <c r="B212" t="inlineStr">
        <is>
          <t>HARO ORDOÑO, ALVARO</t>
        </is>
      </c>
      <c r="E212" t="n">
        <v>2026</v>
      </c>
      <c r="F212" t="n">
        <v>1</v>
      </c>
      <c r="G212" t="inlineStr">
        <is>
          <t>INDUSTRIA</t>
        </is>
      </c>
      <c r="H212" t="inlineStr">
        <is>
          <t>SALUSTIANA</t>
        </is>
      </c>
      <c r="I212" t="n">
        <v>662</v>
      </c>
      <c r="J212" t="n">
        <v>740</v>
      </c>
      <c r="K212" t="n">
        <v>0</v>
      </c>
      <c r="L212" t="n">
        <v>740</v>
      </c>
      <c r="M212" t="inlineStr">
        <is>
          <t>Sí</t>
        </is>
      </c>
      <c r="N212" t="inlineStr"/>
      <c r="O212" t="inlineStr">
        <is>
          <t>Informativa</t>
        </is>
      </c>
      <c r="P212" t="inlineStr">
        <is>
          <t>No interviene en el prorrateo</t>
        </is>
      </c>
    </row>
    <row r="213">
      <c r="A213" t="n">
        <v>1544</v>
      </c>
      <c r="B213" t="inlineStr">
        <is>
          <t>HARO ORDOÑO, ALVARO</t>
        </is>
      </c>
      <c r="E213" t="n">
        <v>2026</v>
      </c>
      <c r="F213" t="n">
        <v>1</v>
      </c>
      <c r="G213" t="inlineStr">
        <is>
          <t>INDUSTRIA</t>
        </is>
      </c>
      <c r="H213" t="inlineStr">
        <is>
          <t>SALUSTIANA</t>
        </is>
      </c>
      <c r="I213" t="n">
        <v>662</v>
      </c>
      <c r="J213" t="n">
        <v>700</v>
      </c>
      <c r="K213" t="n">
        <v>0</v>
      </c>
      <c r="L213" t="n">
        <v>700</v>
      </c>
      <c r="M213" t="inlineStr">
        <is>
          <t>Sí</t>
        </is>
      </c>
      <c r="N213" t="inlineStr"/>
      <c r="O213" t="inlineStr">
        <is>
          <t>Informativa</t>
        </is>
      </c>
      <c r="P213" t="inlineStr">
        <is>
          <t>No interviene en el prorrateo</t>
        </is>
      </c>
    </row>
    <row r="214">
      <c r="A214" t="n">
        <v>1544</v>
      </c>
      <c r="B214" t="inlineStr">
        <is>
          <t>HARO ORDOÑO, ALVARO</t>
        </is>
      </c>
      <c r="E214" t="n">
        <v>2026</v>
      </c>
      <c r="F214" t="n">
        <v>1</v>
      </c>
      <c r="G214" t="inlineStr">
        <is>
          <t>INDUSTRIA</t>
        </is>
      </c>
      <c r="H214" t="inlineStr">
        <is>
          <t>SALUSTIANA</t>
        </is>
      </c>
      <c r="I214" t="n">
        <v>662</v>
      </c>
      <c r="J214" t="n">
        <v>780</v>
      </c>
      <c r="K214" t="n">
        <v>0</v>
      </c>
      <c r="L214" t="n">
        <v>780</v>
      </c>
      <c r="M214" t="inlineStr">
        <is>
          <t>Sí</t>
        </is>
      </c>
      <c r="N214" t="inlineStr"/>
      <c r="O214" t="inlineStr">
        <is>
          <t>Informativa</t>
        </is>
      </c>
      <c r="P214" t="inlineStr">
        <is>
          <t>No interviene en el prorrateo</t>
        </is>
      </c>
    </row>
    <row r="215">
      <c r="A215" t="n">
        <v>1544</v>
      </c>
      <c r="B215" t="inlineStr">
        <is>
          <t>HARO ORDOÑO, ALVARO</t>
        </is>
      </c>
      <c r="E215" t="n">
        <v>2026</v>
      </c>
      <c r="F215" t="n">
        <v>1</v>
      </c>
      <c r="G215" t="inlineStr">
        <is>
          <t>INDUSTRIA</t>
        </is>
      </c>
      <c r="H215" t="inlineStr">
        <is>
          <t>SALUSTIANA</t>
        </is>
      </c>
      <c r="I215" t="n">
        <v>662</v>
      </c>
      <c r="J215" t="n">
        <v>750</v>
      </c>
      <c r="K215" t="n">
        <v>0</v>
      </c>
      <c r="L215" t="n">
        <v>750</v>
      </c>
      <c r="M215" t="inlineStr">
        <is>
          <t>Sí</t>
        </is>
      </c>
      <c r="N215" t="inlineStr"/>
      <c r="O215" t="inlineStr">
        <is>
          <t>Informativa</t>
        </is>
      </c>
      <c r="P215" t="inlineStr">
        <is>
          <t>No interviene en el prorrateo</t>
        </is>
      </c>
    </row>
    <row r="216">
      <c r="A216" t="n">
        <v>1544</v>
      </c>
      <c r="B216" t="inlineStr">
        <is>
          <t>HARO ORDOÑO, ALVARO</t>
        </is>
      </c>
      <c r="E216" t="n">
        <v>2026</v>
      </c>
      <c r="F216" t="n">
        <v>1</v>
      </c>
      <c r="G216" t="inlineStr">
        <is>
          <t>INDUSTRIA</t>
        </is>
      </c>
      <c r="H216" t="inlineStr">
        <is>
          <t>SALUSTIANA</t>
        </is>
      </c>
      <c r="I216" t="n">
        <v>662</v>
      </c>
      <c r="J216" t="n">
        <v>370</v>
      </c>
      <c r="K216" t="n">
        <v>0</v>
      </c>
      <c r="L216" t="n">
        <v>370</v>
      </c>
      <c r="M216" t="inlineStr">
        <is>
          <t>Sí</t>
        </is>
      </c>
      <c r="N216" t="inlineStr"/>
      <c r="O216" t="inlineStr">
        <is>
          <t>Informativa</t>
        </is>
      </c>
      <c r="P216" t="inlineStr">
        <is>
          <t>No interviene en el prorrateo</t>
        </is>
      </c>
    </row>
    <row r="217">
      <c r="A217" t="n">
        <v>1544</v>
      </c>
      <c r="B217" t="inlineStr">
        <is>
          <t>HARO ORDOÑO, ALVARO</t>
        </is>
      </c>
      <c r="E217" t="n">
        <v>2026</v>
      </c>
      <c r="F217" t="n">
        <v>1</v>
      </c>
      <c r="G217" t="inlineStr">
        <is>
          <t>INDUSTRIA</t>
        </is>
      </c>
      <c r="H217" t="inlineStr">
        <is>
          <t>NAVELINA</t>
        </is>
      </c>
      <c r="I217" t="n">
        <v>575</v>
      </c>
      <c r="J217" t="n">
        <v>690</v>
      </c>
      <c r="K217" t="n">
        <v>0</v>
      </c>
      <c r="L217" t="n">
        <v>690</v>
      </c>
      <c r="M217" t="inlineStr">
        <is>
          <t>Sí</t>
        </is>
      </c>
      <c r="N217" t="inlineStr"/>
      <c r="O217" t="inlineStr">
        <is>
          <t>Informativa</t>
        </is>
      </c>
      <c r="P217" t="inlineStr">
        <is>
          <t>No interviene en el prorrateo</t>
        </is>
      </c>
    </row>
    <row r="218">
      <c r="A218" t="n">
        <v>1544</v>
      </c>
      <c r="B218" t="inlineStr">
        <is>
          <t>HARO ORDOÑO, ALVARO</t>
        </is>
      </c>
      <c r="E218" t="n">
        <v>2026</v>
      </c>
      <c r="F218" t="n">
        <v>1</v>
      </c>
      <c r="G218" t="inlineStr">
        <is>
          <t>INDUSTRIA</t>
        </is>
      </c>
      <c r="H218" t="inlineStr">
        <is>
          <t>LANE LATE</t>
        </is>
      </c>
      <c r="I218" t="n">
        <v>576</v>
      </c>
      <c r="J218" t="n">
        <v>700</v>
      </c>
      <c r="K218" t="n">
        <v>0</v>
      </c>
      <c r="L218" t="n">
        <v>700</v>
      </c>
      <c r="M218" t="inlineStr">
        <is>
          <t>Sí</t>
        </is>
      </c>
      <c r="N218" t="inlineStr"/>
      <c r="O218" t="inlineStr">
        <is>
          <t>Informativa</t>
        </is>
      </c>
      <c r="P218" t="inlineStr">
        <is>
          <t>No interviene en el prorrateo</t>
        </is>
      </c>
    </row>
    <row r="219">
      <c r="A219" t="n">
        <v>1544</v>
      </c>
      <c r="B219" t="inlineStr">
        <is>
          <t>HARO ORDOÑO, ALVARO</t>
        </is>
      </c>
      <c r="E219" t="n">
        <v>2026</v>
      </c>
      <c r="F219" t="n">
        <v>1</v>
      </c>
      <c r="G219" t="inlineStr">
        <is>
          <t>INDUSTRIA</t>
        </is>
      </c>
      <c r="H219" t="inlineStr">
        <is>
          <t>LANE LATE</t>
        </is>
      </c>
      <c r="I219" t="n">
        <v>576</v>
      </c>
      <c r="J219" t="n">
        <v>720</v>
      </c>
      <c r="K219" t="n">
        <v>0</v>
      </c>
      <c r="L219" t="n">
        <v>720</v>
      </c>
      <c r="M219" t="inlineStr">
        <is>
          <t>Sí</t>
        </is>
      </c>
      <c r="N219" t="inlineStr"/>
      <c r="O219" t="inlineStr">
        <is>
          <t>Informativa</t>
        </is>
      </c>
      <c r="P219" t="inlineStr">
        <is>
          <t>No interviene en el prorrateo</t>
        </is>
      </c>
    </row>
    <row r="220">
      <c r="A220" t="n">
        <v>1544</v>
      </c>
      <c r="B220" t="inlineStr">
        <is>
          <t>HARO ORDOÑO, ALVARO</t>
        </is>
      </c>
      <c r="E220" t="n">
        <v>2026</v>
      </c>
      <c r="F220" t="n">
        <v>1</v>
      </c>
      <c r="G220" t="inlineStr">
        <is>
          <t>INDUSTRIA</t>
        </is>
      </c>
      <c r="H220" t="inlineStr">
        <is>
          <t>LANE LATE</t>
        </is>
      </c>
      <c r="I220" t="n">
        <v>576</v>
      </c>
      <c r="J220" t="n">
        <v>730</v>
      </c>
      <c r="K220" t="n">
        <v>0</v>
      </c>
      <c r="L220" t="n">
        <v>730</v>
      </c>
      <c r="M220" t="inlineStr">
        <is>
          <t>Sí</t>
        </is>
      </c>
      <c r="N220" t="inlineStr"/>
      <c r="O220" t="inlineStr">
        <is>
          <t>Informativa</t>
        </is>
      </c>
      <c r="P220" t="inlineStr">
        <is>
          <t>No interviene en el prorrateo</t>
        </is>
      </c>
    </row>
    <row r="221">
      <c r="A221" t="n">
        <v>1544</v>
      </c>
      <c r="B221" t="inlineStr">
        <is>
          <t>HARO ORDOÑO, ALVARO</t>
        </is>
      </c>
      <c r="E221" t="n">
        <v>2026</v>
      </c>
      <c r="F221" t="n">
        <v>1</v>
      </c>
      <c r="G221" t="inlineStr">
        <is>
          <t>INDUSTRIA</t>
        </is>
      </c>
      <c r="H221" t="inlineStr">
        <is>
          <t>LANE LATE</t>
        </is>
      </c>
      <c r="I221" t="n">
        <v>576</v>
      </c>
      <c r="J221" t="n">
        <v>770</v>
      </c>
      <c r="K221" t="n">
        <v>0</v>
      </c>
      <c r="L221" t="n">
        <v>770</v>
      </c>
      <c r="M221" t="inlineStr">
        <is>
          <t>Sí</t>
        </is>
      </c>
      <c r="N221" t="inlineStr"/>
      <c r="O221" t="inlineStr">
        <is>
          <t>Informativa</t>
        </is>
      </c>
      <c r="P221" t="inlineStr">
        <is>
          <t>No interviene en el prorrateo</t>
        </is>
      </c>
    </row>
    <row r="222">
      <c r="A222" t="n">
        <v>1597</v>
      </c>
      <c r="B222" t="inlineStr">
        <is>
          <t>CARBALLO SIRIA, ANTONIO JOSE</t>
        </is>
      </c>
      <c r="E222" t="n">
        <v>2026</v>
      </c>
      <c r="F222" t="n">
        <v>1</v>
      </c>
      <c r="G222" t="inlineStr">
        <is>
          <t>CITRICOS</t>
        </is>
      </c>
      <c r="H222" t="inlineStr">
        <is>
          <t>SALUSTIANA</t>
        </is>
      </c>
      <c r="I222" t="n">
        <v>679</v>
      </c>
      <c r="J222" t="n">
        <v>13482</v>
      </c>
      <c r="K222" t="n">
        <v>0</v>
      </c>
      <c r="L222" t="n">
        <v>13482</v>
      </c>
      <c r="M222" t="inlineStr">
        <is>
          <t>Sí</t>
        </is>
      </c>
      <c r="N222" t="inlineStr"/>
      <c r="O222" t="inlineStr">
        <is>
          <t>Informativa</t>
        </is>
      </c>
      <c r="P222" t="inlineStr">
        <is>
          <t>No interviene en el prorrateo</t>
        </is>
      </c>
    </row>
    <row r="223">
      <c r="A223" t="n">
        <v>1597</v>
      </c>
      <c r="B223" t="inlineStr">
        <is>
          <t>CARBALLO SIRIA, ANTONIO JOSE</t>
        </is>
      </c>
      <c r="E223" t="n">
        <v>2026</v>
      </c>
      <c r="F223" t="n">
        <v>1</v>
      </c>
      <c r="G223" t="inlineStr">
        <is>
          <t>CITRICOS</t>
        </is>
      </c>
      <c r="H223" t="inlineStr">
        <is>
          <t>SALUSTIANA</t>
        </is>
      </c>
      <c r="I223" t="n">
        <v>679</v>
      </c>
      <c r="J223" t="n">
        <v>14220</v>
      </c>
      <c r="K223" t="n">
        <v>0</v>
      </c>
      <c r="L223" t="n">
        <v>14220</v>
      </c>
      <c r="M223" t="inlineStr">
        <is>
          <t>Sí</t>
        </is>
      </c>
      <c r="N223" t="inlineStr"/>
      <c r="O223" t="inlineStr">
        <is>
          <t>Informativa</t>
        </is>
      </c>
      <c r="P223" t="inlineStr">
        <is>
          <t>No interviene en el prorrateo</t>
        </is>
      </c>
    </row>
    <row r="224">
      <c r="A224" t="n">
        <v>1597</v>
      </c>
      <c r="B224" t="inlineStr">
        <is>
          <t>CARBALLO SIRIA, ANTONIO JOSE</t>
        </is>
      </c>
      <c r="E224" t="n">
        <v>2026</v>
      </c>
      <c r="F224" t="n">
        <v>1</v>
      </c>
      <c r="G224" t="inlineStr">
        <is>
          <t>CITRICOS</t>
        </is>
      </c>
      <c r="H224" t="inlineStr">
        <is>
          <t>SALUSTIANA</t>
        </is>
      </c>
      <c r="I224" t="n">
        <v>679</v>
      </c>
      <c r="J224" t="n">
        <v>13640</v>
      </c>
      <c r="K224" t="n">
        <v>7859</v>
      </c>
      <c r="L224" t="n">
        <v>7859</v>
      </c>
      <c r="M224" t="inlineStr">
        <is>
          <t>Sí</t>
        </is>
      </c>
      <c r="N224" t="inlineStr"/>
      <c r="O224" t="inlineStr">
        <is>
          <t>Informativa</t>
        </is>
      </c>
      <c r="P224" t="inlineStr">
        <is>
          <t>No interviene en el prorrateo</t>
        </is>
      </c>
    </row>
    <row r="225">
      <c r="A225" t="n">
        <v>1597</v>
      </c>
      <c r="B225" t="inlineStr">
        <is>
          <t>CARBALLO SIRIA, ANTONIO JOSE</t>
        </is>
      </c>
      <c r="E225" t="n">
        <v>2026</v>
      </c>
      <c r="F225" t="n">
        <v>1</v>
      </c>
      <c r="G225" t="inlineStr">
        <is>
          <t>CITRICOS</t>
        </is>
      </c>
      <c r="H225" t="inlineStr">
        <is>
          <t>SALUSTIANA</t>
        </is>
      </c>
      <c r="I225" t="n">
        <v>679</v>
      </c>
      <c r="J225" t="n">
        <v>5133</v>
      </c>
      <c r="K225" t="n">
        <v>0</v>
      </c>
      <c r="L225" t="n">
        <v>5133</v>
      </c>
      <c r="M225" t="inlineStr">
        <is>
          <t>Sí</t>
        </is>
      </c>
      <c r="N225" t="inlineStr"/>
      <c r="O225" t="inlineStr">
        <is>
          <t>Informativa</t>
        </is>
      </c>
      <c r="P225" t="inlineStr">
        <is>
          <t>No interviene en el prorrateo</t>
        </is>
      </c>
    </row>
    <row r="226">
      <c r="A226" t="n">
        <v>1597</v>
      </c>
      <c r="B226" t="inlineStr">
        <is>
          <t>CARBALLO SIRIA, ANTONIO JOSE</t>
        </is>
      </c>
      <c r="E226" t="n">
        <v>2026</v>
      </c>
      <c r="F226" t="n">
        <v>1</v>
      </c>
      <c r="G226" t="inlineStr">
        <is>
          <t>CITRICOS</t>
        </is>
      </c>
      <c r="H226" t="inlineStr">
        <is>
          <t>SALUSTIANA</t>
        </is>
      </c>
      <c r="I226" t="n">
        <v>679</v>
      </c>
      <c r="J226" t="n">
        <v>12466</v>
      </c>
      <c r="K226" t="n">
        <v>7042</v>
      </c>
      <c r="L226" t="n">
        <v>7042</v>
      </c>
      <c r="M226" t="inlineStr">
        <is>
          <t>Sí</t>
        </is>
      </c>
      <c r="N226" t="inlineStr"/>
      <c r="O226" t="inlineStr">
        <is>
          <t>Informativa</t>
        </is>
      </c>
      <c r="P226" t="inlineStr">
        <is>
          <t>No interviene en el prorrateo</t>
        </is>
      </c>
    </row>
    <row r="227">
      <c r="A227" t="n">
        <v>1597</v>
      </c>
      <c r="B227" t="inlineStr">
        <is>
          <t>CARBALLO SIRIA, ANTONIO JOSE</t>
        </is>
      </c>
      <c r="E227" t="n">
        <v>2026</v>
      </c>
      <c r="F227" t="n">
        <v>1</v>
      </c>
      <c r="G227" t="inlineStr">
        <is>
          <t>CITRICOS</t>
        </is>
      </c>
      <c r="H227" t="inlineStr">
        <is>
          <t>SALUSTIANA</t>
        </is>
      </c>
      <c r="I227" t="n">
        <v>679</v>
      </c>
      <c r="J227" t="n">
        <v>4899</v>
      </c>
      <c r="K227" t="n">
        <v>0</v>
      </c>
      <c r="L227" t="n">
        <v>4899</v>
      </c>
      <c r="M227" t="inlineStr">
        <is>
          <t>Sí</t>
        </is>
      </c>
      <c r="N227" t="inlineStr"/>
      <c r="O227" t="inlineStr">
        <is>
          <t>Informativa</t>
        </is>
      </c>
      <c r="P227" t="inlineStr">
        <is>
          <t>No interviene en el prorrateo</t>
        </is>
      </c>
    </row>
    <row r="228">
      <c r="A228" t="n">
        <v>1597</v>
      </c>
      <c r="B228" t="inlineStr">
        <is>
          <t>CARBALLO SIRIA, ANTONIO JOSE</t>
        </is>
      </c>
      <c r="E228" t="n">
        <v>2026</v>
      </c>
      <c r="F228" t="n">
        <v>1</v>
      </c>
      <c r="G228" t="inlineStr">
        <is>
          <t>CITRICOS</t>
        </is>
      </c>
      <c r="H228" t="inlineStr">
        <is>
          <t>SALUSTIANA</t>
        </is>
      </c>
      <c r="I228" t="n">
        <v>679</v>
      </c>
      <c r="J228" t="n">
        <v>5000</v>
      </c>
      <c r="K228" t="n">
        <v>0</v>
      </c>
      <c r="L228" t="n">
        <v>5000</v>
      </c>
      <c r="M228" t="inlineStr">
        <is>
          <t>Sí</t>
        </is>
      </c>
      <c r="N228" t="inlineStr"/>
      <c r="O228" t="inlineStr">
        <is>
          <t>Informativa</t>
        </is>
      </c>
      <c r="P228" t="inlineStr">
        <is>
          <t>No interviene en el prorrateo</t>
        </is>
      </c>
    </row>
    <row r="229">
      <c r="A229" t="n">
        <v>1597</v>
      </c>
      <c r="B229" t="inlineStr">
        <is>
          <t>CARBALLO SIRIA, ANTONIO JOSE</t>
        </is>
      </c>
      <c r="E229" t="n">
        <v>2026</v>
      </c>
      <c r="F229" t="n">
        <v>1</v>
      </c>
      <c r="G229" t="inlineStr">
        <is>
          <t>CITRICOS</t>
        </is>
      </c>
      <c r="H229" t="inlineStr">
        <is>
          <t>SALUSTIANA</t>
        </is>
      </c>
      <c r="I229" t="n">
        <v>679</v>
      </c>
      <c r="J229" t="n">
        <v>7800</v>
      </c>
      <c r="K229" t="n">
        <v>0</v>
      </c>
      <c r="L229" t="n">
        <v>7800</v>
      </c>
      <c r="M229" t="inlineStr">
        <is>
          <t>Sí</t>
        </is>
      </c>
      <c r="N229" t="inlineStr"/>
      <c r="O229" t="inlineStr">
        <is>
          <t>Informativa</t>
        </is>
      </c>
      <c r="P229" t="inlineStr">
        <is>
          <t>No interviene en el prorrateo</t>
        </is>
      </c>
    </row>
    <row r="230">
      <c r="A230" t="n">
        <v>1597</v>
      </c>
      <c r="B230" t="inlineStr">
        <is>
          <t>CARBALLO SIRIA, ANTONIO JOSE</t>
        </is>
      </c>
      <c r="E230" t="n">
        <v>2026</v>
      </c>
      <c r="F230" t="n">
        <v>1</v>
      </c>
      <c r="G230" t="inlineStr">
        <is>
          <t>CITRICOS</t>
        </is>
      </c>
      <c r="H230" t="inlineStr">
        <is>
          <t>SALUSTIANA</t>
        </is>
      </c>
      <c r="I230" t="n">
        <v>679</v>
      </c>
      <c r="J230" t="n">
        <v>6650</v>
      </c>
      <c r="K230" t="n">
        <v>0</v>
      </c>
      <c r="L230" t="n">
        <v>6650</v>
      </c>
      <c r="M230" t="inlineStr">
        <is>
          <t>Sí</t>
        </is>
      </c>
      <c r="N230" t="inlineStr"/>
      <c r="O230" t="inlineStr">
        <is>
          <t>Informativa</t>
        </is>
      </c>
      <c r="P230" t="inlineStr">
        <is>
          <t>No interviene en el prorrateo</t>
        </is>
      </c>
    </row>
    <row r="231">
      <c r="A231" t="n">
        <v>1597</v>
      </c>
      <c r="B231" t="inlineStr">
        <is>
          <t>CARBALLO SIRIA, ANTONIO JOSE</t>
        </is>
      </c>
      <c r="E231" t="n">
        <v>2026</v>
      </c>
      <c r="F231" t="n">
        <v>1</v>
      </c>
      <c r="G231" t="inlineStr">
        <is>
          <t>CITRICOS</t>
        </is>
      </c>
      <c r="H231" t="inlineStr">
        <is>
          <t>LANE LATE</t>
        </is>
      </c>
      <c r="I231" t="n">
        <v>678</v>
      </c>
      <c r="J231" t="n">
        <v>24242</v>
      </c>
      <c r="K231" t="n">
        <v>16691</v>
      </c>
      <c r="L231" t="n">
        <v>16691</v>
      </c>
      <c r="M231" t="inlineStr">
        <is>
          <t>Sí</t>
        </is>
      </c>
      <c r="N231" t="inlineStr"/>
      <c r="O231" t="inlineStr">
        <is>
          <t>Informativa</t>
        </is>
      </c>
      <c r="P231" t="inlineStr">
        <is>
          <t>No interviene en el prorrateo</t>
        </is>
      </c>
    </row>
    <row r="232">
      <c r="A232" t="n">
        <v>1597</v>
      </c>
      <c r="B232" t="inlineStr">
        <is>
          <t>CARBALLO SIRIA, ANTONIO JOSE</t>
        </is>
      </c>
      <c r="E232" t="n">
        <v>2026</v>
      </c>
      <c r="F232" t="n">
        <v>1</v>
      </c>
      <c r="G232" t="inlineStr">
        <is>
          <t>CITRICOS</t>
        </is>
      </c>
      <c r="H232" t="inlineStr">
        <is>
          <t>LANE LATE</t>
        </is>
      </c>
      <c r="I232" t="n">
        <v>678</v>
      </c>
      <c r="J232" t="n">
        <v>25484</v>
      </c>
      <c r="K232" t="n">
        <v>6315</v>
      </c>
      <c r="L232" t="n">
        <v>6315</v>
      </c>
      <c r="M232" t="inlineStr">
        <is>
          <t>Sí</t>
        </is>
      </c>
      <c r="N232" t="inlineStr"/>
      <c r="O232" t="inlineStr">
        <is>
          <t>Informativa</t>
        </is>
      </c>
      <c r="P232" t="inlineStr">
        <is>
          <t>No interviene en el prorrateo</t>
        </is>
      </c>
    </row>
    <row r="233">
      <c r="A233" t="n">
        <v>1597</v>
      </c>
      <c r="B233" t="inlineStr">
        <is>
          <t>CARBALLO SIRIA, ANTONIO JOSE</t>
        </is>
      </c>
      <c r="E233" t="n">
        <v>2026</v>
      </c>
      <c r="F233" t="n">
        <v>1</v>
      </c>
      <c r="G233" t="inlineStr">
        <is>
          <t>CITRICOS</t>
        </is>
      </c>
      <c r="H233" t="inlineStr">
        <is>
          <t>LANE LATE</t>
        </is>
      </c>
      <c r="I233" t="n">
        <v>678</v>
      </c>
      <c r="J233" t="n">
        <v>23570</v>
      </c>
      <c r="K233" t="n">
        <v>23045</v>
      </c>
      <c r="L233" t="n">
        <v>23045</v>
      </c>
      <c r="M233" t="inlineStr">
        <is>
          <t>Sí</t>
        </is>
      </c>
      <c r="N233" t="inlineStr"/>
      <c r="O233" t="inlineStr">
        <is>
          <t>Informativa</t>
        </is>
      </c>
      <c r="P233" t="inlineStr">
        <is>
          <t>No interviene en el prorrateo</t>
        </is>
      </c>
    </row>
    <row r="234">
      <c r="A234" t="n">
        <v>1597</v>
      </c>
      <c r="B234" t="inlineStr">
        <is>
          <t>CARBALLO SIRIA, ANTONIO JOSE</t>
        </is>
      </c>
      <c r="E234" t="n">
        <v>2026</v>
      </c>
      <c r="F234" t="n">
        <v>1</v>
      </c>
      <c r="G234" t="inlineStr">
        <is>
          <t>CITRICOS</t>
        </is>
      </c>
      <c r="H234" t="inlineStr">
        <is>
          <t>LANE LATE</t>
        </is>
      </c>
      <c r="I234" t="n">
        <v>678</v>
      </c>
      <c r="J234" t="n">
        <v>634</v>
      </c>
      <c r="K234" t="n">
        <v>0</v>
      </c>
      <c r="L234" t="n">
        <v>634</v>
      </c>
      <c r="M234" t="inlineStr">
        <is>
          <t>Sí</t>
        </is>
      </c>
      <c r="N234" t="inlineStr"/>
      <c r="O234" t="inlineStr">
        <is>
          <t>Informativa</t>
        </is>
      </c>
      <c r="P234" t="inlineStr">
        <is>
          <t>No interviene en el prorrateo</t>
        </is>
      </c>
    </row>
    <row r="235">
      <c r="A235" t="n">
        <v>1597</v>
      </c>
      <c r="B235" t="inlineStr">
        <is>
          <t>CARBALLO SIRIA, ANTONIO JOSE</t>
        </is>
      </c>
      <c r="E235" t="n">
        <v>2026</v>
      </c>
      <c r="F235" t="n">
        <v>1</v>
      </c>
      <c r="G235" t="inlineStr">
        <is>
          <t>INDUSTRIA</t>
        </is>
      </c>
      <c r="H235" t="inlineStr">
        <is>
          <t>LANE LATE</t>
        </is>
      </c>
      <c r="I235" t="n">
        <v>678</v>
      </c>
      <c r="J235" t="n">
        <v>426</v>
      </c>
      <c r="K235" t="n">
        <v>0</v>
      </c>
      <c r="L235" t="n">
        <v>426</v>
      </c>
      <c r="M235" t="inlineStr">
        <is>
          <t>Sí</t>
        </is>
      </c>
      <c r="N235" t="inlineStr"/>
      <c r="O235" t="inlineStr">
        <is>
          <t>Informativa</t>
        </is>
      </c>
      <c r="P235" t="inlineStr">
        <is>
          <t>No interviene en el prorrateo</t>
        </is>
      </c>
    </row>
    <row r="236">
      <c r="A236" t="n">
        <v>1597</v>
      </c>
      <c r="B236" t="inlineStr">
        <is>
          <t>CARBALLO SIRIA, ANTONIO JOSE</t>
        </is>
      </c>
      <c r="E236" t="n">
        <v>2026</v>
      </c>
      <c r="F236" t="n">
        <v>1</v>
      </c>
      <c r="G236" t="inlineStr">
        <is>
          <t>INDUSTRIA</t>
        </is>
      </c>
      <c r="H236" t="inlineStr">
        <is>
          <t>LANE LATE</t>
        </is>
      </c>
      <c r="I236" t="n">
        <v>678</v>
      </c>
      <c r="J236" t="n">
        <v>23430</v>
      </c>
      <c r="K236" t="n">
        <v>455</v>
      </c>
      <c r="L236" t="n">
        <v>455</v>
      </c>
      <c r="M236" t="inlineStr">
        <is>
          <t>Sí</t>
        </is>
      </c>
      <c r="N236" t="inlineStr"/>
      <c r="O236" t="inlineStr">
        <is>
          <t>Informativa</t>
        </is>
      </c>
      <c r="P236" t="inlineStr">
        <is>
          <t>No interviene en el prorrateo</t>
        </is>
      </c>
    </row>
    <row r="237">
      <c r="A237" t="n">
        <v>1627</v>
      </c>
      <c r="B237" t="inlineStr">
        <is>
          <t>FRUTAS ANDALUZAS DE SEVILLA S.L.</t>
        </is>
      </c>
      <c r="E237" t="n">
        <v>2026</v>
      </c>
      <c r="F237" t="n">
        <v>1</v>
      </c>
      <c r="G237" t="inlineStr">
        <is>
          <t>CITRICOS</t>
        </is>
      </c>
      <c r="H237" t="inlineStr">
        <is>
          <t>LANE LATE</t>
        </is>
      </c>
      <c r="I237" t="n">
        <v>705</v>
      </c>
      <c r="J237" t="n">
        <v>14680</v>
      </c>
      <c r="K237" t="n">
        <v>0</v>
      </c>
      <c r="L237" t="n">
        <v>14680</v>
      </c>
      <c r="M237" t="inlineStr">
        <is>
          <t>Sí</t>
        </is>
      </c>
      <c r="N237" t="inlineStr"/>
      <c r="O237" t="inlineStr">
        <is>
          <t>Informativa</t>
        </is>
      </c>
      <c r="P237" t="inlineStr">
        <is>
          <t>No interviene en el prorrateo</t>
        </is>
      </c>
    </row>
    <row r="238">
      <c r="A238" t="n">
        <v>1627</v>
      </c>
      <c r="B238" t="inlineStr">
        <is>
          <t>FRUTAS ANDALUZAS DE SEVILLA S.L.</t>
        </is>
      </c>
      <c r="E238" t="n">
        <v>2026</v>
      </c>
      <c r="F238" t="n">
        <v>1</v>
      </c>
      <c r="G238" t="inlineStr">
        <is>
          <t>CITRICOS</t>
        </is>
      </c>
      <c r="H238" t="inlineStr">
        <is>
          <t>LANE LATE</t>
        </is>
      </c>
      <c r="I238" t="n">
        <v>705</v>
      </c>
      <c r="J238" t="n">
        <v>14952</v>
      </c>
      <c r="K238" t="n">
        <v>14167</v>
      </c>
      <c r="L238" t="n">
        <v>14167</v>
      </c>
      <c r="M238" t="inlineStr">
        <is>
          <t>Sí</t>
        </is>
      </c>
      <c r="N238" t="inlineStr"/>
      <c r="O238" t="inlineStr">
        <is>
          <t>Informativa</t>
        </is>
      </c>
      <c r="P238" t="inlineStr">
        <is>
          <t>No interviene en el prorrateo</t>
        </is>
      </c>
    </row>
    <row r="239">
      <c r="A239" t="n">
        <v>1627</v>
      </c>
      <c r="B239" t="inlineStr">
        <is>
          <t>FRUTAS ANDALUZAS DE SEVILLA S.L.</t>
        </is>
      </c>
      <c r="E239" t="n">
        <v>2026</v>
      </c>
      <c r="F239" t="n">
        <v>1</v>
      </c>
      <c r="G239" t="inlineStr">
        <is>
          <t>CITRICOS</t>
        </is>
      </c>
      <c r="H239" t="inlineStr">
        <is>
          <t>LANE LATE</t>
        </is>
      </c>
      <c r="I239" t="n">
        <v>705</v>
      </c>
      <c r="J239" t="n">
        <v>13590</v>
      </c>
      <c r="K239" t="n">
        <v>8968</v>
      </c>
      <c r="L239" t="n">
        <v>8968</v>
      </c>
      <c r="M239" t="inlineStr">
        <is>
          <t>Sí</t>
        </is>
      </c>
      <c r="N239" t="inlineStr"/>
      <c r="O239" t="inlineStr">
        <is>
          <t>Informativa</t>
        </is>
      </c>
      <c r="P239" t="inlineStr">
        <is>
          <t>No interviene en el prorrateo</t>
        </is>
      </c>
    </row>
    <row r="240">
      <c r="A240" t="n">
        <v>1627</v>
      </c>
      <c r="B240" t="inlineStr">
        <is>
          <t>FRUTAS ANDALUZAS DE SEVILLA S.L.</t>
        </is>
      </c>
      <c r="E240" t="n">
        <v>2026</v>
      </c>
      <c r="F240" t="n">
        <v>1</v>
      </c>
      <c r="G240" t="inlineStr">
        <is>
          <t>CITRICOS</t>
        </is>
      </c>
      <c r="H240" t="inlineStr">
        <is>
          <t>LANE LATE</t>
        </is>
      </c>
      <c r="I240" t="n">
        <v>705</v>
      </c>
      <c r="J240" t="n">
        <v>4202</v>
      </c>
      <c r="K240" t="n">
        <v>0</v>
      </c>
      <c r="L240" t="n">
        <v>4202</v>
      </c>
      <c r="M240" t="inlineStr">
        <is>
          <t>Sí</t>
        </is>
      </c>
      <c r="N240" t="inlineStr"/>
      <c r="O240" t="inlineStr">
        <is>
          <t>Informativa</t>
        </is>
      </c>
      <c r="P240" t="inlineStr">
        <is>
          <t>No interviene en el prorrateo</t>
        </is>
      </c>
    </row>
    <row r="241">
      <c r="A241" t="n">
        <v>1627</v>
      </c>
      <c r="B241" t="inlineStr">
        <is>
          <t>FRUTAS ANDALUZAS DE SEVILLA S.L.</t>
        </is>
      </c>
      <c r="E241" t="n">
        <v>2026</v>
      </c>
      <c r="F241" t="n">
        <v>1</v>
      </c>
      <c r="G241" t="inlineStr">
        <is>
          <t>CITRICOS</t>
        </is>
      </c>
      <c r="H241" t="inlineStr">
        <is>
          <t>LANE LATE</t>
        </is>
      </c>
      <c r="I241" t="n">
        <v>705</v>
      </c>
      <c r="J241" t="n">
        <v>14760</v>
      </c>
      <c r="K241" t="n">
        <v>9190</v>
      </c>
      <c r="L241" t="n">
        <v>9190</v>
      </c>
      <c r="M241" t="inlineStr">
        <is>
          <t>Sí</t>
        </is>
      </c>
      <c r="N241" t="inlineStr"/>
      <c r="O241" t="inlineStr">
        <is>
          <t>Informativa</t>
        </is>
      </c>
      <c r="P241" t="inlineStr">
        <is>
          <t>No interviene en el prorrateo</t>
        </is>
      </c>
    </row>
    <row r="242">
      <c r="A242" t="n">
        <v>1627</v>
      </c>
      <c r="B242" t="inlineStr">
        <is>
          <t>FRUTAS ANDALUZAS DE SEVILLA S.L.</t>
        </is>
      </c>
      <c r="E242" t="n">
        <v>2026</v>
      </c>
      <c r="F242" t="n">
        <v>1</v>
      </c>
      <c r="G242" t="inlineStr">
        <is>
          <t>CITRICOS</t>
        </is>
      </c>
      <c r="H242" t="inlineStr">
        <is>
          <t>LANE LATE</t>
        </is>
      </c>
      <c r="I242" t="n">
        <v>705</v>
      </c>
      <c r="J242" t="n">
        <v>3578</v>
      </c>
      <c r="K242" t="n">
        <v>0</v>
      </c>
      <c r="L242" t="n">
        <v>3578</v>
      </c>
      <c r="M242" t="inlineStr">
        <is>
          <t>Sí</t>
        </is>
      </c>
      <c r="N242" t="inlineStr"/>
      <c r="O242" t="inlineStr">
        <is>
          <t>Informativa</t>
        </is>
      </c>
      <c r="P242" t="inlineStr">
        <is>
          <t>No interviene en el prorrateo</t>
        </is>
      </c>
    </row>
    <row r="243">
      <c r="A243" t="n">
        <v>1627</v>
      </c>
      <c r="B243" t="inlineStr">
        <is>
          <t>FRUTAS ANDALUZAS DE SEVILLA S.L.</t>
        </is>
      </c>
      <c r="E243" t="n">
        <v>2026</v>
      </c>
      <c r="F243" t="n">
        <v>1</v>
      </c>
      <c r="G243" t="inlineStr">
        <is>
          <t>CITRICOS</t>
        </is>
      </c>
      <c r="H243" t="inlineStr">
        <is>
          <t>LANE LATE</t>
        </is>
      </c>
      <c r="I243" t="n">
        <v>705</v>
      </c>
      <c r="J243" t="n">
        <v>14622</v>
      </c>
      <c r="K243" t="n">
        <v>0</v>
      </c>
      <c r="L243" t="n">
        <v>14622</v>
      </c>
      <c r="M243" t="inlineStr">
        <is>
          <t>Sí</t>
        </is>
      </c>
      <c r="N243" t="inlineStr"/>
      <c r="O243" t="inlineStr">
        <is>
          <t>Informativa</t>
        </is>
      </c>
      <c r="P243" t="inlineStr">
        <is>
          <t>No interviene en el prorrateo</t>
        </is>
      </c>
    </row>
    <row r="244">
      <c r="A244" t="n">
        <v>1627</v>
      </c>
      <c r="B244" t="inlineStr">
        <is>
          <t>FRUTAS ANDALUZAS DE SEVILLA S.L.</t>
        </is>
      </c>
      <c r="E244" t="n">
        <v>2026</v>
      </c>
      <c r="F244" t="n">
        <v>1</v>
      </c>
      <c r="G244" t="inlineStr">
        <is>
          <t>CITRICOS</t>
        </is>
      </c>
      <c r="H244" t="inlineStr">
        <is>
          <t>LANE LATE</t>
        </is>
      </c>
      <c r="I244" t="n">
        <v>705</v>
      </c>
      <c r="J244" t="n">
        <v>14912</v>
      </c>
      <c r="K244" t="n">
        <v>12652</v>
      </c>
      <c r="L244" t="n">
        <v>12652</v>
      </c>
      <c r="M244" t="inlineStr">
        <is>
          <t>Sí</t>
        </is>
      </c>
      <c r="N244" t="inlineStr"/>
      <c r="O244" t="inlineStr">
        <is>
          <t>Informativa</t>
        </is>
      </c>
      <c r="P244" t="inlineStr">
        <is>
          <t>No interviene en el prorrateo</t>
        </is>
      </c>
    </row>
    <row r="245">
      <c r="A245" t="n">
        <v>1627</v>
      </c>
      <c r="B245" t="inlineStr">
        <is>
          <t>FRUTAS ANDALUZAS DE SEVILLA S.L.</t>
        </is>
      </c>
      <c r="E245" t="n">
        <v>2026</v>
      </c>
      <c r="F245" t="n">
        <v>1</v>
      </c>
      <c r="G245" t="inlineStr">
        <is>
          <t>CITRICOS</t>
        </is>
      </c>
      <c r="H245" t="inlineStr">
        <is>
          <t>LANE LATE</t>
        </is>
      </c>
      <c r="I245" t="n">
        <v>705</v>
      </c>
      <c r="J245" t="n">
        <v>4915</v>
      </c>
      <c r="K245" t="n">
        <v>3434</v>
      </c>
      <c r="L245" t="n">
        <v>3434</v>
      </c>
      <c r="M245" t="inlineStr">
        <is>
          <t>Sí</t>
        </is>
      </c>
      <c r="N245" t="inlineStr"/>
      <c r="O245" t="inlineStr">
        <is>
          <t>Informativa</t>
        </is>
      </c>
      <c r="P245" t="inlineStr">
        <is>
          <t>No interviene en el prorrateo</t>
        </is>
      </c>
    </row>
    <row r="246">
      <c r="A246" t="n">
        <v>1627</v>
      </c>
      <c r="B246" t="inlineStr">
        <is>
          <t>FRUTAS ANDALUZAS DE SEVILLA S.L.</t>
        </is>
      </c>
      <c r="E246" t="n">
        <v>2026</v>
      </c>
      <c r="F246" t="n">
        <v>1</v>
      </c>
      <c r="G246" t="inlineStr">
        <is>
          <t>DIRECTO</t>
        </is>
      </c>
      <c r="H246" t="inlineStr">
        <is>
          <t>BARBERINA</t>
        </is>
      </c>
      <c r="I246" t="n">
        <v>362</v>
      </c>
      <c r="J246" t="n">
        <v>19740</v>
      </c>
      <c r="K246" t="n">
        <v>0</v>
      </c>
      <c r="L246" t="n">
        <v>19740</v>
      </c>
      <c r="M246" t="inlineStr">
        <is>
          <t>Sí</t>
        </is>
      </c>
      <c r="N246" t="inlineStr"/>
      <c r="O246" t="inlineStr">
        <is>
          <t>Informativa</t>
        </is>
      </c>
      <c r="P246" t="inlineStr">
        <is>
          <t>No interviene en el prorrateo</t>
        </is>
      </c>
    </row>
    <row r="247">
      <c r="A247" t="n">
        <v>1627</v>
      </c>
      <c r="B247" t="inlineStr">
        <is>
          <t>FRUTAS ANDALUZAS DE SEVILLA S.L.</t>
        </is>
      </c>
      <c r="E247" t="n">
        <v>2026</v>
      </c>
      <c r="F247" t="n">
        <v>1</v>
      </c>
      <c r="G247" t="inlineStr">
        <is>
          <t>DIRECTO</t>
        </is>
      </c>
      <c r="H247" t="inlineStr">
        <is>
          <t>BARBERINA</t>
        </is>
      </c>
      <c r="I247" t="n">
        <v>362</v>
      </c>
      <c r="J247" t="n">
        <v>20760</v>
      </c>
      <c r="K247" t="n">
        <v>0</v>
      </c>
      <c r="L247" t="n">
        <v>20760</v>
      </c>
      <c r="M247" t="inlineStr">
        <is>
          <t>Sí</t>
        </is>
      </c>
      <c r="N247" t="inlineStr"/>
      <c r="O247" t="inlineStr">
        <is>
          <t>Informativa</t>
        </is>
      </c>
      <c r="P247" t="inlineStr">
        <is>
          <t>No interviene en el prorrateo</t>
        </is>
      </c>
    </row>
    <row r="248">
      <c r="A248" t="n">
        <v>1627</v>
      </c>
      <c r="B248" t="inlineStr">
        <is>
          <t>FRUTAS ANDALUZAS DE SEVILLA S.L.</t>
        </is>
      </c>
      <c r="E248" t="n">
        <v>2026</v>
      </c>
      <c r="F248" t="n">
        <v>1</v>
      </c>
      <c r="G248" t="inlineStr">
        <is>
          <t>INDUSTRIA</t>
        </is>
      </c>
      <c r="H248" t="inlineStr">
        <is>
          <t>LANE LATE</t>
        </is>
      </c>
      <c r="I248" t="n">
        <v>705</v>
      </c>
      <c r="J248" t="n">
        <v>16282</v>
      </c>
      <c r="K248" t="n">
        <v>715</v>
      </c>
      <c r="L248" t="n">
        <v>715</v>
      </c>
      <c r="M248" t="inlineStr">
        <is>
          <t>Sí</t>
        </is>
      </c>
      <c r="N248" t="inlineStr"/>
      <c r="O248" t="inlineStr">
        <is>
          <t>Informativa</t>
        </is>
      </c>
      <c r="P248" t="inlineStr">
        <is>
          <t>No interviene en el prorrateo</t>
        </is>
      </c>
    </row>
    <row r="249">
      <c r="A249" t="n">
        <v>1627</v>
      </c>
      <c r="B249" t="inlineStr">
        <is>
          <t>FRUTAS ANDALUZAS DE SEVILLA S.L.</t>
        </is>
      </c>
      <c r="E249" t="n">
        <v>2026</v>
      </c>
      <c r="F249" t="n">
        <v>1</v>
      </c>
      <c r="G249" t="inlineStr">
        <is>
          <t>INDUSTRIA</t>
        </is>
      </c>
      <c r="H249" t="inlineStr">
        <is>
          <t>LANE LATE</t>
        </is>
      </c>
      <c r="I249" t="n">
        <v>705</v>
      </c>
      <c r="J249" t="n">
        <v>1420</v>
      </c>
      <c r="K249" t="n">
        <v>0</v>
      </c>
      <c r="L249" t="n">
        <v>1420</v>
      </c>
      <c r="M249" t="inlineStr">
        <is>
          <t>Sí</t>
        </is>
      </c>
      <c r="N249" t="inlineStr"/>
      <c r="O249" t="inlineStr">
        <is>
          <t>Informativa</t>
        </is>
      </c>
      <c r="P249" t="inlineStr">
        <is>
          <t>No interviene en el prorrateo</t>
        </is>
      </c>
    </row>
    <row r="250">
      <c r="A250" t="n">
        <v>1627</v>
      </c>
      <c r="B250" t="inlineStr">
        <is>
          <t>FRUTAS ANDALUZAS DE SEVILLA S.L.</t>
        </is>
      </c>
      <c r="E250" t="n">
        <v>2026</v>
      </c>
      <c r="F250" t="n">
        <v>1</v>
      </c>
      <c r="G250" t="inlineStr">
        <is>
          <t>INDUSTRIA</t>
        </is>
      </c>
      <c r="H250" t="inlineStr">
        <is>
          <t>LANE LATE</t>
        </is>
      </c>
      <c r="I250" t="n">
        <v>705</v>
      </c>
      <c r="J250" t="n">
        <v>15962</v>
      </c>
      <c r="K250" t="n">
        <v>2050</v>
      </c>
      <c r="L250" t="n">
        <v>2050</v>
      </c>
      <c r="M250" t="inlineStr">
        <is>
          <t>Sí</t>
        </is>
      </c>
      <c r="N250" t="inlineStr"/>
      <c r="O250" t="inlineStr">
        <is>
          <t>Informativa</t>
        </is>
      </c>
      <c r="P250" t="inlineStr">
        <is>
          <t>No interviene en el prorrateo</t>
        </is>
      </c>
    </row>
    <row r="251">
      <c r="A251" t="n">
        <v>1627</v>
      </c>
      <c r="B251" t="inlineStr">
        <is>
          <t>FRUTAS ANDALUZAS DE SEVILLA S.L.</t>
        </is>
      </c>
      <c r="E251" t="n">
        <v>2026</v>
      </c>
      <c r="F251" t="n">
        <v>1</v>
      </c>
      <c r="G251" t="inlineStr">
        <is>
          <t>INDUSTRIA</t>
        </is>
      </c>
      <c r="H251" t="inlineStr">
        <is>
          <t>LANE LATE</t>
        </is>
      </c>
      <c r="I251" t="n">
        <v>705</v>
      </c>
      <c r="J251" t="n">
        <v>5239</v>
      </c>
      <c r="K251" t="n">
        <v>374</v>
      </c>
      <c r="L251" t="n">
        <v>374</v>
      </c>
      <c r="M251" t="inlineStr">
        <is>
          <t>Sí</t>
        </is>
      </c>
      <c r="N251" t="inlineStr"/>
      <c r="O251" t="inlineStr">
        <is>
          <t>Informativa</t>
        </is>
      </c>
      <c r="P25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798</v>
      </c>
      <c r="B2" t="inlineStr">
        <is>
          <t>PAREJA PAREJA,ISABEL</t>
        </is>
      </c>
      <c r="C2" t="inlineStr">
        <is>
          <t>LANE LATE</t>
        </is>
      </c>
      <c r="D2" t="inlineStr">
        <is>
          <t>Hectáreas</t>
        </is>
      </c>
      <c r="E2" t="n">
        <v>14.39</v>
      </c>
      <c r="I2" t="inlineStr"/>
    </row>
    <row r="3">
      <c r="A3" t="n">
        <v>798</v>
      </c>
      <c r="B3" t="inlineStr">
        <is>
          <t>PAREJA PAREJA,ISABEL</t>
        </is>
      </c>
      <c r="C3" t="inlineStr">
        <is>
          <t>LANE LATE</t>
        </is>
      </c>
      <c r="D3" t="inlineStr">
        <is>
          <t>Cuota teórica</t>
        </is>
      </c>
      <c r="E3" t="n">
        <v>2806.05</v>
      </c>
      <c r="I3" t="inlineStr"/>
    </row>
    <row r="4">
      <c r="A4" t="n">
        <v>798</v>
      </c>
      <c r="B4" t="inlineStr">
        <is>
          <t>PAREJA PAREJA,ISABEL</t>
        </is>
      </c>
      <c r="C4" t="inlineStr">
        <is>
          <t>LANE LATE</t>
        </is>
      </c>
      <c r="D4" t="inlineStr">
        <is>
          <t>Kg campaña</t>
        </is>
      </c>
      <c r="E4" t="n">
        <v>430968</v>
      </c>
      <c r="I4" t="inlineStr"/>
    </row>
    <row r="5">
      <c r="A5" t="n">
        <v>798</v>
      </c>
      <c r="B5" t="inlineStr">
        <is>
          <t>PAREJA PAREJA,ISABEL</t>
        </is>
      </c>
      <c r="C5" t="inlineStr">
        <is>
          <t>LANE LATE</t>
        </is>
      </c>
      <c r="D5" t="inlineStr">
        <is>
          <t>Índice</t>
        </is>
      </c>
      <c r="E5" t="n">
        <v>0.006511040262850142</v>
      </c>
      <c r="I5" t="inlineStr"/>
    </row>
    <row r="6">
      <c r="A6" t="n">
        <v>798</v>
      </c>
      <c r="B6" t="inlineStr">
        <is>
          <t>PAREJA PAREJA,ISABEL</t>
        </is>
      </c>
      <c r="C6" t="inlineStr">
        <is>
          <t>LANE LATE</t>
        </is>
      </c>
      <c r="D6" t="inlineStr">
        <is>
          <t>Kg remesa</t>
        </is>
      </c>
      <c r="E6" t="n">
        <v>3552</v>
      </c>
      <c r="I6" t="inlineStr"/>
    </row>
    <row r="7">
      <c r="A7" t="n">
        <v>798</v>
      </c>
      <c r="B7" t="inlineStr">
        <is>
          <t>PAREJA PAREJA,ISABEL</t>
        </is>
      </c>
      <c r="C7" t="inlineStr">
        <is>
          <t>LANE LATE</t>
        </is>
      </c>
      <c r="D7" t="inlineStr">
        <is>
          <t>Cuota parcial</t>
        </is>
      </c>
      <c r="E7" t="n">
        <v>23.13</v>
      </c>
      <c r="I7" t="inlineStr"/>
    </row>
    <row r="8">
      <c r="A8" t="n">
        <v>798</v>
      </c>
      <c r="B8" t="inlineStr">
        <is>
          <t>PAREJA PAREJA,ISABEL</t>
        </is>
      </c>
      <c r="C8" t="inlineStr">
        <is>
          <t>LANE LATE</t>
        </is>
      </c>
      <c r="D8" t="inlineStr">
        <is>
          <t>Importe bruto</t>
        </is>
      </c>
      <c r="E8" t="n">
        <v>1101.12</v>
      </c>
      <c r="I8" t="inlineStr"/>
    </row>
    <row r="9">
      <c r="A9" t="n">
        <v>798</v>
      </c>
      <c r="B9" t="inlineStr">
        <is>
          <t>PAREJA PAREJA,ISABEL</t>
        </is>
      </c>
      <c r="C9" t="inlineStr">
        <is>
          <t>LANE LATE</t>
        </is>
      </c>
      <c r="D9" t="inlineStr">
        <is>
          <t>Recolección</t>
        </is>
      </c>
      <c r="E9" t="n">
        <v>222</v>
      </c>
      <c r="I9" t="inlineStr"/>
    </row>
    <row r="10">
      <c r="A10" t="n">
        <v>798</v>
      </c>
      <c r="B10" t="inlineStr">
        <is>
          <t>PAREJA PAREJA,ISABEL</t>
        </is>
      </c>
      <c r="C10" t="inlineStr">
        <is>
          <t>LANE LATE</t>
        </is>
      </c>
      <c r="D10" t="inlineStr">
        <is>
          <t>Transporte</t>
        </is>
      </c>
      <c r="E10" t="n">
        <v>-39.43</v>
      </c>
      <c r="I10" t="inlineStr"/>
    </row>
    <row r="11">
      <c r="A11" t="n">
        <v>798</v>
      </c>
      <c r="B11" t="inlineStr">
        <is>
          <t>PAREJA PAREJA,ISABEL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798</v>
      </c>
      <c r="B12" t="inlineStr">
        <is>
          <t>PAREJA PAREJA,ISABEL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798</v>
      </c>
      <c r="B13" t="inlineStr">
        <is>
          <t>PAREJA PAREJA,ISABEL</t>
        </is>
      </c>
      <c r="C13" t="inlineStr">
        <is>
          <t>LANE LATE</t>
        </is>
      </c>
      <c r="D13" t="inlineStr">
        <is>
          <t>Base imponible</t>
        </is>
      </c>
      <c r="E13" t="n">
        <v>816.5599999999999</v>
      </c>
      <c r="I13" t="inlineStr"/>
    </row>
    <row r="14">
      <c r="A14" t="n">
        <v>798</v>
      </c>
      <c r="B14" t="inlineStr">
        <is>
          <t>PAREJA PAREJA,ISABEL</t>
        </is>
      </c>
      <c r="C14" t="inlineStr">
        <is>
          <t>LANE LATE</t>
        </is>
      </c>
      <c r="D14" t="inlineStr">
        <is>
          <t>IVA</t>
        </is>
      </c>
      <c r="E14" t="n">
        <v>97.98999999999999</v>
      </c>
      <c r="I14" t="inlineStr"/>
    </row>
    <row r="15">
      <c r="A15" t="n">
        <v>798</v>
      </c>
      <c r="B15" t="inlineStr">
        <is>
          <t>PAREJA PAREJA,ISABEL</t>
        </is>
      </c>
      <c r="C15" t="inlineStr">
        <is>
          <t>LANE LATE</t>
        </is>
      </c>
      <c r="D15" t="inlineStr">
        <is>
          <t>Retención</t>
        </is>
      </c>
      <c r="E15" t="n">
        <v>18.29</v>
      </c>
      <c r="I15" t="inlineStr"/>
    </row>
    <row r="16">
      <c r="A16" t="n">
        <v>798</v>
      </c>
      <c r="B16" t="inlineStr">
        <is>
          <t>PAREJA PAREJA,ISABEL</t>
        </is>
      </c>
      <c r="C16" t="inlineStr">
        <is>
          <t>LANE LATE</t>
        </is>
      </c>
      <c r="D16" t="inlineStr">
        <is>
          <t>Total</t>
        </is>
      </c>
      <c r="E16" t="n">
        <v>896.26</v>
      </c>
      <c r="I16" t="inlineStr"/>
    </row>
    <row r="17">
      <c r="A17" t="n">
        <v>904</v>
      </c>
      <c r="B17" t="inlineStr">
        <is>
          <t>FERNANDEZ MELENDEZ,ANGEL</t>
        </is>
      </c>
      <c r="C17" t="inlineStr">
        <is>
          <t>LANE LATE</t>
        </is>
      </c>
      <c r="D17" t="inlineStr">
        <is>
          <t>Hectáreas</t>
        </is>
      </c>
      <c r="E17" t="n">
        <v>1.8</v>
      </c>
      <c r="I17" t="inlineStr"/>
    </row>
    <row r="18">
      <c r="A18" t="n">
        <v>904</v>
      </c>
      <c r="B18" t="inlineStr">
        <is>
          <t>FERNANDEZ MELENDEZ,ANGEL</t>
        </is>
      </c>
      <c r="C18" t="inlineStr">
        <is>
          <t>LANE LATE</t>
        </is>
      </c>
      <c r="D18" t="inlineStr">
        <is>
          <t>Cuota teórica</t>
        </is>
      </c>
      <c r="E18" t="n">
        <v>351</v>
      </c>
      <c r="I18" t="inlineStr"/>
    </row>
    <row r="19">
      <c r="A19" t="n">
        <v>904</v>
      </c>
      <c r="B19" t="inlineStr">
        <is>
          <t>FERNANDEZ MELENDEZ,ANGEL</t>
        </is>
      </c>
      <c r="C19" t="inlineStr">
        <is>
          <t>LANE LATE</t>
        </is>
      </c>
      <c r="D19" t="inlineStr">
        <is>
          <t>Kg campaña</t>
        </is>
      </c>
      <c r="E19" t="n">
        <v>58810</v>
      </c>
      <c r="I19" t="inlineStr"/>
    </row>
    <row r="20">
      <c r="A20" t="n">
        <v>904</v>
      </c>
      <c r="B20" t="inlineStr">
        <is>
          <t>FERNANDEZ MELENDEZ,ANGEL</t>
        </is>
      </c>
      <c r="C20" t="inlineStr">
        <is>
          <t>LANE LATE</t>
        </is>
      </c>
      <c r="D20" t="inlineStr">
        <is>
          <t>Índice</t>
        </is>
      </c>
      <c r="E20" t="n">
        <v>0.005968372725726917</v>
      </c>
      <c r="I20" t="inlineStr"/>
    </row>
    <row r="21">
      <c r="A21" t="n">
        <v>904</v>
      </c>
      <c r="B21" t="inlineStr">
        <is>
          <t>FERNANDEZ MELENDEZ,ANGEL</t>
        </is>
      </c>
      <c r="C21" t="inlineStr">
        <is>
          <t>LANE LATE</t>
        </is>
      </c>
      <c r="D21" t="inlineStr">
        <is>
          <t>Kg remesa</t>
        </is>
      </c>
      <c r="E21" t="n">
        <v>3209</v>
      </c>
      <c r="I21" t="inlineStr"/>
    </row>
    <row r="22">
      <c r="A22" t="n">
        <v>904</v>
      </c>
      <c r="B22" t="inlineStr">
        <is>
          <t>FERNANDEZ MELENDEZ,ANGEL</t>
        </is>
      </c>
      <c r="C22" t="inlineStr">
        <is>
          <t>LANE LATE</t>
        </is>
      </c>
      <c r="D22" t="inlineStr">
        <is>
          <t>Cuota parcial</t>
        </is>
      </c>
      <c r="E22" t="n">
        <v>19.15</v>
      </c>
      <c r="I22" t="inlineStr"/>
    </row>
    <row r="23">
      <c r="A23" t="n">
        <v>904</v>
      </c>
      <c r="B23" t="inlineStr">
        <is>
          <t>FERNANDEZ MELENDEZ,ANGEL</t>
        </is>
      </c>
      <c r="C23" t="inlineStr">
        <is>
          <t>LANE LATE</t>
        </is>
      </c>
      <c r="D23" t="inlineStr">
        <is>
          <t>Importe bruto</t>
        </is>
      </c>
      <c r="E23" t="n">
        <v>994.79</v>
      </c>
      <c r="I23" t="inlineStr"/>
    </row>
    <row r="24">
      <c r="A24" t="n">
        <v>904</v>
      </c>
      <c r="B24" t="inlineStr">
        <is>
          <t>FERNANDEZ MELENDEZ,ANGEL</t>
        </is>
      </c>
      <c r="C24" t="inlineStr">
        <is>
          <t>LANE LATE</t>
        </is>
      </c>
      <c r="D24" t="inlineStr">
        <is>
          <t>Recolección</t>
        </is>
      </c>
      <c r="E24" t="n">
        <v>200.56</v>
      </c>
      <c r="I24" t="inlineStr"/>
    </row>
    <row r="25">
      <c r="A25" t="n">
        <v>904</v>
      </c>
      <c r="B25" t="inlineStr">
        <is>
          <t>FERNANDEZ MELENDEZ,ANGEL</t>
        </is>
      </c>
      <c r="C25" t="inlineStr">
        <is>
          <t>LANE LATE</t>
        </is>
      </c>
      <c r="D25" t="inlineStr">
        <is>
          <t>Transporte</t>
        </is>
      </c>
      <c r="E25" t="n">
        <v>-35.62</v>
      </c>
      <c r="I25" t="inlineStr"/>
    </row>
    <row r="26">
      <c r="A26" t="n">
        <v>904</v>
      </c>
      <c r="B26" t="inlineStr">
        <is>
          <t>FERNANDEZ MELENDEZ,ANGEL</t>
        </is>
      </c>
      <c r="C26" t="inlineStr">
        <is>
          <t>LANE LATE</t>
        </is>
      </c>
      <c r="D26" t="inlineStr">
        <is>
          <t>Calidad</t>
        </is>
      </c>
      <c r="E26" t="n">
        <v>0</v>
      </c>
      <c r="I26" t="inlineStr"/>
    </row>
    <row r="27">
      <c r="A27" t="n">
        <v>904</v>
      </c>
      <c r="B27" t="inlineStr">
        <is>
          <t>FERNANDEZ MELENDEZ,ANGEL</t>
        </is>
      </c>
      <c r="C27" t="inlineStr">
        <is>
          <t>LANE LATE</t>
        </is>
      </c>
      <c r="D27" t="inlineStr">
        <is>
          <t>GlobalGAP</t>
        </is>
      </c>
      <c r="E27" t="n">
        <v>0</v>
      </c>
      <c r="I27" t="inlineStr"/>
    </row>
    <row r="28">
      <c r="A28" t="n">
        <v>904</v>
      </c>
      <c r="B28" t="inlineStr">
        <is>
          <t>FERNANDEZ MELENDEZ,ANGEL</t>
        </is>
      </c>
      <c r="C28" t="inlineStr">
        <is>
          <t>LANE LATE</t>
        </is>
      </c>
      <c r="D28" t="inlineStr">
        <is>
          <t>Base imponible</t>
        </is>
      </c>
      <c r="E28" t="n">
        <v>739.46</v>
      </c>
      <c r="I28" t="inlineStr"/>
    </row>
    <row r="29">
      <c r="A29" t="n">
        <v>904</v>
      </c>
      <c r="B29" t="inlineStr">
        <is>
          <t>FERNANDEZ MELENDEZ,ANGEL</t>
        </is>
      </c>
      <c r="C29" t="inlineStr">
        <is>
          <t>LANE LATE</t>
        </is>
      </c>
      <c r="D29" t="inlineStr">
        <is>
          <t>IVA</t>
        </is>
      </c>
      <c r="E29" t="n">
        <v>88.73999999999999</v>
      </c>
      <c r="I29" t="inlineStr"/>
    </row>
    <row r="30">
      <c r="A30" t="n">
        <v>904</v>
      </c>
      <c r="B30" t="inlineStr">
        <is>
          <t>FERNANDEZ MELENDEZ,ANGEL</t>
        </is>
      </c>
      <c r="C30" t="inlineStr">
        <is>
          <t>LANE LATE</t>
        </is>
      </c>
      <c r="D30" t="inlineStr">
        <is>
          <t>Retención</t>
        </is>
      </c>
      <c r="E30" t="n">
        <v>16.56</v>
      </c>
      <c r="I30" t="inlineStr"/>
    </row>
    <row r="31">
      <c r="A31" t="n">
        <v>904</v>
      </c>
      <c r="B31" t="inlineStr">
        <is>
          <t>FERNANDEZ MELENDEZ,ANGEL</t>
        </is>
      </c>
      <c r="C31" t="inlineStr">
        <is>
          <t>LANE LATE</t>
        </is>
      </c>
      <c r="D31" t="inlineStr">
        <is>
          <t>Total</t>
        </is>
      </c>
      <c r="E31" t="n">
        <v>811.63</v>
      </c>
      <c r="I31" t="inlineStr"/>
    </row>
    <row r="32">
      <c r="A32" t="n">
        <v>990</v>
      </c>
      <c r="B32" t="inlineStr">
        <is>
          <t>SANCHEZ PEREZ,ANTONIO</t>
        </is>
      </c>
      <c r="C32" t="inlineStr">
        <is>
          <t>LANE LATE</t>
        </is>
      </c>
      <c r="D32" t="inlineStr">
        <is>
          <t>Hectáreas</t>
        </is>
      </c>
      <c r="E32" t="n">
        <v>2.65</v>
      </c>
      <c r="I32" t="inlineStr"/>
    </row>
    <row r="33">
      <c r="A33" t="n">
        <v>990</v>
      </c>
      <c r="B33" t="inlineStr">
        <is>
          <t>SANCHEZ PEREZ,ANTONIO</t>
        </is>
      </c>
      <c r="C33" t="inlineStr">
        <is>
          <t>LANE LATE</t>
        </is>
      </c>
      <c r="D33" t="inlineStr">
        <is>
          <t>Cuota teórica</t>
        </is>
      </c>
      <c r="E33" t="n">
        <v>516.75</v>
      </c>
      <c r="I33" t="inlineStr"/>
    </row>
    <row r="34">
      <c r="A34" t="n">
        <v>990</v>
      </c>
      <c r="B34" t="inlineStr">
        <is>
          <t>SANCHEZ PEREZ,ANTONIO</t>
        </is>
      </c>
      <c r="C34" t="inlineStr">
        <is>
          <t>LANE LATE</t>
        </is>
      </c>
      <c r="D34" t="inlineStr">
        <is>
          <t>Kg campaña</t>
        </is>
      </c>
      <c r="E34" t="n">
        <v>40408</v>
      </c>
      <c r="I34" t="inlineStr"/>
    </row>
    <row r="35">
      <c r="A35" t="n">
        <v>990</v>
      </c>
      <c r="B35" t="inlineStr">
        <is>
          <t>SANCHEZ PEREZ,ANTONIO</t>
        </is>
      </c>
      <c r="C35" t="inlineStr">
        <is>
          <t>LANE LATE</t>
        </is>
      </c>
      <c r="D35" t="inlineStr">
        <is>
          <t>Índice</t>
        </is>
      </c>
      <c r="E35" t="n">
        <v>0.01278830924569392</v>
      </c>
      <c r="I35" t="inlineStr"/>
    </row>
    <row r="36">
      <c r="A36" t="n">
        <v>990</v>
      </c>
      <c r="B36" t="inlineStr">
        <is>
          <t>SANCHEZ PEREZ,ANTONIO</t>
        </is>
      </c>
      <c r="C36" t="inlineStr">
        <is>
          <t>LANE LATE</t>
        </is>
      </c>
      <c r="D36" t="inlineStr">
        <is>
          <t>Kg remesa</t>
        </is>
      </c>
      <c r="E36" t="n">
        <v>11720</v>
      </c>
      <c r="I36" t="inlineStr"/>
    </row>
    <row r="37">
      <c r="A37" t="n">
        <v>990</v>
      </c>
      <c r="B37" t="inlineStr">
        <is>
          <t>SANCHEZ PEREZ,ANTONIO</t>
        </is>
      </c>
      <c r="C37" t="inlineStr">
        <is>
          <t>LANE LATE</t>
        </is>
      </c>
      <c r="D37" t="inlineStr">
        <is>
          <t>Cuota parcial</t>
        </is>
      </c>
      <c r="E37" t="n">
        <v>149.88</v>
      </c>
      <c r="I37" t="inlineStr"/>
    </row>
    <row r="38">
      <c r="A38" t="n">
        <v>990</v>
      </c>
      <c r="B38" t="inlineStr">
        <is>
          <t>SANCHEZ PEREZ,ANTONIO</t>
        </is>
      </c>
      <c r="C38" t="inlineStr">
        <is>
          <t>LANE LATE</t>
        </is>
      </c>
      <c r="D38" t="inlineStr">
        <is>
          <t>Importe bruto</t>
        </is>
      </c>
      <c r="E38" t="n">
        <v>3633.2</v>
      </c>
      <c r="I38" t="inlineStr"/>
    </row>
    <row r="39">
      <c r="A39" t="n">
        <v>990</v>
      </c>
      <c r="B39" t="inlineStr">
        <is>
          <t>SANCHEZ PEREZ,ANTONIO</t>
        </is>
      </c>
      <c r="C39" t="inlineStr">
        <is>
          <t>LANE LATE</t>
        </is>
      </c>
      <c r="D39" t="inlineStr">
        <is>
          <t>Recolección</t>
        </is>
      </c>
      <c r="E39" t="n">
        <v>732.5</v>
      </c>
      <c r="I39" t="inlineStr"/>
    </row>
    <row r="40">
      <c r="A40" t="n">
        <v>990</v>
      </c>
      <c r="B40" t="inlineStr">
        <is>
          <t>SANCHEZ PEREZ,ANTONIO</t>
        </is>
      </c>
      <c r="C40" t="inlineStr">
        <is>
          <t>LANE LATE</t>
        </is>
      </c>
      <c r="D40" t="inlineStr">
        <is>
          <t>Transporte</t>
        </is>
      </c>
      <c r="E40" t="n">
        <v>0</v>
      </c>
      <c r="I40" t="inlineStr"/>
    </row>
    <row r="41">
      <c r="A41" t="n">
        <v>990</v>
      </c>
      <c r="B41" t="inlineStr">
        <is>
          <t>SANCHEZ PEREZ,ANTONIO</t>
        </is>
      </c>
      <c r="C41" t="inlineStr">
        <is>
          <t>LANE LATE</t>
        </is>
      </c>
      <c r="D41" t="inlineStr">
        <is>
          <t>Calidad</t>
        </is>
      </c>
      <c r="E41" t="n">
        <v>0</v>
      </c>
      <c r="I41" t="inlineStr"/>
    </row>
    <row r="42">
      <c r="A42" t="n">
        <v>990</v>
      </c>
      <c r="B42" t="inlineStr">
        <is>
          <t>SANCHEZ PEREZ,ANTONIO</t>
        </is>
      </c>
      <c r="C42" t="inlineStr">
        <is>
          <t>LANE LATE</t>
        </is>
      </c>
      <c r="D42" t="inlineStr">
        <is>
          <t>GlobalGAP</t>
        </is>
      </c>
      <c r="E42" t="n">
        <v>0</v>
      </c>
      <c r="I42" t="inlineStr"/>
    </row>
    <row r="43">
      <c r="A43" t="n">
        <v>990</v>
      </c>
      <c r="B43" t="inlineStr">
        <is>
          <t>SANCHEZ PEREZ,ANTONIO</t>
        </is>
      </c>
      <c r="C43" t="inlineStr">
        <is>
          <t>LANE LATE</t>
        </is>
      </c>
      <c r="D43" t="inlineStr">
        <is>
          <t>Base imponible</t>
        </is>
      </c>
      <c r="E43" t="n">
        <v>2750.82</v>
      </c>
      <c r="I43" t="inlineStr"/>
    </row>
    <row r="44">
      <c r="A44" t="n">
        <v>990</v>
      </c>
      <c r="B44" t="inlineStr">
        <is>
          <t>SANCHEZ PEREZ,ANTONIO</t>
        </is>
      </c>
      <c r="C44" t="inlineStr">
        <is>
          <t>LANE LATE</t>
        </is>
      </c>
      <c r="D44" t="inlineStr">
        <is>
          <t>IVA</t>
        </is>
      </c>
      <c r="E44" t="n">
        <v>330.1</v>
      </c>
      <c r="I44" t="inlineStr"/>
    </row>
    <row r="45">
      <c r="A45" t="n">
        <v>990</v>
      </c>
      <c r="B45" t="inlineStr">
        <is>
          <t>SANCHEZ PEREZ,ANTONIO</t>
        </is>
      </c>
      <c r="C45" t="inlineStr">
        <is>
          <t>LANE LATE</t>
        </is>
      </c>
      <c r="D45" t="inlineStr">
        <is>
          <t>Retención</t>
        </is>
      </c>
      <c r="E45" t="n">
        <v>61.62</v>
      </c>
      <c r="I45" t="inlineStr"/>
    </row>
    <row r="46">
      <c r="A46" t="n">
        <v>990</v>
      </c>
      <c r="B46" t="inlineStr">
        <is>
          <t>SANCHEZ PEREZ,ANTONIO</t>
        </is>
      </c>
      <c r="C46" t="inlineStr">
        <is>
          <t>LANE LATE</t>
        </is>
      </c>
      <c r="D46" t="inlineStr">
        <is>
          <t>Total</t>
        </is>
      </c>
      <c r="E46" t="n">
        <v>3019.3</v>
      </c>
      <c r="I46" t="inlineStr"/>
    </row>
    <row r="47">
      <c r="A47" t="n">
        <v>1178</v>
      </c>
      <c r="B47" t="inlineStr">
        <is>
          <t>CALZADO GARCIA,FRANCISCO JAVIER</t>
        </is>
      </c>
      <c r="C47" t="inlineStr">
        <is>
          <t>NAVEL POWEL</t>
        </is>
      </c>
      <c r="D47" t="inlineStr">
        <is>
          <t>Hectáreas</t>
        </is>
      </c>
      <c r="E47" t="n">
        <v>9.630000000000001</v>
      </c>
      <c r="I47" t="inlineStr"/>
    </row>
    <row r="48">
      <c r="A48" t="n">
        <v>1178</v>
      </c>
      <c r="B48" t="inlineStr">
        <is>
          <t>CALZADO GARCIA,FRANCISCO JAVIER</t>
        </is>
      </c>
      <c r="C48" t="inlineStr">
        <is>
          <t>NAVEL POWEL</t>
        </is>
      </c>
      <c r="D48" t="inlineStr">
        <is>
          <t>Cuota teórica</t>
        </is>
      </c>
      <c r="E48" t="n">
        <v>1877.85</v>
      </c>
      <c r="I48" t="inlineStr"/>
    </row>
    <row r="49">
      <c r="A49" t="n">
        <v>1178</v>
      </c>
      <c r="B49" t="inlineStr">
        <is>
          <t>CALZADO GARCIA,FRANCISCO JAVIER</t>
        </is>
      </c>
      <c r="C49" t="inlineStr">
        <is>
          <t>NAVEL POWEL</t>
        </is>
      </c>
      <c r="D49" t="inlineStr">
        <is>
          <t>Kg campaña</t>
        </is>
      </c>
      <c r="E49" t="n">
        <v>152504</v>
      </c>
      <c r="I49" t="inlineStr"/>
    </row>
    <row r="50">
      <c r="A50" t="n">
        <v>1178</v>
      </c>
      <c r="B50" t="inlineStr">
        <is>
          <t>CALZADO GARCIA,FRANCISCO JAVIER</t>
        </is>
      </c>
      <c r="C50" t="inlineStr">
        <is>
          <t>NAVEL POWEL</t>
        </is>
      </c>
      <c r="D50" t="inlineStr">
        <is>
          <t>Índice</t>
        </is>
      </c>
      <c r="E50" t="n">
        <v>0.01231344751613072</v>
      </c>
      <c r="I50" t="inlineStr"/>
    </row>
    <row r="51">
      <c r="A51" t="n">
        <v>1178</v>
      </c>
      <c r="B51" t="inlineStr">
        <is>
          <t>CALZADO GARCIA,FRANCISCO JAVIER</t>
        </is>
      </c>
      <c r="C51" t="inlineStr">
        <is>
          <t>NAVEL POWEL</t>
        </is>
      </c>
      <c r="D51" t="inlineStr">
        <is>
          <t>Kg remesa</t>
        </is>
      </c>
      <c r="E51" t="n">
        <v>2948</v>
      </c>
      <c r="I51" t="inlineStr"/>
    </row>
    <row r="52">
      <c r="A52" t="n">
        <v>1178</v>
      </c>
      <c r="B52" t="inlineStr">
        <is>
          <t>CALZADO GARCIA,FRANCISCO JAVIER</t>
        </is>
      </c>
      <c r="C52" t="inlineStr">
        <is>
          <t>NAVEL POWEL</t>
        </is>
      </c>
      <c r="D52" t="inlineStr">
        <is>
          <t>Cuota parcial</t>
        </is>
      </c>
      <c r="E52" t="n">
        <v>36.3</v>
      </c>
      <c r="I52" t="inlineStr"/>
    </row>
    <row r="53">
      <c r="A53" t="n">
        <v>1178</v>
      </c>
      <c r="B53" t="inlineStr">
        <is>
          <t>CALZADO GARCIA,FRANCISCO JAVIER</t>
        </is>
      </c>
      <c r="C53" t="inlineStr">
        <is>
          <t>NAVEL POWEL</t>
        </is>
      </c>
      <c r="D53" t="inlineStr">
        <is>
          <t>Importe bruto</t>
        </is>
      </c>
      <c r="E53" t="n">
        <v>913.88</v>
      </c>
      <c r="I53" t="inlineStr"/>
    </row>
    <row r="54">
      <c r="A54" t="n">
        <v>1178</v>
      </c>
      <c r="B54" t="inlineStr">
        <is>
          <t>CALZADO GARCIA,FRANCISCO JAVIER</t>
        </is>
      </c>
      <c r="C54" t="inlineStr">
        <is>
          <t>NAVEL POWEL</t>
        </is>
      </c>
      <c r="D54" t="inlineStr">
        <is>
          <t>Recolección</t>
        </is>
      </c>
      <c r="E54" t="n">
        <v>0</v>
      </c>
      <c r="I54" t="inlineStr"/>
    </row>
    <row r="55">
      <c r="A55" t="n">
        <v>1178</v>
      </c>
      <c r="B55" t="inlineStr">
        <is>
          <t>CALZADO GARCIA,FRANCISCO JAVIER</t>
        </is>
      </c>
      <c r="C55" t="inlineStr">
        <is>
          <t>NAVEL POWEL</t>
        </is>
      </c>
      <c r="D55" t="inlineStr">
        <is>
          <t>Transporte</t>
        </is>
      </c>
      <c r="E55" t="n">
        <v>0</v>
      </c>
      <c r="I55" t="inlineStr"/>
    </row>
    <row r="56">
      <c r="A56" t="n">
        <v>1178</v>
      </c>
      <c r="B56" t="inlineStr">
        <is>
          <t>CALZADO GARCIA,FRANCISCO JAVIER</t>
        </is>
      </c>
      <c r="C56" t="inlineStr">
        <is>
          <t>NAVEL POWEL</t>
        </is>
      </c>
      <c r="D56" t="inlineStr">
        <is>
          <t>Calidad</t>
        </is>
      </c>
      <c r="E56" t="n">
        <v>0</v>
      </c>
      <c r="I56" t="inlineStr"/>
    </row>
    <row r="57">
      <c r="A57" t="n">
        <v>1178</v>
      </c>
      <c r="B57" t="inlineStr">
        <is>
          <t>CALZADO GARCIA,FRANCISCO JAVIER</t>
        </is>
      </c>
      <c r="C57" t="inlineStr">
        <is>
          <t>NAVEL POWEL</t>
        </is>
      </c>
      <c r="D57" t="inlineStr">
        <is>
          <t>GlobalGAP</t>
        </is>
      </c>
      <c r="E57" t="n">
        <v>0</v>
      </c>
      <c r="I57" t="inlineStr"/>
    </row>
    <row r="58">
      <c r="A58" t="n">
        <v>1178</v>
      </c>
      <c r="B58" t="inlineStr">
        <is>
          <t>CALZADO GARCIA,FRANCISCO JAVIER</t>
        </is>
      </c>
      <c r="C58" t="inlineStr">
        <is>
          <t>NAVEL POWEL</t>
        </is>
      </c>
      <c r="D58" t="inlineStr">
        <is>
          <t>Base imponible</t>
        </is>
      </c>
      <c r="E58" t="n">
        <v>877.58</v>
      </c>
      <c r="I58" t="inlineStr"/>
    </row>
    <row r="59">
      <c r="A59" t="n">
        <v>1178</v>
      </c>
      <c r="B59" t="inlineStr">
        <is>
          <t>CALZADO GARCIA,FRANCISCO JAVIER</t>
        </is>
      </c>
      <c r="C59" t="inlineStr">
        <is>
          <t>NAVEL POWEL</t>
        </is>
      </c>
      <c r="D59" t="inlineStr">
        <is>
          <t>IVA</t>
        </is>
      </c>
      <c r="E59" t="n">
        <v>105.31</v>
      </c>
      <c r="I59" t="inlineStr"/>
    </row>
    <row r="60">
      <c r="A60" t="n">
        <v>1178</v>
      </c>
      <c r="B60" t="inlineStr">
        <is>
          <t>CALZADO GARCIA,FRANCISCO JAVIER</t>
        </is>
      </c>
      <c r="C60" t="inlineStr">
        <is>
          <t>NAVEL POWEL</t>
        </is>
      </c>
      <c r="D60" t="inlineStr">
        <is>
          <t>Retención</t>
        </is>
      </c>
      <c r="E60" t="n">
        <v>19.66</v>
      </c>
      <c r="I60" t="inlineStr"/>
    </row>
    <row r="61">
      <c r="A61" t="n">
        <v>1178</v>
      </c>
      <c r="B61" t="inlineStr">
        <is>
          <t>CALZADO GARCIA,FRANCISCO JAVIER</t>
        </is>
      </c>
      <c r="C61" t="inlineStr">
        <is>
          <t>NAVEL POWEL</t>
        </is>
      </c>
      <c r="D61" t="inlineStr">
        <is>
          <t>Total</t>
        </is>
      </c>
      <c r="E61" t="n">
        <v>963.23</v>
      </c>
      <c r="I61" t="inlineStr"/>
    </row>
    <row r="62">
      <c r="A62" t="n">
        <v>1205</v>
      </c>
      <c r="B62" t="inlineStr">
        <is>
          <t>OLIVER JIMENEZ,MARIA MERCEDES</t>
        </is>
      </c>
      <c r="C62" t="inlineStr">
        <is>
          <t>LANE LATE</t>
        </is>
      </c>
      <c r="D62" t="inlineStr">
        <is>
          <t>Hectáreas</t>
        </is>
      </c>
      <c r="E62" t="n">
        <v>1.86</v>
      </c>
      <c r="I62" t="inlineStr"/>
    </row>
    <row r="63">
      <c r="A63" t="n">
        <v>1205</v>
      </c>
      <c r="B63" t="inlineStr">
        <is>
          <t>OLIVER JIMENEZ,MARIA MERCEDES</t>
        </is>
      </c>
      <c r="C63" t="inlineStr">
        <is>
          <t>LANE LATE</t>
        </is>
      </c>
      <c r="D63" t="inlineStr">
        <is>
          <t>Cuota teórica</t>
        </is>
      </c>
      <c r="E63" t="n">
        <v>362.7</v>
      </c>
      <c r="I63" t="inlineStr"/>
    </row>
    <row r="64">
      <c r="A64" t="n">
        <v>1205</v>
      </c>
      <c r="B64" t="inlineStr">
        <is>
          <t>OLIVER JIMENEZ,MARIA MERCEDES</t>
        </is>
      </c>
      <c r="C64" t="inlineStr">
        <is>
          <t>LANE LATE</t>
        </is>
      </c>
      <c r="D64" t="inlineStr">
        <is>
          <t>Kg campaña</t>
        </is>
      </c>
      <c r="E64" t="n">
        <v>43580</v>
      </c>
      <c r="I64" t="inlineStr"/>
    </row>
    <row r="65">
      <c r="A65" t="n">
        <v>1205</v>
      </c>
      <c r="B65" t="inlineStr">
        <is>
          <t>OLIVER JIMENEZ,MARIA MERCEDES</t>
        </is>
      </c>
      <c r="C65" t="inlineStr">
        <is>
          <t>LANE LATE</t>
        </is>
      </c>
      <c r="D65" t="inlineStr">
        <is>
          <t>Índice</t>
        </is>
      </c>
      <c r="E65" t="n">
        <v>0.008322625057365763</v>
      </c>
      <c r="I65" t="inlineStr"/>
    </row>
    <row r="66">
      <c r="A66" t="n">
        <v>1205</v>
      </c>
      <c r="B66" t="inlineStr">
        <is>
          <t>OLIVER JIMENEZ,MARIA MERCEDES</t>
        </is>
      </c>
      <c r="C66" t="inlineStr">
        <is>
          <t>LANE LATE</t>
        </is>
      </c>
      <c r="D66" t="inlineStr">
        <is>
          <t>Kg remesa</t>
        </is>
      </c>
      <c r="E66" t="n">
        <v>1413</v>
      </c>
      <c r="I66" t="inlineStr"/>
    </row>
    <row r="67">
      <c r="A67" t="n">
        <v>1205</v>
      </c>
      <c r="B67" t="inlineStr">
        <is>
          <t>OLIVER JIMENEZ,MARIA MERCEDES</t>
        </is>
      </c>
      <c r="C67" t="inlineStr">
        <is>
          <t>LANE LATE</t>
        </is>
      </c>
      <c r="D67" t="inlineStr">
        <is>
          <t>Cuota parcial</t>
        </is>
      </c>
      <c r="E67" t="n">
        <v>11.76</v>
      </c>
      <c r="I67" t="inlineStr"/>
    </row>
    <row r="68">
      <c r="A68" t="n">
        <v>1205</v>
      </c>
      <c r="B68" t="inlineStr">
        <is>
          <t>OLIVER JIMENEZ,MARIA MERCEDES</t>
        </is>
      </c>
      <c r="C68" t="inlineStr">
        <is>
          <t>LANE LATE</t>
        </is>
      </c>
      <c r="D68" t="inlineStr">
        <is>
          <t>Importe bruto</t>
        </is>
      </c>
      <c r="E68" t="n">
        <v>438.03</v>
      </c>
      <c r="I68" t="inlineStr"/>
    </row>
    <row r="69">
      <c r="A69" t="n">
        <v>1205</v>
      </c>
      <c r="B69" t="inlineStr">
        <is>
          <t>OLIVER JIMENEZ,MARIA MERCEDES</t>
        </is>
      </c>
      <c r="C69" t="inlineStr">
        <is>
          <t>LANE LATE</t>
        </is>
      </c>
      <c r="D69" t="inlineStr">
        <is>
          <t>Recolección</t>
        </is>
      </c>
      <c r="E69" t="n">
        <v>88.31</v>
      </c>
      <c r="I69" t="inlineStr"/>
    </row>
    <row r="70">
      <c r="A70" t="n">
        <v>1205</v>
      </c>
      <c r="B70" t="inlineStr">
        <is>
          <t>OLIVER JIMENEZ,MARIA MERCEDES</t>
        </is>
      </c>
      <c r="C70" t="inlineStr">
        <is>
          <t>LANE LATE</t>
        </is>
      </c>
      <c r="D70" t="inlineStr">
        <is>
          <t>Transporte</t>
        </is>
      </c>
      <c r="E70" t="n">
        <v>-15.68</v>
      </c>
      <c r="I70" t="inlineStr"/>
    </row>
    <row r="71">
      <c r="A71" t="n">
        <v>1205</v>
      </c>
      <c r="B71" t="inlineStr">
        <is>
          <t>OLIVER JIMENEZ,MARIA MERCEDES</t>
        </is>
      </c>
      <c r="C71" t="inlineStr">
        <is>
          <t>LANE LATE</t>
        </is>
      </c>
      <c r="D71" t="inlineStr">
        <is>
          <t>Calidad</t>
        </is>
      </c>
      <c r="E71" t="n">
        <v>0</v>
      </c>
      <c r="I71" t="inlineStr"/>
    </row>
    <row r="72">
      <c r="A72" t="n">
        <v>1205</v>
      </c>
      <c r="B72" t="inlineStr">
        <is>
          <t>OLIVER JIMENEZ,MARIA MERCEDES</t>
        </is>
      </c>
      <c r="C72" t="inlineStr">
        <is>
          <t>LANE LATE</t>
        </is>
      </c>
      <c r="D72" t="inlineStr">
        <is>
          <t>GlobalGAP</t>
        </is>
      </c>
      <c r="E72" t="n">
        <v>0</v>
      </c>
      <c r="I72" t="inlineStr"/>
    </row>
    <row r="73">
      <c r="A73" t="n">
        <v>1205</v>
      </c>
      <c r="B73" t="inlineStr">
        <is>
          <t>OLIVER JIMENEZ,MARIA MERCEDES</t>
        </is>
      </c>
      <c r="C73" t="inlineStr">
        <is>
          <t>LANE LATE</t>
        </is>
      </c>
      <c r="D73" t="inlineStr">
        <is>
          <t>Base imponible</t>
        </is>
      </c>
      <c r="E73" t="n">
        <v>322.28</v>
      </c>
      <c r="I73" t="inlineStr"/>
    </row>
    <row r="74">
      <c r="A74" t="n">
        <v>1205</v>
      </c>
      <c r="B74" t="inlineStr">
        <is>
          <t>OLIVER JIMENEZ,MARIA MERCEDES</t>
        </is>
      </c>
      <c r="C74" t="inlineStr">
        <is>
          <t>LANE LATE</t>
        </is>
      </c>
      <c r="D74" t="inlineStr">
        <is>
          <t>IVA</t>
        </is>
      </c>
      <c r="E74" t="n">
        <v>38.67</v>
      </c>
      <c r="I74" t="inlineStr"/>
    </row>
    <row r="75">
      <c r="A75" t="n">
        <v>1205</v>
      </c>
      <c r="B75" t="inlineStr">
        <is>
          <t>OLIVER JIMENEZ,MARIA MERCEDES</t>
        </is>
      </c>
      <c r="C75" t="inlineStr">
        <is>
          <t>LANE LATE</t>
        </is>
      </c>
      <c r="D75" t="inlineStr">
        <is>
          <t>Retención</t>
        </is>
      </c>
      <c r="E75" t="n">
        <v>7.22</v>
      </c>
      <c r="I75" t="inlineStr"/>
    </row>
    <row r="76">
      <c r="A76" t="n">
        <v>1205</v>
      </c>
      <c r="B76" t="inlineStr">
        <is>
          <t>OLIVER JIMENEZ,MARIA MERCEDES</t>
        </is>
      </c>
      <c r="C76" t="inlineStr">
        <is>
          <t>LANE LATE</t>
        </is>
      </c>
      <c r="D76" t="inlineStr">
        <is>
          <t>Total</t>
        </is>
      </c>
      <c r="E76" t="n">
        <v>353.73</v>
      </c>
      <c r="I76" t="inlineStr"/>
    </row>
    <row r="77">
      <c r="A77" t="n">
        <v>1255</v>
      </c>
      <c r="B77" t="inlineStr">
        <is>
          <t>CHAMIZO AGREDANO,JUAN</t>
        </is>
      </c>
      <c r="C77" t="inlineStr">
        <is>
          <t>LANE LATE</t>
        </is>
      </c>
      <c r="D77" t="inlineStr">
        <is>
          <t>Hectáreas</t>
        </is>
      </c>
      <c r="E77" t="n">
        <v>0.98</v>
      </c>
      <c r="I77" t="inlineStr"/>
    </row>
    <row r="78">
      <c r="A78" t="n">
        <v>1255</v>
      </c>
      <c r="B78" t="inlineStr">
        <is>
          <t>CHAMIZO AGREDANO,JUAN</t>
        </is>
      </c>
      <c r="C78" t="inlineStr">
        <is>
          <t>LANE LATE</t>
        </is>
      </c>
      <c r="D78" t="inlineStr">
        <is>
          <t>Cuota teórica</t>
        </is>
      </c>
      <c r="E78" t="n">
        <v>191.1</v>
      </c>
      <c r="I78" t="inlineStr"/>
    </row>
    <row r="79">
      <c r="A79" t="n">
        <v>1255</v>
      </c>
      <c r="B79" t="inlineStr">
        <is>
          <t>CHAMIZO AGREDANO,JUAN</t>
        </is>
      </c>
      <c r="C79" t="inlineStr">
        <is>
          <t>LANE LATE</t>
        </is>
      </c>
      <c r="D79" t="inlineStr">
        <is>
          <t>Kg campaña</t>
        </is>
      </c>
      <c r="E79" t="n">
        <v>29489</v>
      </c>
      <c r="I79" t="inlineStr"/>
    </row>
    <row r="80">
      <c r="A80" t="n">
        <v>1255</v>
      </c>
      <c r="B80" t="inlineStr">
        <is>
          <t>CHAMIZO AGREDANO,JUAN</t>
        </is>
      </c>
      <c r="C80" t="inlineStr">
        <is>
          <t>LANE LATE</t>
        </is>
      </c>
      <c r="D80" t="inlineStr">
        <is>
          <t>Índice</t>
        </is>
      </c>
      <c r="E80" t="n">
        <v>0.00648038251551426</v>
      </c>
      <c r="I80" t="inlineStr"/>
    </row>
    <row r="81">
      <c r="A81" t="n">
        <v>1255</v>
      </c>
      <c r="B81" t="inlineStr">
        <is>
          <t>CHAMIZO AGREDANO,JUAN</t>
        </is>
      </c>
      <c r="C81" t="inlineStr">
        <is>
          <t>LANE LATE</t>
        </is>
      </c>
      <c r="D81" t="inlineStr">
        <is>
          <t>Kg remesa</t>
        </is>
      </c>
      <c r="E81" t="n">
        <v>382</v>
      </c>
      <c r="I81" t="inlineStr"/>
    </row>
    <row r="82">
      <c r="A82" t="n">
        <v>1255</v>
      </c>
      <c r="B82" t="inlineStr">
        <is>
          <t>CHAMIZO AGREDANO,JUAN</t>
        </is>
      </c>
      <c r="C82" t="inlineStr">
        <is>
          <t>LANE LATE</t>
        </is>
      </c>
      <c r="D82" t="inlineStr">
        <is>
          <t>Cuota parcial</t>
        </is>
      </c>
      <c r="E82" t="n">
        <v>2.48</v>
      </c>
      <c r="I82" t="inlineStr"/>
    </row>
    <row r="83">
      <c r="A83" t="n">
        <v>1255</v>
      </c>
      <c r="B83" t="inlineStr">
        <is>
          <t>CHAMIZO AGREDANO,JUAN</t>
        </is>
      </c>
      <c r="C83" t="inlineStr">
        <is>
          <t>LANE LATE</t>
        </is>
      </c>
      <c r="D83" t="inlineStr">
        <is>
          <t>Importe bruto</t>
        </is>
      </c>
      <c r="E83" t="n">
        <v>118.42</v>
      </c>
      <c r="I83" t="inlineStr"/>
    </row>
    <row r="84">
      <c r="A84" t="n">
        <v>1255</v>
      </c>
      <c r="B84" t="inlineStr">
        <is>
          <t>CHAMIZO AGREDANO,JUAN</t>
        </is>
      </c>
      <c r="C84" t="inlineStr">
        <is>
          <t>LANE LATE</t>
        </is>
      </c>
      <c r="D84" t="inlineStr">
        <is>
          <t>Recolección</t>
        </is>
      </c>
      <c r="E84" t="n">
        <v>23.87</v>
      </c>
      <c r="I84" t="inlineStr"/>
    </row>
    <row r="85">
      <c r="A85" t="n">
        <v>1255</v>
      </c>
      <c r="B85" t="inlineStr">
        <is>
          <t>CHAMIZO AGREDANO,JUAN</t>
        </is>
      </c>
      <c r="C85" t="inlineStr">
        <is>
          <t>LANE LATE</t>
        </is>
      </c>
      <c r="D85" t="inlineStr">
        <is>
          <t>Transporte</t>
        </is>
      </c>
      <c r="E85" t="n">
        <v>-4.24</v>
      </c>
      <c r="I85" t="inlineStr"/>
    </row>
    <row r="86">
      <c r="A86" t="n">
        <v>1255</v>
      </c>
      <c r="B86" t="inlineStr">
        <is>
          <t>CHAMIZO AGREDANO,JUAN</t>
        </is>
      </c>
      <c r="C86" t="inlineStr">
        <is>
          <t>LANE LATE</t>
        </is>
      </c>
      <c r="D86" t="inlineStr">
        <is>
          <t>Calidad</t>
        </is>
      </c>
      <c r="E86" t="n">
        <v>0</v>
      </c>
      <c r="I86" t="inlineStr"/>
    </row>
    <row r="87">
      <c r="A87" t="n">
        <v>1255</v>
      </c>
      <c r="B87" t="inlineStr">
        <is>
          <t>CHAMIZO AGREDANO,JUAN</t>
        </is>
      </c>
      <c r="C87" t="inlineStr">
        <is>
          <t>LANE LATE</t>
        </is>
      </c>
      <c r="D87" t="inlineStr">
        <is>
          <t>GlobalGAP</t>
        </is>
      </c>
      <c r="E87" t="n">
        <v>0</v>
      </c>
      <c r="I87" t="inlineStr"/>
    </row>
    <row r="88">
      <c r="A88" t="n">
        <v>1255</v>
      </c>
      <c r="B88" t="inlineStr">
        <is>
          <t>CHAMIZO AGREDANO,JUAN</t>
        </is>
      </c>
      <c r="C88" t="inlineStr">
        <is>
          <t>LANE LATE</t>
        </is>
      </c>
      <c r="D88" t="inlineStr">
        <is>
          <t>Base imponible</t>
        </is>
      </c>
      <c r="E88" t="n">
        <v>87.83</v>
      </c>
      <c r="I88" t="inlineStr"/>
    </row>
    <row r="89">
      <c r="A89" t="n">
        <v>1255</v>
      </c>
      <c r="B89" t="inlineStr">
        <is>
          <t>CHAMIZO AGREDANO,JUAN</t>
        </is>
      </c>
      <c r="C89" t="inlineStr">
        <is>
          <t>LANE LATE</t>
        </is>
      </c>
      <c r="D89" t="inlineStr">
        <is>
          <t>IVA</t>
        </is>
      </c>
      <c r="E89" t="n">
        <v>10.54</v>
      </c>
      <c r="I89" t="inlineStr"/>
    </row>
    <row r="90">
      <c r="A90" t="n">
        <v>1255</v>
      </c>
      <c r="B90" t="inlineStr">
        <is>
          <t>CHAMIZO AGREDANO,JUAN</t>
        </is>
      </c>
      <c r="C90" t="inlineStr">
        <is>
          <t>LANE LATE</t>
        </is>
      </c>
      <c r="D90" t="inlineStr">
        <is>
          <t>Retención</t>
        </is>
      </c>
      <c r="E90" t="n">
        <v>1.97</v>
      </c>
      <c r="I90" t="inlineStr"/>
    </row>
    <row r="91">
      <c r="A91" t="n">
        <v>1255</v>
      </c>
      <c r="B91" t="inlineStr">
        <is>
          <t>CHAMIZO AGREDANO,JUAN</t>
        </is>
      </c>
      <c r="C91" t="inlineStr">
        <is>
          <t>LANE LATE</t>
        </is>
      </c>
      <c r="D91" t="inlineStr">
        <is>
          <t>Total</t>
        </is>
      </c>
      <c r="E91" t="n">
        <v>96.40000000000001</v>
      </c>
      <c r="I91" t="inlineStr"/>
    </row>
    <row r="92">
      <c r="A92" t="n">
        <v>1272</v>
      </c>
      <c r="B92" t="inlineStr">
        <is>
          <t>HERMANOS GONZALEZ ROLDAN,S.C.</t>
        </is>
      </c>
      <c r="C92" t="inlineStr">
        <is>
          <t>LANE LATE</t>
        </is>
      </c>
      <c r="D92" t="inlineStr">
        <is>
          <t>Hectáreas</t>
        </is>
      </c>
      <c r="E92" t="n">
        <v>60.01</v>
      </c>
      <c r="I92" t="inlineStr"/>
    </row>
    <row r="93">
      <c r="A93" t="n">
        <v>1272</v>
      </c>
      <c r="B93" t="inlineStr">
        <is>
          <t>HERMANOS GONZALEZ ROLDAN,S.C.</t>
        </is>
      </c>
      <c r="C93" t="inlineStr">
        <is>
          <t>LANE LATE</t>
        </is>
      </c>
      <c r="D93" t="inlineStr">
        <is>
          <t>Cuota teórica</t>
        </is>
      </c>
      <c r="E93" t="n">
        <v>11701.95</v>
      </c>
      <c r="I93" t="inlineStr"/>
    </row>
    <row r="94">
      <c r="A94" t="n">
        <v>1272</v>
      </c>
      <c r="B94" t="inlineStr">
        <is>
          <t>HERMANOS GONZALEZ ROLDAN,S.C.</t>
        </is>
      </c>
      <c r="C94" t="inlineStr">
        <is>
          <t>LANE LATE</t>
        </is>
      </c>
      <c r="D94" t="inlineStr">
        <is>
          <t>Kg campaña</t>
        </is>
      </c>
      <c r="E94" t="n">
        <v>636702</v>
      </c>
      <c r="I94" t="inlineStr"/>
    </row>
    <row r="95">
      <c r="A95" t="n">
        <v>1272</v>
      </c>
      <c r="B95" t="inlineStr">
        <is>
          <t>HERMANOS GONZALEZ ROLDAN,S.C.</t>
        </is>
      </c>
      <c r="C95" t="inlineStr">
        <is>
          <t>LANE LATE</t>
        </is>
      </c>
      <c r="D95" t="inlineStr">
        <is>
          <t>Índice</t>
        </is>
      </c>
      <c r="E95" t="n">
        <v>0.01837900619127944</v>
      </c>
      <c r="I95" t="inlineStr"/>
    </row>
    <row r="96">
      <c r="A96" t="n">
        <v>1272</v>
      </c>
      <c r="B96" t="inlineStr">
        <is>
          <t>HERMANOS GONZALEZ ROLDAN,S.C.</t>
        </is>
      </c>
      <c r="C96" t="inlineStr">
        <is>
          <t>LANE LATE</t>
        </is>
      </c>
      <c r="D96" t="inlineStr">
        <is>
          <t>Kg remesa</t>
        </is>
      </c>
      <c r="E96" t="n">
        <v>955</v>
      </c>
      <c r="I96" t="inlineStr"/>
    </row>
    <row r="97">
      <c r="A97" t="n">
        <v>1272</v>
      </c>
      <c r="B97" t="inlineStr">
        <is>
          <t>HERMANOS GONZALEZ ROLDAN,S.C.</t>
        </is>
      </c>
      <c r="C97" t="inlineStr">
        <is>
          <t>LANE LATE</t>
        </is>
      </c>
      <c r="D97" t="inlineStr">
        <is>
          <t>Cuota parcial</t>
        </is>
      </c>
      <c r="E97" t="n">
        <v>17.55</v>
      </c>
      <c r="I97" t="inlineStr"/>
    </row>
    <row r="98">
      <c r="A98" t="n">
        <v>1272</v>
      </c>
      <c r="B98" t="inlineStr">
        <is>
          <t>HERMANOS GONZALEZ ROLDAN,S.C.</t>
        </is>
      </c>
      <c r="C98" t="inlineStr">
        <is>
          <t>LANE LATE</t>
        </is>
      </c>
      <c r="D98" t="inlineStr">
        <is>
          <t>Importe bruto</t>
        </is>
      </c>
      <c r="E98" t="n">
        <v>296.05</v>
      </c>
      <c r="I98" t="inlineStr"/>
    </row>
    <row r="99">
      <c r="A99" t="n">
        <v>1272</v>
      </c>
      <c r="B99" t="inlineStr">
        <is>
          <t>HERMANOS GONZALEZ ROLDAN,S.C.</t>
        </is>
      </c>
      <c r="C99" t="inlineStr">
        <is>
          <t>LANE LATE</t>
        </is>
      </c>
      <c r="D99" t="inlineStr">
        <is>
          <t>Recolección</t>
        </is>
      </c>
      <c r="E99" t="n">
        <v>59.69</v>
      </c>
      <c r="I99" t="inlineStr"/>
    </row>
    <row r="100">
      <c r="A100" t="n">
        <v>1272</v>
      </c>
      <c r="B100" t="inlineStr">
        <is>
          <t>HERMANOS GONZALEZ ROLDAN,S.C.</t>
        </is>
      </c>
      <c r="C100" t="inlineStr">
        <is>
          <t>LANE LATE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1272</v>
      </c>
      <c r="B101" t="inlineStr">
        <is>
          <t>HERMANOS GONZALEZ ROLDAN,S.C.</t>
        </is>
      </c>
      <c r="C101" t="inlineStr">
        <is>
          <t>LANE LATE</t>
        </is>
      </c>
      <c r="D101" t="inlineStr">
        <is>
          <t>Calidad</t>
        </is>
      </c>
      <c r="E101" t="n">
        <v>0</v>
      </c>
      <c r="I101" t="inlineStr"/>
    </row>
    <row r="102">
      <c r="A102" t="n">
        <v>1272</v>
      </c>
      <c r="B102" t="inlineStr">
        <is>
          <t>HERMANOS GONZALEZ ROLDAN,S.C.</t>
        </is>
      </c>
      <c r="C102" t="inlineStr">
        <is>
          <t>LANE LATE</t>
        </is>
      </c>
      <c r="D102" t="inlineStr">
        <is>
          <t>GlobalGAP</t>
        </is>
      </c>
      <c r="E102" t="n">
        <v>0</v>
      </c>
      <c r="I102" t="inlineStr"/>
    </row>
    <row r="103">
      <c r="A103" t="n">
        <v>1272</v>
      </c>
      <c r="B103" t="inlineStr">
        <is>
          <t>HERMANOS GONZALEZ ROLDAN,S.C.</t>
        </is>
      </c>
      <c r="C103" t="inlineStr">
        <is>
          <t>LANE LATE</t>
        </is>
      </c>
      <c r="D103" t="inlineStr">
        <is>
          <t>Base imponible</t>
        </is>
      </c>
      <c r="E103" t="n">
        <v>218.81</v>
      </c>
      <c r="I103" t="inlineStr"/>
    </row>
    <row r="104">
      <c r="A104" t="n">
        <v>1272</v>
      </c>
      <c r="B104" t="inlineStr">
        <is>
          <t>HERMANOS GONZALEZ ROLDAN,S.C.</t>
        </is>
      </c>
      <c r="C104" t="inlineStr">
        <is>
          <t>LANE LATE</t>
        </is>
      </c>
      <c r="D104" t="inlineStr">
        <is>
          <t>IVA</t>
        </is>
      </c>
      <c r="E104" t="n">
        <v>26.26</v>
      </c>
      <c r="I104" t="inlineStr"/>
    </row>
    <row r="105">
      <c r="A105" t="n">
        <v>1272</v>
      </c>
      <c r="B105" t="inlineStr">
        <is>
          <t>HERMANOS GONZALEZ ROLDAN,S.C.</t>
        </is>
      </c>
      <c r="C105" t="inlineStr">
        <is>
          <t>LANE LATE</t>
        </is>
      </c>
      <c r="D105" t="inlineStr">
        <is>
          <t>Retención</t>
        </is>
      </c>
      <c r="E105" t="n">
        <v>4.9</v>
      </c>
      <c r="I105" t="inlineStr"/>
    </row>
    <row r="106">
      <c r="A106" t="n">
        <v>1272</v>
      </c>
      <c r="B106" t="inlineStr">
        <is>
          <t>HERMANOS GONZALEZ ROLDAN,S.C.</t>
        </is>
      </c>
      <c r="C106" t="inlineStr">
        <is>
          <t>LANE LATE</t>
        </is>
      </c>
      <c r="D106" t="inlineStr">
        <is>
          <t>Total</t>
        </is>
      </c>
      <c r="E106" t="n">
        <v>240.17</v>
      </c>
      <c r="I106" t="inlineStr"/>
    </row>
    <row r="107">
      <c r="A107" t="n">
        <v>1415</v>
      </c>
      <c r="B107" t="inlineStr">
        <is>
          <t>TOMENO SUAREZ,FERNANDO</t>
        </is>
      </c>
      <c r="C107" t="inlineStr">
        <is>
          <t>BARNFIELD</t>
        </is>
      </c>
      <c r="D107" t="inlineStr">
        <is>
          <t>Hectáreas</t>
        </is>
      </c>
      <c r="E107" t="n">
        <v>7.49</v>
      </c>
      <c r="I107" t="inlineStr"/>
    </row>
    <row r="108">
      <c r="A108" t="n">
        <v>1415</v>
      </c>
      <c r="B108" t="inlineStr">
        <is>
          <t>TOMENO SUAREZ,FERNANDO</t>
        </is>
      </c>
      <c r="C108" t="inlineStr">
        <is>
          <t>BARNFIELD</t>
        </is>
      </c>
      <c r="D108" t="inlineStr">
        <is>
          <t>Cuota teórica</t>
        </is>
      </c>
      <c r="E108" t="n">
        <v>1460.55</v>
      </c>
      <c r="I108" t="inlineStr"/>
    </row>
    <row r="109">
      <c r="A109" t="n">
        <v>1415</v>
      </c>
      <c r="B109" t="inlineStr">
        <is>
          <t>TOMENO SUAREZ,FERNANDO</t>
        </is>
      </c>
      <c r="C109" t="inlineStr">
        <is>
          <t>BARNFIELD</t>
        </is>
      </c>
      <c r="D109" t="inlineStr">
        <is>
          <t>Kg campaña</t>
        </is>
      </c>
      <c r="E109" t="n">
        <v>414468</v>
      </c>
      <c r="I109" t="inlineStr"/>
    </row>
    <row r="110">
      <c r="A110" t="n">
        <v>1415</v>
      </c>
      <c r="B110" t="inlineStr">
        <is>
          <t>TOMENO SUAREZ,FERNANDO</t>
        </is>
      </c>
      <c r="C110" t="inlineStr">
        <is>
          <t>BARNFIELD</t>
        </is>
      </c>
      <c r="D110" t="inlineStr">
        <is>
          <t>Índice</t>
        </is>
      </c>
      <c r="E110" t="n">
        <v>0.003523914994643736</v>
      </c>
      <c r="I110" t="inlineStr"/>
    </row>
    <row r="111">
      <c r="A111" t="n">
        <v>1415</v>
      </c>
      <c r="B111" t="inlineStr">
        <is>
          <t>TOMENO SUAREZ,FERNANDO</t>
        </is>
      </c>
      <c r="C111" t="inlineStr">
        <is>
          <t>BARNFIELD</t>
        </is>
      </c>
      <c r="D111" t="inlineStr">
        <is>
          <t>Kg remesa</t>
        </is>
      </c>
      <c r="E111" t="n">
        <v>3543</v>
      </c>
      <c r="I111" t="inlineStr"/>
    </row>
    <row r="112">
      <c r="A112" t="n">
        <v>1415</v>
      </c>
      <c r="B112" t="inlineStr">
        <is>
          <t>TOMENO SUAREZ,FERNANDO</t>
        </is>
      </c>
      <c r="C112" t="inlineStr">
        <is>
          <t>BARNFIELD</t>
        </is>
      </c>
      <c r="D112" t="inlineStr">
        <is>
          <t>Cuota parcial</t>
        </is>
      </c>
      <c r="E112" t="n">
        <v>12.49</v>
      </c>
      <c r="I112" t="inlineStr"/>
    </row>
    <row r="113">
      <c r="A113" t="n">
        <v>1415</v>
      </c>
      <c r="B113" t="inlineStr">
        <is>
          <t>TOMENO SUAREZ,FERNANDO</t>
        </is>
      </c>
      <c r="C113" t="inlineStr">
        <is>
          <t>BARNFIELD</t>
        </is>
      </c>
      <c r="D113" t="inlineStr">
        <is>
          <t>Importe bruto</t>
        </is>
      </c>
      <c r="E113" t="n">
        <v>1098.33</v>
      </c>
      <c r="I113" t="inlineStr"/>
    </row>
    <row r="114">
      <c r="A114" t="n">
        <v>1415</v>
      </c>
      <c r="B114" t="inlineStr">
        <is>
          <t>TOMENO SUAREZ,FERNANDO</t>
        </is>
      </c>
      <c r="C114" t="inlineStr">
        <is>
          <t>BARNFIELD</t>
        </is>
      </c>
      <c r="D114" t="inlineStr">
        <is>
          <t>Recolección</t>
        </is>
      </c>
      <c r="E114" t="n">
        <v>0</v>
      </c>
      <c r="I114" t="inlineStr"/>
    </row>
    <row r="115">
      <c r="A115" t="n">
        <v>1415</v>
      </c>
      <c r="B115" t="inlineStr">
        <is>
          <t>TOMENO SUAREZ,FERNANDO</t>
        </is>
      </c>
      <c r="C115" t="inlineStr">
        <is>
          <t>BARNFIELD</t>
        </is>
      </c>
      <c r="D115" t="inlineStr">
        <is>
          <t>Transporte</t>
        </is>
      </c>
      <c r="E115" t="n">
        <v>-12.01</v>
      </c>
      <c r="I115" t="inlineStr"/>
    </row>
    <row r="116">
      <c r="A116" t="n">
        <v>1415</v>
      </c>
      <c r="B116" t="inlineStr">
        <is>
          <t>TOMENO SUAREZ,FERNANDO</t>
        </is>
      </c>
      <c r="C116" t="inlineStr">
        <is>
          <t>BARNFIELD</t>
        </is>
      </c>
      <c r="D116" t="inlineStr">
        <is>
          <t>Calidad</t>
        </is>
      </c>
      <c r="E116" t="n">
        <v>0</v>
      </c>
      <c r="I116" t="inlineStr"/>
    </row>
    <row r="117">
      <c r="A117" t="n">
        <v>1415</v>
      </c>
      <c r="B117" t="inlineStr">
        <is>
          <t>TOMENO SUAREZ,FERNANDO</t>
        </is>
      </c>
      <c r="C117" t="inlineStr">
        <is>
          <t>BARNFIELD</t>
        </is>
      </c>
      <c r="D117" t="inlineStr">
        <is>
          <t>GlobalGAP</t>
        </is>
      </c>
      <c r="E117" t="n">
        <v>0</v>
      </c>
      <c r="I117" t="inlineStr"/>
    </row>
    <row r="118">
      <c r="A118" t="n">
        <v>1415</v>
      </c>
      <c r="B118" t="inlineStr">
        <is>
          <t>TOMENO SUAREZ,FERNANDO</t>
        </is>
      </c>
      <c r="C118" t="inlineStr">
        <is>
          <t>BARNFIELD</t>
        </is>
      </c>
      <c r="D118" t="inlineStr">
        <is>
          <t>Base imponible</t>
        </is>
      </c>
      <c r="E118" t="n">
        <v>1073.83</v>
      </c>
      <c r="I118" t="inlineStr"/>
    </row>
    <row r="119">
      <c r="A119" t="n">
        <v>1415</v>
      </c>
      <c r="B119" t="inlineStr">
        <is>
          <t>TOMENO SUAREZ,FERNANDO</t>
        </is>
      </c>
      <c r="C119" t="inlineStr">
        <is>
          <t>BARNFIELD</t>
        </is>
      </c>
      <c r="D119" t="inlineStr">
        <is>
          <t>IVA</t>
        </is>
      </c>
      <c r="E119" t="n">
        <v>128.86</v>
      </c>
      <c r="I119" t="inlineStr"/>
    </row>
    <row r="120">
      <c r="A120" t="n">
        <v>1415</v>
      </c>
      <c r="B120" t="inlineStr">
        <is>
          <t>TOMENO SUAREZ,FERNANDO</t>
        </is>
      </c>
      <c r="C120" t="inlineStr">
        <is>
          <t>BARNFIELD</t>
        </is>
      </c>
      <c r="D120" t="inlineStr">
        <is>
          <t>Retención</t>
        </is>
      </c>
      <c r="E120" t="n">
        <v>24.05</v>
      </c>
      <c r="I120" t="inlineStr"/>
    </row>
    <row r="121">
      <c r="A121" t="n">
        <v>1415</v>
      </c>
      <c r="B121" t="inlineStr">
        <is>
          <t>TOMENO SUAREZ,FERNANDO</t>
        </is>
      </c>
      <c r="C121" t="inlineStr">
        <is>
          <t>BARNFIELD</t>
        </is>
      </c>
      <c r="D121" t="inlineStr">
        <is>
          <t>Total</t>
        </is>
      </c>
      <c r="E121" t="n">
        <v>1178.64</v>
      </c>
      <c r="I121" t="inlineStr"/>
    </row>
    <row r="122">
      <c r="A122" t="n">
        <v>1415</v>
      </c>
      <c r="B122" t="inlineStr">
        <is>
          <t>TOMENO SUAREZ,FERNANDO</t>
        </is>
      </c>
      <c r="C122" t="inlineStr">
        <is>
          <t>LANE LATE</t>
        </is>
      </c>
      <c r="D122" t="inlineStr">
        <is>
          <t>Hectáreas</t>
        </is>
      </c>
      <c r="E122" t="n">
        <v>7.49</v>
      </c>
      <c r="I122" t="inlineStr"/>
    </row>
    <row r="123">
      <c r="A123" t="n">
        <v>1415</v>
      </c>
      <c r="B123" t="inlineStr">
        <is>
          <t>TOMENO SUAREZ,FERNANDO</t>
        </is>
      </c>
      <c r="C123" t="inlineStr">
        <is>
          <t>LANE LATE</t>
        </is>
      </c>
      <c r="D123" t="inlineStr">
        <is>
          <t>Cuota teórica</t>
        </is>
      </c>
      <c r="E123" t="n">
        <v>1460.55</v>
      </c>
      <c r="I123" t="inlineStr"/>
    </row>
    <row r="124">
      <c r="A124" t="n">
        <v>1415</v>
      </c>
      <c r="B124" t="inlineStr">
        <is>
          <t>TOMENO SUAREZ,FERNANDO</t>
        </is>
      </c>
      <c r="C124" t="inlineStr">
        <is>
          <t>LANE LATE</t>
        </is>
      </c>
      <c r="D124" t="inlineStr">
        <is>
          <t>Kg campaña</t>
        </is>
      </c>
      <c r="E124" t="n">
        <v>414468</v>
      </c>
      <c r="I124" t="inlineStr"/>
    </row>
    <row r="125">
      <c r="A125" t="n">
        <v>1415</v>
      </c>
      <c r="B125" t="inlineStr">
        <is>
          <t>TOMENO SUAREZ,FERNANDO</t>
        </is>
      </c>
      <c r="C125" t="inlineStr">
        <is>
          <t>LANE LATE</t>
        </is>
      </c>
      <c r="D125" t="inlineStr">
        <is>
          <t>Índice</t>
        </is>
      </c>
      <c r="E125" t="n">
        <v>0.003523914994643736</v>
      </c>
      <c r="I125" t="inlineStr"/>
    </row>
    <row r="126">
      <c r="A126" t="n">
        <v>1415</v>
      </c>
      <c r="B126" t="inlineStr">
        <is>
          <t>TOMENO SUAREZ,FERNANDO</t>
        </is>
      </c>
      <c r="C126" t="inlineStr">
        <is>
          <t>LANE LATE</t>
        </is>
      </c>
      <c r="D126" t="inlineStr">
        <is>
          <t>Kg remesa</t>
        </is>
      </c>
      <c r="E126" t="n">
        <v>6720</v>
      </c>
      <c r="I126" t="inlineStr"/>
    </row>
    <row r="127">
      <c r="A127" t="n">
        <v>1415</v>
      </c>
      <c r="B127" t="inlineStr">
        <is>
          <t>TOMENO SUAREZ,FERNANDO</t>
        </is>
      </c>
      <c r="C127" t="inlineStr">
        <is>
          <t>LANE LATE</t>
        </is>
      </c>
      <c r="D127" t="inlineStr">
        <is>
          <t>Cuota parcial</t>
        </is>
      </c>
      <c r="E127" t="n">
        <v>23.68</v>
      </c>
      <c r="I127" t="inlineStr"/>
    </row>
    <row r="128">
      <c r="A128" t="n">
        <v>1415</v>
      </c>
      <c r="B128" t="inlineStr">
        <is>
          <t>TOMENO SUAREZ,FERNANDO</t>
        </is>
      </c>
      <c r="C128" t="inlineStr">
        <is>
          <t>LANE LATE</t>
        </is>
      </c>
      <c r="D128" t="inlineStr">
        <is>
          <t>Importe bruto</t>
        </is>
      </c>
      <c r="E128" t="n">
        <v>2083.2</v>
      </c>
      <c r="I128" t="inlineStr"/>
    </row>
    <row r="129">
      <c r="A129" t="n">
        <v>1415</v>
      </c>
      <c r="B129" t="inlineStr">
        <is>
          <t>TOMENO SUAREZ,FERNANDO</t>
        </is>
      </c>
      <c r="C129" t="inlineStr">
        <is>
          <t>LANE LATE</t>
        </is>
      </c>
      <c r="D129" t="inlineStr">
        <is>
          <t>Recolección</t>
        </is>
      </c>
      <c r="E129" t="n">
        <v>0</v>
      </c>
      <c r="I129" t="inlineStr"/>
    </row>
    <row r="130">
      <c r="A130" t="n">
        <v>1415</v>
      </c>
      <c r="B130" t="inlineStr">
        <is>
          <t>TOMENO SUAREZ,FERNANDO</t>
        </is>
      </c>
      <c r="C130" t="inlineStr">
        <is>
          <t>LANE LATE</t>
        </is>
      </c>
      <c r="D130" t="inlineStr">
        <is>
          <t>Transporte</t>
        </is>
      </c>
      <c r="E130" t="n">
        <v>-39.18</v>
      </c>
      <c r="I130" t="inlineStr"/>
    </row>
    <row r="131">
      <c r="A131" t="n">
        <v>1415</v>
      </c>
      <c r="B131" t="inlineStr">
        <is>
          <t>TOMENO SUAREZ,FERNANDO</t>
        </is>
      </c>
      <c r="C131" t="inlineStr">
        <is>
          <t>LANE LATE</t>
        </is>
      </c>
      <c r="D131" t="inlineStr">
        <is>
          <t>Calidad</t>
        </is>
      </c>
      <c r="E131" t="n">
        <v>0</v>
      </c>
      <c r="I131" t="inlineStr"/>
    </row>
    <row r="132">
      <c r="A132" t="n">
        <v>1415</v>
      </c>
      <c r="B132" t="inlineStr">
        <is>
          <t>TOMENO SUAREZ,FERNANDO</t>
        </is>
      </c>
      <c r="C132" t="inlineStr">
        <is>
          <t>LANE LATE</t>
        </is>
      </c>
      <c r="D132" t="inlineStr">
        <is>
          <t>GlobalGAP</t>
        </is>
      </c>
      <c r="E132" t="n">
        <v>0</v>
      </c>
      <c r="I132" t="inlineStr"/>
    </row>
    <row r="133">
      <c r="A133" t="n">
        <v>1415</v>
      </c>
      <c r="B133" t="inlineStr">
        <is>
          <t>TOMENO SUAREZ,FERNANDO</t>
        </is>
      </c>
      <c r="C133" t="inlineStr">
        <is>
          <t>LANE LATE</t>
        </is>
      </c>
      <c r="D133" t="inlineStr">
        <is>
          <t>Base imponible</t>
        </is>
      </c>
      <c r="E133" t="n">
        <v>2020.34</v>
      </c>
      <c r="I133" t="inlineStr"/>
    </row>
    <row r="134">
      <c r="A134" t="n">
        <v>1415</v>
      </c>
      <c r="B134" t="inlineStr">
        <is>
          <t>TOMENO SUAREZ,FERNANDO</t>
        </is>
      </c>
      <c r="C134" t="inlineStr">
        <is>
          <t>LANE LATE</t>
        </is>
      </c>
      <c r="D134" t="inlineStr">
        <is>
          <t>IVA</t>
        </is>
      </c>
      <c r="E134" t="n">
        <v>242.44</v>
      </c>
      <c r="I134" t="inlineStr"/>
    </row>
    <row r="135">
      <c r="A135" t="n">
        <v>1415</v>
      </c>
      <c r="B135" t="inlineStr">
        <is>
          <t>TOMENO SUAREZ,FERNANDO</t>
        </is>
      </c>
      <c r="C135" t="inlineStr">
        <is>
          <t>LANE LATE</t>
        </is>
      </c>
      <c r="D135" t="inlineStr">
        <is>
          <t>Retención</t>
        </is>
      </c>
      <c r="E135" t="n">
        <v>45.26</v>
      </c>
      <c r="I135" t="inlineStr"/>
    </row>
    <row r="136">
      <c r="A136" t="n">
        <v>1415</v>
      </c>
      <c r="B136" t="inlineStr">
        <is>
          <t>TOMENO SUAREZ,FERNANDO</t>
        </is>
      </c>
      <c r="C136" t="inlineStr">
        <is>
          <t>LANE LATE</t>
        </is>
      </c>
      <c r="D136" t="inlineStr">
        <is>
          <t>Total</t>
        </is>
      </c>
      <c r="E136" t="n">
        <v>2217.53</v>
      </c>
      <c r="I136" t="inlineStr"/>
    </row>
    <row r="137">
      <c r="A137" t="n">
        <v>1445</v>
      </c>
      <c r="B137" t="inlineStr">
        <is>
          <t>REAL GARCIA,MIGUEL</t>
        </is>
      </c>
      <c r="C137" t="inlineStr">
        <is>
          <t>LANE LATE</t>
        </is>
      </c>
      <c r="D137" t="inlineStr">
        <is>
          <t>Hectáreas</t>
        </is>
      </c>
      <c r="E137" t="n">
        <v>8.109999999999999</v>
      </c>
      <c r="I137" t="inlineStr"/>
    </row>
    <row r="138">
      <c r="A138" t="n">
        <v>1445</v>
      </c>
      <c r="B138" t="inlineStr">
        <is>
          <t>REAL GARCIA,MIGUEL</t>
        </is>
      </c>
      <c r="C138" t="inlineStr">
        <is>
          <t>LANE LATE</t>
        </is>
      </c>
      <c r="D138" t="inlineStr">
        <is>
          <t>Cuota teórica</t>
        </is>
      </c>
      <c r="E138" t="n">
        <v>1581.45</v>
      </c>
      <c r="I138" t="inlineStr"/>
    </row>
    <row r="139">
      <c r="A139" t="n">
        <v>1445</v>
      </c>
      <c r="B139" t="inlineStr">
        <is>
          <t>REAL GARCIA,MIGUEL</t>
        </is>
      </c>
      <c r="C139" t="inlineStr">
        <is>
          <t>LANE LATE</t>
        </is>
      </c>
      <c r="D139" t="inlineStr">
        <is>
          <t>Kg campaña</t>
        </is>
      </c>
      <c r="E139" t="n">
        <v>171300</v>
      </c>
      <c r="I139" t="inlineStr"/>
    </row>
    <row r="140">
      <c r="A140" t="n">
        <v>1445</v>
      </c>
      <c r="B140" t="inlineStr">
        <is>
          <t>REAL GARCIA,MIGUEL</t>
        </is>
      </c>
      <c r="C140" t="inlineStr">
        <is>
          <t>LANE LATE</t>
        </is>
      </c>
      <c r="D140" t="inlineStr">
        <is>
          <t>Índice</t>
        </is>
      </c>
      <c r="E140" t="n">
        <v>0.009232049036777584</v>
      </c>
      <c r="I140" t="inlineStr"/>
    </row>
    <row r="141">
      <c r="A141" t="n">
        <v>1445</v>
      </c>
      <c r="B141" t="inlineStr">
        <is>
          <t>REAL GARCIA,MIGUEL</t>
        </is>
      </c>
      <c r="C141" t="inlineStr">
        <is>
          <t>LANE LATE</t>
        </is>
      </c>
      <c r="D141" t="inlineStr">
        <is>
          <t>Kg remesa</t>
        </is>
      </c>
      <c r="E141" t="n">
        <v>2369</v>
      </c>
      <c r="I141" t="inlineStr"/>
    </row>
    <row r="142">
      <c r="A142" t="n">
        <v>1445</v>
      </c>
      <c r="B142" t="inlineStr">
        <is>
          <t>REAL GARCIA,MIGUEL</t>
        </is>
      </c>
      <c r="C142" t="inlineStr">
        <is>
          <t>LANE LATE</t>
        </is>
      </c>
      <c r="D142" t="inlineStr">
        <is>
          <t>Cuota parcial</t>
        </is>
      </c>
      <c r="E142" t="n">
        <v>21.87</v>
      </c>
      <c r="I142" t="inlineStr"/>
    </row>
    <row r="143">
      <c r="A143" t="n">
        <v>1445</v>
      </c>
      <c r="B143" t="inlineStr">
        <is>
          <t>REAL GARCIA,MIGUEL</t>
        </is>
      </c>
      <c r="C143" t="inlineStr">
        <is>
          <t>LANE LATE</t>
        </is>
      </c>
      <c r="D143" t="inlineStr">
        <is>
          <t>Importe bruto</t>
        </is>
      </c>
      <c r="E143" t="n">
        <v>734.39</v>
      </c>
      <c r="I143" t="inlineStr"/>
    </row>
    <row r="144">
      <c r="A144" t="n">
        <v>1445</v>
      </c>
      <c r="B144" t="inlineStr">
        <is>
          <t>REAL GARCIA,MIGUEL</t>
        </is>
      </c>
      <c r="C144" t="inlineStr">
        <is>
          <t>LANE LATE</t>
        </is>
      </c>
      <c r="D144" t="inlineStr">
        <is>
          <t>Recolección</t>
        </is>
      </c>
      <c r="E144" t="n">
        <v>148.06</v>
      </c>
      <c r="I144" t="inlineStr"/>
    </row>
    <row r="145">
      <c r="A145" t="n">
        <v>1445</v>
      </c>
      <c r="B145" t="inlineStr">
        <is>
          <t>REAL GARCIA,MIGUEL</t>
        </is>
      </c>
      <c r="C145" t="inlineStr">
        <is>
          <t>LANE LATE</t>
        </is>
      </c>
      <c r="D145" t="inlineStr">
        <is>
          <t>Transporte</t>
        </is>
      </c>
      <c r="E145" t="n">
        <v>-26.3</v>
      </c>
      <c r="I145" t="inlineStr"/>
    </row>
    <row r="146">
      <c r="A146" t="n">
        <v>1445</v>
      </c>
      <c r="B146" t="inlineStr">
        <is>
          <t>REAL GARCIA,MIGUEL</t>
        </is>
      </c>
      <c r="C146" t="inlineStr">
        <is>
          <t>LANE LATE</t>
        </is>
      </c>
      <c r="D146" t="inlineStr">
        <is>
          <t>Calidad</t>
        </is>
      </c>
      <c r="E146" t="n">
        <v>0</v>
      </c>
      <c r="I146" t="inlineStr"/>
    </row>
    <row r="147">
      <c r="A147" t="n">
        <v>1445</v>
      </c>
      <c r="B147" t="inlineStr">
        <is>
          <t>REAL GARCIA,MIGUEL</t>
        </is>
      </c>
      <c r="C147" t="inlineStr">
        <is>
          <t>LANE LATE</t>
        </is>
      </c>
      <c r="D147" t="inlineStr">
        <is>
          <t>GlobalGAP</t>
        </is>
      </c>
      <c r="E147" t="n">
        <v>0</v>
      </c>
      <c r="I147" t="inlineStr"/>
    </row>
    <row r="148">
      <c r="A148" t="n">
        <v>1445</v>
      </c>
      <c r="B148" t="inlineStr">
        <is>
          <t>REAL GARCIA,MIGUEL</t>
        </is>
      </c>
      <c r="C148" t="inlineStr">
        <is>
          <t>LANE LATE</t>
        </is>
      </c>
      <c r="D148" t="inlineStr">
        <is>
          <t>Base imponible</t>
        </is>
      </c>
      <c r="E148" t="n">
        <v>538.16</v>
      </c>
      <c r="I148" t="inlineStr"/>
    </row>
    <row r="149">
      <c r="A149" t="n">
        <v>1445</v>
      </c>
      <c r="B149" t="inlineStr">
        <is>
          <t>REAL GARCIA,MIGUEL</t>
        </is>
      </c>
      <c r="C149" t="inlineStr">
        <is>
          <t>LANE LATE</t>
        </is>
      </c>
      <c r="D149" t="inlineStr">
        <is>
          <t>IVA</t>
        </is>
      </c>
      <c r="E149" t="n">
        <v>64.58</v>
      </c>
      <c r="I149" t="inlineStr"/>
    </row>
    <row r="150">
      <c r="A150" t="n">
        <v>1445</v>
      </c>
      <c r="B150" t="inlineStr">
        <is>
          <t>REAL GARCIA,MIGUEL</t>
        </is>
      </c>
      <c r="C150" t="inlineStr">
        <is>
          <t>LANE LATE</t>
        </is>
      </c>
      <c r="D150" t="inlineStr">
        <is>
          <t>Retención</t>
        </is>
      </c>
      <c r="E150" t="n">
        <v>12.05</v>
      </c>
      <c r="I150" t="inlineStr"/>
    </row>
    <row r="151">
      <c r="A151" t="n">
        <v>1445</v>
      </c>
      <c r="B151" t="inlineStr">
        <is>
          <t>REAL GARCIA,MIGUEL</t>
        </is>
      </c>
      <c r="C151" t="inlineStr">
        <is>
          <t>LANE LATE</t>
        </is>
      </c>
      <c r="D151" t="inlineStr">
        <is>
          <t>Total</t>
        </is>
      </c>
      <c r="E151" t="n">
        <v>590.6799999999999</v>
      </c>
      <c r="I151" t="inlineStr"/>
    </row>
    <row r="152">
      <c r="A152" t="n">
        <v>1500</v>
      </c>
      <c r="B152" t="inlineStr">
        <is>
          <t>JIMENEZ MALDONADO, PEDRO</t>
        </is>
      </c>
      <c r="C152" t="inlineStr">
        <is>
          <t>CHISLETT SUMER</t>
        </is>
      </c>
      <c r="D152" t="inlineStr">
        <is>
          <t>Hectáreas</t>
        </is>
      </c>
      <c r="E152" t="n">
        <v>3.12</v>
      </c>
      <c r="I152" t="inlineStr"/>
    </row>
    <row r="153">
      <c r="A153" t="n">
        <v>1500</v>
      </c>
      <c r="B153" t="inlineStr">
        <is>
          <t>JIMENEZ MALDONADO, PEDRO</t>
        </is>
      </c>
      <c r="C153" t="inlineStr">
        <is>
          <t>CHISLETT SUMER</t>
        </is>
      </c>
      <c r="D153" t="inlineStr">
        <is>
          <t>Cuota teórica</t>
        </is>
      </c>
      <c r="E153" t="n">
        <v>608.4</v>
      </c>
      <c r="I153" t="inlineStr"/>
    </row>
    <row r="154">
      <c r="A154" t="n">
        <v>1500</v>
      </c>
      <c r="B154" t="inlineStr">
        <is>
          <t>JIMENEZ MALDONADO, PEDRO</t>
        </is>
      </c>
      <c r="C154" t="inlineStr">
        <is>
          <t>CHISLETT SUMER</t>
        </is>
      </c>
      <c r="D154" t="inlineStr">
        <is>
          <t>Kg campaña</t>
        </is>
      </c>
      <c r="E154" t="n">
        <v>173709</v>
      </c>
      <c r="I154" t="inlineStr"/>
    </row>
    <row r="155">
      <c r="A155" t="n">
        <v>1500</v>
      </c>
      <c r="B155" t="inlineStr">
        <is>
          <t>JIMENEZ MALDONADO, PEDRO</t>
        </is>
      </c>
      <c r="C155" t="inlineStr">
        <is>
          <t>CHISLETT SUMER</t>
        </is>
      </c>
      <c r="D155" t="inlineStr">
        <is>
          <t>Índice</t>
        </is>
      </c>
      <c r="E155" t="n">
        <v>0.003502409201595772</v>
      </c>
      <c r="I155" t="inlineStr"/>
    </row>
    <row r="156">
      <c r="A156" t="n">
        <v>1500</v>
      </c>
      <c r="B156" t="inlineStr">
        <is>
          <t>JIMENEZ MALDONADO, PEDRO</t>
        </is>
      </c>
      <c r="C156" t="inlineStr">
        <is>
          <t>CHISLETT SUMER</t>
        </is>
      </c>
      <c r="D156" t="inlineStr">
        <is>
          <t>Kg remesa</t>
        </is>
      </c>
      <c r="E156" t="n">
        <v>1243</v>
      </c>
      <c r="I156" t="inlineStr"/>
    </row>
    <row r="157">
      <c r="A157" t="n">
        <v>1500</v>
      </c>
      <c r="B157" t="inlineStr">
        <is>
          <t>JIMENEZ MALDONADO, PEDRO</t>
        </is>
      </c>
      <c r="C157" t="inlineStr">
        <is>
          <t>CHISLETT SUMER</t>
        </is>
      </c>
      <c r="D157" t="inlineStr">
        <is>
          <t>Cuota parcial</t>
        </is>
      </c>
      <c r="E157" t="n">
        <v>4.35</v>
      </c>
      <c r="I157" t="inlineStr"/>
    </row>
    <row r="158">
      <c r="A158" t="n">
        <v>1500</v>
      </c>
      <c r="B158" t="inlineStr">
        <is>
          <t>JIMENEZ MALDONADO, PEDRO</t>
        </is>
      </c>
      <c r="C158" t="inlineStr">
        <is>
          <t>CHISLETT SUMER</t>
        </is>
      </c>
      <c r="D158" t="inlineStr">
        <is>
          <t>Importe bruto</t>
        </is>
      </c>
      <c r="E158" t="n">
        <v>385.33</v>
      </c>
      <c r="I158" t="inlineStr"/>
    </row>
    <row r="159">
      <c r="A159" t="n">
        <v>1500</v>
      </c>
      <c r="B159" t="inlineStr">
        <is>
          <t>JIMENEZ MALDONADO, PEDRO</t>
        </is>
      </c>
      <c r="C159" t="inlineStr">
        <is>
          <t>CHISLETT SUMER</t>
        </is>
      </c>
      <c r="D159" t="inlineStr">
        <is>
          <t>Recolección</t>
        </is>
      </c>
      <c r="E159" t="n">
        <v>77.69</v>
      </c>
      <c r="I159" t="inlineStr"/>
    </row>
    <row r="160">
      <c r="A160" t="n">
        <v>1500</v>
      </c>
      <c r="B160" t="inlineStr">
        <is>
          <t>JIMENEZ MALDONADO, PEDRO</t>
        </is>
      </c>
      <c r="C160" t="inlineStr">
        <is>
          <t>CHISLETT SUMER</t>
        </is>
      </c>
      <c r="D160" t="inlineStr">
        <is>
          <t>Transporte</t>
        </is>
      </c>
      <c r="E160" t="n">
        <v>-13.8</v>
      </c>
      <c r="I160" t="inlineStr"/>
    </row>
    <row r="161">
      <c r="A161" t="n">
        <v>1500</v>
      </c>
      <c r="B161" t="inlineStr">
        <is>
          <t>JIMENEZ MALDONADO, PEDRO</t>
        </is>
      </c>
      <c r="C161" t="inlineStr">
        <is>
          <t>CHISLETT SUMER</t>
        </is>
      </c>
      <c r="D161" t="inlineStr">
        <is>
          <t>Calidad</t>
        </is>
      </c>
      <c r="E161" t="n">
        <v>0</v>
      </c>
      <c r="I161" t="inlineStr"/>
    </row>
    <row r="162">
      <c r="A162" t="n">
        <v>1500</v>
      </c>
      <c r="B162" t="inlineStr">
        <is>
          <t>JIMENEZ MALDONADO, PEDRO</t>
        </is>
      </c>
      <c r="C162" t="inlineStr">
        <is>
          <t>CHISLETT SUMER</t>
        </is>
      </c>
      <c r="D162" t="inlineStr">
        <is>
          <t>GlobalGAP</t>
        </is>
      </c>
      <c r="E162" t="n">
        <v>0</v>
      </c>
      <c r="I162" t="inlineStr"/>
    </row>
    <row r="163">
      <c r="A163" t="n">
        <v>1500</v>
      </c>
      <c r="B163" t="inlineStr">
        <is>
          <t>JIMENEZ MALDONADO, PEDRO</t>
        </is>
      </c>
      <c r="C163" t="inlineStr">
        <is>
          <t>CHISLETT SUMER</t>
        </is>
      </c>
      <c r="D163" t="inlineStr">
        <is>
          <t>Base imponible</t>
        </is>
      </c>
      <c r="E163" t="n">
        <v>289.49</v>
      </c>
      <c r="I163" t="inlineStr"/>
    </row>
    <row r="164">
      <c r="A164" t="n">
        <v>1500</v>
      </c>
      <c r="B164" t="inlineStr">
        <is>
          <t>JIMENEZ MALDONADO, PEDRO</t>
        </is>
      </c>
      <c r="C164" t="inlineStr">
        <is>
          <t>CHISLETT SUMER</t>
        </is>
      </c>
      <c r="D164" t="inlineStr">
        <is>
          <t>IVA</t>
        </is>
      </c>
      <c r="E164" t="n">
        <v>34.74</v>
      </c>
      <c r="I164" t="inlineStr"/>
    </row>
    <row r="165">
      <c r="A165" t="n">
        <v>1500</v>
      </c>
      <c r="B165" t="inlineStr">
        <is>
          <t>JIMENEZ MALDONADO, PEDRO</t>
        </is>
      </c>
      <c r="C165" t="inlineStr">
        <is>
          <t>CHISLETT SUMER</t>
        </is>
      </c>
      <c r="D165" t="inlineStr">
        <is>
          <t>Retención</t>
        </is>
      </c>
      <c r="E165" t="n">
        <v>6.48</v>
      </c>
      <c r="I165" t="inlineStr"/>
    </row>
    <row r="166">
      <c r="A166" t="n">
        <v>1500</v>
      </c>
      <c r="B166" t="inlineStr">
        <is>
          <t>JIMENEZ MALDONADO, PEDRO</t>
        </is>
      </c>
      <c r="C166" t="inlineStr">
        <is>
          <t>CHISLETT SUMER</t>
        </is>
      </c>
      <c r="D166" t="inlineStr">
        <is>
          <t>Total</t>
        </is>
      </c>
      <c r="E166" t="n">
        <v>317.74</v>
      </c>
      <c r="I166" t="inlineStr"/>
    </row>
    <row r="167">
      <c r="A167" t="n">
        <v>1507</v>
      </c>
      <c r="B167" t="inlineStr">
        <is>
          <t>ZAMBRANO HINOJOSA, Mª ÁNGELES</t>
        </is>
      </c>
      <c r="C167" t="inlineStr">
        <is>
          <t>LANE LATE</t>
        </is>
      </c>
      <c r="D167" t="inlineStr">
        <is>
          <t>Hectáreas</t>
        </is>
      </c>
      <c r="E167" t="n">
        <v>0.2436</v>
      </c>
      <c r="I167" t="inlineStr"/>
    </row>
    <row r="168">
      <c r="A168" t="n">
        <v>1507</v>
      </c>
      <c r="B168" t="inlineStr">
        <is>
          <t>ZAMBRANO HINOJOSA, Mª ÁNGELES</t>
        </is>
      </c>
      <c r="C168" t="inlineStr">
        <is>
          <t>LANE LATE</t>
        </is>
      </c>
      <c r="D168" t="inlineStr">
        <is>
          <t>Cuota teórica</t>
        </is>
      </c>
      <c r="E168" t="n">
        <v>47.5</v>
      </c>
      <c r="I168" t="inlineStr"/>
    </row>
    <row r="169">
      <c r="A169" t="n">
        <v>1507</v>
      </c>
      <c r="B169" t="inlineStr">
        <is>
          <t>ZAMBRANO HINOJOSA, Mª ÁNGELES</t>
        </is>
      </c>
      <c r="C169" t="inlineStr">
        <is>
          <t>LANE LATE</t>
        </is>
      </c>
      <c r="D169" t="inlineStr">
        <is>
          <t>Kg campaña</t>
        </is>
      </c>
      <c r="E169" t="n">
        <v>5539</v>
      </c>
      <c r="I169" t="inlineStr"/>
    </row>
    <row r="170">
      <c r="A170" t="n">
        <v>1507</v>
      </c>
      <c r="B170" t="inlineStr">
        <is>
          <t>ZAMBRANO HINOJOSA, Mª ÁNGELES</t>
        </is>
      </c>
      <c r="C170" t="inlineStr">
        <is>
          <t>LANE LATE</t>
        </is>
      </c>
      <c r="D170" t="inlineStr">
        <is>
          <t>Índice</t>
        </is>
      </c>
      <c r="E170" t="n">
        <v>0.008575555154359992</v>
      </c>
      <c r="I170" t="inlineStr"/>
    </row>
    <row r="171">
      <c r="A171" t="n">
        <v>1507</v>
      </c>
      <c r="B171" t="inlineStr">
        <is>
          <t>ZAMBRANO HINOJOSA, Mª ÁNGELES</t>
        </is>
      </c>
      <c r="C171" t="inlineStr">
        <is>
          <t>LANE LATE</t>
        </is>
      </c>
      <c r="D171" t="inlineStr">
        <is>
          <t>Kg remesa</t>
        </is>
      </c>
      <c r="E171" t="n">
        <v>5539</v>
      </c>
      <c r="I171" t="inlineStr"/>
    </row>
    <row r="172">
      <c r="A172" t="n">
        <v>1507</v>
      </c>
      <c r="B172" t="inlineStr">
        <is>
          <t>ZAMBRANO HINOJOSA, Mª ÁNGELES</t>
        </is>
      </c>
      <c r="C172" t="inlineStr">
        <is>
          <t>LANE LATE</t>
        </is>
      </c>
      <c r="D172" t="inlineStr">
        <is>
          <t>Cuota parcial</t>
        </is>
      </c>
      <c r="E172" t="n">
        <v>47.5</v>
      </c>
      <c r="I172" t="inlineStr"/>
    </row>
    <row r="173">
      <c r="A173" t="n">
        <v>1507</v>
      </c>
      <c r="B173" t="inlineStr">
        <is>
          <t>ZAMBRANO HINOJOSA, Mª ÁNGELES</t>
        </is>
      </c>
      <c r="C173" t="inlineStr">
        <is>
          <t>LANE LATE</t>
        </is>
      </c>
      <c r="D173" t="inlineStr">
        <is>
          <t>Importe bruto</t>
        </is>
      </c>
      <c r="E173" t="n">
        <v>1717.09</v>
      </c>
      <c r="I173" t="inlineStr"/>
    </row>
    <row r="174">
      <c r="A174" t="n">
        <v>1507</v>
      </c>
      <c r="B174" t="inlineStr">
        <is>
          <t>ZAMBRANO HINOJOSA, Mª ÁNGELES</t>
        </is>
      </c>
      <c r="C174" t="inlineStr">
        <is>
          <t>LANE LATE</t>
        </is>
      </c>
      <c r="D174" t="inlineStr">
        <is>
          <t>Recolección</t>
        </is>
      </c>
      <c r="E174" t="n">
        <v>271.5</v>
      </c>
      <c r="I174" t="inlineStr"/>
    </row>
    <row r="175">
      <c r="A175" t="n">
        <v>1507</v>
      </c>
      <c r="B175" t="inlineStr">
        <is>
          <t>ZAMBRANO HINOJOSA, Mª ÁNGELES</t>
        </is>
      </c>
      <c r="C175" t="inlineStr">
        <is>
          <t>LANE LATE</t>
        </is>
      </c>
      <c r="D175" t="inlineStr">
        <is>
          <t>Transporte</t>
        </is>
      </c>
      <c r="E175" t="n">
        <v>-58.43</v>
      </c>
      <c r="I175" t="inlineStr"/>
    </row>
    <row r="176">
      <c r="A176" t="n">
        <v>1507</v>
      </c>
      <c r="B176" t="inlineStr">
        <is>
          <t>ZAMBRANO HINOJOSA, Mª ÁNGELES</t>
        </is>
      </c>
      <c r="C176" t="inlineStr">
        <is>
          <t>LANE LATE</t>
        </is>
      </c>
      <c r="D176" t="inlineStr">
        <is>
          <t>Calidad</t>
        </is>
      </c>
      <c r="E176" t="n">
        <v>0</v>
      </c>
      <c r="I176" t="inlineStr"/>
    </row>
    <row r="177">
      <c r="A177" t="n">
        <v>1507</v>
      </c>
      <c r="B177" t="inlineStr">
        <is>
          <t>ZAMBRANO HINOJOSA, Mª ÁNGELES</t>
        </is>
      </c>
      <c r="C177" t="inlineStr">
        <is>
          <t>LANE LATE</t>
        </is>
      </c>
      <c r="D177" t="inlineStr">
        <is>
          <t>GlobalGAP</t>
        </is>
      </c>
      <c r="E177" t="n">
        <v>0</v>
      </c>
      <c r="I177" t="inlineStr"/>
    </row>
    <row r="178">
      <c r="A178" t="n">
        <v>1507</v>
      </c>
      <c r="B178" t="inlineStr">
        <is>
          <t>ZAMBRANO HINOJOSA, Mª ÁNGELES</t>
        </is>
      </c>
      <c r="C178" t="inlineStr">
        <is>
          <t>LANE LATE</t>
        </is>
      </c>
      <c r="D178" t="inlineStr">
        <is>
          <t>Base imponible</t>
        </is>
      </c>
      <c r="E178" t="n">
        <v>1339.66</v>
      </c>
      <c r="I178" t="inlineStr"/>
    </row>
    <row r="179">
      <c r="A179" t="n">
        <v>1507</v>
      </c>
      <c r="B179" t="inlineStr">
        <is>
          <t>ZAMBRANO HINOJOSA, Mª ÁNGELES</t>
        </is>
      </c>
      <c r="C179" t="inlineStr">
        <is>
          <t>LANE LATE</t>
        </is>
      </c>
      <c r="D179" t="inlineStr">
        <is>
          <t>IVA</t>
        </is>
      </c>
      <c r="E179" t="n">
        <v>160.76</v>
      </c>
      <c r="I179" t="inlineStr"/>
    </row>
    <row r="180">
      <c r="A180" t="n">
        <v>1507</v>
      </c>
      <c r="B180" t="inlineStr">
        <is>
          <t>ZAMBRANO HINOJOSA, Mª ÁNGELES</t>
        </is>
      </c>
      <c r="C180" t="inlineStr">
        <is>
          <t>LANE LATE</t>
        </is>
      </c>
      <c r="D180" t="inlineStr">
        <is>
          <t>Retención</t>
        </is>
      </c>
      <c r="E180" t="n">
        <v>30.01</v>
      </c>
      <c r="I180" t="inlineStr"/>
    </row>
    <row r="181">
      <c r="A181" t="n">
        <v>1507</v>
      </c>
      <c r="B181" t="inlineStr">
        <is>
          <t>ZAMBRANO HINOJOSA, Mª ÁNGELES</t>
        </is>
      </c>
      <c r="C181" t="inlineStr">
        <is>
          <t>LANE LATE</t>
        </is>
      </c>
      <c r="D181" t="inlineStr">
        <is>
          <t>Total</t>
        </is>
      </c>
      <c r="E181" t="n">
        <v>1470.41</v>
      </c>
      <c r="I181" t="inlineStr"/>
    </row>
    <row r="182">
      <c r="A182" t="n">
        <v>1544</v>
      </c>
      <c r="B182" t="inlineStr">
        <is>
          <t>HARO ORDOÑO, ALVARO</t>
        </is>
      </c>
      <c r="C182" t="inlineStr">
        <is>
          <t>LANE LATE</t>
        </is>
      </c>
      <c r="D182" t="inlineStr">
        <is>
          <t>Hectáreas</t>
        </is>
      </c>
      <c r="E182" t="n">
        <v>3.8</v>
      </c>
      <c r="I182" t="inlineStr"/>
    </row>
    <row r="183">
      <c r="A183" t="n">
        <v>1544</v>
      </c>
      <c r="B183" t="inlineStr">
        <is>
          <t>HARO ORDOÑO, ALVARO</t>
        </is>
      </c>
      <c r="C183" t="inlineStr">
        <is>
          <t>LANE LATE</t>
        </is>
      </c>
      <c r="D183" t="inlineStr">
        <is>
          <t>Cuota teórica</t>
        </is>
      </c>
      <c r="E183" t="n">
        <v>741</v>
      </c>
      <c r="I183" t="inlineStr"/>
    </row>
    <row r="184">
      <c r="A184" t="n">
        <v>1544</v>
      </c>
      <c r="B184" t="inlineStr">
        <is>
          <t>HARO ORDOÑO, ALVARO</t>
        </is>
      </c>
      <c r="C184" t="inlineStr">
        <is>
          <t>LANE LATE</t>
        </is>
      </c>
      <c r="D184" t="inlineStr">
        <is>
          <t>Kg campaña</t>
        </is>
      </c>
      <c r="E184" t="n">
        <v>131717</v>
      </c>
      <c r="I184" t="inlineStr"/>
    </row>
    <row r="185">
      <c r="A185" t="n">
        <v>1544</v>
      </c>
      <c r="B185" t="inlineStr">
        <is>
          <t>HARO ORDOÑO, ALVARO</t>
        </is>
      </c>
      <c r="C185" t="inlineStr">
        <is>
          <t>LANE LATE</t>
        </is>
      </c>
      <c r="D185" t="inlineStr">
        <is>
          <t>Índice</t>
        </is>
      </c>
      <c r="E185" t="n">
        <v>0.005625697518163942</v>
      </c>
      <c r="I185" t="inlineStr"/>
    </row>
    <row r="186">
      <c r="A186" t="n">
        <v>1544</v>
      </c>
      <c r="B186" t="inlineStr">
        <is>
          <t>HARO ORDOÑO, ALVARO</t>
        </is>
      </c>
      <c r="C186" t="inlineStr">
        <is>
          <t>LANE LATE</t>
        </is>
      </c>
      <c r="D186" t="inlineStr">
        <is>
          <t>Kg remesa</t>
        </is>
      </c>
      <c r="E186" t="n">
        <v>3620</v>
      </c>
      <c r="I186" t="inlineStr"/>
    </row>
    <row r="187">
      <c r="A187" t="n">
        <v>1544</v>
      </c>
      <c r="B187" t="inlineStr">
        <is>
          <t>HARO ORDOÑO, ALVARO</t>
        </is>
      </c>
      <c r="C187" t="inlineStr">
        <is>
          <t>LANE LATE</t>
        </is>
      </c>
      <c r="D187" t="inlineStr">
        <is>
          <t>Cuota parcial</t>
        </is>
      </c>
      <c r="E187" t="n">
        <v>20.37</v>
      </c>
      <c r="I187" t="inlineStr"/>
    </row>
    <row r="188">
      <c r="A188" t="n">
        <v>1544</v>
      </c>
      <c r="B188" t="inlineStr">
        <is>
          <t>HARO ORDOÑO, ALVARO</t>
        </is>
      </c>
      <c r="C188" t="inlineStr">
        <is>
          <t>LANE LATE</t>
        </is>
      </c>
      <c r="D188" t="inlineStr">
        <is>
          <t>Importe bruto</t>
        </is>
      </c>
      <c r="E188" t="n">
        <v>1122.2</v>
      </c>
      <c r="I188" t="inlineStr"/>
    </row>
    <row r="189">
      <c r="A189" t="n">
        <v>1544</v>
      </c>
      <c r="B189" t="inlineStr">
        <is>
          <t>HARO ORDOÑO, ALVARO</t>
        </is>
      </c>
      <c r="C189" t="inlineStr">
        <is>
          <t>LANE LATE</t>
        </is>
      </c>
      <c r="D189" t="inlineStr">
        <is>
          <t>Recolección</t>
        </is>
      </c>
      <c r="E189" t="n">
        <v>0</v>
      </c>
      <c r="I189" t="inlineStr"/>
    </row>
    <row r="190">
      <c r="A190" t="n">
        <v>1544</v>
      </c>
      <c r="B190" t="inlineStr">
        <is>
          <t>HARO ORDOÑO, ALVARO</t>
        </is>
      </c>
      <c r="C190" t="inlineStr">
        <is>
          <t>LANE LATE</t>
        </is>
      </c>
      <c r="D190" t="inlineStr">
        <is>
          <t>Transporte</t>
        </is>
      </c>
      <c r="E190" t="n">
        <v>-32.19</v>
      </c>
      <c r="I190" t="inlineStr"/>
    </row>
    <row r="191">
      <c r="A191" t="n">
        <v>1544</v>
      </c>
      <c r="B191" t="inlineStr">
        <is>
          <t>HARO ORDOÑO, ALVARO</t>
        </is>
      </c>
      <c r="C191" t="inlineStr">
        <is>
          <t>LANE LATE</t>
        </is>
      </c>
      <c r="D191" t="inlineStr">
        <is>
          <t>Calidad</t>
        </is>
      </c>
      <c r="E191" t="n">
        <v>0</v>
      </c>
      <c r="I191" t="inlineStr"/>
    </row>
    <row r="192">
      <c r="A192" t="n">
        <v>1544</v>
      </c>
      <c r="B192" t="inlineStr">
        <is>
          <t>HARO ORDOÑO, ALVARO</t>
        </is>
      </c>
      <c r="C192" t="inlineStr">
        <is>
          <t>LANE LATE</t>
        </is>
      </c>
      <c r="D192" t="inlineStr">
        <is>
          <t>GlobalGAP</t>
        </is>
      </c>
      <c r="E192" t="n">
        <v>0</v>
      </c>
      <c r="I192" t="inlineStr"/>
    </row>
    <row r="193">
      <c r="A193" t="n">
        <v>1544</v>
      </c>
      <c r="B193" t="inlineStr">
        <is>
          <t>HARO ORDOÑO, ALVARO</t>
        </is>
      </c>
      <c r="C193" t="inlineStr">
        <is>
          <t>LANE LATE</t>
        </is>
      </c>
      <c r="D193" t="inlineStr">
        <is>
          <t>Base imponible</t>
        </is>
      </c>
      <c r="E193" t="n">
        <v>1069.64</v>
      </c>
      <c r="I193" t="inlineStr"/>
    </row>
    <row r="194">
      <c r="A194" t="n">
        <v>1544</v>
      </c>
      <c r="B194" t="inlineStr">
        <is>
          <t>HARO ORDOÑO, ALVARO</t>
        </is>
      </c>
      <c r="C194" t="inlineStr">
        <is>
          <t>LANE LATE</t>
        </is>
      </c>
      <c r="D194" t="inlineStr">
        <is>
          <t>IVA</t>
        </is>
      </c>
      <c r="E194" t="n">
        <v>128.36</v>
      </c>
      <c r="I194" t="inlineStr"/>
    </row>
    <row r="195">
      <c r="A195" t="n">
        <v>1544</v>
      </c>
      <c r="B195" t="inlineStr">
        <is>
          <t>HARO ORDOÑO, ALVARO</t>
        </is>
      </c>
      <c r="C195" t="inlineStr">
        <is>
          <t>LANE LATE</t>
        </is>
      </c>
      <c r="D195" t="inlineStr">
        <is>
          <t>Retención</t>
        </is>
      </c>
      <c r="E195" t="n">
        <v>23.96</v>
      </c>
      <c r="I195" t="inlineStr"/>
    </row>
    <row r="196">
      <c r="A196" t="n">
        <v>1544</v>
      </c>
      <c r="B196" t="inlineStr">
        <is>
          <t>HARO ORDOÑO, ALVARO</t>
        </is>
      </c>
      <c r="C196" t="inlineStr">
        <is>
          <t>LANE LATE</t>
        </is>
      </c>
      <c r="D196" t="inlineStr">
        <is>
          <t>Total</t>
        </is>
      </c>
      <c r="E196" t="n">
        <v>1174.04</v>
      </c>
      <c r="I196" t="inlineStr"/>
    </row>
    <row r="197">
      <c r="A197" t="n">
        <v>1597</v>
      </c>
      <c r="B197" t="inlineStr">
        <is>
          <t>CARBALLO SIRIA, ANTONIO JOSE</t>
        </is>
      </c>
      <c r="C197" t="inlineStr">
        <is>
          <t>LANE LATE</t>
        </is>
      </c>
      <c r="D197" t="inlineStr">
        <is>
          <t>Hectáreas</t>
        </is>
      </c>
      <c r="E197" t="n">
        <v>5.63</v>
      </c>
      <c r="I197" t="inlineStr"/>
    </row>
    <row r="198">
      <c r="A198" t="n">
        <v>1597</v>
      </c>
      <c r="B198" t="inlineStr">
        <is>
          <t>CARBALLO SIRIA, ANTONIO JOSE</t>
        </is>
      </c>
      <c r="C198" t="inlineStr">
        <is>
          <t>LANE LATE</t>
        </is>
      </c>
      <c r="D198" t="inlineStr">
        <is>
          <t>Cuota teórica</t>
        </is>
      </c>
      <c r="E198" t="n">
        <v>1097.85</v>
      </c>
      <c r="I198" t="inlineStr"/>
    </row>
    <row r="199">
      <c r="A199" t="n">
        <v>1597</v>
      </c>
      <c r="B199" t="inlineStr">
        <is>
          <t>CARBALLO SIRIA, ANTONIO JOSE</t>
        </is>
      </c>
      <c r="C199" t="inlineStr">
        <is>
          <t>LANE LATE</t>
        </is>
      </c>
      <c r="D199" t="inlineStr">
        <is>
          <t>Kg campaña</t>
        </is>
      </c>
      <c r="E199" t="n">
        <v>119651</v>
      </c>
      <c r="I199" t="inlineStr"/>
    </row>
    <row r="200">
      <c r="A200" t="n">
        <v>1597</v>
      </c>
      <c r="B200" t="inlineStr">
        <is>
          <t>CARBALLO SIRIA, ANTONIO JOSE</t>
        </is>
      </c>
      <c r="C200" t="inlineStr">
        <is>
          <t>LANE LATE</t>
        </is>
      </c>
      <c r="D200" t="inlineStr">
        <is>
          <t>Índice</t>
        </is>
      </c>
      <c r="E200" t="n">
        <v>0.00917543522411012</v>
      </c>
      <c r="I200" t="inlineStr"/>
    </row>
    <row r="201">
      <c r="A201" t="n">
        <v>1597</v>
      </c>
      <c r="B201" t="inlineStr">
        <is>
          <t>CARBALLO SIRIA, ANTONIO JOSE</t>
        </is>
      </c>
      <c r="C201" t="inlineStr">
        <is>
          <t>LANE LATE</t>
        </is>
      </c>
      <c r="D201" t="inlineStr">
        <is>
          <t>Kg remesa</t>
        </is>
      </c>
      <c r="E201" t="n">
        <v>881</v>
      </c>
      <c r="I201" t="inlineStr"/>
    </row>
    <row r="202">
      <c r="A202" t="n">
        <v>1597</v>
      </c>
      <c r="B202" t="inlineStr">
        <is>
          <t>CARBALLO SIRIA, ANTONIO JOSE</t>
        </is>
      </c>
      <c r="C202" t="inlineStr">
        <is>
          <t>LANE LATE</t>
        </is>
      </c>
      <c r="D202" t="inlineStr">
        <is>
          <t>Cuota parcial</t>
        </is>
      </c>
      <c r="E202" t="n">
        <v>8.08</v>
      </c>
      <c r="I202" t="inlineStr"/>
    </row>
    <row r="203">
      <c r="A203" t="n">
        <v>1597</v>
      </c>
      <c r="B203" t="inlineStr">
        <is>
          <t>CARBALLO SIRIA, ANTONIO JOSE</t>
        </is>
      </c>
      <c r="C203" t="inlineStr">
        <is>
          <t>LANE LATE</t>
        </is>
      </c>
      <c r="D203" t="inlineStr">
        <is>
          <t>Importe bruto</t>
        </is>
      </c>
      <c r="E203" t="n">
        <v>273.11</v>
      </c>
      <c r="I203" t="inlineStr"/>
    </row>
    <row r="204">
      <c r="A204" t="n">
        <v>1597</v>
      </c>
      <c r="B204" t="inlineStr">
        <is>
          <t>CARBALLO SIRIA, ANTONIO JOSE</t>
        </is>
      </c>
      <c r="C204" t="inlineStr">
        <is>
          <t>LANE LATE</t>
        </is>
      </c>
      <c r="D204" t="inlineStr">
        <is>
          <t>Recolección</t>
        </is>
      </c>
      <c r="E204" t="n">
        <v>55.06</v>
      </c>
      <c r="I204" t="inlineStr"/>
    </row>
    <row r="205">
      <c r="A205" t="n">
        <v>1597</v>
      </c>
      <c r="B205" t="inlineStr">
        <is>
          <t>CARBALLO SIRIA, ANTONIO JOSE</t>
        </is>
      </c>
      <c r="C205" t="inlineStr">
        <is>
          <t>LANE LATE</t>
        </is>
      </c>
      <c r="D205" t="inlineStr">
        <is>
          <t>Transporte</t>
        </is>
      </c>
      <c r="E205" t="n">
        <v>-9.779999999999999</v>
      </c>
      <c r="I205" t="inlineStr"/>
    </row>
    <row r="206">
      <c r="A206" t="n">
        <v>1597</v>
      </c>
      <c r="B206" t="inlineStr">
        <is>
          <t>CARBALLO SIRIA, ANTONIO JOSE</t>
        </is>
      </c>
      <c r="C206" t="inlineStr">
        <is>
          <t>LANE LATE</t>
        </is>
      </c>
      <c r="D206" t="inlineStr">
        <is>
          <t>Calidad</t>
        </is>
      </c>
      <c r="E206" t="n">
        <v>0</v>
      </c>
      <c r="I206" t="inlineStr"/>
    </row>
    <row r="207">
      <c r="A207" t="n">
        <v>1597</v>
      </c>
      <c r="B207" t="inlineStr">
        <is>
          <t>CARBALLO SIRIA, ANTONIO JOSE</t>
        </is>
      </c>
      <c r="C207" t="inlineStr">
        <is>
          <t>LANE LATE</t>
        </is>
      </c>
      <c r="D207" t="inlineStr">
        <is>
          <t>GlobalGAP</t>
        </is>
      </c>
      <c r="E207" t="n">
        <v>0</v>
      </c>
      <c r="I207" t="inlineStr"/>
    </row>
    <row r="208">
      <c r="A208" t="n">
        <v>1597</v>
      </c>
      <c r="B208" t="inlineStr">
        <is>
          <t>CARBALLO SIRIA, ANTONIO JOSE</t>
        </is>
      </c>
      <c r="C208" t="inlineStr">
        <is>
          <t>LANE LATE</t>
        </is>
      </c>
      <c r="D208" t="inlineStr">
        <is>
          <t>Base imponible</t>
        </is>
      </c>
      <c r="E208" t="n">
        <v>200.19</v>
      </c>
      <c r="I208" t="inlineStr"/>
    </row>
    <row r="209">
      <c r="A209" t="n">
        <v>1597</v>
      </c>
      <c r="B209" t="inlineStr">
        <is>
          <t>CARBALLO SIRIA, ANTONIO JOSE</t>
        </is>
      </c>
      <c r="C209" t="inlineStr">
        <is>
          <t>LANE LATE</t>
        </is>
      </c>
      <c r="D209" t="inlineStr">
        <is>
          <t>IVA</t>
        </is>
      </c>
      <c r="E209" t="n">
        <v>24.02</v>
      </c>
      <c r="I209" t="inlineStr"/>
    </row>
    <row r="210">
      <c r="A210" t="n">
        <v>1597</v>
      </c>
      <c r="B210" t="inlineStr">
        <is>
          <t>CARBALLO SIRIA, ANTONIO JOSE</t>
        </is>
      </c>
      <c r="C210" t="inlineStr">
        <is>
          <t>LANE LATE</t>
        </is>
      </c>
      <c r="D210" t="inlineStr">
        <is>
          <t>Retención</t>
        </is>
      </c>
      <c r="E210" t="n">
        <v>4.48</v>
      </c>
      <c r="I210" t="inlineStr"/>
    </row>
    <row r="211">
      <c r="A211" t="n">
        <v>1597</v>
      </c>
      <c r="B211" t="inlineStr">
        <is>
          <t>CARBALLO SIRIA, ANTONIO JOSE</t>
        </is>
      </c>
      <c r="C211" t="inlineStr">
        <is>
          <t>LANE LATE</t>
        </is>
      </c>
      <c r="D211" t="inlineStr">
        <is>
          <t>Total</t>
        </is>
      </c>
      <c r="E211" t="n">
        <v>219.73</v>
      </c>
      <c r="I211" t="inlineStr"/>
    </row>
    <row r="212">
      <c r="A212" t="n">
        <v>1627</v>
      </c>
      <c r="B212" t="inlineStr">
        <is>
          <t>FRUTAS ANDALUZAS DE SEVILLA S.L.</t>
        </is>
      </c>
      <c r="C212" t="inlineStr">
        <is>
          <t>LANE LATE</t>
        </is>
      </c>
      <c r="D212" t="inlineStr">
        <is>
          <t>Hectáreas</t>
        </is>
      </c>
      <c r="E212" t="n">
        <v>6.77</v>
      </c>
      <c r="I212" t="inlineStr"/>
    </row>
    <row r="213">
      <c r="A213" t="n">
        <v>1627</v>
      </c>
      <c r="B213" t="inlineStr">
        <is>
          <t>FRUTAS ANDALUZAS DE SEVILLA S.L.</t>
        </is>
      </c>
      <c r="C213" t="inlineStr">
        <is>
          <t>LANE LATE</t>
        </is>
      </c>
      <c r="D213" t="inlineStr">
        <is>
          <t>Cuota teórica</t>
        </is>
      </c>
      <c r="E213" t="n">
        <v>1320.15</v>
      </c>
      <c r="I213" t="inlineStr"/>
    </row>
    <row r="214">
      <c r="A214" t="n">
        <v>1627</v>
      </c>
      <c r="B214" t="inlineStr">
        <is>
          <t>FRUTAS ANDALUZAS DE SEVILLA S.L.</t>
        </is>
      </c>
      <c r="C214" t="inlineStr">
        <is>
          <t>LANE LATE</t>
        </is>
      </c>
      <c r="D214" t="inlineStr">
        <is>
          <t>Kg campaña</t>
        </is>
      </c>
      <c r="E214" t="n">
        <v>130552</v>
      </c>
      <c r="I214" t="inlineStr"/>
    </row>
    <row r="215">
      <c r="A215" t="n">
        <v>1627</v>
      </c>
      <c r="B215" t="inlineStr">
        <is>
          <t>FRUTAS ANDALUZAS DE SEVILLA S.L.</t>
        </is>
      </c>
      <c r="C215" t="inlineStr">
        <is>
          <t>LANE LATE</t>
        </is>
      </c>
      <c r="D215" t="inlineStr">
        <is>
          <t>Índice</t>
        </is>
      </c>
      <c r="E215" t="n">
        <v>0.01011206262638642</v>
      </c>
      <c r="I215" t="inlineStr"/>
    </row>
    <row r="216">
      <c r="A216" t="n">
        <v>1627</v>
      </c>
      <c r="B216" t="inlineStr">
        <is>
          <t>FRUTAS ANDALUZAS DE SEVILLA S.L.</t>
        </is>
      </c>
      <c r="C216" t="inlineStr">
        <is>
          <t>LANE LATE</t>
        </is>
      </c>
      <c r="D216" t="inlineStr">
        <is>
          <t>Kg remesa</t>
        </is>
      </c>
      <c r="E216" t="n">
        <v>4559</v>
      </c>
      <c r="I216" t="inlineStr"/>
    </row>
    <row r="217">
      <c r="A217" t="n">
        <v>1627</v>
      </c>
      <c r="B217" t="inlineStr">
        <is>
          <t>FRUTAS ANDALUZAS DE SEVILLA S.L.</t>
        </is>
      </c>
      <c r="C217" t="inlineStr">
        <is>
          <t>LANE LATE</t>
        </is>
      </c>
      <c r="D217" t="inlineStr">
        <is>
          <t>Cuota parcial</t>
        </is>
      </c>
      <c r="E217" t="n">
        <v>46.1</v>
      </c>
      <c r="I217" t="inlineStr"/>
    </row>
    <row r="218">
      <c r="A218" t="n">
        <v>1627</v>
      </c>
      <c r="B218" t="inlineStr">
        <is>
          <t>FRUTAS ANDALUZAS DE SEVILLA S.L.</t>
        </is>
      </c>
      <c r="C218" t="inlineStr">
        <is>
          <t>LANE LATE</t>
        </is>
      </c>
      <c r="D218" t="inlineStr">
        <is>
          <t>Importe bruto</t>
        </is>
      </c>
      <c r="E218" t="n">
        <v>1413.29</v>
      </c>
      <c r="I218" t="inlineStr"/>
    </row>
    <row r="219">
      <c r="A219" t="n">
        <v>1627</v>
      </c>
      <c r="B219" t="inlineStr">
        <is>
          <t>FRUTAS ANDALUZAS DE SEVILLA S.L.</t>
        </is>
      </c>
      <c r="C219" t="inlineStr">
        <is>
          <t>LANE LATE</t>
        </is>
      </c>
      <c r="D219" t="inlineStr">
        <is>
          <t>Recolección</t>
        </is>
      </c>
      <c r="E219" t="n">
        <v>0</v>
      </c>
      <c r="I219" t="inlineStr"/>
    </row>
    <row r="220">
      <c r="A220" t="n">
        <v>1627</v>
      </c>
      <c r="B220" t="inlineStr">
        <is>
          <t>FRUTAS ANDALUZAS DE SEVILLA S.L.</t>
        </is>
      </c>
      <c r="C220" t="inlineStr">
        <is>
          <t>LANE LATE</t>
        </is>
      </c>
      <c r="D220" t="inlineStr">
        <is>
          <t>Transporte</t>
        </is>
      </c>
      <c r="E220" t="n">
        <v>-23.7</v>
      </c>
      <c r="I220" t="inlineStr"/>
    </row>
    <row r="221">
      <c r="A221" t="n">
        <v>1627</v>
      </c>
      <c r="B221" t="inlineStr">
        <is>
          <t>FRUTAS ANDALUZAS DE SEVILLA S.L.</t>
        </is>
      </c>
      <c r="C221" t="inlineStr">
        <is>
          <t>LANE LATE</t>
        </is>
      </c>
      <c r="D221" t="inlineStr">
        <is>
          <t>Calidad</t>
        </is>
      </c>
      <c r="E221" t="n">
        <v>0</v>
      </c>
      <c r="I221" t="inlineStr"/>
    </row>
    <row r="222">
      <c r="A222" t="n">
        <v>1627</v>
      </c>
      <c r="B222" t="inlineStr">
        <is>
          <t>FRUTAS ANDALUZAS DE SEVILLA S.L.</t>
        </is>
      </c>
      <c r="C222" t="inlineStr">
        <is>
          <t>LANE LATE</t>
        </is>
      </c>
      <c r="D222" t="inlineStr">
        <is>
          <t>GlobalGAP</t>
        </is>
      </c>
      <c r="E222" t="n">
        <v>0</v>
      </c>
      <c r="I222" t="inlineStr"/>
    </row>
    <row r="223">
      <c r="A223" t="n">
        <v>1627</v>
      </c>
      <c r="B223" t="inlineStr">
        <is>
          <t>FRUTAS ANDALUZAS DE SEVILLA S.L.</t>
        </is>
      </c>
      <c r="C223" t="inlineStr">
        <is>
          <t>LANE LATE</t>
        </is>
      </c>
      <c r="D223" t="inlineStr">
        <is>
          <t>Base imponible</t>
        </is>
      </c>
      <c r="E223" t="n">
        <v>1343.49</v>
      </c>
      <c r="I223" t="inlineStr"/>
    </row>
    <row r="224">
      <c r="A224" t="n">
        <v>1627</v>
      </c>
      <c r="B224" t="inlineStr">
        <is>
          <t>FRUTAS ANDALUZAS DE SEVILLA S.L.</t>
        </is>
      </c>
      <c r="C224" t="inlineStr">
        <is>
          <t>LANE LATE</t>
        </is>
      </c>
      <c r="D224" t="inlineStr">
        <is>
          <t>IVA</t>
        </is>
      </c>
      <c r="E224" t="n">
        <v>161.22</v>
      </c>
      <c r="I224" t="inlineStr"/>
    </row>
    <row r="225">
      <c r="A225" t="n">
        <v>1627</v>
      </c>
      <c r="B225" t="inlineStr">
        <is>
          <t>FRUTAS ANDALUZAS DE SEVILLA S.L.</t>
        </is>
      </c>
      <c r="C225" t="inlineStr">
        <is>
          <t>LANE LATE</t>
        </is>
      </c>
      <c r="D225" t="inlineStr">
        <is>
          <t>Retención</t>
        </is>
      </c>
      <c r="E225" t="n">
        <v>30.09</v>
      </c>
      <c r="I225" t="inlineStr"/>
    </row>
    <row r="226">
      <c r="A226" t="n">
        <v>1627</v>
      </c>
      <c r="B226" t="inlineStr">
        <is>
          <t>FRUTAS ANDALUZAS DE SEVILLA S.L.</t>
        </is>
      </c>
      <c r="C226" t="inlineStr">
        <is>
          <t>LANE LATE</t>
        </is>
      </c>
      <c r="D226" t="inlineStr">
        <is>
          <t>Total</t>
        </is>
      </c>
      <c r="E226" t="n">
        <v>1474.61</v>
      </c>
      <c r="I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2026-07-28T15:53:48Z</dcterms:created>
  <dcterms:modified xmlns:dcterms="http://purl.org/dc/terms/" xmlns:xsi="http://www.w3.org/2001/XMLSchema-instance" xsi:type="dcterms:W3CDTF">2026-07-28T15:53:48Z</dcterms:modified>
</cp:coreProperties>
</file>