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remesa" sheetId="1" state="visible" r:id="rId1"/>
    <sheet xmlns:r="http://schemas.openxmlformats.org/officeDocument/2006/relationships" name="Detalle acumulado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Parámetros" sheetId="4" state="visible" r:id="rId4"/>
  </sheets>
  <definedNames>
    <definedName name="_xlnm._FilterDatabase" localSheetId="0" hidden="1">'Resumen por remesa'!$A$1:$W$6</definedName>
    <definedName name="_xlnm._FilterDatabase" localSheetId="1" hidden="1">'Detalle acumulado'!$A$1:$W$124</definedName>
    <definedName name="_xlnm._FilterDatabase" localSheetId="2" hidden="1">'Incidencias'!$A$1:$G$135</definedName>
    <definedName name="_xlnm._FilterDatabase" localSheetId="3" hidden="1">'Parámetros'!$A$1:$B$15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;-#,##0;-"/>
    <numFmt numFmtId="167" formatCode="#,##0.00;-#,##0.00;-"/>
    <numFmt numFmtId="168" formatCode="0.00000000;-0.00000000;-"/>
    <numFmt numFmtId="169" formatCode="0&quot;%&quot;"/>
    <numFmt numFmtId="170" formatCode="0.00;-0.00;-"/>
    <numFmt numFmtId="171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165" fontId="1" fillId="3" borderId="1" applyAlignment="1" pivotButton="0" quotePrefix="0" xfId="0">
      <alignment vertical="top" wrapText="1"/>
    </xf>
    <xf numFmtId="166" fontId="1" fillId="3" borderId="1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  <xf numFmtId="166" fontId="1" fillId="2" borderId="1" applyAlignment="1" pivotButton="0" quotePrefix="0" xfId="0">
      <alignment vertical="top" wrapText="1"/>
    </xf>
    <xf numFmtId="167" fontId="1" fillId="2" borderId="1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6" fontId="1" fillId="2" borderId="2" applyAlignment="1" pivotButton="0" quotePrefix="0" xfId="0">
      <alignment vertical="center"/>
    </xf>
    <xf numFmtId="167" fontId="1" fillId="2" borderId="2" applyAlignment="1" pivotButton="0" quotePrefix="0" xfId="0">
      <alignment vertical="center"/>
    </xf>
    <xf numFmtId="168" fontId="1" fillId="2" borderId="2" applyAlignment="1" pivotButton="0" quotePrefix="0" xfId="0">
      <alignment vertical="center"/>
    </xf>
    <xf numFmtId="169" fontId="1" fillId="2" borderId="2" applyAlignment="1" pivotButton="0" quotePrefix="0" xfId="0">
      <alignment vertical="center"/>
    </xf>
    <xf numFmtId="170" fontId="1" fillId="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2" customWidth="1" min="6" max="6"/>
    <col width="18" customWidth="1" min="7" max="7"/>
    <col width="13" customWidth="1" min="8" max="8"/>
    <col width="12" customWidth="1" min="9" max="9"/>
    <col width="15" customWidth="1" min="10" max="10"/>
    <col width="13" customWidth="1" min="11" max="11"/>
    <col width="19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3" customWidth="1" min="19" max="19"/>
    <col width="19" customWidth="1" min="20" max="20"/>
    <col width="15" customWidth="1" min="21" max="21"/>
    <col width="12" customWidth="1" min="22" max="22"/>
    <col width="45" customWidth="1" min="23" max="23"/>
  </cols>
  <sheetData>
    <row r="1">
      <c r="A1" s="1" t="inlineStr">
        <is>
          <t>Id Remesa</t>
        </is>
      </c>
      <c r="B1" s="1" t="inlineStr">
        <is>
          <t>Remesa</t>
        </is>
      </c>
      <c r="C1" s="2" t="inlineStr">
        <is>
          <t>Fecha de pago</t>
        </is>
      </c>
      <c r="D1" s="2" t="inlineStr">
        <is>
          <t>Periodo desde</t>
        </is>
      </c>
      <c r="E1" s="2" t="inlineStr">
        <is>
          <t>Periodo hasta</t>
        </is>
      </c>
      <c r="F1" s="1" t="inlineStr">
        <is>
          <t>Categoría</t>
        </is>
      </c>
      <c r="G1" s="1" t="inlineStr">
        <is>
          <t>Tipo liquidación</t>
        </is>
      </c>
      <c r="H1" s="3" t="inlineStr">
        <is>
          <t>Nº entregas</t>
        </is>
      </c>
      <c r="I1" s="3" t="inlineStr">
        <is>
          <t>Nº socios</t>
        </is>
      </c>
      <c r="J1" s="3" t="inlineStr">
        <is>
          <t>Nº variedades</t>
        </is>
      </c>
      <c r="K1" s="3" t="inlineStr">
        <is>
          <t>Kilos netos</t>
        </is>
      </c>
      <c r="L1" s="4" t="inlineStr">
        <is>
          <t>Importe comercial</t>
        </is>
      </c>
      <c r="M1" s="4" t="inlineStr">
        <is>
          <t>Recolección</t>
        </is>
      </c>
      <c r="N1" s="4" t="inlineStr">
        <is>
          <t>Calidad</t>
        </is>
      </c>
      <c r="O1" s="4" t="inlineStr">
        <is>
          <t>Transporte</t>
        </is>
      </c>
      <c r="P1" s="4" t="inlineStr">
        <is>
          <t>GlobalGAP</t>
        </is>
      </c>
      <c r="Q1" s="4" t="inlineStr">
        <is>
          <t>Cuota Ha</t>
        </is>
      </c>
      <c r="R1" s="4" t="inlineStr">
        <is>
          <t>Base imponible</t>
        </is>
      </c>
      <c r="S1" s="4" t="inlineStr">
        <is>
          <t>Importe IVA</t>
        </is>
      </c>
      <c r="T1" s="4" t="inlineStr">
        <is>
          <t>Importe retención</t>
        </is>
      </c>
      <c r="U1" s="4" t="inlineStr">
        <is>
          <t>Importe total</t>
        </is>
      </c>
      <c r="V1" s="1" t="inlineStr">
        <is>
          <t>Estado</t>
        </is>
      </c>
      <c r="W1" s="1" t="inlineStr">
        <is>
          <t>Carpeta de salida</t>
        </is>
      </c>
    </row>
    <row r="2">
      <c r="A2" s="5" t="n">
        <v>2321</v>
      </c>
      <c r="B2" s="5" t="inlineStr">
        <is>
          <t>BLANCA TARDIA</t>
        </is>
      </c>
      <c r="C2" s="6" t="n">
        <v>46235</v>
      </c>
      <c r="D2" s="6" t="n">
        <v>45901</v>
      </c>
      <c r="E2" s="6" t="n">
        <v>46265</v>
      </c>
      <c r="F2" s="5" t="inlineStr">
        <is>
          <t>NORMAL</t>
        </is>
      </c>
      <c r="G2" s="5" t="inlineStr">
        <is>
          <t>Final</t>
        </is>
      </c>
      <c r="H2" s="7" t="n">
        <v>23</v>
      </c>
      <c r="I2" s="7" t="n">
        <v>9</v>
      </c>
      <c r="J2" s="7" t="n">
        <v>4</v>
      </c>
      <c r="K2" s="7" t="n">
        <v>59061</v>
      </c>
      <c r="L2" s="8" t="n">
        <v>18308.91</v>
      </c>
      <c r="M2" s="8" t="n">
        <v>2972.53</v>
      </c>
      <c r="N2" s="8" t="n">
        <v>0</v>
      </c>
      <c r="O2" s="8" t="n">
        <v>-123.78</v>
      </c>
      <c r="P2" s="8" t="n">
        <v>0</v>
      </c>
      <c r="Q2" s="8" t="n">
        <v>613.24</v>
      </c>
      <c r="R2" s="8" t="n">
        <v>14599.36</v>
      </c>
      <c r="S2" s="8" t="n">
        <v>1751.91</v>
      </c>
      <c r="T2" s="8" t="n">
        <v>327.02</v>
      </c>
      <c r="U2" s="8" t="n">
        <v>16024.25</v>
      </c>
      <c r="V2" s="5" t="inlineStr">
        <is>
          <t>SUCCESS</t>
        </is>
      </c>
      <c r="W2" s="5" t="inlineStr">
        <is>
          <t>C:\Liquidaciones\salidas\remesas\2026\INDUSTRIA\BLANCA_TARDIA</t>
        </is>
      </c>
    </row>
    <row r="3">
      <c r="A3" s="5" t="n">
        <v>2322</v>
      </c>
      <c r="B3" s="5" t="inlineStr">
        <is>
          <t>BLANCA TEMPRANA</t>
        </is>
      </c>
      <c r="C3" s="6" t="n">
        <v>46235</v>
      </c>
      <c r="D3" s="6" t="n">
        <v>45901</v>
      </c>
      <c r="E3" s="6" t="n">
        <v>46265</v>
      </c>
      <c r="F3" s="5" t="inlineStr">
        <is>
          <t>NORMAL</t>
        </is>
      </c>
      <c r="G3" s="5" t="inlineStr">
        <is>
          <t>Final</t>
        </is>
      </c>
      <c r="H3" s="7" t="n">
        <v>225</v>
      </c>
      <c r="I3" s="7" t="n">
        <v>53</v>
      </c>
      <c r="J3" s="7" t="n">
        <v>1</v>
      </c>
      <c r="K3" s="7" t="n">
        <v>1208716</v>
      </c>
      <c r="L3" s="8" t="n">
        <v>374701.96</v>
      </c>
      <c r="M3" s="8" t="n">
        <v>72495.74000000001</v>
      </c>
      <c r="N3" s="8" t="n">
        <v>0</v>
      </c>
      <c r="O3" s="8" t="n">
        <v>-2655.02</v>
      </c>
      <c r="P3" s="8" t="n">
        <v>0</v>
      </c>
      <c r="Q3" s="8" t="n">
        <v>10438.45</v>
      </c>
      <c r="R3" s="8" t="n">
        <v>289112.75</v>
      </c>
      <c r="S3" s="8" t="n">
        <v>34492.36</v>
      </c>
      <c r="T3" s="8" t="n">
        <v>6472.09</v>
      </c>
      <c r="U3" s="8" t="n">
        <v>317132.99</v>
      </c>
      <c r="V3" s="5" t="inlineStr">
        <is>
          <t>SUCCESS</t>
        </is>
      </c>
      <c r="W3" s="5" t="inlineStr">
        <is>
          <t>C:\Liquidaciones\salidas\remesas\2026\INDUSTRIA\BLANCA_TEMPRANA</t>
        </is>
      </c>
    </row>
    <row r="4">
      <c r="A4" s="5" t="n">
        <v>2324</v>
      </c>
      <c r="B4" s="5" t="inlineStr">
        <is>
          <t>NAVEL TARDIA</t>
        </is>
      </c>
      <c r="C4" s="6" t="n">
        <v>46235</v>
      </c>
      <c r="D4" s="6" t="n">
        <v>45901</v>
      </c>
      <c r="E4" s="6" t="n">
        <v>46265</v>
      </c>
      <c r="F4" s="5" t="inlineStr">
        <is>
          <t>NORMAL</t>
        </is>
      </c>
      <c r="G4" s="5" t="inlineStr">
        <is>
          <t>Final</t>
        </is>
      </c>
      <c r="H4" s="7" t="n">
        <v>46</v>
      </c>
      <c r="I4" s="7" t="n">
        <v>14</v>
      </c>
      <c r="J4" s="7" t="n">
        <v>4</v>
      </c>
      <c r="K4" s="7" t="n">
        <v>52653</v>
      </c>
      <c r="L4" s="8" t="n">
        <v>16322.43</v>
      </c>
      <c r="M4" s="8" t="n">
        <v>1879.24</v>
      </c>
      <c r="N4" s="8" t="n">
        <v>0</v>
      </c>
      <c r="O4" s="8" t="n">
        <v>-310.36</v>
      </c>
      <c r="P4" s="8" t="n">
        <v>0</v>
      </c>
      <c r="Q4" s="8" t="n">
        <v>444.69</v>
      </c>
      <c r="R4" s="8" t="n">
        <v>13688.14</v>
      </c>
      <c r="S4" s="8" t="n">
        <v>1642.59</v>
      </c>
      <c r="T4" s="8" t="n">
        <v>306.6</v>
      </c>
      <c r="U4" s="8" t="n">
        <v>15024.1</v>
      </c>
      <c r="V4" s="5" t="inlineStr">
        <is>
          <t>SUCCESS</t>
        </is>
      </c>
      <c r="W4" s="5" t="inlineStr">
        <is>
          <t>C:\Liquidaciones\salidas\remesas\2026\INDUSTRIA\NAVEL_TARDIA</t>
        </is>
      </c>
    </row>
    <row r="5">
      <c r="A5" s="5" t="n">
        <v>2325</v>
      </c>
      <c r="B5" s="5" t="inlineStr">
        <is>
          <t>NAVEL TEMPRANA</t>
        </is>
      </c>
      <c r="C5" s="6" t="n">
        <v>46235</v>
      </c>
      <c r="D5" s="6" t="n">
        <v>45901</v>
      </c>
      <c r="E5" s="6" t="n">
        <v>46265</v>
      </c>
      <c r="F5" s="5" t="inlineStr">
        <is>
          <t>NORMAL</t>
        </is>
      </c>
      <c r="G5" s="5" t="inlineStr">
        <is>
          <t>Final</t>
        </is>
      </c>
      <c r="H5" s="7" t="n">
        <v>115</v>
      </c>
      <c r="I5" s="7" t="n">
        <v>42</v>
      </c>
      <c r="J5" s="7" t="n">
        <v>4</v>
      </c>
      <c r="K5" s="7" t="n">
        <v>288954</v>
      </c>
      <c r="L5" s="8" t="n">
        <v>89575.74000000001</v>
      </c>
      <c r="M5" s="8" t="n">
        <v>16742.11</v>
      </c>
      <c r="N5" s="8" t="n">
        <v>0</v>
      </c>
      <c r="O5" s="8" t="n">
        <v>-1924.8</v>
      </c>
      <c r="P5" s="8" t="n">
        <v>0</v>
      </c>
      <c r="Q5" s="8" t="n">
        <v>2260.04</v>
      </c>
      <c r="R5" s="8" t="n">
        <v>68648.78999999999</v>
      </c>
      <c r="S5" s="8" t="n">
        <v>7180.8</v>
      </c>
      <c r="T5" s="8" t="n">
        <v>1461.81</v>
      </c>
      <c r="U5" s="8" t="n">
        <v>74367.81</v>
      </c>
      <c r="V5" s="5" t="inlineStr">
        <is>
          <t>SUCCESS</t>
        </is>
      </c>
      <c r="W5" s="5" t="inlineStr">
        <is>
          <t>C:\Liquidaciones\salidas\remesas\2026\INDUSTRIA\NAVEL_TEMPRANA</t>
        </is>
      </c>
    </row>
    <row r="6">
      <c r="A6" s="9" t="inlineStr">
        <is>
          <t>TOTAL GENERAL</t>
        </is>
      </c>
      <c r="B6" s="9" t="inlineStr"/>
      <c r="C6" s="10" t="inlineStr"/>
      <c r="D6" s="10" t="inlineStr"/>
      <c r="E6" s="10" t="inlineStr"/>
      <c r="F6" s="9" t="inlineStr"/>
      <c r="G6" s="9" t="inlineStr"/>
      <c r="H6" s="11" t="n">
        <v>409</v>
      </c>
      <c r="I6" s="11" t="n">
        <v>118</v>
      </c>
      <c r="J6" s="11" t="inlineStr"/>
      <c r="K6" s="11" t="n">
        <v>1609384</v>
      </c>
      <c r="L6" s="12" t="n">
        <v>498909.04</v>
      </c>
      <c r="M6" s="12" t="n">
        <v>94089.62</v>
      </c>
      <c r="N6" s="12" t="n">
        <v>0</v>
      </c>
      <c r="O6" s="12" t="n">
        <v>-5013.96</v>
      </c>
      <c r="P6" s="12" t="n">
        <v>0</v>
      </c>
      <c r="Q6" s="12" t="n">
        <v>13756.42</v>
      </c>
      <c r="R6" s="12" t="n">
        <v>386049.04</v>
      </c>
      <c r="S6" s="12" t="n">
        <v>45067.66</v>
      </c>
      <c r="T6" s="12" t="n">
        <v>8567.52</v>
      </c>
      <c r="U6" s="12" t="n">
        <v>422549.15</v>
      </c>
      <c r="V6" s="9" t="inlineStr"/>
      <c r="W6" s="9" t="inlineStr"/>
    </row>
  </sheetData>
  <autoFilter ref="A1: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5" customWidth="1" min="4" max="4"/>
    <col width="18" customWidth="1" min="5" max="5"/>
    <col width="14" customWidth="1" min="6" max="6"/>
    <col width="15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2" customWidth="1" min="15" max="15"/>
    <col width="10" customWidth="1" min="16" max="16"/>
    <col width="10" customWidth="1" min="17" max="17"/>
    <col width="17" customWidth="1" min="18" max="18"/>
    <col width="32" customWidth="1" min="19" max="19"/>
    <col width="16" customWidth="1" min="20" max="20"/>
    <col width="24" customWidth="1" min="21" max="21"/>
    <col width="23" customWidth="1" min="22" max="22"/>
    <col width="24" customWidth="1" min="23" max="23"/>
  </cols>
  <sheetData>
    <row r="1">
      <c r="A1" s="13" t="inlineStr">
        <is>
          <t>Id Remesa</t>
        </is>
      </c>
      <c r="B1" s="13" t="inlineStr">
        <is>
          <t>Remesa</t>
        </is>
      </c>
      <c r="C1" s="13" t="inlineStr">
        <is>
          <t>Nº Socio</t>
        </is>
      </c>
      <c r="D1" s="13" t="inlineStr">
        <is>
          <t>Socio</t>
        </is>
      </c>
      <c r="E1" s="13" t="inlineStr">
        <is>
          <t>Variedad</t>
        </is>
      </c>
      <c r="F1" s="13" t="inlineStr">
        <is>
          <t>Neto</t>
        </is>
      </c>
      <c r="G1" s="13" t="inlineStr">
        <is>
          <t>I. Bruto</t>
        </is>
      </c>
      <c r="H1" s="13" t="inlineStr">
        <is>
          <t>P. Comer.</t>
        </is>
      </c>
      <c r="I1" s="13" t="inlineStr">
        <is>
          <t>Recolec.</t>
        </is>
      </c>
      <c r="J1" s="13" t="inlineStr">
        <is>
          <t>C. Has.</t>
        </is>
      </c>
      <c r="K1" s="13" t="inlineStr">
        <is>
          <t>B/P Cal.</t>
        </is>
      </c>
      <c r="L1" s="13" t="inlineStr">
        <is>
          <t>B. Trans.</t>
        </is>
      </c>
      <c r="M1" s="13" t="inlineStr">
        <is>
          <t>B. Glob.</t>
        </is>
      </c>
      <c r="N1" s="13" t="inlineStr">
        <is>
          <t>Base Imponible</t>
        </is>
      </c>
      <c r="O1" s="13" t="inlineStr">
        <is>
          <t>P.Medio</t>
        </is>
      </c>
      <c r="P1" s="13" t="inlineStr">
        <is>
          <t>I.V.A</t>
        </is>
      </c>
      <c r="Q1" s="13" t="inlineStr">
        <is>
          <t>Ret.</t>
        </is>
      </c>
      <c r="R1" s="13" t="inlineStr">
        <is>
          <t>Importe Total.</t>
        </is>
      </c>
      <c r="S1" s="13" t="inlineStr">
        <is>
          <t>Concepto Liquidación</t>
        </is>
      </c>
      <c r="T1" s="13" t="inlineStr">
        <is>
          <t>Cultivo</t>
        </is>
      </c>
      <c r="U1" s="13" t="inlineStr">
        <is>
          <t>Com. Recol. (Pts/kg)(&lt;11,65)</t>
        </is>
      </c>
      <c r="V1" s="13" t="inlineStr">
        <is>
          <t>Com. Global (Pts/kg)(&lt;2)</t>
        </is>
      </c>
      <c r="W1" s="13" t="inlineStr">
        <is>
          <t>Com. Trans. (Pts/kg) (&lt;1,7)</t>
        </is>
      </c>
    </row>
    <row r="2">
      <c r="A2" s="14" t="n">
        <v>2321</v>
      </c>
      <c r="B2" s="14" t="inlineStr">
        <is>
          <t>BLANCA TARDIA</t>
        </is>
      </c>
      <c r="C2" s="15" t="n">
        <v>909</v>
      </c>
      <c r="D2" s="14" t="inlineStr">
        <is>
          <t>LEON PINEDA,ROSARIO</t>
        </is>
      </c>
      <c r="E2" s="14" t="inlineStr">
        <is>
          <t>BARBERINA</t>
        </is>
      </c>
      <c r="F2" s="15" t="n">
        <v>350</v>
      </c>
      <c r="G2" s="16" t="n">
        <v>108.5</v>
      </c>
      <c r="H2" s="17" t="n">
        <v>0.31</v>
      </c>
      <c r="I2" s="16" t="n">
        <v>21.88</v>
      </c>
      <c r="J2" s="16" t="n">
        <v>7.51</v>
      </c>
      <c r="K2" s="16" t="n">
        <v>0</v>
      </c>
      <c r="L2" s="16" t="n">
        <v>0</v>
      </c>
      <c r="M2" s="16" t="n">
        <v>0</v>
      </c>
      <c r="N2" s="16" t="n">
        <v>79.11</v>
      </c>
      <c r="O2" s="17" t="n">
        <v>0.24809</v>
      </c>
      <c r="P2" s="18" t="n">
        <v>12</v>
      </c>
      <c r="Q2" s="18" t="n">
        <v>2</v>
      </c>
      <c r="R2" s="16" t="n">
        <v>86.83</v>
      </c>
      <c r="S2" s="14" t="inlineStr">
        <is>
          <t>BLANCA TARDIA</t>
        </is>
      </c>
      <c r="T2" s="14" t="inlineStr">
        <is>
          <t>INDUSTRIA</t>
        </is>
      </c>
      <c r="U2" s="19">
        <f>IFERROR(166.386*I2/F2,0)</f>
        <v/>
      </c>
      <c r="V2" s="19">
        <f>IFERROR(166.386*M2/F2,0)</f>
        <v/>
      </c>
      <c r="W2" s="19">
        <f>IFERROR(166.386*L2/F2,0)</f>
        <v/>
      </c>
    </row>
    <row r="3">
      <c r="A3" s="14" t="n">
        <v>2321</v>
      </c>
      <c r="B3" s="14" t="inlineStr">
        <is>
          <t>BLANCA TARDIA</t>
        </is>
      </c>
      <c r="C3" s="15" t="n">
        <v>990</v>
      </c>
      <c r="D3" s="14" t="inlineStr">
        <is>
          <t>SANCHEZ PEREZ,ANTONIO</t>
        </is>
      </c>
      <c r="E3" s="14" t="inlineStr">
        <is>
          <t>VALENCIA</t>
        </is>
      </c>
      <c r="F3" s="15" t="n">
        <v>28688</v>
      </c>
      <c r="G3" s="16" t="n">
        <v>8893.280000000001</v>
      </c>
      <c r="H3" s="17" t="n">
        <v>0.31</v>
      </c>
      <c r="I3" s="16" t="n">
        <v>2065.54</v>
      </c>
      <c r="J3" s="16" t="n">
        <v>366.87</v>
      </c>
      <c r="K3" s="16" t="n">
        <v>0</v>
      </c>
      <c r="L3" s="16" t="n">
        <v>0</v>
      </c>
      <c r="M3" s="16" t="n">
        <v>0</v>
      </c>
      <c r="N3" s="16" t="n">
        <v>6460.87</v>
      </c>
      <c r="O3" s="17" t="n">
        <v>0.24719</v>
      </c>
      <c r="P3" s="18" t="n">
        <v>12</v>
      </c>
      <c r="Q3" s="18" t="n">
        <v>2</v>
      </c>
      <c r="R3" s="16" t="n">
        <v>7091.45</v>
      </c>
      <c r="S3" s="14" t="inlineStr">
        <is>
          <t>BLANCA TARDIA</t>
        </is>
      </c>
      <c r="T3" s="14" t="inlineStr">
        <is>
          <t>INDUSTRIA</t>
        </is>
      </c>
      <c r="U3" s="19">
        <f>IFERROR(166.386*I3/F3,0)</f>
        <v/>
      </c>
      <c r="V3" s="19">
        <f>IFERROR(166.386*M3/F3,0)</f>
        <v/>
      </c>
      <c r="W3" s="19">
        <f>IFERROR(166.386*L3/F3,0)</f>
        <v/>
      </c>
    </row>
    <row r="4">
      <c r="A4" s="14" t="n">
        <v>2321</v>
      </c>
      <c r="B4" s="14" t="inlineStr">
        <is>
          <t>BLANCA TARDIA</t>
        </is>
      </c>
      <c r="C4" s="15" t="n">
        <v>1072</v>
      </c>
      <c r="D4" s="14" t="inlineStr">
        <is>
          <t>GARCIA DELGADO,JUAN MANUEL</t>
        </is>
      </c>
      <c r="E4" s="14" t="inlineStr">
        <is>
          <t>VALENCIA DELTA</t>
        </is>
      </c>
      <c r="F4" s="15" t="n">
        <v>1682</v>
      </c>
      <c r="G4" s="16" t="n">
        <v>521.42</v>
      </c>
      <c r="H4" s="17" t="n">
        <v>0.31</v>
      </c>
      <c r="I4" s="16" t="n">
        <v>121.1</v>
      </c>
      <c r="J4" s="16" t="n">
        <v>25.06</v>
      </c>
      <c r="K4" s="16" t="n">
        <v>0</v>
      </c>
      <c r="L4" s="16" t="n">
        <v>-18.67</v>
      </c>
      <c r="M4" s="16" t="n">
        <v>0</v>
      </c>
      <c r="N4" s="16" t="n">
        <v>356.59</v>
      </c>
      <c r="O4" s="17" t="n">
        <v>0.23269</v>
      </c>
      <c r="P4" s="18" t="n">
        <v>12</v>
      </c>
      <c r="Q4" s="18" t="n">
        <v>2</v>
      </c>
      <c r="R4" s="16" t="n">
        <v>391.39</v>
      </c>
      <c r="S4" s="14" t="inlineStr">
        <is>
          <t>BLANCA TARDIA</t>
        </is>
      </c>
      <c r="T4" s="14" t="inlineStr">
        <is>
          <t>INDUSTRIA</t>
        </is>
      </c>
      <c r="U4" s="19">
        <f>IFERROR(166.386*I4/F4,0)</f>
        <v/>
      </c>
      <c r="V4" s="19">
        <f>IFERROR(166.386*M4/F4,0)</f>
        <v/>
      </c>
      <c r="W4" s="19">
        <f>IFERROR(166.386*L4/F4,0)</f>
        <v/>
      </c>
    </row>
    <row r="5">
      <c r="A5" s="14" t="n">
        <v>2321</v>
      </c>
      <c r="B5" s="14" t="inlineStr">
        <is>
          <t>BLANCA TARDIA</t>
        </is>
      </c>
      <c r="C5" s="15" t="n">
        <v>1426</v>
      </c>
      <c r="D5" s="14" t="inlineStr">
        <is>
          <t>MONTERO MERAT,JUAN MANUEL</t>
        </is>
      </c>
      <c r="E5" s="14" t="inlineStr">
        <is>
          <t>VALENCIA DELTA</t>
        </is>
      </c>
      <c r="F5" s="15" t="n">
        <v>1592</v>
      </c>
      <c r="G5" s="16" t="n">
        <v>493.52</v>
      </c>
      <c r="H5" s="17" t="n">
        <v>0.31</v>
      </c>
      <c r="I5" s="16" t="n">
        <v>114.62</v>
      </c>
      <c r="J5" s="16" t="n">
        <v>10.22</v>
      </c>
      <c r="K5" s="16" t="n">
        <v>0</v>
      </c>
      <c r="L5" s="16" t="n">
        <v>-17.67</v>
      </c>
      <c r="M5" s="16" t="n">
        <v>0</v>
      </c>
      <c r="N5" s="16" t="n">
        <v>351.01</v>
      </c>
      <c r="O5" s="17" t="n">
        <v>0.242</v>
      </c>
      <c r="P5" s="18" t="n">
        <v>12</v>
      </c>
      <c r="Q5" s="18" t="n">
        <v>2</v>
      </c>
      <c r="R5" s="16" t="n">
        <v>385.27</v>
      </c>
      <c r="S5" s="14" t="inlineStr">
        <is>
          <t>BLANCA TARDIA</t>
        </is>
      </c>
      <c r="T5" s="14" t="inlineStr">
        <is>
          <t>INDUSTRIA</t>
        </is>
      </c>
      <c r="U5" s="19">
        <f>IFERROR(166.386*I5/F5,0)</f>
        <v/>
      </c>
      <c r="V5" s="19">
        <f>IFERROR(166.386*M5/F5,0)</f>
        <v/>
      </c>
      <c r="W5" s="19">
        <f>IFERROR(166.386*L5/F5,0)</f>
        <v/>
      </c>
    </row>
    <row r="6">
      <c r="A6" s="14" t="n">
        <v>2321</v>
      </c>
      <c r="B6" s="14" t="inlineStr">
        <is>
          <t>BLANCA TARDIA</t>
        </is>
      </c>
      <c r="C6" s="15" t="n">
        <v>1491</v>
      </c>
      <c r="D6" s="14" t="inlineStr">
        <is>
          <t>JIMENEZ LORENTE,SONIA</t>
        </is>
      </c>
      <c r="E6" s="14" t="inlineStr">
        <is>
          <t>VALENCIA DELTA</t>
        </is>
      </c>
      <c r="F6" s="15" t="n">
        <v>1597</v>
      </c>
      <c r="G6" s="16" t="n">
        <v>495.07</v>
      </c>
      <c r="H6" s="17" t="n">
        <v>0.31</v>
      </c>
      <c r="I6" s="16" t="n">
        <v>114.98</v>
      </c>
      <c r="J6" s="16" t="n">
        <v>10.26</v>
      </c>
      <c r="K6" s="16" t="n">
        <v>0</v>
      </c>
      <c r="L6" s="16" t="n">
        <v>-17.73</v>
      </c>
      <c r="M6" s="16" t="n">
        <v>0</v>
      </c>
      <c r="N6" s="16" t="n">
        <v>352.1</v>
      </c>
      <c r="O6" s="17" t="n">
        <v>0.24199</v>
      </c>
      <c r="P6" s="18" t="n">
        <v>12</v>
      </c>
      <c r="Q6" s="18" t="n">
        <v>2</v>
      </c>
      <c r="R6" s="16" t="n">
        <v>386.46</v>
      </c>
      <c r="S6" s="14" t="inlineStr">
        <is>
          <t>BLANCA TARDIA</t>
        </is>
      </c>
      <c r="T6" s="14" t="inlineStr">
        <is>
          <t>INDUSTRIA</t>
        </is>
      </c>
      <c r="U6" s="19">
        <f>IFERROR(166.386*I6/F6,0)</f>
        <v/>
      </c>
      <c r="V6" s="19">
        <f>IFERROR(166.386*M6/F6,0)</f>
        <v/>
      </c>
      <c r="W6" s="19">
        <f>IFERROR(166.386*L6/F6,0)</f>
        <v/>
      </c>
    </row>
    <row r="7">
      <c r="A7" s="14" t="n">
        <v>2321</v>
      </c>
      <c r="B7" s="14" t="inlineStr">
        <is>
          <t>BLANCA TARDIA</t>
        </is>
      </c>
      <c r="C7" s="15" t="n">
        <v>1561</v>
      </c>
      <c r="D7" s="14" t="inlineStr">
        <is>
          <t>SUAREZ SANCHEZ, Mª DEL PILAR</t>
        </is>
      </c>
      <c r="E7" s="14" t="inlineStr">
        <is>
          <t>VALENCIA DELTA</t>
        </is>
      </c>
      <c r="F7" s="15" t="n">
        <v>17556</v>
      </c>
      <c r="G7" s="16" t="n">
        <v>5442.36</v>
      </c>
      <c r="H7" s="17" t="n">
        <v>0.31</v>
      </c>
      <c r="I7" s="16" t="n">
        <v>0</v>
      </c>
      <c r="J7" s="16" t="n">
        <v>142.74</v>
      </c>
      <c r="K7" s="16" t="n">
        <v>0</v>
      </c>
      <c r="L7" s="16" t="n">
        <v>0</v>
      </c>
      <c r="M7" s="16" t="n">
        <v>0</v>
      </c>
      <c r="N7" s="16" t="n">
        <v>5299.62</v>
      </c>
      <c r="O7" s="17" t="n">
        <v>0.33133</v>
      </c>
      <c r="P7" s="18" t="n">
        <v>12</v>
      </c>
      <c r="Q7" s="18" t="n">
        <v>2</v>
      </c>
      <c r="R7" s="16" t="n">
        <v>5816.86</v>
      </c>
      <c r="S7" s="14" t="inlineStr">
        <is>
          <t>BLANCA TARDIA</t>
        </is>
      </c>
      <c r="T7" s="14" t="inlineStr">
        <is>
          <t>INDUSTRIA</t>
        </is>
      </c>
      <c r="U7" s="19">
        <f>IFERROR(166.386*I7/F7,0)</f>
        <v/>
      </c>
      <c r="V7" s="19">
        <f>IFERROR(166.386*M7/F7,0)</f>
        <v/>
      </c>
      <c r="W7" s="19">
        <f>IFERROR(166.386*L7/F7,0)</f>
        <v/>
      </c>
    </row>
    <row r="8">
      <c r="A8" s="14" t="n">
        <v>2321</v>
      </c>
      <c r="B8" s="14" t="inlineStr">
        <is>
          <t>BLANCA TARDIA</t>
        </is>
      </c>
      <c r="C8" s="15" t="n">
        <v>1594</v>
      </c>
      <c r="D8" s="14" t="inlineStr">
        <is>
          <t>CANO MANZANARES, ISABEL MARIA</t>
        </is>
      </c>
      <c r="E8" s="14" t="inlineStr">
        <is>
          <t>BARBERINA</t>
        </is>
      </c>
      <c r="F8" s="15" t="n">
        <v>1316</v>
      </c>
      <c r="G8" s="16" t="n">
        <v>407.96</v>
      </c>
      <c r="H8" s="17" t="n">
        <v>0.31</v>
      </c>
      <c r="I8" s="16" t="n">
        <v>82.25</v>
      </c>
      <c r="J8" s="16" t="n">
        <v>8.369999999999999</v>
      </c>
      <c r="K8" s="16" t="n">
        <v>0</v>
      </c>
      <c r="L8" s="16" t="n">
        <v>0</v>
      </c>
      <c r="M8" s="16" t="n">
        <v>0</v>
      </c>
      <c r="N8" s="16" t="n">
        <v>317.34</v>
      </c>
      <c r="O8" s="17" t="n">
        <v>0.26467</v>
      </c>
      <c r="P8" s="18" t="n">
        <v>12</v>
      </c>
      <c r="Q8" s="18" t="n">
        <v>2</v>
      </c>
      <c r="R8" s="16" t="n">
        <v>348.31</v>
      </c>
      <c r="S8" s="14" t="inlineStr">
        <is>
          <t>BLANCA TARDIA</t>
        </is>
      </c>
      <c r="T8" s="14" t="inlineStr">
        <is>
          <t>INDUSTRIA</t>
        </is>
      </c>
      <c r="U8" s="19">
        <f>IFERROR(166.386*I8/F8,0)</f>
        <v/>
      </c>
      <c r="V8" s="19">
        <f>IFERROR(166.386*M8/F8,0)</f>
        <v/>
      </c>
      <c r="W8" s="19">
        <f>IFERROR(166.386*L8/F8,0)</f>
        <v/>
      </c>
    </row>
    <row r="9">
      <c r="A9" s="14" t="n">
        <v>2321</v>
      </c>
      <c r="B9" s="14" t="inlineStr">
        <is>
          <t>BLANCA TARDIA</t>
        </is>
      </c>
      <c r="C9" s="15" t="n">
        <v>1596</v>
      </c>
      <c r="D9" s="14" t="inlineStr">
        <is>
          <t>RUEDA GARCIA, Mª MERCEDES</t>
        </is>
      </c>
      <c r="E9" s="14" t="inlineStr">
        <is>
          <t>VALENCIA DELTA</t>
        </is>
      </c>
      <c r="F9" s="15" t="n">
        <v>2182</v>
      </c>
      <c r="G9" s="16" t="n">
        <v>676.42</v>
      </c>
      <c r="H9" s="17" t="n">
        <v>0.31</v>
      </c>
      <c r="I9" s="16" t="n">
        <v>157.1</v>
      </c>
      <c r="J9" s="16" t="n">
        <v>34.36</v>
      </c>
      <c r="K9" s="16" t="n">
        <v>0</v>
      </c>
      <c r="L9" s="16" t="n">
        <v>-24.22</v>
      </c>
      <c r="M9" s="16" t="n">
        <v>0</v>
      </c>
      <c r="N9" s="16" t="n">
        <v>460.74</v>
      </c>
      <c r="O9" s="17" t="n">
        <v>0.23176</v>
      </c>
      <c r="P9" s="18" t="n">
        <v>12</v>
      </c>
      <c r="Q9" s="18" t="n">
        <v>2</v>
      </c>
      <c r="R9" s="16" t="n">
        <v>505.71</v>
      </c>
      <c r="S9" s="14" t="inlineStr">
        <is>
          <t>BLANCA TARDIA</t>
        </is>
      </c>
      <c r="T9" s="14" t="inlineStr">
        <is>
          <t>INDUSTRIA</t>
        </is>
      </c>
      <c r="U9" s="19">
        <f>IFERROR(166.386*I9/F9,0)</f>
        <v/>
      </c>
      <c r="V9" s="19">
        <f>IFERROR(166.386*M9/F9,0)</f>
        <v/>
      </c>
      <c r="W9" s="19">
        <f>IFERROR(166.386*L9/F9,0)</f>
        <v/>
      </c>
    </row>
    <row r="10">
      <c r="A10" s="14" t="n">
        <v>2321</v>
      </c>
      <c r="B10" s="14" t="inlineStr">
        <is>
          <t>BLANCA TARDIA</t>
        </is>
      </c>
      <c r="C10" s="15" t="n">
        <v>1614</v>
      </c>
      <c r="D10" s="14" t="inlineStr">
        <is>
          <t>MARIN SERRANO 2025 S.C.</t>
        </is>
      </c>
      <c r="E10" s="14" t="inlineStr">
        <is>
          <t>VALENCIA LATE</t>
        </is>
      </c>
      <c r="F10" s="15" t="n">
        <v>4098</v>
      </c>
      <c r="G10" s="16" t="n">
        <v>1270.38</v>
      </c>
      <c r="H10" s="17" t="n">
        <v>0.31</v>
      </c>
      <c r="I10" s="16" t="n">
        <v>295.06</v>
      </c>
      <c r="J10" s="16" t="n">
        <v>7.85</v>
      </c>
      <c r="K10" s="16" t="n">
        <v>0</v>
      </c>
      <c r="L10" s="16" t="n">
        <v>-45.49</v>
      </c>
      <c r="M10" s="16" t="n">
        <v>0</v>
      </c>
      <c r="N10" s="16" t="n">
        <v>921.98</v>
      </c>
      <c r="O10" s="17" t="n">
        <v>0.24694</v>
      </c>
      <c r="P10" s="18" t="n">
        <v>12</v>
      </c>
      <c r="Q10" s="18" t="n">
        <v>2</v>
      </c>
      <c r="R10" s="16" t="n">
        <v>1011.97</v>
      </c>
      <c r="S10" s="14" t="inlineStr">
        <is>
          <t>BLANCA TARDIA</t>
        </is>
      </c>
      <c r="T10" s="14" t="inlineStr">
        <is>
          <t>INDUSTRIA</t>
        </is>
      </c>
      <c r="U10" s="19">
        <f>IFERROR(166.386*I10/F10,0)</f>
        <v/>
      </c>
      <c r="V10" s="19">
        <f>IFERROR(166.386*M10/F10,0)</f>
        <v/>
      </c>
      <c r="W10" s="19">
        <f>IFERROR(166.386*L10/F10,0)</f>
        <v/>
      </c>
    </row>
    <row r="11">
      <c r="A11" s="14" t="n">
        <v>2322</v>
      </c>
      <c r="B11" s="14" t="inlineStr">
        <is>
          <t>BLANCA TEMPRANA</t>
        </is>
      </c>
      <c r="C11" s="15" t="n">
        <v>453</v>
      </c>
      <c r="D11" s="14" t="inlineStr">
        <is>
          <t>GARCIA CORDON,HILARIO</t>
        </is>
      </c>
      <c r="E11" s="14" t="inlineStr">
        <is>
          <t>SALUSTIANA</t>
        </is>
      </c>
      <c r="F11" s="15" t="n">
        <v>62880</v>
      </c>
      <c r="G11" s="16" t="n">
        <v>19492.8</v>
      </c>
      <c r="H11" s="17" t="n">
        <v>0.31</v>
      </c>
      <c r="I11" s="16" t="n">
        <v>3930</v>
      </c>
      <c r="J11" s="16" t="n">
        <v>483.5</v>
      </c>
      <c r="K11" s="16" t="n">
        <v>0</v>
      </c>
      <c r="L11" s="16" t="n">
        <v>-311.69</v>
      </c>
      <c r="M11" s="16" t="n">
        <v>0</v>
      </c>
      <c r="N11" s="16" t="n">
        <v>14767.61</v>
      </c>
      <c r="O11" s="17" t="n">
        <v>0.25778</v>
      </c>
      <c r="P11" s="18" t="n">
        <v>12</v>
      </c>
      <c r="Q11" s="18" t="n">
        <v>2</v>
      </c>
      <c r="R11" s="16" t="n">
        <v>16208.93</v>
      </c>
      <c r="S11" s="14" t="inlineStr">
        <is>
          <t>BLANCA TEMPRANA</t>
        </is>
      </c>
      <c r="T11" s="14" t="inlineStr">
        <is>
          <t>INDUSTRIA</t>
        </is>
      </c>
      <c r="U11" s="19">
        <f>IFERROR(166.386*I11/F11,0)</f>
        <v/>
      </c>
      <c r="V11" s="19">
        <f>IFERROR(166.386*M11/F11,0)</f>
        <v/>
      </c>
      <c r="W11" s="19">
        <f>IFERROR(166.386*L11/F11,0)</f>
        <v/>
      </c>
    </row>
    <row r="12">
      <c r="A12" s="14" t="n">
        <v>2322</v>
      </c>
      <c r="B12" s="14" t="inlineStr">
        <is>
          <t>BLANCA TEMPRANA</t>
        </is>
      </c>
      <c r="C12" s="15" t="n">
        <v>466</v>
      </c>
      <c r="D12" s="14" t="inlineStr">
        <is>
          <t>CRUZ RUIZ,JESUS</t>
        </is>
      </c>
      <c r="E12" s="14" t="inlineStr">
        <is>
          <t>SALUSTIANA</t>
        </is>
      </c>
      <c r="F12" s="15" t="n">
        <v>5733</v>
      </c>
      <c r="G12" s="16" t="n">
        <v>1777.23</v>
      </c>
      <c r="H12" s="17" t="n">
        <v>0.31</v>
      </c>
      <c r="I12" s="16" t="n">
        <v>206.5</v>
      </c>
      <c r="J12" s="16" t="n">
        <v>35.7</v>
      </c>
      <c r="K12" s="16" t="n">
        <v>0</v>
      </c>
      <c r="L12" s="16" t="n">
        <v>-44.93</v>
      </c>
      <c r="M12" s="16" t="n">
        <v>0</v>
      </c>
      <c r="N12" s="16" t="n">
        <v>1490.1</v>
      </c>
      <c r="O12" s="17" t="n">
        <v>0.28528</v>
      </c>
      <c r="P12" s="18" t="n">
        <v>12</v>
      </c>
      <c r="Q12" s="18" t="n">
        <v>2</v>
      </c>
      <c r="R12" s="16" t="n">
        <v>1635.53</v>
      </c>
      <c r="S12" s="14" t="inlineStr">
        <is>
          <t>BLANCA TEMPRANA</t>
        </is>
      </c>
      <c r="T12" s="14" t="inlineStr">
        <is>
          <t>INDUSTRIA</t>
        </is>
      </c>
      <c r="U12" s="19">
        <f>IFERROR(166.386*I12/F12,0)</f>
        <v/>
      </c>
      <c r="V12" s="19">
        <f>IFERROR(166.386*M12/F12,0)</f>
        <v/>
      </c>
      <c r="W12" s="19">
        <f>IFERROR(166.386*L12/F12,0)</f>
        <v/>
      </c>
    </row>
    <row r="13">
      <c r="A13" s="14" t="n">
        <v>2322</v>
      </c>
      <c r="B13" s="14" t="inlineStr">
        <is>
          <t>BLANCA TEMPRANA</t>
        </is>
      </c>
      <c r="C13" s="15" t="n">
        <v>798</v>
      </c>
      <c r="D13" s="14" t="inlineStr">
        <is>
          <t>PAREJA PAREJA,ISABEL</t>
        </is>
      </c>
      <c r="E13" s="14" t="inlineStr">
        <is>
          <t>SALUSTIANA</t>
        </is>
      </c>
      <c r="F13" s="15" t="n">
        <v>306730</v>
      </c>
      <c r="G13" s="16" t="n">
        <v>95086.3</v>
      </c>
      <c r="H13" s="17" t="n">
        <v>0.31</v>
      </c>
      <c r="I13" s="16" t="n">
        <v>19170.63</v>
      </c>
      <c r="J13" s="16" t="n">
        <v>1997.13</v>
      </c>
      <c r="K13" s="16" t="n">
        <v>0</v>
      </c>
      <c r="L13" s="16" t="n">
        <v>0</v>
      </c>
      <c r="M13" s="16" t="n">
        <v>0</v>
      </c>
      <c r="N13" s="16" t="n">
        <v>73918.53999999999</v>
      </c>
      <c r="O13" s="17" t="n">
        <v>0.26451</v>
      </c>
      <c r="P13" s="18" t="n">
        <v>12</v>
      </c>
      <c r="Q13" s="18" t="n">
        <v>2</v>
      </c>
      <c r="R13" s="16" t="n">
        <v>81132.99000000001</v>
      </c>
      <c r="S13" s="14" t="inlineStr">
        <is>
          <t>BLANCA TEMPRANA</t>
        </is>
      </c>
      <c r="T13" s="14" t="inlineStr">
        <is>
          <t>INDUSTRIA</t>
        </is>
      </c>
      <c r="U13" s="19">
        <f>IFERROR(166.386*I13/F13,0)</f>
        <v/>
      </c>
      <c r="V13" s="19">
        <f>IFERROR(166.386*M13/F13,0)</f>
        <v/>
      </c>
      <c r="W13" s="19">
        <f>IFERROR(166.386*L13/F13,0)</f>
        <v/>
      </c>
    </row>
    <row r="14">
      <c r="A14" s="14" t="n">
        <v>2322</v>
      </c>
      <c r="B14" s="14" t="inlineStr">
        <is>
          <t>BLANCA TEMPRANA</t>
        </is>
      </c>
      <c r="C14" s="15" t="n">
        <v>824</v>
      </c>
      <c r="D14" s="14" t="inlineStr">
        <is>
          <t>RINCON NIETO,JOSE</t>
        </is>
      </c>
      <c r="E14" s="14" t="inlineStr">
        <is>
          <t>SALUSTIANA</t>
        </is>
      </c>
      <c r="F14" s="15" t="n">
        <v>36136</v>
      </c>
      <c r="G14" s="16" t="n">
        <v>11202.16</v>
      </c>
      <c r="H14" s="17" t="n">
        <v>0.31</v>
      </c>
      <c r="I14" s="16" t="n">
        <v>2258.5</v>
      </c>
      <c r="J14" s="16" t="n">
        <v>400</v>
      </c>
      <c r="K14" s="16" t="n">
        <v>0</v>
      </c>
      <c r="L14" s="16" t="n">
        <v>-104.78</v>
      </c>
      <c r="M14" s="16" t="n">
        <v>0</v>
      </c>
      <c r="N14" s="16" t="n">
        <v>8438.879999999999</v>
      </c>
      <c r="O14" s="17" t="n">
        <v>0.25632</v>
      </c>
      <c r="P14" s="18" t="n">
        <v>12</v>
      </c>
      <c r="Q14" s="18" t="n">
        <v>2</v>
      </c>
      <c r="R14" s="16" t="n">
        <v>9262.51</v>
      </c>
      <c r="S14" s="14" t="inlineStr">
        <is>
          <t>BLANCA TEMPRANA</t>
        </is>
      </c>
      <c r="T14" s="14" t="inlineStr">
        <is>
          <t>INDUSTRIA</t>
        </is>
      </c>
      <c r="U14" s="19">
        <f>IFERROR(166.386*I14/F14,0)</f>
        <v/>
      </c>
      <c r="V14" s="19">
        <f>IFERROR(166.386*M14/F14,0)</f>
        <v/>
      </c>
      <c r="W14" s="19">
        <f>IFERROR(166.386*L14/F14,0)</f>
        <v/>
      </c>
    </row>
    <row r="15">
      <c r="A15" s="14" t="n">
        <v>2322</v>
      </c>
      <c r="B15" s="14" t="inlineStr">
        <is>
          <t>BLANCA TEMPRANA</t>
        </is>
      </c>
      <c r="C15" s="15" t="n">
        <v>883</v>
      </c>
      <c r="D15" s="14" t="inlineStr">
        <is>
          <t>TORO SANCHEZ,TERESA</t>
        </is>
      </c>
      <c r="E15" s="14" t="inlineStr">
        <is>
          <t>SALUSTIANA</t>
        </is>
      </c>
      <c r="F15" s="15" t="n">
        <v>8059</v>
      </c>
      <c r="G15" s="16" t="n">
        <v>2498.29</v>
      </c>
      <c r="H15" s="17" t="n">
        <v>0.31</v>
      </c>
      <c r="I15" s="16" t="n">
        <v>580.25</v>
      </c>
      <c r="J15" s="16" t="n">
        <v>59.35</v>
      </c>
      <c r="K15" s="16" t="n">
        <v>0</v>
      </c>
      <c r="L15" s="16" t="n">
        <v>-89.45</v>
      </c>
      <c r="M15" s="16" t="n">
        <v>0</v>
      </c>
      <c r="N15" s="16" t="n">
        <v>1769.24</v>
      </c>
      <c r="O15" s="17" t="n">
        <v>0.24096</v>
      </c>
      <c r="P15" s="18" t="n">
        <v>12</v>
      </c>
      <c r="Q15" s="18" t="n">
        <v>2</v>
      </c>
      <c r="R15" s="16" t="n">
        <v>1941.92</v>
      </c>
      <c r="S15" s="14" t="inlineStr">
        <is>
          <t>BLANCA TEMPRANA</t>
        </is>
      </c>
      <c r="T15" s="14" t="inlineStr">
        <is>
          <t>INDUSTRIA</t>
        </is>
      </c>
      <c r="U15" s="19">
        <f>IFERROR(166.386*I15/F15,0)</f>
        <v/>
      </c>
      <c r="V15" s="19">
        <f>IFERROR(166.386*M15/F15,0)</f>
        <v/>
      </c>
      <c r="W15" s="19">
        <f>IFERROR(166.386*L15/F15,0)</f>
        <v/>
      </c>
    </row>
    <row r="16">
      <c r="A16" s="14" t="n">
        <v>2322</v>
      </c>
      <c r="B16" s="14" t="inlineStr">
        <is>
          <t>BLANCA TEMPRANA</t>
        </is>
      </c>
      <c r="C16" s="15" t="n">
        <v>937</v>
      </c>
      <c r="D16" s="14" t="inlineStr">
        <is>
          <t>GALVEZ MACIAS,FRANCISCO</t>
        </is>
      </c>
      <c r="E16" s="14" t="inlineStr">
        <is>
          <t>SALUSTIANA</t>
        </is>
      </c>
      <c r="F16" s="15" t="n">
        <v>6979</v>
      </c>
      <c r="G16" s="16" t="n">
        <v>2163.49</v>
      </c>
      <c r="H16" s="17" t="n">
        <v>0.31</v>
      </c>
      <c r="I16" s="16" t="n">
        <v>519.16</v>
      </c>
      <c r="J16" s="16" t="n">
        <v>57.04</v>
      </c>
      <c r="K16" s="16" t="n">
        <v>0</v>
      </c>
      <c r="L16" s="16" t="n">
        <v>-77.47</v>
      </c>
      <c r="M16" s="16" t="n">
        <v>0</v>
      </c>
      <c r="N16" s="16" t="n">
        <v>1509.82</v>
      </c>
      <c r="O16" s="17" t="n">
        <v>0.23745</v>
      </c>
      <c r="P16" s="18" t="n">
        <v>12</v>
      </c>
      <c r="Q16" s="18" t="n">
        <v>2</v>
      </c>
      <c r="R16" s="16" t="n">
        <v>1657.18</v>
      </c>
      <c r="S16" s="14" t="inlineStr">
        <is>
          <t>BLANCA TEMPRANA</t>
        </is>
      </c>
      <c r="T16" s="14" t="inlineStr">
        <is>
          <t>INDUSTRIA</t>
        </is>
      </c>
      <c r="U16" s="19">
        <f>IFERROR(166.386*I16/F16,0)</f>
        <v/>
      </c>
      <c r="V16" s="19">
        <f>IFERROR(166.386*M16/F16,0)</f>
        <v/>
      </c>
      <c r="W16" s="19">
        <f>IFERROR(166.386*L16/F16,0)</f>
        <v/>
      </c>
    </row>
    <row r="17">
      <c r="A17" s="14" t="n">
        <v>2322</v>
      </c>
      <c r="B17" s="14" t="inlineStr">
        <is>
          <t>BLANCA TEMPRANA</t>
        </is>
      </c>
      <c r="C17" s="15" t="n">
        <v>963</v>
      </c>
      <c r="D17" s="14" t="inlineStr">
        <is>
          <t>GUIL RUEDA,JOSE MARIA</t>
        </is>
      </c>
      <c r="E17" s="14" t="inlineStr">
        <is>
          <t>SALUSTIANA</t>
        </is>
      </c>
      <c r="F17" s="15" t="n">
        <v>3538</v>
      </c>
      <c r="G17" s="16" t="n">
        <v>1096.78</v>
      </c>
      <c r="H17" s="17" t="n">
        <v>0.31</v>
      </c>
      <c r="I17" s="16" t="n">
        <v>0</v>
      </c>
      <c r="J17" s="16" t="n">
        <v>0</v>
      </c>
      <c r="K17" s="16" t="n">
        <v>0</v>
      </c>
      <c r="L17" s="16" t="n">
        <v>-39.27</v>
      </c>
      <c r="M17" s="16" t="n">
        <v>0</v>
      </c>
      <c r="N17" s="16" t="n">
        <v>1057.51</v>
      </c>
      <c r="O17" s="17" t="n">
        <v>0.32807</v>
      </c>
      <c r="P17" s="18" t="n">
        <v>12</v>
      </c>
      <c r="Q17" s="18" t="n">
        <v>2</v>
      </c>
      <c r="R17" s="16" t="n">
        <v>1160.72</v>
      </c>
      <c r="S17" s="14" t="inlineStr">
        <is>
          <t>BLANCA TEMPRANA</t>
        </is>
      </c>
      <c r="T17" s="14" t="inlineStr">
        <is>
          <t>INDUSTRIA</t>
        </is>
      </c>
      <c r="U17" s="19">
        <f>IFERROR(166.386*I17/F17,0)</f>
        <v/>
      </c>
      <c r="V17" s="19">
        <f>IFERROR(166.386*M17/F17,0)</f>
        <v/>
      </c>
      <c r="W17" s="19">
        <f>IFERROR(166.386*L17/F17,0)</f>
        <v/>
      </c>
    </row>
    <row r="18">
      <c r="A18" s="14" t="n">
        <v>2322</v>
      </c>
      <c r="B18" s="14" t="inlineStr">
        <is>
          <t>BLANCA TEMPRANA</t>
        </is>
      </c>
      <c r="C18" s="15" t="n">
        <v>989</v>
      </c>
      <c r="D18" s="14" t="inlineStr">
        <is>
          <t>SOSA REVUELTA,NICANOR</t>
        </is>
      </c>
      <c r="E18" s="14" t="inlineStr">
        <is>
          <t>SALUSTIANA</t>
        </is>
      </c>
      <c r="F18" s="15" t="n">
        <v>45620</v>
      </c>
      <c r="G18" s="16" t="n">
        <v>14142.2</v>
      </c>
      <c r="H18" s="17" t="n">
        <v>0.31</v>
      </c>
      <c r="I18" s="16" t="n">
        <v>2851.25</v>
      </c>
      <c r="J18" s="16" t="n">
        <v>510.9</v>
      </c>
      <c r="K18" s="16" t="n">
        <v>0</v>
      </c>
      <c r="L18" s="16" t="n">
        <v>0</v>
      </c>
      <c r="M18" s="16" t="n">
        <v>0</v>
      </c>
      <c r="N18" s="16" t="n">
        <v>10780.05</v>
      </c>
      <c r="O18" s="17" t="n">
        <v>0.25936</v>
      </c>
      <c r="P18" s="18" t="n">
        <v>12</v>
      </c>
      <c r="Q18" s="18" t="n">
        <v>2</v>
      </c>
      <c r="R18" s="16" t="n">
        <v>11832.18</v>
      </c>
      <c r="S18" s="14" t="inlineStr">
        <is>
          <t>BLANCA TEMPRANA</t>
        </is>
      </c>
      <c r="T18" s="14" t="inlineStr">
        <is>
          <t>INDUSTRIA</t>
        </is>
      </c>
      <c r="U18" s="19">
        <f>IFERROR(166.386*I18/F18,0)</f>
        <v/>
      </c>
      <c r="V18" s="19">
        <f>IFERROR(166.386*M18/F18,0)</f>
        <v/>
      </c>
      <c r="W18" s="19">
        <f>IFERROR(166.386*L18/F18,0)</f>
        <v/>
      </c>
    </row>
    <row r="19">
      <c r="A19" s="14" t="n">
        <v>2322</v>
      </c>
      <c r="B19" s="14" t="inlineStr">
        <is>
          <t>BLANCA TEMPRANA</t>
        </is>
      </c>
      <c r="C19" s="15" t="n">
        <v>994</v>
      </c>
      <c r="D19" s="14" t="inlineStr">
        <is>
          <t>MARTINEZ PASADAS,FRANCISCO JAVIER</t>
        </is>
      </c>
      <c r="E19" s="14" t="inlineStr">
        <is>
          <t>SALUSTIANA</t>
        </is>
      </c>
      <c r="F19" s="15" t="n">
        <v>10635</v>
      </c>
      <c r="G19" s="16" t="n">
        <v>3296.85</v>
      </c>
      <c r="H19" s="17" t="n">
        <v>0.31</v>
      </c>
      <c r="I19" s="16" t="n">
        <v>664.6900000000001</v>
      </c>
      <c r="J19" s="16" t="n">
        <v>102.5</v>
      </c>
      <c r="K19" s="16" t="n">
        <v>0</v>
      </c>
      <c r="L19" s="16" t="n">
        <v>-118.05</v>
      </c>
      <c r="M19" s="16" t="n">
        <v>0</v>
      </c>
      <c r="N19" s="16" t="n">
        <v>2411.61</v>
      </c>
      <c r="O19" s="17" t="n">
        <v>0.24889</v>
      </c>
      <c r="P19" s="18" t="n">
        <v>12</v>
      </c>
      <c r="Q19" s="18" t="n">
        <v>2</v>
      </c>
      <c r="R19" s="16" t="n">
        <v>2646.98</v>
      </c>
      <c r="S19" s="14" t="inlineStr">
        <is>
          <t>BLANCA TEMPRANA</t>
        </is>
      </c>
      <c r="T19" s="14" t="inlineStr">
        <is>
          <t>INDUSTRIA</t>
        </is>
      </c>
      <c r="U19" s="19">
        <f>IFERROR(166.386*I19/F19,0)</f>
        <v/>
      </c>
      <c r="V19" s="19">
        <f>IFERROR(166.386*M19/F19,0)</f>
        <v/>
      </c>
      <c r="W19" s="19">
        <f>IFERROR(166.386*L19/F19,0)</f>
        <v/>
      </c>
    </row>
    <row r="20">
      <c r="A20" s="14" t="n">
        <v>2322</v>
      </c>
      <c r="B20" s="14" t="inlineStr">
        <is>
          <t>BLANCA TEMPRANA</t>
        </is>
      </c>
      <c r="C20" s="15" t="n">
        <v>1111</v>
      </c>
      <c r="D20" s="14" t="inlineStr">
        <is>
          <t>LACAL GUIL,MERCEDES</t>
        </is>
      </c>
      <c r="E20" s="14" t="inlineStr">
        <is>
          <t>SALUSTIANA</t>
        </is>
      </c>
      <c r="F20" s="15" t="n">
        <v>20400</v>
      </c>
      <c r="G20" s="16" t="n">
        <v>6324</v>
      </c>
      <c r="H20" s="17" t="n">
        <v>0.31</v>
      </c>
      <c r="I20" s="16" t="n">
        <v>1275</v>
      </c>
      <c r="J20" s="16" t="n">
        <v>167.11</v>
      </c>
      <c r="K20" s="16" t="n">
        <v>0</v>
      </c>
      <c r="L20" s="16" t="n">
        <v>0</v>
      </c>
      <c r="M20" s="16" t="n">
        <v>0</v>
      </c>
      <c r="N20" s="16" t="n">
        <v>4881.89</v>
      </c>
      <c r="O20" s="17" t="n">
        <v>0.26266</v>
      </c>
      <c r="P20" s="18" t="n">
        <v>12</v>
      </c>
      <c r="Q20" s="18" t="n">
        <v>2</v>
      </c>
      <c r="R20" s="16" t="n">
        <v>5358.36</v>
      </c>
      <c r="S20" s="14" t="inlineStr">
        <is>
          <t>BLANCA TEMPRANA</t>
        </is>
      </c>
      <c r="T20" s="14" t="inlineStr">
        <is>
          <t>INDUSTRIA</t>
        </is>
      </c>
      <c r="U20" s="19">
        <f>IFERROR(166.386*I20/F20,0)</f>
        <v/>
      </c>
      <c r="V20" s="19">
        <f>IFERROR(166.386*M20/F20,0)</f>
        <v/>
      </c>
      <c r="W20" s="19">
        <f>IFERROR(166.386*L20/F20,0)</f>
        <v/>
      </c>
    </row>
    <row r="21">
      <c r="A21" s="14" t="n">
        <v>2322</v>
      </c>
      <c r="B21" s="14" t="inlineStr">
        <is>
          <t>BLANCA TEMPRANA</t>
        </is>
      </c>
      <c r="C21" s="15" t="n">
        <v>1124</v>
      </c>
      <c r="D21" s="14" t="inlineStr">
        <is>
          <t>VARON RUIZ,ANTONIO</t>
        </is>
      </c>
      <c r="E21" s="14" t="inlineStr">
        <is>
          <t>SALUSTIANA</t>
        </is>
      </c>
      <c r="F21" s="15" t="n">
        <v>550</v>
      </c>
      <c r="G21" s="16" t="n">
        <v>170.5</v>
      </c>
      <c r="H21" s="17" t="n">
        <v>0.31</v>
      </c>
      <c r="I21" s="16" t="n">
        <v>39.6</v>
      </c>
      <c r="J21" s="16" t="n">
        <v>3.21</v>
      </c>
      <c r="K21" s="16" t="n">
        <v>0</v>
      </c>
      <c r="L21" s="16" t="n">
        <v>-6.11</v>
      </c>
      <c r="M21" s="16" t="n">
        <v>0</v>
      </c>
      <c r="N21" s="16" t="n">
        <v>121.58</v>
      </c>
      <c r="O21" s="17" t="n">
        <v>0.24264</v>
      </c>
      <c r="P21" s="18" t="n">
        <v>12</v>
      </c>
      <c r="Q21" s="18" t="n">
        <v>2</v>
      </c>
      <c r="R21" s="16" t="n">
        <v>133.45</v>
      </c>
      <c r="S21" s="14" t="inlineStr">
        <is>
          <t>BLANCA TEMPRANA</t>
        </is>
      </c>
      <c r="T21" s="14" t="inlineStr">
        <is>
          <t>INDUSTRIA</t>
        </is>
      </c>
      <c r="U21" s="19">
        <f>IFERROR(166.386*I21/F21,0)</f>
        <v/>
      </c>
      <c r="V21" s="19">
        <f>IFERROR(166.386*M21/F21,0)</f>
        <v/>
      </c>
      <c r="W21" s="19">
        <f>IFERROR(166.386*L21/F21,0)</f>
        <v/>
      </c>
    </row>
    <row r="22">
      <c r="A22" s="14" t="n">
        <v>2322</v>
      </c>
      <c r="B22" s="14" t="inlineStr">
        <is>
          <t>BLANCA TEMPRANA</t>
        </is>
      </c>
      <c r="C22" s="15" t="n">
        <v>1126</v>
      </c>
      <c r="D22" s="14" t="inlineStr">
        <is>
          <t>PAVON CARABALLO,ANA MARIA</t>
        </is>
      </c>
      <c r="E22" s="14" t="inlineStr">
        <is>
          <t>SALUSTIANA</t>
        </is>
      </c>
      <c r="F22" s="15" t="n">
        <v>6228</v>
      </c>
      <c r="G22" s="16" t="n">
        <v>1930.68</v>
      </c>
      <c r="H22" s="17" t="n">
        <v>0.31</v>
      </c>
      <c r="I22" s="16" t="n">
        <v>448.42</v>
      </c>
      <c r="J22" s="16" t="n">
        <v>29.11</v>
      </c>
      <c r="K22" s="16" t="n">
        <v>0</v>
      </c>
      <c r="L22" s="16" t="n">
        <v>-69.13</v>
      </c>
      <c r="M22" s="16" t="n">
        <v>0</v>
      </c>
      <c r="N22" s="16" t="n">
        <v>1384.02</v>
      </c>
      <c r="O22" s="17" t="n">
        <v>0.24391</v>
      </c>
      <c r="P22" s="18" t="n">
        <v>12</v>
      </c>
      <c r="Q22" s="18" t="n">
        <v>2</v>
      </c>
      <c r="R22" s="16" t="n">
        <v>1519.1</v>
      </c>
      <c r="S22" s="14" t="inlineStr">
        <is>
          <t>BLANCA TEMPRANA</t>
        </is>
      </c>
      <c r="T22" s="14" t="inlineStr">
        <is>
          <t>INDUSTRIA</t>
        </is>
      </c>
      <c r="U22" s="19">
        <f>IFERROR(166.386*I22/F22,0)</f>
        <v/>
      </c>
      <c r="V22" s="19">
        <f>IFERROR(166.386*M22/F22,0)</f>
        <v/>
      </c>
      <c r="W22" s="19">
        <f>IFERROR(166.386*L22/F22,0)</f>
        <v/>
      </c>
    </row>
    <row r="23">
      <c r="A23" s="14" t="n">
        <v>2322</v>
      </c>
      <c r="B23" s="14" t="inlineStr">
        <is>
          <t>BLANCA TEMPRANA</t>
        </is>
      </c>
      <c r="C23" s="15" t="n">
        <v>1128</v>
      </c>
      <c r="D23" s="14" t="inlineStr">
        <is>
          <t>CARRILLO PEÑALVER,JOSE</t>
        </is>
      </c>
      <c r="E23" s="14" t="inlineStr">
        <is>
          <t>SALUSTIANA</t>
        </is>
      </c>
      <c r="F23" s="15" t="n">
        <v>22447</v>
      </c>
      <c r="G23" s="16" t="n">
        <v>6958.57</v>
      </c>
      <c r="H23" s="17" t="n">
        <v>0.31</v>
      </c>
      <c r="I23" s="16" t="n">
        <v>0</v>
      </c>
      <c r="J23" s="16" t="n">
        <v>395.96</v>
      </c>
      <c r="K23" s="16" t="n">
        <v>0</v>
      </c>
      <c r="L23" s="16" t="n">
        <v>-50.99</v>
      </c>
      <c r="M23" s="16" t="n">
        <v>0</v>
      </c>
      <c r="N23" s="16" t="n">
        <v>6511.62</v>
      </c>
      <c r="O23" s="17" t="n">
        <v>0.3184</v>
      </c>
      <c r="P23" s="18" t="n">
        <v>12</v>
      </c>
      <c r="Q23" s="18" t="n">
        <v>2</v>
      </c>
      <c r="R23" s="16" t="n">
        <v>7147.15</v>
      </c>
      <c r="S23" s="14" t="inlineStr">
        <is>
          <t>BLANCA TEMPRANA</t>
        </is>
      </c>
      <c r="T23" s="14" t="inlineStr">
        <is>
          <t>INDUSTRIA</t>
        </is>
      </c>
      <c r="U23" s="19">
        <f>IFERROR(166.386*I23/F23,0)</f>
        <v/>
      </c>
      <c r="V23" s="19">
        <f>IFERROR(166.386*M23/F23,0)</f>
        <v/>
      </c>
      <c r="W23" s="19">
        <f>IFERROR(166.386*L23/F23,0)</f>
        <v/>
      </c>
    </row>
    <row r="24">
      <c r="A24" s="14" t="n">
        <v>2322</v>
      </c>
      <c r="B24" s="14" t="inlineStr">
        <is>
          <t>BLANCA TEMPRANA</t>
        </is>
      </c>
      <c r="C24" s="15" t="n">
        <v>1133</v>
      </c>
      <c r="D24" s="14" t="inlineStr">
        <is>
          <t>MAYFE S.C.</t>
        </is>
      </c>
      <c r="E24" s="14" t="inlineStr">
        <is>
          <t>SALUSTIANA</t>
        </is>
      </c>
      <c r="F24" s="15" t="n">
        <v>41172</v>
      </c>
      <c r="G24" s="16" t="n">
        <v>12763.32</v>
      </c>
      <c r="H24" s="17" t="n">
        <v>0.31</v>
      </c>
      <c r="I24" s="16" t="n">
        <v>2573.25</v>
      </c>
      <c r="J24" s="16" t="n">
        <v>391.15</v>
      </c>
      <c r="K24" s="16" t="n">
        <v>0</v>
      </c>
      <c r="L24" s="16" t="n">
        <v>0</v>
      </c>
      <c r="M24" s="16" t="n">
        <v>0</v>
      </c>
      <c r="N24" s="16" t="n">
        <v>9798.92</v>
      </c>
      <c r="O24" s="17" t="n">
        <v>0.26123</v>
      </c>
      <c r="P24" s="18" t="n">
        <v>12</v>
      </c>
      <c r="Q24" s="18" t="n">
        <v>2</v>
      </c>
      <c r="R24" s="16" t="n">
        <v>10755.29</v>
      </c>
      <c r="S24" s="14" t="inlineStr">
        <is>
          <t>BLANCA TEMPRANA</t>
        </is>
      </c>
      <c r="T24" s="14" t="inlineStr">
        <is>
          <t>INDUSTRIA</t>
        </is>
      </c>
      <c r="U24" s="19">
        <f>IFERROR(166.386*I24/F24,0)</f>
        <v/>
      </c>
      <c r="V24" s="19">
        <f>IFERROR(166.386*M24/F24,0)</f>
        <v/>
      </c>
      <c r="W24" s="19">
        <f>IFERROR(166.386*L24/F24,0)</f>
        <v/>
      </c>
    </row>
    <row r="25">
      <c r="A25" s="14" t="n">
        <v>2322</v>
      </c>
      <c r="B25" s="14" t="inlineStr">
        <is>
          <t>BLANCA TEMPRANA</t>
        </is>
      </c>
      <c r="C25" s="15" t="n">
        <v>1178</v>
      </c>
      <c r="D25" s="14" t="inlineStr">
        <is>
          <t>CALZADO GARCIA,FRANCISCO JAVIER</t>
        </is>
      </c>
      <c r="E25" s="14" t="inlineStr">
        <is>
          <t>SALUSTIANA</t>
        </is>
      </c>
      <c r="F25" s="15" t="n">
        <v>1667</v>
      </c>
      <c r="G25" s="16" t="n">
        <v>516.77</v>
      </c>
      <c r="H25" s="17" t="n">
        <v>0.31</v>
      </c>
      <c r="I25" s="16" t="n">
        <v>120.02</v>
      </c>
      <c r="J25" s="16" t="n">
        <v>20.53</v>
      </c>
      <c r="K25" s="16" t="n">
        <v>0</v>
      </c>
      <c r="L25" s="16" t="n">
        <v>-18.5</v>
      </c>
      <c r="M25" s="16" t="n">
        <v>0</v>
      </c>
      <c r="N25" s="16" t="n">
        <v>357.72</v>
      </c>
      <c r="O25" s="17" t="n">
        <v>0.23553</v>
      </c>
      <c r="P25" s="18" t="n">
        <v>12</v>
      </c>
      <c r="Q25" s="18" t="n">
        <v>2</v>
      </c>
      <c r="R25" s="16" t="n">
        <v>392.63</v>
      </c>
      <c r="S25" s="14" t="inlineStr">
        <is>
          <t>BLANCA TEMPRANA</t>
        </is>
      </c>
      <c r="T25" s="14" t="inlineStr">
        <is>
          <t>INDUSTRIA</t>
        </is>
      </c>
      <c r="U25" s="19">
        <f>IFERROR(166.386*I25/F25,0)</f>
        <v/>
      </c>
      <c r="V25" s="19">
        <f>IFERROR(166.386*M25/F25,0)</f>
        <v/>
      </c>
      <c r="W25" s="19">
        <f>IFERROR(166.386*L25/F25,0)</f>
        <v/>
      </c>
    </row>
    <row r="26">
      <c r="A26" s="14" t="n">
        <v>2322</v>
      </c>
      <c r="B26" s="14" t="inlineStr">
        <is>
          <t>BLANCA TEMPRANA</t>
        </is>
      </c>
      <c r="C26" s="15" t="n">
        <v>1202</v>
      </c>
      <c r="D26" s="14" t="inlineStr">
        <is>
          <t>FUENTES HINOJOSA,MANUEL</t>
        </is>
      </c>
      <c r="E26" s="14" t="inlineStr">
        <is>
          <t>SALUSTIANA</t>
        </is>
      </c>
      <c r="F26" s="15" t="n">
        <v>171</v>
      </c>
      <c r="G26" s="16" t="n">
        <v>53.01</v>
      </c>
      <c r="H26" s="17" t="n">
        <v>0.31</v>
      </c>
      <c r="I26" s="16" t="n">
        <v>12.31</v>
      </c>
      <c r="J26" s="16" t="n">
        <v>2.54</v>
      </c>
      <c r="K26" s="16" t="n">
        <v>0</v>
      </c>
      <c r="L26" s="16" t="n">
        <v>-1.9</v>
      </c>
      <c r="M26" s="16" t="n">
        <v>0</v>
      </c>
      <c r="N26" s="16" t="n">
        <v>36.26</v>
      </c>
      <c r="O26" s="17" t="n">
        <v>0.23275</v>
      </c>
      <c r="P26" s="18" t="n">
        <v>12</v>
      </c>
      <c r="Q26" s="18" t="n">
        <v>2</v>
      </c>
      <c r="R26" s="16" t="n">
        <v>39.8</v>
      </c>
      <c r="S26" s="14" t="inlineStr">
        <is>
          <t>BLANCA TEMPRANA</t>
        </is>
      </c>
      <c r="T26" s="14" t="inlineStr">
        <is>
          <t>INDUSTRIA</t>
        </is>
      </c>
      <c r="U26" s="19">
        <f>IFERROR(166.386*I26/F26,0)</f>
        <v/>
      </c>
      <c r="V26" s="19">
        <f>IFERROR(166.386*M26/F26,0)</f>
        <v/>
      </c>
      <c r="W26" s="19">
        <f>IFERROR(166.386*L26/F26,0)</f>
        <v/>
      </c>
    </row>
    <row r="27">
      <c r="A27" s="14" t="n">
        <v>2322</v>
      </c>
      <c r="B27" s="14" t="inlineStr">
        <is>
          <t>BLANCA TEMPRANA</t>
        </is>
      </c>
      <c r="C27" s="15" t="n">
        <v>1219</v>
      </c>
      <c r="D27" s="14" t="inlineStr">
        <is>
          <t>LORA BUIZA,GREGORIO</t>
        </is>
      </c>
      <c r="E27" s="14" t="inlineStr">
        <is>
          <t>SALUSTIANA</t>
        </is>
      </c>
      <c r="F27" s="15" t="n">
        <v>3593</v>
      </c>
      <c r="G27" s="16" t="n">
        <v>1113.83</v>
      </c>
      <c r="H27" s="17" t="n">
        <v>0.31</v>
      </c>
      <c r="I27" s="16" t="n">
        <v>258.69</v>
      </c>
      <c r="J27" s="16" t="n">
        <v>26.98</v>
      </c>
      <c r="K27" s="16" t="n">
        <v>0</v>
      </c>
      <c r="L27" s="16" t="n">
        <v>-39.88</v>
      </c>
      <c r="M27" s="16" t="n">
        <v>0</v>
      </c>
      <c r="N27" s="16" t="n">
        <v>788.28</v>
      </c>
      <c r="O27" s="17" t="n">
        <v>0.24081</v>
      </c>
      <c r="P27" s="18" t="n">
        <v>12</v>
      </c>
      <c r="Q27" s="18" t="n">
        <v>2</v>
      </c>
      <c r="R27" s="16" t="n">
        <v>865.22</v>
      </c>
      <c r="S27" s="14" t="inlineStr">
        <is>
          <t>BLANCA TEMPRANA</t>
        </is>
      </c>
      <c r="T27" s="14" t="inlineStr">
        <is>
          <t>INDUSTRIA</t>
        </is>
      </c>
      <c r="U27" s="19">
        <f>IFERROR(166.386*I27/F27,0)</f>
        <v/>
      </c>
      <c r="V27" s="19">
        <f>IFERROR(166.386*M27/F27,0)</f>
        <v/>
      </c>
      <c r="W27" s="19">
        <f>IFERROR(166.386*L27/F27,0)</f>
        <v/>
      </c>
    </row>
    <row r="28">
      <c r="A28" s="14" t="n">
        <v>2322</v>
      </c>
      <c r="B28" s="14" t="inlineStr">
        <is>
          <t>BLANCA TEMPRANA</t>
        </is>
      </c>
      <c r="C28" s="15" t="n">
        <v>1251</v>
      </c>
      <c r="D28" s="14" t="inlineStr">
        <is>
          <t>DURAN ALMENARA,ANGELES</t>
        </is>
      </c>
      <c r="E28" s="14" t="inlineStr">
        <is>
          <t>SALUSTIANA</t>
        </is>
      </c>
      <c r="F28" s="15" t="n">
        <v>469</v>
      </c>
      <c r="G28" s="16" t="n">
        <v>145.39</v>
      </c>
      <c r="H28" s="17" t="n">
        <v>0.31</v>
      </c>
      <c r="I28" s="16" t="n">
        <v>33.77</v>
      </c>
      <c r="J28" s="16" t="n">
        <v>2.14</v>
      </c>
      <c r="K28" s="16" t="n">
        <v>0</v>
      </c>
      <c r="L28" s="16" t="n">
        <v>-5.21</v>
      </c>
      <c r="M28" s="16" t="n">
        <v>0</v>
      </c>
      <c r="N28" s="16" t="n">
        <v>104.27</v>
      </c>
      <c r="O28" s="17" t="n">
        <v>0.24403</v>
      </c>
      <c r="P28" s="18" t="n">
        <v>12</v>
      </c>
      <c r="Q28" s="18" t="n">
        <v>2</v>
      </c>
      <c r="R28" s="16" t="n">
        <v>114.45</v>
      </c>
      <c r="S28" s="14" t="inlineStr">
        <is>
          <t>BLANCA TEMPRANA</t>
        </is>
      </c>
      <c r="T28" s="14" t="inlineStr">
        <is>
          <t>INDUSTRIA</t>
        </is>
      </c>
      <c r="U28" s="19">
        <f>IFERROR(166.386*I28/F28,0)</f>
        <v/>
      </c>
      <c r="V28" s="19">
        <f>IFERROR(166.386*M28/F28,0)</f>
        <v/>
      </c>
      <c r="W28" s="19">
        <f>IFERROR(166.386*L28/F28,0)</f>
        <v/>
      </c>
    </row>
    <row r="29">
      <c r="A29" s="14" t="n">
        <v>2322</v>
      </c>
      <c r="B29" s="14" t="inlineStr">
        <is>
          <t>BLANCA TEMPRANA</t>
        </is>
      </c>
      <c r="C29" s="15" t="n">
        <v>1272</v>
      </c>
      <c r="D29" s="14" t="inlineStr">
        <is>
          <t>HERMANOS GONZALEZ ROLDAN,S.C.</t>
        </is>
      </c>
      <c r="E29" s="14" t="inlineStr">
        <is>
          <t>SALUSTIANA</t>
        </is>
      </c>
      <c r="F29" s="15" t="n">
        <v>4287</v>
      </c>
      <c r="G29" s="16" t="n">
        <v>1328.97</v>
      </c>
      <c r="H29" s="17" t="n">
        <v>0.31</v>
      </c>
      <c r="I29" s="16" t="n">
        <v>299</v>
      </c>
      <c r="J29" s="16" t="n">
        <v>78.79000000000001</v>
      </c>
      <c r="K29" s="16" t="n">
        <v>0</v>
      </c>
      <c r="L29" s="16" t="n">
        <v>-47.59</v>
      </c>
      <c r="M29" s="16" t="n">
        <v>0</v>
      </c>
      <c r="N29" s="16" t="n">
        <v>903.59</v>
      </c>
      <c r="O29" s="17" t="n">
        <v>0.23135</v>
      </c>
      <c r="P29" s="18" t="n">
        <v>12</v>
      </c>
      <c r="Q29" s="18" t="n">
        <v>2</v>
      </c>
      <c r="R29" s="16" t="n">
        <v>991.78</v>
      </c>
      <c r="S29" s="14" t="inlineStr">
        <is>
          <t>BLANCA TEMPRANA</t>
        </is>
      </c>
      <c r="T29" s="14" t="inlineStr">
        <is>
          <t>INDUSTRIA</t>
        </is>
      </c>
      <c r="U29" s="19">
        <f>IFERROR(166.386*I29/F29,0)</f>
        <v/>
      </c>
      <c r="V29" s="19">
        <f>IFERROR(166.386*M29/F29,0)</f>
        <v/>
      </c>
      <c r="W29" s="19">
        <f>IFERROR(166.386*L29/F29,0)</f>
        <v/>
      </c>
    </row>
    <row r="30">
      <c r="A30" s="14" t="n">
        <v>2322</v>
      </c>
      <c r="B30" s="14" t="inlineStr">
        <is>
          <t>BLANCA TEMPRANA</t>
        </is>
      </c>
      <c r="C30" s="15" t="n">
        <v>1280</v>
      </c>
      <c r="D30" s="14" t="inlineStr">
        <is>
          <t>BERNABE GOMEZ,MANUEL</t>
        </is>
      </c>
      <c r="E30" s="14" t="inlineStr">
        <is>
          <t>SALUSTIANA</t>
        </is>
      </c>
      <c r="F30" s="15" t="n">
        <v>33455</v>
      </c>
      <c r="G30" s="16" t="n">
        <v>10371.05</v>
      </c>
      <c r="H30" s="17" t="n">
        <v>0.31</v>
      </c>
      <c r="I30" s="16" t="n">
        <v>2090.94</v>
      </c>
      <c r="J30" s="16" t="n">
        <v>337.35</v>
      </c>
      <c r="K30" s="16" t="n">
        <v>0</v>
      </c>
      <c r="L30" s="16" t="n">
        <v>0</v>
      </c>
      <c r="M30" s="16" t="n">
        <v>0</v>
      </c>
      <c r="N30" s="16" t="n">
        <v>7942.76</v>
      </c>
      <c r="O30" s="17" t="n">
        <v>0.26059</v>
      </c>
      <c r="P30" s="18" t="n">
        <v>12</v>
      </c>
      <c r="Q30" s="18" t="n">
        <v>2</v>
      </c>
      <c r="R30" s="16" t="n">
        <v>8717.969999999999</v>
      </c>
      <c r="S30" s="14" t="inlineStr">
        <is>
          <t>BLANCA TEMPRANA</t>
        </is>
      </c>
      <c r="T30" s="14" t="inlineStr">
        <is>
          <t>INDUSTRIA</t>
        </is>
      </c>
      <c r="U30" s="19">
        <f>IFERROR(166.386*I30/F30,0)</f>
        <v/>
      </c>
      <c r="V30" s="19">
        <f>IFERROR(166.386*M30/F30,0)</f>
        <v/>
      </c>
      <c r="W30" s="19">
        <f>IFERROR(166.386*L30/F30,0)</f>
        <v/>
      </c>
    </row>
    <row r="31">
      <c r="A31" s="14" t="n">
        <v>2322</v>
      </c>
      <c r="B31" s="14" t="inlineStr">
        <is>
          <t>BLANCA TEMPRANA</t>
        </is>
      </c>
      <c r="C31" s="15" t="n">
        <v>1283</v>
      </c>
      <c r="D31" s="14" t="inlineStr">
        <is>
          <t>MOLINA HIDALGO,ISABEL</t>
        </is>
      </c>
      <c r="E31" s="14" t="inlineStr">
        <is>
          <t>SALUSTIANA</t>
        </is>
      </c>
      <c r="F31" s="15" t="n">
        <v>1757</v>
      </c>
      <c r="G31" s="16" t="n">
        <v>544.67</v>
      </c>
      <c r="H31" s="17" t="n">
        <v>0.31</v>
      </c>
      <c r="I31" s="16" t="n">
        <v>126.5</v>
      </c>
      <c r="J31" s="16" t="n">
        <v>20.05</v>
      </c>
      <c r="K31" s="16" t="n">
        <v>0</v>
      </c>
      <c r="L31" s="16" t="n">
        <v>-19.5</v>
      </c>
      <c r="M31" s="16" t="n">
        <v>0</v>
      </c>
      <c r="N31" s="16" t="n">
        <v>378.62</v>
      </c>
      <c r="O31" s="17" t="n">
        <v>0.23652</v>
      </c>
      <c r="P31" s="18" t="n">
        <v>12</v>
      </c>
      <c r="Q31" s="18" t="n">
        <v>2</v>
      </c>
      <c r="R31" s="16" t="n">
        <v>415.57</v>
      </c>
      <c r="S31" s="14" t="inlineStr">
        <is>
          <t>BLANCA TEMPRANA</t>
        </is>
      </c>
      <c r="T31" s="14" t="inlineStr">
        <is>
          <t>INDUSTRIA</t>
        </is>
      </c>
      <c r="U31" s="19">
        <f>IFERROR(166.386*I31/F31,0)</f>
        <v/>
      </c>
      <c r="V31" s="19">
        <f>IFERROR(166.386*M31/F31,0)</f>
        <v/>
      </c>
      <c r="W31" s="19">
        <f>IFERROR(166.386*L31/F31,0)</f>
        <v/>
      </c>
    </row>
    <row r="32">
      <c r="A32" s="14" t="n">
        <v>2322</v>
      </c>
      <c r="B32" s="14" t="inlineStr">
        <is>
          <t>BLANCA TEMPRANA</t>
        </is>
      </c>
      <c r="C32" s="15" t="n">
        <v>1313</v>
      </c>
      <c r="D32" s="14" t="inlineStr">
        <is>
          <t>EXPLOT. AGRIC. ARJONA Y CRESPO,S.C.</t>
        </is>
      </c>
      <c r="E32" s="14" t="inlineStr">
        <is>
          <t>SALUSTIANA</t>
        </is>
      </c>
      <c r="F32" s="15" t="n">
        <v>112708</v>
      </c>
      <c r="G32" s="16" t="n">
        <v>34939.48</v>
      </c>
      <c r="H32" s="17" t="n">
        <v>0.31</v>
      </c>
      <c r="I32" s="16" t="n">
        <v>7044.25</v>
      </c>
      <c r="J32" s="16" t="n">
        <v>712.63</v>
      </c>
      <c r="K32" s="16" t="n">
        <v>0</v>
      </c>
      <c r="L32" s="16" t="n">
        <v>0</v>
      </c>
      <c r="M32" s="16" t="n">
        <v>0</v>
      </c>
      <c r="N32" s="16" t="n">
        <v>27182.6</v>
      </c>
      <c r="O32" s="17" t="n">
        <v>0.26472</v>
      </c>
      <c r="P32" s="18" t="n">
        <v>12</v>
      </c>
      <c r="Q32" s="18" t="n">
        <v>2</v>
      </c>
      <c r="R32" s="16" t="n">
        <v>29835.62</v>
      </c>
      <c r="S32" s="14" t="inlineStr">
        <is>
          <t>BLANCA TEMPRANA</t>
        </is>
      </c>
      <c r="T32" s="14" t="inlineStr">
        <is>
          <t>INDUSTRIA</t>
        </is>
      </c>
      <c r="U32" s="19">
        <f>IFERROR(166.386*I32/F32,0)</f>
        <v/>
      </c>
      <c r="V32" s="19">
        <f>IFERROR(166.386*M32/F32,0)</f>
        <v/>
      </c>
      <c r="W32" s="19">
        <f>IFERROR(166.386*L32/F32,0)</f>
        <v/>
      </c>
    </row>
    <row r="33">
      <c r="A33" s="14" t="n">
        <v>2322</v>
      </c>
      <c r="B33" s="14" t="inlineStr">
        <is>
          <t>BLANCA TEMPRANA</t>
        </is>
      </c>
      <c r="C33" s="15" t="n">
        <v>1350</v>
      </c>
      <c r="D33" s="14" t="inlineStr">
        <is>
          <t>FAMILIA GONZALEZ LACAL S.C.</t>
        </is>
      </c>
      <c r="E33" s="14" t="inlineStr">
        <is>
          <t>SALUSTIANA</t>
        </is>
      </c>
      <c r="F33" s="15" t="n">
        <v>76292</v>
      </c>
      <c r="G33" s="16" t="n">
        <v>23650.52</v>
      </c>
      <c r="H33" s="17" t="n">
        <v>0.31</v>
      </c>
      <c r="I33" s="16" t="n">
        <v>4768.25</v>
      </c>
      <c r="J33" s="16" t="n">
        <v>1065.53</v>
      </c>
      <c r="K33" s="16" t="n">
        <v>0</v>
      </c>
      <c r="L33" s="16" t="n">
        <v>-277.19</v>
      </c>
      <c r="M33" s="16" t="n">
        <v>0</v>
      </c>
      <c r="N33" s="16" t="n">
        <v>17539.55</v>
      </c>
      <c r="O33" s="17" t="n">
        <v>0.25234</v>
      </c>
      <c r="P33" s="18" t="n">
        <v>12</v>
      </c>
      <c r="Q33" s="18" t="n">
        <v>2</v>
      </c>
      <c r="R33" s="16" t="n">
        <v>19251.41</v>
      </c>
      <c r="S33" s="14" t="inlineStr">
        <is>
          <t>BLANCA TEMPRANA</t>
        </is>
      </c>
      <c r="T33" s="14" t="inlineStr">
        <is>
          <t>INDUSTRIA</t>
        </is>
      </c>
      <c r="U33" s="19">
        <f>IFERROR(166.386*I33/F33,0)</f>
        <v/>
      </c>
      <c r="V33" s="19">
        <f>IFERROR(166.386*M33/F33,0)</f>
        <v/>
      </c>
      <c r="W33" s="19">
        <f>IFERROR(166.386*L33/F33,0)</f>
        <v/>
      </c>
    </row>
    <row r="34">
      <c r="A34" s="14" t="n">
        <v>2322</v>
      </c>
      <c r="B34" s="14" t="inlineStr">
        <is>
          <t>BLANCA TEMPRANA</t>
        </is>
      </c>
      <c r="C34" s="15" t="n">
        <v>1354</v>
      </c>
      <c r="D34" s="14" t="inlineStr">
        <is>
          <t>MARTIN PORTALES,ALFREDO</t>
        </is>
      </c>
      <c r="E34" s="14" t="inlineStr">
        <is>
          <t>SALUSTIANA</t>
        </is>
      </c>
      <c r="F34" s="15" t="n">
        <v>4977</v>
      </c>
      <c r="G34" s="16" t="n">
        <v>1542.87</v>
      </c>
      <c r="H34" s="17" t="n">
        <v>0.31</v>
      </c>
      <c r="I34" s="16" t="n">
        <v>358.34</v>
      </c>
      <c r="J34" s="16" t="n">
        <v>33.24</v>
      </c>
      <c r="K34" s="16" t="n">
        <v>0</v>
      </c>
      <c r="L34" s="16" t="n">
        <v>-55.24</v>
      </c>
      <c r="M34" s="16" t="n">
        <v>0</v>
      </c>
      <c r="N34" s="16" t="n">
        <v>1096.05</v>
      </c>
      <c r="O34" s="17" t="n">
        <v>0.24172</v>
      </c>
      <c r="P34" s="18" t="n">
        <v>12</v>
      </c>
      <c r="Q34" s="18" t="n">
        <v>2</v>
      </c>
      <c r="R34" s="16" t="n">
        <v>1203.02</v>
      </c>
      <c r="S34" s="14" t="inlineStr">
        <is>
          <t>BLANCA TEMPRANA</t>
        </is>
      </c>
      <c r="T34" s="14" t="inlineStr">
        <is>
          <t>INDUSTRIA</t>
        </is>
      </c>
      <c r="U34" s="19">
        <f>IFERROR(166.386*I34/F34,0)</f>
        <v/>
      </c>
      <c r="V34" s="19">
        <f>IFERROR(166.386*M34/F34,0)</f>
        <v/>
      </c>
      <c r="W34" s="19">
        <f>IFERROR(166.386*L34/F34,0)</f>
        <v/>
      </c>
    </row>
    <row r="35">
      <c r="A35" s="14" t="n">
        <v>2322</v>
      </c>
      <c r="B35" s="14" t="inlineStr">
        <is>
          <t>BLANCA TEMPRANA</t>
        </is>
      </c>
      <c r="C35" s="15" t="n">
        <v>1355</v>
      </c>
      <c r="D35" s="14" t="inlineStr">
        <is>
          <t>CANO MANZANARES,JUAN ANTONIO</t>
        </is>
      </c>
      <c r="E35" s="14" t="inlineStr">
        <is>
          <t>SALUSTIANA</t>
        </is>
      </c>
      <c r="F35" s="15" t="n">
        <v>3218</v>
      </c>
      <c r="G35" s="16" t="n">
        <v>997.58</v>
      </c>
      <c r="H35" s="17" t="n">
        <v>0.31</v>
      </c>
      <c r="I35" s="16" t="n">
        <v>231.7</v>
      </c>
      <c r="J35" s="16" t="n">
        <v>12.65</v>
      </c>
      <c r="K35" s="16" t="n">
        <v>0</v>
      </c>
      <c r="L35" s="16" t="n">
        <v>-5.23</v>
      </c>
      <c r="M35" s="16" t="n">
        <v>0</v>
      </c>
      <c r="N35" s="16" t="n">
        <v>748</v>
      </c>
      <c r="O35" s="17" t="n">
        <v>0.25513</v>
      </c>
      <c r="P35" s="18" t="n">
        <v>12</v>
      </c>
      <c r="Q35" s="18" t="n">
        <v>2</v>
      </c>
      <c r="R35" s="16" t="n">
        <v>821</v>
      </c>
      <c r="S35" s="14" t="inlineStr">
        <is>
          <t>BLANCA TEMPRANA</t>
        </is>
      </c>
      <c r="T35" s="14" t="inlineStr">
        <is>
          <t>INDUSTRIA</t>
        </is>
      </c>
      <c r="U35" s="19">
        <f>IFERROR(166.386*I35/F35,0)</f>
        <v/>
      </c>
      <c r="V35" s="19">
        <f>IFERROR(166.386*M35/F35,0)</f>
        <v/>
      </c>
      <c r="W35" s="19">
        <f>IFERROR(166.386*L35/F35,0)</f>
        <v/>
      </c>
    </row>
    <row r="36">
      <c r="A36" s="14" t="n">
        <v>2322</v>
      </c>
      <c r="B36" s="14" t="inlineStr">
        <is>
          <t>BLANCA TEMPRANA</t>
        </is>
      </c>
      <c r="C36" s="15" t="n">
        <v>1374</v>
      </c>
      <c r="D36" s="14" t="inlineStr">
        <is>
          <t>MORENO SANCHEZ,JOSE ANTONIO</t>
        </is>
      </c>
      <c r="E36" s="14" t="inlineStr">
        <is>
          <t>SALUSTIANA</t>
        </is>
      </c>
      <c r="F36" s="15" t="n">
        <v>11785</v>
      </c>
      <c r="G36" s="16" t="n">
        <v>3653.35</v>
      </c>
      <c r="H36" s="17" t="n">
        <v>0.31</v>
      </c>
      <c r="I36" s="16" t="n">
        <v>732.6</v>
      </c>
      <c r="J36" s="16" t="n">
        <v>65.16</v>
      </c>
      <c r="K36" s="16" t="n">
        <v>0</v>
      </c>
      <c r="L36" s="16" t="n">
        <v>-122.82</v>
      </c>
      <c r="M36" s="16" t="n">
        <v>0</v>
      </c>
      <c r="N36" s="16" t="n">
        <v>2732.77</v>
      </c>
      <c r="O36" s="17" t="n">
        <v>0.25452</v>
      </c>
      <c r="P36" s="18" t="n">
        <v>12</v>
      </c>
      <c r="Q36" s="18" t="n">
        <v>2</v>
      </c>
      <c r="R36" s="16" t="n">
        <v>2999.49</v>
      </c>
      <c r="S36" s="14" t="inlineStr">
        <is>
          <t>BLANCA TEMPRANA</t>
        </is>
      </c>
      <c r="T36" s="14" t="inlineStr">
        <is>
          <t>INDUSTRIA</t>
        </is>
      </c>
      <c r="U36" s="19">
        <f>IFERROR(166.386*I36/F36,0)</f>
        <v/>
      </c>
      <c r="V36" s="19">
        <f>IFERROR(166.386*M36/F36,0)</f>
        <v/>
      </c>
      <c r="W36" s="19">
        <f>IFERROR(166.386*L36/F36,0)</f>
        <v/>
      </c>
    </row>
    <row r="37">
      <c r="A37" s="14" t="n">
        <v>2322</v>
      </c>
      <c r="B37" s="14" t="inlineStr">
        <is>
          <t>BLANCA TEMPRANA</t>
        </is>
      </c>
      <c r="C37" s="15" t="n">
        <v>1411</v>
      </c>
      <c r="D37" s="14" t="inlineStr">
        <is>
          <t>HERMANOS PEÑA GRIÑAN S.C.</t>
        </is>
      </c>
      <c r="E37" s="14" t="inlineStr">
        <is>
          <t>SALUSTIANA</t>
        </is>
      </c>
      <c r="F37" s="15" t="n">
        <v>19695</v>
      </c>
      <c r="G37" s="16" t="n">
        <v>6105.45</v>
      </c>
      <c r="H37" s="17" t="n">
        <v>0.31</v>
      </c>
      <c r="I37" s="16" t="n">
        <v>1300.8</v>
      </c>
      <c r="J37" s="16" t="n">
        <v>163.5</v>
      </c>
      <c r="K37" s="16" t="n">
        <v>0</v>
      </c>
      <c r="L37" s="16" t="n">
        <v>-218.61</v>
      </c>
      <c r="M37" s="16" t="n">
        <v>0</v>
      </c>
      <c r="N37" s="16" t="n">
        <v>4422.54</v>
      </c>
      <c r="O37" s="17" t="n">
        <v>0.24647</v>
      </c>
      <c r="P37" s="18" t="n">
        <v>12</v>
      </c>
      <c r="Q37" s="18" t="n">
        <v>2</v>
      </c>
      <c r="R37" s="16" t="n">
        <v>4854.18</v>
      </c>
      <c r="S37" s="14" t="inlineStr">
        <is>
          <t>BLANCA TEMPRANA</t>
        </is>
      </c>
      <c r="T37" s="14" t="inlineStr">
        <is>
          <t>INDUSTRIA</t>
        </is>
      </c>
      <c r="U37" s="19">
        <f>IFERROR(166.386*I37/F37,0)</f>
        <v/>
      </c>
      <c r="V37" s="19">
        <f>IFERROR(166.386*M37/F37,0)</f>
        <v/>
      </c>
      <c r="W37" s="19">
        <f>IFERROR(166.386*L37/F37,0)</f>
        <v/>
      </c>
    </row>
    <row r="38">
      <c r="A38" s="14" t="n">
        <v>2322</v>
      </c>
      <c r="B38" s="14" t="inlineStr">
        <is>
          <t>BLANCA TEMPRANA</t>
        </is>
      </c>
      <c r="C38" s="15" t="n">
        <v>1443</v>
      </c>
      <c r="D38" s="14" t="inlineStr">
        <is>
          <t>TOMENO SUAREZ,ALBERTO</t>
        </is>
      </c>
      <c r="E38" s="14" t="inlineStr">
        <is>
          <t>SALUSTIANA</t>
        </is>
      </c>
      <c r="F38" s="15" t="n">
        <v>342</v>
      </c>
      <c r="G38" s="16" t="n">
        <v>106.02</v>
      </c>
      <c r="H38" s="17" t="n">
        <v>0.31</v>
      </c>
      <c r="I38" s="16" t="n">
        <v>0</v>
      </c>
      <c r="J38" s="16" t="n">
        <v>2.11</v>
      </c>
      <c r="K38" s="16" t="n">
        <v>0</v>
      </c>
      <c r="L38" s="16" t="n">
        <v>-3.8</v>
      </c>
      <c r="M38" s="16" t="n">
        <v>0</v>
      </c>
      <c r="N38" s="16" t="n">
        <v>100.11</v>
      </c>
      <c r="O38" s="17" t="n">
        <v>0.32129</v>
      </c>
      <c r="P38" s="18" t="n">
        <v>12</v>
      </c>
      <c r="Q38" s="18" t="n">
        <v>2</v>
      </c>
      <c r="R38" s="16" t="n">
        <v>109.88</v>
      </c>
      <c r="S38" s="14" t="inlineStr">
        <is>
          <t>BLANCA TEMPRANA</t>
        </is>
      </c>
      <c r="T38" s="14" t="inlineStr">
        <is>
          <t>INDUSTRIA</t>
        </is>
      </c>
      <c r="U38" s="19">
        <f>IFERROR(166.386*I38/F38,0)</f>
        <v/>
      </c>
      <c r="V38" s="19">
        <f>IFERROR(166.386*M38/F38,0)</f>
        <v/>
      </c>
      <c r="W38" s="19">
        <f>IFERROR(166.386*L38/F38,0)</f>
        <v/>
      </c>
    </row>
    <row r="39">
      <c r="A39" s="14" t="n">
        <v>2322</v>
      </c>
      <c r="B39" s="14" t="inlineStr">
        <is>
          <t>BLANCA TEMPRANA</t>
        </is>
      </c>
      <c r="C39" s="15" t="n">
        <v>1445</v>
      </c>
      <c r="D39" s="14" t="inlineStr">
        <is>
          <t>REAL GARCIA,MIGUEL</t>
        </is>
      </c>
      <c r="E39" s="14" t="inlineStr">
        <is>
          <t>SALUSTIANA</t>
        </is>
      </c>
      <c r="F39" s="15" t="n">
        <v>109060</v>
      </c>
      <c r="G39" s="16" t="n">
        <v>33808.6</v>
      </c>
      <c r="H39" s="17" t="n">
        <v>0.31</v>
      </c>
      <c r="I39" s="16" t="n">
        <v>6816.25</v>
      </c>
      <c r="J39" s="16" t="n">
        <v>1006.85</v>
      </c>
      <c r="K39" s="16" t="n">
        <v>0</v>
      </c>
      <c r="L39" s="16" t="n">
        <v>0</v>
      </c>
      <c r="M39" s="16" t="n">
        <v>0</v>
      </c>
      <c r="N39" s="16" t="n">
        <v>25985.5</v>
      </c>
      <c r="O39" s="17" t="n">
        <v>0.26152</v>
      </c>
      <c r="P39" s="18" t="n">
        <v>12</v>
      </c>
      <c r="Q39" s="18" t="n">
        <v>2</v>
      </c>
      <c r="R39" s="16" t="n">
        <v>28521.68</v>
      </c>
      <c r="S39" s="14" t="inlineStr">
        <is>
          <t>BLANCA TEMPRANA</t>
        </is>
      </c>
      <c r="T39" s="14" t="inlineStr">
        <is>
          <t>INDUSTRIA</t>
        </is>
      </c>
      <c r="U39" s="19">
        <f>IFERROR(166.386*I39/F39,0)</f>
        <v/>
      </c>
      <c r="V39" s="19">
        <f>IFERROR(166.386*M39/F39,0)</f>
        <v/>
      </c>
      <c r="W39" s="19">
        <f>IFERROR(166.386*L39/F39,0)</f>
        <v/>
      </c>
    </row>
    <row r="40">
      <c r="A40" s="14" t="n">
        <v>2322</v>
      </c>
      <c r="B40" s="14" t="inlineStr">
        <is>
          <t>BLANCA TEMPRANA</t>
        </is>
      </c>
      <c r="C40" s="15" t="n">
        <v>1459</v>
      </c>
      <c r="D40" s="14" t="inlineStr">
        <is>
          <t>VARELA MUÑOZ,JUAN</t>
        </is>
      </c>
      <c r="E40" s="14" t="inlineStr">
        <is>
          <t>SALUSTIANA</t>
        </is>
      </c>
      <c r="F40" s="15" t="n">
        <v>21055</v>
      </c>
      <c r="G40" s="16" t="n">
        <v>6527.05</v>
      </c>
      <c r="H40" s="17" t="n">
        <v>0.31</v>
      </c>
      <c r="I40" s="16" t="n">
        <v>1315.94</v>
      </c>
      <c r="J40" s="16" t="n">
        <v>177.45</v>
      </c>
      <c r="K40" s="16" t="n">
        <v>0</v>
      </c>
      <c r="L40" s="16" t="n">
        <v>0</v>
      </c>
      <c r="M40" s="16" t="n">
        <v>0</v>
      </c>
      <c r="N40" s="16" t="n">
        <v>5033.66</v>
      </c>
      <c r="O40" s="17" t="n">
        <v>0.26241</v>
      </c>
      <c r="P40" s="18" t="n">
        <v>12</v>
      </c>
      <c r="Q40" s="18" t="n">
        <v>2</v>
      </c>
      <c r="R40" s="16" t="n">
        <v>5524.95</v>
      </c>
      <c r="S40" s="14" t="inlineStr">
        <is>
          <t>BLANCA TEMPRANA</t>
        </is>
      </c>
      <c r="T40" s="14" t="inlineStr">
        <is>
          <t>INDUSTRIA</t>
        </is>
      </c>
      <c r="U40" s="19">
        <f>IFERROR(166.386*I40/F40,0)</f>
        <v/>
      </c>
      <c r="V40" s="19">
        <f>IFERROR(166.386*M40/F40,0)</f>
        <v/>
      </c>
      <c r="W40" s="19">
        <f>IFERROR(166.386*L40/F40,0)</f>
        <v/>
      </c>
    </row>
    <row r="41">
      <c r="A41" s="14" t="n">
        <v>2322</v>
      </c>
      <c r="B41" s="14" t="inlineStr">
        <is>
          <t>BLANCA TEMPRANA</t>
        </is>
      </c>
      <c r="C41" s="15" t="n">
        <v>1462</v>
      </c>
      <c r="D41" s="14" t="inlineStr">
        <is>
          <t>GARCIA TORO,RAFAEL</t>
        </is>
      </c>
      <c r="E41" s="14" t="inlineStr">
        <is>
          <t>SALUSTIANA</t>
        </is>
      </c>
      <c r="F41" s="15" t="n">
        <v>26120</v>
      </c>
      <c r="G41" s="16" t="n">
        <v>8097.2</v>
      </c>
      <c r="H41" s="17" t="n">
        <v>0.31</v>
      </c>
      <c r="I41" s="16" t="n">
        <v>1632.5</v>
      </c>
      <c r="J41" s="16" t="n">
        <v>285.48</v>
      </c>
      <c r="K41" s="16" t="n">
        <v>0</v>
      </c>
      <c r="L41" s="16" t="n">
        <v>0</v>
      </c>
      <c r="M41" s="16" t="n">
        <v>0</v>
      </c>
      <c r="N41" s="16" t="n">
        <v>6179.22</v>
      </c>
      <c r="O41" s="17" t="n">
        <v>0.25966</v>
      </c>
      <c r="P41" s="18" t="n">
        <v>12</v>
      </c>
      <c r="Q41" s="18" t="n">
        <v>2</v>
      </c>
      <c r="R41" s="16" t="n">
        <v>6782.31</v>
      </c>
      <c r="S41" s="14" t="inlineStr">
        <is>
          <t>BLANCA TEMPRANA</t>
        </is>
      </c>
      <c r="T41" s="14" t="inlineStr">
        <is>
          <t>INDUSTRIA</t>
        </is>
      </c>
      <c r="U41" s="19">
        <f>IFERROR(166.386*I41/F41,0)</f>
        <v/>
      </c>
      <c r="V41" s="19">
        <f>IFERROR(166.386*M41/F41,0)</f>
        <v/>
      </c>
      <c r="W41" s="19">
        <f>IFERROR(166.386*L41/F41,0)</f>
        <v/>
      </c>
    </row>
    <row r="42">
      <c r="A42" s="14" t="n">
        <v>2322</v>
      </c>
      <c r="B42" s="14" t="inlineStr">
        <is>
          <t>BLANCA TEMPRANA</t>
        </is>
      </c>
      <c r="C42" s="15" t="n">
        <v>1467</v>
      </c>
      <c r="D42" s="14" t="inlineStr">
        <is>
          <t>VARELA MUÑOZ,ANGELES</t>
        </is>
      </c>
      <c r="E42" s="14" t="inlineStr">
        <is>
          <t>SALUSTIANA</t>
        </is>
      </c>
      <c r="F42" s="15" t="n">
        <v>16085</v>
      </c>
      <c r="G42" s="16" t="n">
        <v>4986.35</v>
      </c>
      <c r="H42" s="17" t="n">
        <v>0.31</v>
      </c>
      <c r="I42" s="16" t="n">
        <v>1005.31</v>
      </c>
      <c r="J42" s="16" t="n">
        <v>171.6</v>
      </c>
      <c r="K42" s="16" t="n">
        <v>0</v>
      </c>
      <c r="L42" s="16" t="n">
        <v>-178.54</v>
      </c>
      <c r="M42" s="16" t="n">
        <v>0</v>
      </c>
      <c r="N42" s="16" t="n">
        <v>3630.9</v>
      </c>
      <c r="O42" s="17" t="n">
        <v>0.24776</v>
      </c>
      <c r="P42" s="18" t="n">
        <v>12</v>
      </c>
      <c r="Q42" s="18" t="n">
        <v>2</v>
      </c>
      <c r="R42" s="16" t="n">
        <v>3985.28</v>
      </c>
      <c r="S42" s="14" t="inlineStr">
        <is>
          <t>BLANCA TEMPRANA</t>
        </is>
      </c>
      <c r="T42" s="14" t="inlineStr">
        <is>
          <t>INDUSTRIA</t>
        </is>
      </c>
      <c r="U42" s="19">
        <f>IFERROR(166.386*I42/F42,0)</f>
        <v/>
      </c>
      <c r="V42" s="19">
        <f>IFERROR(166.386*M42/F42,0)</f>
        <v/>
      </c>
      <c r="W42" s="19">
        <f>IFERROR(166.386*L42/F42,0)</f>
        <v/>
      </c>
    </row>
    <row r="43">
      <c r="A43" s="14" t="n">
        <v>2322</v>
      </c>
      <c r="B43" s="14" t="inlineStr">
        <is>
          <t>BLANCA TEMPRANA</t>
        </is>
      </c>
      <c r="C43" s="15" t="n">
        <v>1470</v>
      </c>
      <c r="D43" s="14" t="inlineStr">
        <is>
          <t>NIETO RAMIREZ,CARLOS EDUARDO</t>
        </is>
      </c>
      <c r="E43" s="14" t="inlineStr">
        <is>
          <t>SALUSTIANA</t>
        </is>
      </c>
      <c r="F43" s="15" t="n">
        <v>10980</v>
      </c>
      <c r="G43" s="16" t="n">
        <v>3403.8</v>
      </c>
      <c r="H43" s="17" t="n">
        <v>0.31</v>
      </c>
      <c r="I43" s="16" t="n">
        <v>686.25</v>
      </c>
      <c r="J43" s="16" t="n">
        <v>81.34999999999999</v>
      </c>
      <c r="K43" s="16" t="n">
        <v>0</v>
      </c>
      <c r="L43" s="16" t="n">
        <v>-121.88</v>
      </c>
      <c r="M43" s="16" t="n">
        <v>0</v>
      </c>
      <c r="N43" s="16" t="n">
        <v>2514.32</v>
      </c>
      <c r="O43" s="17" t="n">
        <v>0.23339</v>
      </c>
      <c r="P43" s="18" t="n">
        <v>4</v>
      </c>
      <c r="Q43" s="18" t="n">
        <v>2</v>
      </c>
      <c r="R43" s="16" t="n">
        <v>2562.59</v>
      </c>
      <c r="S43" s="14" t="inlineStr">
        <is>
          <t>BLANCA TEMPRANA</t>
        </is>
      </c>
      <c r="T43" s="14" t="inlineStr">
        <is>
          <t>INDUSTRIA</t>
        </is>
      </c>
      <c r="U43" s="19">
        <f>IFERROR(166.386*I43/F43,0)</f>
        <v/>
      </c>
      <c r="V43" s="19">
        <f>IFERROR(166.386*M43/F43,0)</f>
        <v/>
      </c>
      <c r="W43" s="19">
        <f>IFERROR(166.386*L43/F43,0)</f>
        <v/>
      </c>
    </row>
    <row r="44">
      <c r="A44" s="14" t="n">
        <v>2322</v>
      </c>
      <c r="B44" s="14" t="inlineStr">
        <is>
          <t>BLANCA TEMPRANA</t>
        </is>
      </c>
      <c r="C44" s="15" t="n">
        <v>1471</v>
      </c>
      <c r="D44" s="14" t="inlineStr">
        <is>
          <t>GUIL GARCIA,MIGUEL ANGEL</t>
        </is>
      </c>
      <c r="E44" s="14" t="inlineStr">
        <is>
          <t>SALUSTIANA</t>
        </is>
      </c>
      <c r="F44" s="15" t="n">
        <v>14221</v>
      </c>
      <c r="G44" s="16" t="n">
        <v>4408.51</v>
      </c>
      <c r="H44" s="17" t="n">
        <v>0.31</v>
      </c>
      <c r="I44" s="16" t="n">
        <v>0</v>
      </c>
      <c r="J44" s="16" t="n">
        <v>70.88</v>
      </c>
      <c r="K44" s="16" t="n">
        <v>0</v>
      </c>
      <c r="L44" s="16" t="n">
        <v>-107.07</v>
      </c>
      <c r="M44" s="16" t="n">
        <v>0</v>
      </c>
      <c r="N44" s="16" t="n">
        <v>4230.56</v>
      </c>
      <c r="O44" s="17" t="n">
        <v>0.32652</v>
      </c>
      <c r="P44" s="18" t="n">
        <v>12</v>
      </c>
      <c r="Q44" s="18" t="n">
        <v>2</v>
      </c>
      <c r="R44" s="16" t="n">
        <v>4643.46</v>
      </c>
      <c r="S44" s="14" t="inlineStr">
        <is>
          <t>BLANCA TEMPRANA</t>
        </is>
      </c>
      <c r="T44" s="14" t="inlineStr">
        <is>
          <t>INDUSTRIA</t>
        </is>
      </c>
      <c r="U44" s="19">
        <f>IFERROR(166.386*I44/F44,0)</f>
        <v/>
      </c>
      <c r="V44" s="19">
        <f>IFERROR(166.386*M44/F44,0)</f>
        <v/>
      </c>
      <c r="W44" s="19">
        <f>IFERROR(166.386*L44/F44,0)</f>
        <v/>
      </c>
    </row>
    <row r="45">
      <c r="A45" s="14" t="n">
        <v>2322</v>
      </c>
      <c r="B45" s="14" t="inlineStr">
        <is>
          <t>BLANCA TEMPRANA</t>
        </is>
      </c>
      <c r="C45" s="15" t="n">
        <v>1485</v>
      </c>
      <c r="D45" s="14" t="inlineStr">
        <is>
          <t>HNOS. CRESPO RUIZ S.C.</t>
        </is>
      </c>
      <c r="E45" s="14" t="inlineStr">
        <is>
          <t>SALUSTIANA</t>
        </is>
      </c>
      <c r="F45" s="15" t="n">
        <v>1475</v>
      </c>
      <c r="G45" s="16" t="n">
        <v>457.25</v>
      </c>
      <c r="H45" s="17" t="n">
        <v>0.31</v>
      </c>
      <c r="I45" s="16" t="n">
        <v>106.2</v>
      </c>
      <c r="J45" s="16" t="n">
        <v>6.41</v>
      </c>
      <c r="K45" s="16" t="n">
        <v>0</v>
      </c>
      <c r="L45" s="16" t="n">
        <v>-16.37</v>
      </c>
      <c r="M45" s="16" t="n">
        <v>0</v>
      </c>
      <c r="N45" s="16" t="n">
        <v>328.27</v>
      </c>
      <c r="O45" s="17" t="n">
        <v>0.24428</v>
      </c>
      <c r="P45" s="18" t="n">
        <v>12</v>
      </c>
      <c r="Q45" s="18" t="n">
        <v>2</v>
      </c>
      <c r="R45" s="16" t="n">
        <v>360.31</v>
      </c>
      <c r="S45" s="14" t="inlineStr">
        <is>
          <t>BLANCA TEMPRANA</t>
        </is>
      </c>
      <c r="T45" s="14" t="inlineStr">
        <is>
          <t>INDUSTRIA</t>
        </is>
      </c>
      <c r="U45" s="19">
        <f>IFERROR(166.386*I45/F45,0)</f>
        <v/>
      </c>
      <c r="V45" s="19">
        <f>IFERROR(166.386*M45/F45,0)</f>
        <v/>
      </c>
      <c r="W45" s="19">
        <f>IFERROR(166.386*L45/F45,0)</f>
        <v/>
      </c>
    </row>
    <row r="46">
      <c r="A46" s="14" t="n">
        <v>2322</v>
      </c>
      <c r="B46" s="14" t="inlineStr">
        <is>
          <t>BLANCA TEMPRANA</t>
        </is>
      </c>
      <c r="C46" s="15" t="n">
        <v>1487</v>
      </c>
      <c r="D46" s="14" t="inlineStr">
        <is>
          <t>BENITO ARIZA, MATIAS</t>
        </is>
      </c>
      <c r="E46" s="14" t="inlineStr">
        <is>
          <t>SALUSTIANA</t>
        </is>
      </c>
      <c r="F46" s="15" t="n">
        <v>5121</v>
      </c>
      <c r="G46" s="16" t="n">
        <v>1587.51</v>
      </c>
      <c r="H46" s="17" t="n">
        <v>0.31</v>
      </c>
      <c r="I46" s="16" t="n">
        <v>239.47</v>
      </c>
      <c r="J46" s="16" t="n">
        <v>38.5</v>
      </c>
      <c r="K46" s="16" t="n">
        <v>0</v>
      </c>
      <c r="L46" s="16" t="n">
        <v>-36.92</v>
      </c>
      <c r="M46" s="16" t="n">
        <v>0</v>
      </c>
      <c r="N46" s="16" t="n">
        <v>1272.62</v>
      </c>
      <c r="O46" s="17" t="n">
        <v>0.27277</v>
      </c>
      <c r="P46" s="18" t="n">
        <v>12</v>
      </c>
      <c r="Q46" s="18" t="n">
        <v>2</v>
      </c>
      <c r="R46" s="16" t="n">
        <v>1396.83</v>
      </c>
      <c r="S46" s="14" t="inlineStr">
        <is>
          <t>BLANCA TEMPRANA</t>
        </is>
      </c>
      <c r="T46" s="14" t="inlineStr">
        <is>
          <t>INDUSTRIA</t>
        </is>
      </c>
      <c r="U46" s="19">
        <f>IFERROR(166.386*I46/F46,0)</f>
        <v/>
      </c>
      <c r="V46" s="19">
        <f>IFERROR(166.386*M46/F46,0)</f>
        <v/>
      </c>
      <c r="W46" s="19">
        <f>IFERROR(166.386*L46/F46,0)</f>
        <v/>
      </c>
    </row>
    <row r="47">
      <c r="A47" s="14" t="n">
        <v>2322</v>
      </c>
      <c r="B47" s="14" t="inlineStr">
        <is>
          <t>BLANCA TEMPRANA</t>
        </is>
      </c>
      <c r="C47" s="15" t="n">
        <v>1512</v>
      </c>
      <c r="D47" s="14" t="inlineStr">
        <is>
          <t>HERNANDEZ MOLINA,ANTONIO</t>
        </is>
      </c>
      <c r="E47" s="14" t="inlineStr">
        <is>
          <t>SALUSTIANA</t>
        </is>
      </c>
      <c r="F47" s="15" t="n">
        <v>3376</v>
      </c>
      <c r="G47" s="16" t="n">
        <v>1046.56</v>
      </c>
      <c r="H47" s="17" t="n">
        <v>0.31</v>
      </c>
      <c r="I47" s="16" t="n">
        <v>243.07</v>
      </c>
      <c r="J47" s="16" t="n">
        <v>23.35</v>
      </c>
      <c r="K47" s="16" t="n">
        <v>0</v>
      </c>
      <c r="L47" s="16" t="n">
        <v>-37.47</v>
      </c>
      <c r="M47" s="16" t="n">
        <v>0</v>
      </c>
      <c r="N47" s="16" t="n">
        <v>742.67</v>
      </c>
      <c r="O47" s="17" t="n">
        <v>0.24145</v>
      </c>
      <c r="P47" s="18" t="n">
        <v>12</v>
      </c>
      <c r="Q47" s="18" t="n">
        <v>2</v>
      </c>
      <c r="R47" s="16" t="n">
        <v>815.15</v>
      </c>
      <c r="S47" s="14" t="inlineStr">
        <is>
          <t>BLANCA TEMPRANA</t>
        </is>
      </c>
      <c r="T47" s="14" t="inlineStr">
        <is>
          <t>INDUSTRIA</t>
        </is>
      </c>
      <c r="U47" s="19">
        <f>IFERROR(166.386*I47/F47,0)</f>
        <v/>
      </c>
      <c r="V47" s="19">
        <f>IFERROR(166.386*M47/F47,0)</f>
        <v/>
      </c>
      <c r="W47" s="19">
        <f>IFERROR(166.386*L47/F47,0)</f>
        <v/>
      </c>
    </row>
    <row r="48">
      <c r="A48" s="14" t="n">
        <v>2322</v>
      </c>
      <c r="B48" s="14" t="inlineStr">
        <is>
          <t>BLANCA TEMPRANA</t>
        </is>
      </c>
      <c r="C48" s="15" t="n">
        <v>1514</v>
      </c>
      <c r="D48" s="14" t="inlineStr">
        <is>
          <t>PRIETO ROMERO, JAVIER</t>
        </is>
      </c>
      <c r="E48" s="14" t="inlineStr">
        <is>
          <t>SALUSTIANA</t>
        </is>
      </c>
      <c r="F48" s="15" t="n">
        <v>5056</v>
      </c>
      <c r="G48" s="16" t="n">
        <v>1567.36</v>
      </c>
      <c r="H48" s="17" t="n">
        <v>0.31</v>
      </c>
      <c r="I48" s="16" t="n">
        <v>316</v>
      </c>
      <c r="J48" s="16" t="n">
        <v>111.9</v>
      </c>
      <c r="K48" s="16" t="n">
        <v>0</v>
      </c>
      <c r="L48" s="16" t="n">
        <v>-56.12</v>
      </c>
      <c r="M48" s="16" t="n">
        <v>0</v>
      </c>
      <c r="N48" s="16" t="n">
        <v>1083.34</v>
      </c>
      <c r="O48" s="17" t="n">
        <v>0.23518</v>
      </c>
      <c r="P48" s="18" t="n">
        <v>12</v>
      </c>
      <c r="Q48" s="18" t="n">
        <v>2</v>
      </c>
      <c r="R48" s="16" t="n">
        <v>1189.07</v>
      </c>
      <c r="S48" s="14" t="inlineStr">
        <is>
          <t>BLANCA TEMPRANA</t>
        </is>
      </c>
      <c r="T48" s="14" t="inlineStr">
        <is>
          <t>INDUSTRIA</t>
        </is>
      </c>
      <c r="U48" s="19">
        <f>IFERROR(166.386*I48/F48,0)</f>
        <v/>
      </c>
      <c r="V48" s="19">
        <f>IFERROR(166.386*M48/F48,0)</f>
        <v/>
      </c>
      <c r="W48" s="19">
        <f>IFERROR(166.386*L48/F48,0)</f>
        <v/>
      </c>
    </row>
    <row r="49">
      <c r="A49" s="14" t="n">
        <v>2322</v>
      </c>
      <c r="B49" s="14" t="inlineStr">
        <is>
          <t>BLANCA TEMPRANA</t>
        </is>
      </c>
      <c r="C49" s="15" t="n">
        <v>1523</v>
      </c>
      <c r="D49" s="14" t="inlineStr">
        <is>
          <t>RODRIGUEZ MEJÍAS, JOSE ANTONIO</t>
        </is>
      </c>
      <c r="E49" s="14" t="inlineStr">
        <is>
          <t>SALUSTIANA</t>
        </is>
      </c>
      <c r="F49" s="15" t="n">
        <v>2479</v>
      </c>
      <c r="G49" s="16" t="n">
        <v>768.49</v>
      </c>
      <c r="H49" s="17" t="n">
        <v>0.31</v>
      </c>
      <c r="I49" s="16" t="n">
        <v>180.5</v>
      </c>
      <c r="J49" s="16" t="n">
        <v>18.01</v>
      </c>
      <c r="K49" s="16" t="n">
        <v>0</v>
      </c>
      <c r="L49" s="16" t="n">
        <v>-11.11</v>
      </c>
      <c r="M49" s="16" t="n">
        <v>0</v>
      </c>
      <c r="N49" s="16" t="n">
        <v>558.87</v>
      </c>
      <c r="O49" s="17" t="n">
        <v>0.24745</v>
      </c>
      <c r="P49" s="18" t="n">
        <v>12</v>
      </c>
      <c r="Q49" s="18" t="n">
        <v>2</v>
      </c>
      <c r="R49" s="16" t="n">
        <v>613.42</v>
      </c>
      <c r="S49" s="14" t="inlineStr">
        <is>
          <t>BLANCA TEMPRANA</t>
        </is>
      </c>
      <c r="T49" s="14" t="inlineStr">
        <is>
          <t>INDUSTRIA</t>
        </is>
      </c>
      <c r="U49" s="19">
        <f>IFERROR(166.386*I49/F49,0)</f>
        <v/>
      </c>
      <c r="V49" s="19">
        <f>IFERROR(166.386*M49/F49,0)</f>
        <v/>
      </c>
      <c r="W49" s="19">
        <f>IFERROR(166.386*L49/F49,0)</f>
        <v/>
      </c>
    </row>
    <row r="50">
      <c r="A50" s="14" t="n">
        <v>2322</v>
      </c>
      <c r="B50" s="14" t="inlineStr">
        <is>
          <t>BLANCA TEMPRANA</t>
        </is>
      </c>
      <c r="C50" s="15" t="n">
        <v>1542</v>
      </c>
      <c r="D50" s="14" t="inlineStr">
        <is>
          <t>BENITO MELENCHON, MARIA ISABEL</t>
        </is>
      </c>
      <c r="E50" s="14" t="inlineStr">
        <is>
          <t>SALUSTIANA</t>
        </is>
      </c>
      <c r="F50" s="15" t="n">
        <v>3960</v>
      </c>
      <c r="G50" s="16" t="n">
        <v>1227.6</v>
      </c>
      <c r="H50" s="17" t="n">
        <v>0.31</v>
      </c>
      <c r="I50" s="16" t="n">
        <v>247.5</v>
      </c>
      <c r="J50" s="16" t="n">
        <v>530.4</v>
      </c>
      <c r="K50" s="16" t="n">
        <v>0</v>
      </c>
      <c r="L50" s="16" t="n">
        <v>0</v>
      </c>
      <c r="M50" s="16" t="n">
        <v>0</v>
      </c>
      <c r="N50" s="16" t="n">
        <v>449.7</v>
      </c>
      <c r="O50" s="17" t="n">
        <v>0.12464</v>
      </c>
      <c r="P50" s="18" t="n">
        <v>12</v>
      </c>
      <c r="Q50" s="18" t="n">
        <v>2</v>
      </c>
      <c r="R50" s="16" t="n">
        <v>493.59</v>
      </c>
      <c r="S50" s="14" t="inlineStr">
        <is>
          <t>BLANCA TEMPRANA</t>
        </is>
      </c>
      <c r="T50" s="14" t="inlineStr">
        <is>
          <t>INDUSTRIA</t>
        </is>
      </c>
      <c r="U50" s="19">
        <f>IFERROR(166.386*I50/F50,0)</f>
        <v/>
      </c>
      <c r="V50" s="19">
        <f>IFERROR(166.386*M50/F50,0)</f>
        <v/>
      </c>
      <c r="W50" s="19">
        <f>IFERROR(166.386*L50/F50,0)</f>
        <v/>
      </c>
    </row>
    <row r="51">
      <c r="A51" s="14" t="n">
        <v>2322</v>
      </c>
      <c r="B51" s="14" t="inlineStr">
        <is>
          <t>BLANCA TEMPRANA</t>
        </is>
      </c>
      <c r="C51" s="15" t="n">
        <v>1544</v>
      </c>
      <c r="D51" s="14" t="inlineStr">
        <is>
          <t>HARO ORDOÑO, ALVARO</t>
        </is>
      </c>
      <c r="E51" s="14" t="inlineStr">
        <is>
          <t>SALUSTIANA</t>
        </is>
      </c>
      <c r="F51" s="15" t="n">
        <v>9140</v>
      </c>
      <c r="G51" s="16" t="n">
        <v>2833.4</v>
      </c>
      <c r="H51" s="17" t="n">
        <v>0.31</v>
      </c>
      <c r="I51" s="16" t="n">
        <v>0</v>
      </c>
      <c r="J51" s="16" t="n">
        <v>51.42</v>
      </c>
      <c r="K51" s="16" t="n">
        <v>0</v>
      </c>
      <c r="L51" s="16" t="n">
        <v>-48.17</v>
      </c>
      <c r="M51" s="16" t="n">
        <v>0</v>
      </c>
      <c r="N51" s="16" t="n">
        <v>2733.81</v>
      </c>
      <c r="O51" s="17" t="n">
        <v>0.3283</v>
      </c>
      <c r="P51" s="18" t="n">
        <v>12</v>
      </c>
      <c r="Q51" s="18" t="n">
        <v>2</v>
      </c>
      <c r="R51" s="16" t="n">
        <v>3000.63</v>
      </c>
      <c r="S51" s="14" t="inlineStr">
        <is>
          <t>BLANCA TEMPRANA</t>
        </is>
      </c>
      <c r="T51" s="14" t="inlineStr">
        <is>
          <t>INDUSTRIA</t>
        </is>
      </c>
      <c r="U51" s="19">
        <f>IFERROR(166.386*I51/F51,0)</f>
        <v/>
      </c>
      <c r="V51" s="19">
        <f>IFERROR(166.386*M51/F51,0)</f>
        <v/>
      </c>
      <c r="W51" s="19">
        <f>IFERROR(166.386*L51/F51,0)</f>
        <v/>
      </c>
    </row>
    <row r="52">
      <c r="A52" s="14" t="n">
        <v>2322</v>
      </c>
      <c r="B52" s="14" t="inlineStr">
        <is>
          <t>BLANCA TEMPRANA</t>
        </is>
      </c>
      <c r="C52" s="15" t="n">
        <v>1546</v>
      </c>
      <c r="D52" s="14" t="inlineStr">
        <is>
          <t>GARCIA PELEGRIN, MANUEL</t>
        </is>
      </c>
      <c r="E52" s="14" t="inlineStr">
        <is>
          <t>SALUSTIANA</t>
        </is>
      </c>
      <c r="F52" s="15" t="n">
        <v>25860</v>
      </c>
      <c r="G52" s="16" t="n">
        <v>8016.6</v>
      </c>
      <c r="H52" s="17" t="n">
        <v>0.31</v>
      </c>
      <c r="I52" s="16" t="n">
        <v>1861.92</v>
      </c>
      <c r="J52" s="16" t="n">
        <v>185.5</v>
      </c>
      <c r="K52" s="16" t="n">
        <v>0</v>
      </c>
      <c r="L52" s="16" t="n">
        <v>0</v>
      </c>
      <c r="M52" s="16" t="n">
        <v>0</v>
      </c>
      <c r="N52" s="16" t="n">
        <v>5969.18</v>
      </c>
      <c r="O52" s="17" t="n">
        <v>0.25336</v>
      </c>
      <c r="P52" s="18" t="n">
        <v>12</v>
      </c>
      <c r="Q52" s="18" t="n">
        <v>2</v>
      </c>
      <c r="R52" s="16" t="n">
        <v>6551.77</v>
      </c>
      <c r="S52" s="14" t="inlineStr">
        <is>
          <t>BLANCA TEMPRANA</t>
        </is>
      </c>
      <c r="T52" s="14" t="inlineStr">
        <is>
          <t>INDUSTRIA</t>
        </is>
      </c>
      <c r="U52" s="19">
        <f>IFERROR(166.386*I52/F52,0)</f>
        <v/>
      </c>
      <c r="V52" s="19">
        <f>IFERROR(166.386*M52/F52,0)</f>
        <v/>
      </c>
      <c r="W52" s="19">
        <f>IFERROR(166.386*L52/F52,0)</f>
        <v/>
      </c>
    </row>
    <row r="53">
      <c r="A53" s="14" t="n">
        <v>2322</v>
      </c>
      <c r="B53" s="14" t="inlineStr">
        <is>
          <t>BLANCA TEMPRANA</t>
        </is>
      </c>
      <c r="C53" s="15" t="n">
        <v>1561</v>
      </c>
      <c r="D53" s="14" t="inlineStr">
        <is>
          <t>SUAREZ SANCHEZ, Mª DEL PILAR</t>
        </is>
      </c>
      <c r="E53" s="14" t="inlineStr">
        <is>
          <t>SALUSTIANA</t>
        </is>
      </c>
      <c r="F53" s="15" t="n">
        <v>6940</v>
      </c>
      <c r="G53" s="16" t="n">
        <v>2151.4</v>
      </c>
      <c r="H53" s="17" t="n">
        <v>0.31</v>
      </c>
      <c r="I53" s="16" t="n">
        <v>0</v>
      </c>
      <c r="J53" s="16" t="n">
        <v>56.43</v>
      </c>
      <c r="K53" s="16" t="n">
        <v>0</v>
      </c>
      <c r="L53" s="16" t="n">
        <v>-4.08</v>
      </c>
      <c r="M53" s="16" t="n">
        <v>0</v>
      </c>
      <c r="N53" s="16" t="n">
        <v>2090.89</v>
      </c>
      <c r="O53" s="17" t="n">
        <v>0.33069</v>
      </c>
      <c r="P53" s="18" t="n">
        <v>12</v>
      </c>
      <c r="Q53" s="18" t="n">
        <v>2</v>
      </c>
      <c r="R53" s="16" t="n">
        <v>2294.96</v>
      </c>
      <c r="S53" s="14" t="inlineStr">
        <is>
          <t>BLANCA TEMPRANA</t>
        </is>
      </c>
      <c r="T53" s="14" t="inlineStr">
        <is>
          <t>INDUSTRIA</t>
        </is>
      </c>
      <c r="U53" s="19">
        <f>IFERROR(166.386*I53/F53,0)</f>
        <v/>
      </c>
      <c r="V53" s="19">
        <f>IFERROR(166.386*M53/F53,0)</f>
        <v/>
      </c>
      <c r="W53" s="19">
        <f>IFERROR(166.386*L53/F53,0)</f>
        <v/>
      </c>
    </row>
    <row r="54">
      <c r="A54" s="14" t="n">
        <v>2322</v>
      </c>
      <c r="B54" s="14" t="inlineStr">
        <is>
          <t>BLANCA TEMPRANA</t>
        </is>
      </c>
      <c r="C54" s="15" t="n">
        <v>1562</v>
      </c>
      <c r="D54" s="14" t="inlineStr">
        <is>
          <t>VARELA MUÑOZ, PEDRO</t>
        </is>
      </c>
      <c r="E54" s="14" t="inlineStr">
        <is>
          <t>SALUSTIANA</t>
        </is>
      </c>
      <c r="F54" s="15" t="n">
        <v>15855</v>
      </c>
      <c r="G54" s="16" t="n">
        <v>4915.05</v>
      </c>
      <c r="H54" s="17" t="n">
        <v>0.31</v>
      </c>
      <c r="I54" s="16" t="n">
        <v>990.9400000000001</v>
      </c>
      <c r="J54" s="16" t="n">
        <v>175.5</v>
      </c>
      <c r="K54" s="16" t="n">
        <v>0</v>
      </c>
      <c r="L54" s="16" t="n">
        <v>-65.70999999999999</v>
      </c>
      <c r="M54" s="16" t="n">
        <v>0</v>
      </c>
      <c r="N54" s="16" t="n">
        <v>3682.9</v>
      </c>
      <c r="O54" s="17" t="n">
        <v>0.25496</v>
      </c>
      <c r="P54" s="18" t="n">
        <v>12</v>
      </c>
      <c r="Q54" s="18" t="n">
        <v>2</v>
      </c>
      <c r="R54" s="16" t="n">
        <v>4042.35</v>
      </c>
      <c r="S54" s="14" t="inlineStr">
        <is>
          <t>BLANCA TEMPRANA</t>
        </is>
      </c>
      <c r="T54" s="14" t="inlineStr">
        <is>
          <t>INDUSTRIA</t>
        </is>
      </c>
      <c r="U54" s="19">
        <f>IFERROR(166.386*I54/F54,0)</f>
        <v/>
      </c>
      <c r="V54" s="19">
        <f>IFERROR(166.386*M54/F54,0)</f>
        <v/>
      </c>
      <c r="W54" s="19">
        <f>IFERROR(166.386*L54/F54,0)</f>
        <v/>
      </c>
    </row>
    <row r="55">
      <c r="A55" s="14" t="n">
        <v>2322</v>
      </c>
      <c r="B55" s="14" t="inlineStr">
        <is>
          <t>BLANCA TEMPRANA</t>
        </is>
      </c>
      <c r="C55" s="15" t="n">
        <v>1564</v>
      </c>
      <c r="D55" s="14" t="inlineStr">
        <is>
          <t>VARELA MUÑOZ, ANTONIO</t>
        </is>
      </c>
      <c r="E55" s="14" t="inlineStr">
        <is>
          <t>SALUSTIANA</t>
        </is>
      </c>
      <c r="F55" s="15" t="n">
        <v>1655</v>
      </c>
      <c r="G55" s="16" t="n">
        <v>513.05</v>
      </c>
      <c r="H55" s="17" t="n">
        <v>0.31</v>
      </c>
      <c r="I55" s="16" t="n">
        <v>103.44</v>
      </c>
      <c r="J55" s="16" t="n">
        <v>9.68</v>
      </c>
      <c r="K55" s="16" t="n">
        <v>0</v>
      </c>
      <c r="L55" s="16" t="n">
        <v>-18.37</v>
      </c>
      <c r="M55" s="16" t="n">
        <v>0</v>
      </c>
      <c r="N55" s="16" t="n">
        <v>381.56</v>
      </c>
      <c r="O55" s="17" t="n">
        <v>0.25305</v>
      </c>
      <c r="P55" s="18" t="n">
        <v>12</v>
      </c>
      <c r="Q55" s="18" t="n">
        <v>2</v>
      </c>
      <c r="R55" s="16" t="n">
        <v>418.8</v>
      </c>
      <c r="S55" s="14" t="inlineStr">
        <is>
          <t>BLANCA TEMPRANA</t>
        </is>
      </c>
      <c r="T55" s="14" t="inlineStr">
        <is>
          <t>INDUSTRIA</t>
        </is>
      </c>
      <c r="U55" s="19">
        <f>IFERROR(166.386*I55/F55,0)</f>
        <v/>
      </c>
      <c r="V55" s="19">
        <f>IFERROR(166.386*M55/F55,0)</f>
        <v/>
      </c>
      <c r="W55" s="19">
        <f>IFERROR(166.386*L55/F55,0)</f>
        <v/>
      </c>
    </row>
    <row r="56">
      <c r="A56" s="14" t="n">
        <v>2322</v>
      </c>
      <c r="B56" s="14" t="inlineStr">
        <is>
          <t>BLANCA TEMPRANA</t>
        </is>
      </c>
      <c r="C56" s="15" t="n">
        <v>1577</v>
      </c>
      <c r="D56" s="14" t="inlineStr">
        <is>
          <t>GOMEZ GUERRERO, MARIA MERCEDES</t>
        </is>
      </c>
      <c r="E56" s="14" t="inlineStr">
        <is>
          <t>SALUSTIANA</t>
        </is>
      </c>
      <c r="F56" s="15" t="n">
        <v>1612</v>
      </c>
      <c r="G56" s="16" t="n">
        <v>499.72</v>
      </c>
      <c r="H56" s="17" t="n">
        <v>0.31</v>
      </c>
      <c r="I56" s="16" t="n">
        <v>68.18000000000001</v>
      </c>
      <c r="J56" s="16" t="n">
        <v>10.29</v>
      </c>
      <c r="K56" s="16" t="n">
        <v>0</v>
      </c>
      <c r="L56" s="16" t="n">
        <v>-17.89</v>
      </c>
      <c r="M56" s="16" t="n">
        <v>0</v>
      </c>
      <c r="N56" s="16" t="n">
        <v>403.36</v>
      </c>
      <c r="O56" s="17" t="n">
        <v>0.27465</v>
      </c>
      <c r="P56" s="18" t="n">
        <v>12</v>
      </c>
      <c r="Q56" s="18" t="n">
        <v>2</v>
      </c>
      <c r="R56" s="16" t="n">
        <v>442.73</v>
      </c>
      <c r="S56" s="14" t="inlineStr">
        <is>
          <t>BLANCA TEMPRANA</t>
        </is>
      </c>
      <c r="T56" s="14" t="inlineStr">
        <is>
          <t>INDUSTRIA</t>
        </is>
      </c>
      <c r="U56" s="19">
        <f>IFERROR(166.386*I56/F56,0)</f>
        <v/>
      </c>
      <c r="V56" s="19">
        <f>IFERROR(166.386*M56/F56,0)</f>
        <v/>
      </c>
      <c r="W56" s="19">
        <f>IFERROR(166.386*L56/F56,0)</f>
        <v/>
      </c>
    </row>
    <row r="57">
      <c r="A57" s="14" t="n">
        <v>2322</v>
      </c>
      <c r="B57" s="14" t="inlineStr">
        <is>
          <t>BLANCA TEMPRANA</t>
        </is>
      </c>
      <c r="C57" s="15" t="n">
        <v>1579</v>
      </c>
      <c r="D57" s="14" t="inlineStr">
        <is>
          <t>PEREZ JIMENEZ, ALFONSA</t>
        </is>
      </c>
      <c r="E57" s="14" t="inlineStr">
        <is>
          <t>SALUSTIANA</t>
        </is>
      </c>
      <c r="F57" s="15" t="n">
        <v>9120</v>
      </c>
      <c r="G57" s="16" t="n">
        <v>2827.2</v>
      </c>
      <c r="H57" s="17" t="n">
        <v>0.31</v>
      </c>
      <c r="I57" s="16" t="n">
        <v>570</v>
      </c>
      <c r="J57" s="16" t="n">
        <v>0</v>
      </c>
      <c r="K57" s="16" t="n">
        <v>0</v>
      </c>
      <c r="L57" s="16" t="n">
        <v>-101.23</v>
      </c>
      <c r="M57" s="16" t="n">
        <v>0</v>
      </c>
      <c r="N57" s="16" t="n">
        <v>2155.97</v>
      </c>
      <c r="O57" s="17" t="n">
        <v>0.25947</v>
      </c>
      <c r="P57" s="18" t="n">
        <v>12</v>
      </c>
      <c r="Q57" s="18" t="n">
        <v>2</v>
      </c>
      <c r="R57" s="16" t="n">
        <v>2366.39</v>
      </c>
      <c r="S57" s="14" t="inlineStr">
        <is>
          <t>BLANCA TEMPRANA</t>
        </is>
      </c>
      <c r="T57" s="14" t="inlineStr">
        <is>
          <t>INDUSTRIA</t>
        </is>
      </c>
      <c r="U57" s="19">
        <f>IFERROR(166.386*I57/F57,0)</f>
        <v/>
      </c>
      <c r="V57" s="19">
        <f>IFERROR(166.386*M57/F57,0)</f>
        <v/>
      </c>
      <c r="W57" s="19">
        <f>IFERROR(166.386*L57/F57,0)</f>
        <v/>
      </c>
    </row>
    <row r="58">
      <c r="A58" s="14" t="n">
        <v>2322</v>
      </c>
      <c r="B58" s="14" t="inlineStr">
        <is>
          <t>BLANCA TEMPRANA</t>
        </is>
      </c>
      <c r="C58" s="15" t="n">
        <v>1582</v>
      </c>
      <c r="D58" s="14" t="inlineStr">
        <is>
          <t>IGEÑO SANCHEZ, JOSE CARLOS</t>
        </is>
      </c>
      <c r="E58" s="14" t="inlineStr">
        <is>
          <t>SALUSTIANA</t>
        </is>
      </c>
      <c r="F58" s="15" t="n">
        <v>2998</v>
      </c>
      <c r="G58" s="16" t="n">
        <v>929.38</v>
      </c>
      <c r="H58" s="17" t="n">
        <v>0.31</v>
      </c>
      <c r="I58" s="16" t="n">
        <v>158.26</v>
      </c>
      <c r="J58" s="16" t="n">
        <v>14.33</v>
      </c>
      <c r="K58" s="16" t="n">
        <v>0</v>
      </c>
      <c r="L58" s="16" t="n">
        <v>-4.94</v>
      </c>
      <c r="M58" s="16" t="n">
        <v>0</v>
      </c>
      <c r="N58" s="16" t="n">
        <v>751.85</v>
      </c>
      <c r="O58" s="17" t="n">
        <v>0.27526</v>
      </c>
      <c r="P58" s="18" t="n">
        <v>12</v>
      </c>
      <c r="Q58" s="18" t="n">
        <v>2</v>
      </c>
      <c r="R58" s="16" t="n">
        <v>825.23</v>
      </c>
      <c r="S58" s="14" t="inlineStr">
        <is>
          <t>BLANCA TEMPRANA</t>
        </is>
      </c>
      <c r="T58" s="14" t="inlineStr">
        <is>
          <t>INDUSTRIA</t>
        </is>
      </c>
      <c r="U58" s="19">
        <f>IFERROR(166.386*I58/F58,0)</f>
        <v/>
      </c>
      <c r="V58" s="19">
        <f>IFERROR(166.386*M58/F58,0)</f>
        <v/>
      </c>
      <c r="W58" s="19">
        <f>IFERROR(166.386*L58/F58,0)</f>
        <v/>
      </c>
    </row>
    <row r="59">
      <c r="A59" s="14" t="n">
        <v>2322</v>
      </c>
      <c r="B59" s="14" t="inlineStr">
        <is>
          <t>BLANCA TEMPRANA</t>
        </is>
      </c>
      <c r="C59" s="15" t="n">
        <v>1585</v>
      </c>
      <c r="D59" s="14" t="inlineStr">
        <is>
          <t>CESPEDES AGUILAR, PATRICIA</t>
        </is>
      </c>
      <c r="E59" s="14" t="inlineStr">
        <is>
          <t>SALUSTIANA</t>
        </is>
      </c>
      <c r="F59" s="15" t="n">
        <v>3541</v>
      </c>
      <c r="G59" s="16" t="n">
        <v>1097.71</v>
      </c>
      <c r="H59" s="17" t="n">
        <v>0.31</v>
      </c>
      <c r="I59" s="16" t="n">
        <v>154.58</v>
      </c>
      <c r="J59" s="16" t="n">
        <v>23.83</v>
      </c>
      <c r="K59" s="16" t="n">
        <v>0</v>
      </c>
      <c r="L59" s="16" t="n">
        <v>-29.06</v>
      </c>
      <c r="M59" s="16" t="n">
        <v>0</v>
      </c>
      <c r="N59" s="16" t="n">
        <v>890.24</v>
      </c>
      <c r="O59" s="17" t="n">
        <v>0.27595</v>
      </c>
      <c r="P59" s="18" t="n">
        <v>12</v>
      </c>
      <c r="Q59" s="18" t="n">
        <v>2</v>
      </c>
      <c r="R59" s="16" t="n">
        <v>977.13</v>
      </c>
      <c r="S59" s="14" t="inlineStr">
        <is>
          <t>BLANCA TEMPRANA</t>
        </is>
      </c>
      <c r="T59" s="14" t="inlineStr">
        <is>
          <t>INDUSTRIA</t>
        </is>
      </c>
      <c r="U59" s="19">
        <f>IFERROR(166.386*I59/F59,0)</f>
        <v/>
      </c>
      <c r="V59" s="19">
        <f>IFERROR(166.386*M59/F59,0)</f>
        <v/>
      </c>
      <c r="W59" s="19">
        <f>IFERROR(166.386*L59/F59,0)</f>
        <v/>
      </c>
    </row>
    <row r="60">
      <c r="A60" s="14" t="n">
        <v>2322</v>
      </c>
      <c r="B60" s="14" t="inlineStr">
        <is>
          <t>BLANCA TEMPRANA</t>
        </is>
      </c>
      <c r="C60" s="15" t="n">
        <v>1589</v>
      </c>
      <c r="D60" s="14" t="inlineStr">
        <is>
          <t>PRIOR PORTILLO, JUAN ANTONIO</t>
        </is>
      </c>
      <c r="E60" s="14" t="inlineStr">
        <is>
          <t>SALUSTIANA</t>
        </is>
      </c>
      <c r="F60" s="15" t="n">
        <v>6127</v>
      </c>
      <c r="G60" s="16" t="n">
        <v>1899.37</v>
      </c>
      <c r="H60" s="17" t="n">
        <v>0.31</v>
      </c>
      <c r="I60" s="16" t="n">
        <v>441.14</v>
      </c>
      <c r="J60" s="16" t="n">
        <v>38.22</v>
      </c>
      <c r="K60" s="16" t="n">
        <v>0</v>
      </c>
      <c r="L60" s="16" t="n">
        <v>-68.01000000000001</v>
      </c>
      <c r="M60" s="16" t="n">
        <v>0</v>
      </c>
      <c r="N60" s="16" t="n">
        <v>1352</v>
      </c>
      <c r="O60" s="17" t="n">
        <v>0.2422</v>
      </c>
      <c r="P60" s="18" t="n">
        <v>12</v>
      </c>
      <c r="Q60" s="18" t="n">
        <v>2</v>
      </c>
      <c r="R60" s="16" t="n">
        <v>1483.96</v>
      </c>
      <c r="S60" s="14" t="inlineStr">
        <is>
          <t>BLANCA TEMPRANA</t>
        </is>
      </c>
      <c r="T60" s="14" t="inlineStr">
        <is>
          <t>INDUSTRIA</t>
        </is>
      </c>
      <c r="U60" s="19">
        <f>IFERROR(166.386*I60/F60,0)</f>
        <v/>
      </c>
      <c r="V60" s="19">
        <f>IFERROR(166.386*M60/F60,0)</f>
        <v/>
      </c>
      <c r="W60" s="19">
        <f>IFERROR(166.386*L60/F60,0)</f>
        <v/>
      </c>
    </row>
    <row r="61">
      <c r="A61" s="14" t="n">
        <v>2322</v>
      </c>
      <c r="B61" s="14" t="inlineStr">
        <is>
          <t>BLANCA TEMPRANA</t>
        </is>
      </c>
      <c r="C61" s="15" t="n">
        <v>1590</v>
      </c>
      <c r="D61" s="14" t="inlineStr">
        <is>
          <t>VARELA MESA, ISMAEL</t>
        </is>
      </c>
      <c r="E61" s="14" t="inlineStr">
        <is>
          <t>SALUSTIANA</t>
        </is>
      </c>
      <c r="F61" s="15" t="n">
        <v>21430</v>
      </c>
      <c r="G61" s="16" t="n">
        <v>6643.3</v>
      </c>
      <c r="H61" s="17" t="n">
        <v>0.31</v>
      </c>
      <c r="I61" s="16" t="n">
        <v>1339.38</v>
      </c>
      <c r="J61" s="16" t="n">
        <v>171.6</v>
      </c>
      <c r="K61" s="16" t="n">
        <v>0</v>
      </c>
      <c r="L61" s="16" t="n">
        <v>0</v>
      </c>
      <c r="M61" s="16" t="n">
        <v>0</v>
      </c>
      <c r="N61" s="16" t="n">
        <v>5132.32</v>
      </c>
      <c r="O61" s="17" t="n">
        <v>0.26287</v>
      </c>
      <c r="P61" s="18" t="n">
        <v>12</v>
      </c>
      <c r="Q61" s="18" t="n">
        <v>2</v>
      </c>
      <c r="R61" s="16" t="n">
        <v>5633.23</v>
      </c>
      <c r="S61" s="14" t="inlineStr">
        <is>
          <t>BLANCA TEMPRANA</t>
        </is>
      </c>
      <c r="T61" s="14" t="inlineStr">
        <is>
          <t>INDUSTRIA</t>
        </is>
      </c>
      <c r="U61" s="19">
        <f>IFERROR(166.386*I61/F61,0)</f>
        <v/>
      </c>
      <c r="V61" s="19">
        <f>IFERROR(166.386*M61/F61,0)</f>
        <v/>
      </c>
      <c r="W61" s="19">
        <f>IFERROR(166.386*L61/F61,0)</f>
        <v/>
      </c>
    </row>
    <row r="62">
      <c r="A62" s="14" t="n">
        <v>2322</v>
      </c>
      <c r="B62" s="14" t="inlineStr">
        <is>
          <t>BLANCA TEMPRANA</t>
        </is>
      </c>
      <c r="C62" s="15" t="n">
        <v>1612</v>
      </c>
      <c r="D62" s="14" t="inlineStr">
        <is>
          <t>LOPEZ PEÑA, SERGIO</t>
        </is>
      </c>
      <c r="E62" s="14" t="inlineStr">
        <is>
          <t>SALUSTIANA</t>
        </is>
      </c>
      <c r="F62" s="15" t="n">
        <v>33500</v>
      </c>
      <c r="G62" s="16" t="n">
        <v>10385</v>
      </c>
      <c r="H62" s="17" t="n">
        <v>0.31</v>
      </c>
      <c r="I62" s="16" t="n">
        <v>2093.75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8291.25</v>
      </c>
      <c r="O62" s="17" t="n">
        <v>0.27166</v>
      </c>
      <c r="P62" s="18" t="n">
        <v>12</v>
      </c>
      <c r="Q62" s="18" t="n">
        <v>2</v>
      </c>
      <c r="R62" s="16" t="n">
        <v>9100.48</v>
      </c>
      <c r="S62" s="14" t="inlineStr">
        <is>
          <t>BLANCA TEMPRANA</t>
        </is>
      </c>
      <c r="T62" s="14" t="inlineStr">
        <is>
          <t>INDUSTRIA</t>
        </is>
      </c>
      <c r="U62" s="19">
        <f>IFERROR(166.386*I62/F62,0)</f>
        <v/>
      </c>
      <c r="V62" s="19">
        <f>IFERROR(166.386*M62/F62,0)</f>
        <v/>
      </c>
      <c r="W62" s="19">
        <f>IFERROR(166.386*L62/F62,0)</f>
        <v/>
      </c>
    </row>
    <row r="63">
      <c r="A63" s="14" t="n">
        <v>2322</v>
      </c>
      <c r="B63" s="14" t="inlineStr">
        <is>
          <t>BLANCA TEMPRANA</t>
        </is>
      </c>
      <c r="C63" s="15" t="n">
        <v>1624</v>
      </c>
      <c r="D63" s="14" t="inlineStr">
        <is>
          <t>SANCHEZ GUIL, JUAN JAVIER</t>
        </is>
      </c>
      <c r="E63" s="14" t="inlineStr">
        <is>
          <t>SALUSTIANA</t>
        </is>
      </c>
      <c r="F63" s="15" t="n">
        <v>427</v>
      </c>
      <c r="G63" s="16" t="n">
        <v>132.37</v>
      </c>
      <c r="H63" s="17" t="n">
        <v>0.31</v>
      </c>
      <c r="I63" s="16" t="n">
        <v>30.74</v>
      </c>
      <c r="J63" s="16" t="n">
        <v>3.61</v>
      </c>
      <c r="K63" s="16" t="n">
        <v>0</v>
      </c>
      <c r="L63" s="16" t="n">
        <v>-4.74</v>
      </c>
      <c r="M63" s="16" t="n">
        <v>0</v>
      </c>
      <c r="N63" s="16" t="n">
        <v>93.28</v>
      </c>
      <c r="O63" s="17" t="n">
        <v>0.23977</v>
      </c>
      <c r="P63" s="18" t="n">
        <v>12</v>
      </c>
      <c r="Q63" s="18" t="n">
        <v>2</v>
      </c>
      <c r="R63" s="16" t="n">
        <v>102.38</v>
      </c>
      <c r="S63" s="14" t="inlineStr">
        <is>
          <t>BLANCA TEMPRANA</t>
        </is>
      </c>
      <c r="T63" s="14" t="inlineStr">
        <is>
          <t>INDUSTRIA</t>
        </is>
      </c>
      <c r="U63" s="19">
        <f>IFERROR(166.386*I63/F63,0)</f>
        <v/>
      </c>
      <c r="V63" s="19">
        <f>IFERROR(166.386*M63/F63,0)</f>
        <v/>
      </c>
      <c r="W63" s="19">
        <f>IFERROR(166.386*L63/F63,0)</f>
        <v/>
      </c>
    </row>
    <row r="64">
      <c r="A64" s="14" t="n">
        <v>2324</v>
      </c>
      <c r="B64" s="14" t="inlineStr">
        <is>
          <t>NAVEL TARDIA</t>
        </is>
      </c>
      <c r="C64" s="15" t="n">
        <v>798</v>
      </c>
      <c r="D64" s="14" t="inlineStr">
        <is>
          <t>PAREJA PAREJA,ISABEL</t>
        </is>
      </c>
      <c r="E64" s="14" t="inlineStr">
        <is>
          <t>LANE LATE</t>
        </is>
      </c>
      <c r="F64" s="15" t="n">
        <v>3552</v>
      </c>
      <c r="G64" s="16" t="n">
        <v>1101.12</v>
      </c>
      <c r="H64" s="17" t="n">
        <v>0.31</v>
      </c>
      <c r="I64" s="16" t="n">
        <v>222</v>
      </c>
      <c r="J64" s="16" t="n">
        <v>23.13</v>
      </c>
      <c r="K64" s="16" t="n">
        <v>0</v>
      </c>
      <c r="L64" s="16" t="n">
        <v>-39.43</v>
      </c>
      <c r="M64" s="16" t="n">
        <v>0</v>
      </c>
      <c r="N64" s="16" t="n">
        <v>816.5599999999999</v>
      </c>
      <c r="O64" s="17" t="n">
        <v>0.25233</v>
      </c>
      <c r="P64" s="18" t="n">
        <v>12</v>
      </c>
      <c r="Q64" s="18" t="n">
        <v>2</v>
      </c>
      <c r="R64" s="16" t="n">
        <v>896.26</v>
      </c>
      <c r="S64" s="14" t="inlineStr">
        <is>
          <t>NAVEL TARDIA</t>
        </is>
      </c>
      <c r="T64" s="14" t="inlineStr">
        <is>
          <t>INDUSTRIA</t>
        </is>
      </c>
      <c r="U64" s="19">
        <f>IFERROR(166.386*I64/F64,0)</f>
        <v/>
      </c>
      <c r="V64" s="19">
        <f>IFERROR(166.386*M64/F64,0)</f>
        <v/>
      </c>
      <c r="W64" s="19">
        <f>IFERROR(166.386*L64/F64,0)</f>
        <v/>
      </c>
    </row>
    <row r="65">
      <c r="A65" s="14" t="n">
        <v>2324</v>
      </c>
      <c r="B65" s="14" t="inlineStr">
        <is>
          <t>NAVEL TARDIA</t>
        </is>
      </c>
      <c r="C65" s="15" t="n">
        <v>904</v>
      </c>
      <c r="D65" s="14" t="inlineStr">
        <is>
          <t>FERNANDEZ MELENDEZ,ANGEL</t>
        </is>
      </c>
      <c r="E65" s="14" t="inlineStr">
        <is>
          <t>LANE LATE</t>
        </is>
      </c>
      <c r="F65" s="15" t="n">
        <v>3209</v>
      </c>
      <c r="G65" s="16" t="n">
        <v>994.79</v>
      </c>
      <c r="H65" s="17" t="n">
        <v>0.31</v>
      </c>
      <c r="I65" s="16" t="n">
        <v>200.56</v>
      </c>
      <c r="J65" s="16" t="n">
        <v>19.15</v>
      </c>
      <c r="K65" s="16" t="n">
        <v>0</v>
      </c>
      <c r="L65" s="16" t="n">
        <v>-35.62</v>
      </c>
      <c r="M65" s="16" t="n">
        <v>0</v>
      </c>
      <c r="N65" s="16" t="n">
        <v>739.46</v>
      </c>
      <c r="O65" s="17" t="n">
        <v>0.25292</v>
      </c>
      <c r="P65" s="18" t="n">
        <v>12</v>
      </c>
      <c r="Q65" s="18" t="n">
        <v>2</v>
      </c>
      <c r="R65" s="16" t="n">
        <v>811.63</v>
      </c>
      <c r="S65" s="14" t="inlineStr">
        <is>
          <t>NAVEL TARDIA</t>
        </is>
      </c>
      <c r="T65" s="14" t="inlineStr">
        <is>
          <t>INDUSTRIA</t>
        </is>
      </c>
      <c r="U65" s="19">
        <f>IFERROR(166.386*I65/F65,0)</f>
        <v/>
      </c>
      <c r="V65" s="19">
        <f>IFERROR(166.386*M65/F65,0)</f>
        <v/>
      </c>
      <c r="W65" s="19">
        <f>IFERROR(166.386*L65/F65,0)</f>
        <v/>
      </c>
    </row>
    <row r="66">
      <c r="A66" s="14" t="n">
        <v>2324</v>
      </c>
      <c r="B66" s="14" t="inlineStr">
        <is>
          <t>NAVEL TARDIA</t>
        </is>
      </c>
      <c r="C66" s="15" t="n">
        <v>990</v>
      </c>
      <c r="D66" s="14" t="inlineStr">
        <is>
          <t>SANCHEZ PEREZ,ANTONIO</t>
        </is>
      </c>
      <c r="E66" s="14" t="inlineStr">
        <is>
          <t>LANE LATE</t>
        </is>
      </c>
      <c r="F66" s="15" t="n">
        <v>11720</v>
      </c>
      <c r="G66" s="16" t="n">
        <v>3633.2</v>
      </c>
      <c r="H66" s="17" t="n">
        <v>0.31</v>
      </c>
      <c r="I66" s="16" t="n">
        <v>732.5</v>
      </c>
      <c r="J66" s="16" t="n">
        <v>149.88</v>
      </c>
      <c r="K66" s="16" t="n">
        <v>0</v>
      </c>
      <c r="L66" s="16" t="n">
        <v>0</v>
      </c>
      <c r="M66" s="16" t="n">
        <v>0</v>
      </c>
      <c r="N66" s="16" t="n">
        <v>2750.82</v>
      </c>
      <c r="O66" s="17" t="n">
        <v>0.25762</v>
      </c>
      <c r="P66" s="18" t="n">
        <v>12</v>
      </c>
      <c r="Q66" s="18" t="n">
        <v>2</v>
      </c>
      <c r="R66" s="16" t="n">
        <v>3019.3</v>
      </c>
      <c r="S66" s="14" t="inlineStr">
        <is>
          <t>NAVEL TARDIA</t>
        </is>
      </c>
      <c r="T66" s="14" t="inlineStr">
        <is>
          <t>INDUSTRIA</t>
        </is>
      </c>
      <c r="U66" s="19">
        <f>IFERROR(166.386*I66/F66,0)</f>
        <v/>
      </c>
      <c r="V66" s="19">
        <f>IFERROR(166.386*M66/F66,0)</f>
        <v/>
      </c>
      <c r="W66" s="19">
        <f>IFERROR(166.386*L66/F66,0)</f>
        <v/>
      </c>
    </row>
    <row r="67">
      <c r="A67" s="14" t="n">
        <v>2324</v>
      </c>
      <c r="B67" s="14" t="inlineStr">
        <is>
          <t>NAVEL TARDIA</t>
        </is>
      </c>
      <c r="C67" s="15" t="n">
        <v>1178</v>
      </c>
      <c r="D67" s="14" t="inlineStr">
        <is>
          <t>CALZADO GARCIA,FRANCISCO JAVIER</t>
        </is>
      </c>
      <c r="E67" s="14" t="inlineStr">
        <is>
          <t>NAVEL POWEL</t>
        </is>
      </c>
      <c r="F67" s="15" t="n">
        <v>2948</v>
      </c>
      <c r="G67" s="16" t="n">
        <v>913.88</v>
      </c>
      <c r="H67" s="17" t="n">
        <v>0.31</v>
      </c>
      <c r="I67" s="16" t="n">
        <v>0</v>
      </c>
      <c r="J67" s="16" t="n">
        <v>36.3</v>
      </c>
      <c r="K67" s="16" t="n">
        <v>0</v>
      </c>
      <c r="L67" s="16" t="n">
        <v>0</v>
      </c>
      <c r="M67" s="16" t="n">
        <v>0</v>
      </c>
      <c r="N67" s="16" t="n">
        <v>877.58</v>
      </c>
      <c r="O67" s="17" t="n">
        <v>0.32674</v>
      </c>
      <c r="P67" s="18" t="n">
        <v>12</v>
      </c>
      <c r="Q67" s="18" t="n">
        <v>2</v>
      </c>
      <c r="R67" s="16" t="n">
        <v>963.23</v>
      </c>
      <c r="S67" s="14" t="inlineStr">
        <is>
          <t>NAVEL TARDIA</t>
        </is>
      </c>
      <c r="T67" s="14" t="inlineStr">
        <is>
          <t>INDUSTRIA</t>
        </is>
      </c>
      <c r="U67" s="19">
        <f>IFERROR(166.386*I67/F67,0)</f>
        <v/>
      </c>
      <c r="V67" s="19">
        <f>IFERROR(166.386*M67/F67,0)</f>
        <v/>
      </c>
      <c r="W67" s="19">
        <f>IFERROR(166.386*L67/F67,0)</f>
        <v/>
      </c>
    </row>
    <row r="68">
      <c r="A68" s="14" t="n">
        <v>2324</v>
      </c>
      <c r="B68" s="14" t="inlineStr">
        <is>
          <t>NAVEL TARDIA</t>
        </is>
      </c>
      <c r="C68" s="15" t="n">
        <v>1205</v>
      </c>
      <c r="D68" s="14" t="inlineStr">
        <is>
          <t>OLIVER JIMENEZ,MARIA MERCEDES</t>
        </is>
      </c>
      <c r="E68" s="14" t="inlineStr">
        <is>
          <t>LANE LATE</t>
        </is>
      </c>
      <c r="F68" s="15" t="n">
        <v>1413</v>
      </c>
      <c r="G68" s="16" t="n">
        <v>438.03</v>
      </c>
      <c r="H68" s="17" t="n">
        <v>0.31</v>
      </c>
      <c r="I68" s="16" t="n">
        <v>88.31</v>
      </c>
      <c r="J68" s="16" t="n">
        <v>11.76</v>
      </c>
      <c r="K68" s="16" t="n">
        <v>0</v>
      </c>
      <c r="L68" s="16" t="n">
        <v>-15.68</v>
      </c>
      <c r="M68" s="16" t="n">
        <v>0</v>
      </c>
      <c r="N68" s="16" t="n">
        <v>322.28</v>
      </c>
      <c r="O68" s="17" t="n">
        <v>0.25034</v>
      </c>
      <c r="P68" s="18" t="n">
        <v>12</v>
      </c>
      <c r="Q68" s="18" t="n">
        <v>2</v>
      </c>
      <c r="R68" s="16" t="n">
        <v>353.73</v>
      </c>
      <c r="S68" s="14" t="inlineStr">
        <is>
          <t>NAVEL TARDIA</t>
        </is>
      </c>
      <c r="T68" s="14" t="inlineStr">
        <is>
          <t>INDUSTRIA</t>
        </is>
      </c>
      <c r="U68" s="19">
        <f>IFERROR(166.386*I68/F68,0)</f>
        <v/>
      </c>
      <c r="V68" s="19">
        <f>IFERROR(166.386*M68/F68,0)</f>
        <v/>
      </c>
      <c r="W68" s="19">
        <f>IFERROR(166.386*L68/F68,0)</f>
        <v/>
      </c>
    </row>
    <row r="69">
      <c r="A69" s="14" t="n">
        <v>2324</v>
      </c>
      <c r="B69" s="14" t="inlineStr">
        <is>
          <t>NAVEL TARDIA</t>
        </is>
      </c>
      <c r="C69" s="15" t="n">
        <v>1255</v>
      </c>
      <c r="D69" s="14" t="inlineStr">
        <is>
          <t>CHAMIZO AGREDANO,JUAN</t>
        </is>
      </c>
      <c r="E69" s="14" t="inlineStr">
        <is>
          <t>LANE LATE</t>
        </is>
      </c>
      <c r="F69" s="15" t="n">
        <v>382</v>
      </c>
      <c r="G69" s="16" t="n">
        <v>118.42</v>
      </c>
      <c r="H69" s="17" t="n">
        <v>0.31</v>
      </c>
      <c r="I69" s="16" t="n">
        <v>23.87</v>
      </c>
      <c r="J69" s="16" t="n">
        <v>2.48</v>
      </c>
      <c r="K69" s="16" t="n">
        <v>0</v>
      </c>
      <c r="L69" s="16" t="n">
        <v>-4.24</v>
      </c>
      <c r="M69" s="16" t="n">
        <v>0</v>
      </c>
      <c r="N69" s="16" t="n">
        <v>87.83</v>
      </c>
      <c r="O69" s="17" t="n">
        <v>0.25236</v>
      </c>
      <c r="P69" s="18" t="n">
        <v>12</v>
      </c>
      <c r="Q69" s="18" t="n">
        <v>2</v>
      </c>
      <c r="R69" s="16" t="n">
        <v>96.40000000000001</v>
      </c>
      <c r="S69" s="14" t="inlineStr">
        <is>
          <t>NAVEL TARDIA</t>
        </is>
      </c>
      <c r="T69" s="14" t="inlineStr">
        <is>
          <t>INDUSTRIA</t>
        </is>
      </c>
      <c r="U69" s="19">
        <f>IFERROR(166.386*I69/F69,0)</f>
        <v/>
      </c>
      <c r="V69" s="19">
        <f>IFERROR(166.386*M69/F69,0)</f>
        <v/>
      </c>
      <c r="W69" s="19">
        <f>IFERROR(166.386*L69/F69,0)</f>
        <v/>
      </c>
    </row>
    <row r="70">
      <c r="A70" s="14" t="n">
        <v>2324</v>
      </c>
      <c r="B70" s="14" t="inlineStr">
        <is>
          <t>NAVEL TARDIA</t>
        </is>
      </c>
      <c r="C70" s="15" t="n">
        <v>1272</v>
      </c>
      <c r="D70" s="14" t="inlineStr">
        <is>
          <t>HERMANOS GONZALEZ ROLDAN,S.C.</t>
        </is>
      </c>
      <c r="E70" s="14" t="inlineStr">
        <is>
          <t>LANE LATE</t>
        </is>
      </c>
      <c r="F70" s="15" t="n">
        <v>955</v>
      </c>
      <c r="G70" s="16" t="n">
        <v>296.05</v>
      </c>
      <c r="H70" s="17" t="n">
        <v>0.31</v>
      </c>
      <c r="I70" s="16" t="n">
        <v>59.69</v>
      </c>
      <c r="J70" s="16" t="n">
        <v>17.55</v>
      </c>
      <c r="K70" s="16" t="n">
        <v>0</v>
      </c>
      <c r="L70" s="16" t="n">
        <v>0</v>
      </c>
      <c r="M70" s="16" t="n">
        <v>0</v>
      </c>
      <c r="N70" s="16" t="n">
        <v>218.81</v>
      </c>
      <c r="O70" s="17" t="n">
        <v>0.25149</v>
      </c>
      <c r="P70" s="18" t="n">
        <v>12</v>
      </c>
      <c r="Q70" s="18" t="n">
        <v>2</v>
      </c>
      <c r="R70" s="16" t="n">
        <v>240.17</v>
      </c>
      <c r="S70" s="14" t="inlineStr">
        <is>
          <t>NAVEL TARDIA</t>
        </is>
      </c>
      <c r="T70" s="14" t="inlineStr">
        <is>
          <t>INDUSTRIA</t>
        </is>
      </c>
      <c r="U70" s="19">
        <f>IFERROR(166.386*I70/F70,0)</f>
        <v/>
      </c>
      <c r="V70" s="19">
        <f>IFERROR(166.386*M70/F70,0)</f>
        <v/>
      </c>
      <c r="W70" s="19">
        <f>IFERROR(166.386*L70/F70,0)</f>
        <v/>
      </c>
    </row>
    <row r="71">
      <c r="A71" s="14" t="n">
        <v>2324</v>
      </c>
      <c r="B71" s="14" t="inlineStr">
        <is>
          <t>NAVEL TARDIA</t>
        </is>
      </c>
      <c r="C71" s="15" t="n">
        <v>1415</v>
      </c>
      <c r="D71" s="14" t="inlineStr">
        <is>
          <t>TOMENO SUAREZ,FERNANDO</t>
        </is>
      </c>
      <c r="E71" s="14" t="inlineStr">
        <is>
          <t>BARNFIELD</t>
        </is>
      </c>
      <c r="F71" s="15" t="n">
        <v>3543</v>
      </c>
      <c r="G71" s="16" t="n">
        <v>1098.33</v>
      </c>
      <c r="H71" s="17" t="n">
        <v>0.31</v>
      </c>
      <c r="I71" s="16" t="n">
        <v>0</v>
      </c>
      <c r="J71" s="16" t="n">
        <v>12.49</v>
      </c>
      <c r="K71" s="16" t="n">
        <v>0</v>
      </c>
      <c r="L71" s="16" t="n">
        <v>-12.01</v>
      </c>
      <c r="M71" s="16" t="n">
        <v>0</v>
      </c>
      <c r="N71" s="16" t="n">
        <v>1073.83</v>
      </c>
      <c r="O71" s="17" t="n">
        <v>0.33267</v>
      </c>
      <c r="P71" s="18" t="n">
        <v>12</v>
      </c>
      <c r="Q71" s="18" t="n">
        <v>2</v>
      </c>
      <c r="R71" s="16" t="n">
        <v>1178.64</v>
      </c>
      <c r="S71" s="14" t="inlineStr">
        <is>
          <t>NAVEL TARDIA</t>
        </is>
      </c>
      <c r="T71" s="14" t="inlineStr">
        <is>
          <t>INDUSTRIA</t>
        </is>
      </c>
      <c r="U71" s="19">
        <f>IFERROR(166.386*I71/F71,0)</f>
        <v/>
      </c>
      <c r="V71" s="19">
        <f>IFERROR(166.386*M71/F71,0)</f>
        <v/>
      </c>
      <c r="W71" s="19">
        <f>IFERROR(166.386*L71/F71,0)</f>
        <v/>
      </c>
    </row>
    <row r="72">
      <c r="A72" s="14" t="n">
        <v>2324</v>
      </c>
      <c r="B72" s="14" t="inlineStr">
        <is>
          <t>NAVEL TARDIA</t>
        </is>
      </c>
      <c r="C72" s="15" t="n">
        <v>1415</v>
      </c>
      <c r="D72" s="14" t="inlineStr">
        <is>
          <t>TOMENO SUAREZ,FERNANDO</t>
        </is>
      </c>
      <c r="E72" s="14" t="inlineStr">
        <is>
          <t>LANE LATE</t>
        </is>
      </c>
      <c r="F72" s="15" t="n">
        <v>6720</v>
      </c>
      <c r="G72" s="16" t="n">
        <v>2083.2</v>
      </c>
      <c r="H72" s="17" t="n">
        <v>0.31</v>
      </c>
      <c r="I72" s="16" t="n">
        <v>0</v>
      </c>
      <c r="J72" s="16" t="n">
        <v>23.68</v>
      </c>
      <c r="K72" s="16" t="n">
        <v>0</v>
      </c>
      <c r="L72" s="16" t="n">
        <v>-39.18</v>
      </c>
      <c r="M72" s="16" t="n">
        <v>0</v>
      </c>
      <c r="N72" s="16" t="n">
        <v>2020.34</v>
      </c>
      <c r="O72" s="17" t="n">
        <v>0.32999</v>
      </c>
      <c r="P72" s="18" t="n">
        <v>12</v>
      </c>
      <c r="Q72" s="18" t="n">
        <v>2</v>
      </c>
      <c r="R72" s="16" t="n">
        <v>2217.53</v>
      </c>
      <c r="S72" s="14" t="inlineStr">
        <is>
          <t>NAVEL TARDIA</t>
        </is>
      </c>
      <c r="T72" s="14" t="inlineStr">
        <is>
          <t>INDUSTRIA</t>
        </is>
      </c>
      <c r="U72" s="19">
        <f>IFERROR(166.386*I72/F72,0)</f>
        <v/>
      </c>
      <c r="V72" s="19">
        <f>IFERROR(166.386*M72/F72,0)</f>
        <v/>
      </c>
      <c r="W72" s="19">
        <f>IFERROR(166.386*L72/F72,0)</f>
        <v/>
      </c>
    </row>
    <row r="73">
      <c r="A73" s="14" t="n">
        <v>2324</v>
      </c>
      <c r="B73" s="14" t="inlineStr">
        <is>
          <t>NAVEL TARDIA</t>
        </is>
      </c>
      <c r="C73" s="15" t="n">
        <v>1445</v>
      </c>
      <c r="D73" s="14" t="inlineStr">
        <is>
          <t>REAL GARCIA,MIGUEL</t>
        </is>
      </c>
      <c r="E73" s="14" t="inlineStr">
        <is>
          <t>LANE LATE</t>
        </is>
      </c>
      <c r="F73" s="15" t="n">
        <v>2369</v>
      </c>
      <c r="G73" s="16" t="n">
        <v>734.39</v>
      </c>
      <c r="H73" s="17" t="n">
        <v>0.31</v>
      </c>
      <c r="I73" s="16" t="n">
        <v>148.06</v>
      </c>
      <c r="J73" s="16" t="n">
        <v>21.87</v>
      </c>
      <c r="K73" s="16" t="n">
        <v>0</v>
      </c>
      <c r="L73" s="16" t="n">
        <v>-26.3</v>
      </c>
      <c r="M73" s="16" t="n">
        <v>0</v>
      </c>
      <c r="N73" s="16" t="n">
        <v>538.16</v>
      </c>
      <c r="O73" s="17" t="n">
        <v>0.24934</v>
      </c>
      <c r="P73" s="18" t="n">
        <v>12</v>
      </c>
      <c r="Q73" s="18" t="n">
        <v>2</v>
      </c>
      <c r="R73" s="16" t="n">
        <v>590.6799999999999</v>
      </c>
      <c r="S73" s="14" t="inlineStr">
        <is>
          <t>NAVEL TARDIA</t>
        </is>
      </c>
      <c r="T73" s="14" t="inlineStr">
        <is>
          <t>INDUSTRIA</t>
        </is>
      </c>
      <c r="U73" s="19">
        <f>IFERROR(166.386*I73/F73,0)</f>
        <v/>
      </c>
      <c r="V73" s="19">
        <f>IFERROR(166.386*M73/F73,0)</f>
        <v/>
      </c>
      <c r="W73" s="19">
        <f>IFERROR(166.386*L73/F73,0)</f>
        <v/>
      </c>
    </row>
    <row r="74">
      <c r="A74" s="14" t="n">
        <v>2324</v>
      </c>
      <c r="B74" s="14" t="inlineStr">
        <is>
          <t>NAVEL TARDIA</t>
        </is>
      </c>
      <c r="C74" s="15" t="n">
        <v>1500</v>
      </c>
      <c r="D74" s="14" t="inlineStr">
        <is>
          <t>JIMENEZ MALDONADO, PEDRO</t>
        </is>
      </c>
      <c r="E74" s="14" t="inlineStr">
        <is>
          <t>CHISLETT SUMER</t>
        </is>
      </c>
      <c r="F74" s="15" t="n">
        <v>1243</v>
      </c>
      <c r="G74" s="16" t="n">
        <v>385.33</v>
      </c>
      <c r="H74" s="17" t="n">
        <v>0.31</v>
      </c>
      <c r="I74" s="16" t="n">
        <v>77.69</v>
      </c>
      <c r="J74" s="16" t="n">
        <v>4.35</v>
      </c>
      <c r="K74" s="16" t="n">
        <v>0</v>
      </c>
      <c r="L74" s="16" t="n">
        <v>-13.8</v>
      </c>
      <c r="M74" s="16" t="n">
        <v>0</v>
      </c>
      <c r="N74" s="16" t="n">
        <v>289.49</v>
      </c>
      <c r="O74" s="17" t="n">
        <v>0.25562</v>
      </c>
      <c r="P74" s="18" t="n">
        <v>12</v>
      </c>
      <c r="Q74" s="18" t="n">
        <v>2</v>
      </c>
      <c r="R74" s="16" t="n">
        <v>317.74</v>
      </c>
      <c r="S74" s="14" t="inlineStr">
        <is>
          <t>NAVEL TARDIA</t>
        </is>
      </c>
      <c r="T74" s="14" t="inlineStr">
        <is>
          <t>INDUSTRIA</t>
        </is>
      </c>
      <c r="U74" s="19">
        <f>IFERROR(166.386*I74/F74,0)</f>
        <v/>
      </c>
      <c r="V74" s="19">
        <f>IFERROR(166.386*M74/F74,0)</f>
        <v/>
      </c>
      <c r="W74" s="19">
        <f>IFERROR(166.386*L74/F74,0)</f>
        <v/>
      </c>
    </row>
    <row r="75">
      <c r="A75" s="14" t="n">
        <v>2324</v>
      </c>
      <c r="B75" s="14" t="inlineStr">
        <is>
          <t>NAVEL TARDIA</t>
        </is>
      </c>
      <c r="C75" s="15" t="n">
        <v>1507</v>
      </c>
      <c r="D75" s="14" t="inlineStr">
        <is>
          <t>ZAMBRANO HINOJOSA, Mª ÁNGELES</t>
        </is>
      </c>
      <c r="E75" s="14" t="inlineStr">
        <is>
          <t>LANE LATE</t>
        </is>
      </c>
      <c r="F75" s="15" t="n">
        <v>5539</v>
      </c>
      <c r="G75" s="16" t="n">
        <v>1717.09</v>
      </c>
      <c r="H75" s="17" t="n">
        <v>0.31</v>
      </c>
      <c r="I75" s="16" t="n">
        <v>271.5</v>
      </c>
      <c r="J75" s="16" t="n">
        <v>47.5</v>
      </c>
      <c r="K75" s="16" t="n">
        <v>0</v>
      </c>
      <c r="L75" s="16" t="n">
        <v>-58.43</v>
      </c>
      <c r="M75" s="16" t="n">
        <v>0</v>
      </c>
      <c r="N75" s="16" t="n">
        <v>1339.66</v>
      </c>
      <c r="O75" s="17" t="n">
        <v>0.26546</v>
      </c>
      <c r="P75" s="18" t="n">
        <v>12</v>
      </c>
      <c r="Q75" s="18" t="n">
        <v>2</v>
      </c>
      <c r="R75" s="16" t="n">
        <v>1470.41</v>
      </c>
      <c r="S75" s="14" t="inlineStr">
        <is>
          <t>NAVEL TARDIA</t>
        </is>
      </c>
      <c r="T75" s="14" t="inlineStr">
        <is>
          <t>INDUSTRIA</t>
        </is>
      </c>
      <c r="U75" s="19">
        <f>IFERROR(166.386*I75/F75,0)</f>
        <v/>
      </c>
      <c r="V75" s="19">
        <f>IFERROR(166.386*M75/F75,0)</f>
        <v/>
      </c>
      <c r="W75" s="19">
        <f>IFERROR(166.386*L75/F75,0)</f>
        <v/>
      </c>
    </row>
    <row r="76">
      <c r="A76" s="14" t="n">
        <v>2324</v>
      </c>
      <c r="B76" s="14" t="inlineStr">
        <is>
          <t>NAVEL TARDIA</t>
        </is>
      </c>
      <c r="C76" s="15" t="n">
        <v>1544</v>
      </c>
      <c r="D76" s="14" t="inlineStr">
        <is>
          <t>HARO ORDOÑO, ALVARO</t>
        </is>
      </c>
      <c r="E76" s="14" t="inlineStr">
        <is>
          <t>LANE LATE</t>
        </is>
      </c>
      <c r="F76" s="15" t="n">
        <v>3620</v>
      </c>
      <c r="G76" s="16" t="n">
        <v>1122.2</v>
      </c>
      <c r="H76" s="17" t="n">
        <v>0.31</v>
      </c>
      <c r="I76" s="16" t="n">
        <v>0</v>
      </c>
      <c r="J76" s="16" t="n">
        <v>20.37</v>
      </c>
      <c r="K76" s="16" t="n">
        <v>0</v>
      </c>
      <c r="L76" s="16" t="n">
        <v>-32.19</v>
      </c>
      <c r="M76" s="16" t="n">
        <v>0</v>
      </c>
      <c r="N76" s="16" t="n">
        <v>1069.64</v>
      </c>
      <c r="O76" s="17" t="n">
        <v>0.32432</v>
      </c>
      <c r="P76" s="18" t="n">
        <v>12</v>
      </c>
      <c r="Q76" s="18" t="n">
        <v>2</v>
      </c>
      <c r="R76" s="16" t="n">
        <v>1174.04</v>
      </c>
      <c r="S76" s="14" t="inlineStr">
        <is>
          <t>NAVEL TARDIA</t>
        </is>
      </c>
      <c r="T76" s="14" t="inlineStr">
        <is>
          <t>INDUSTRIA</t>
        </is>
      </c>
      <c r="U76" s="19">
        <f>IFERROR(166.386*I76/F76,0)</f>
        <v/>
      </c>
      <c r="V76" s="19">
        <f>IFERROR(166.386*M76/F76,0)</f>
        <v/>
      </c>
      <c r="W76" s="19">
        <f>IFERROR(166.386*L76/F76,0)</f>
        <v/>
      </c>
    </row>
    <row r="77">
      <c r="A77" s="14" t="n">
        <v>2324</v>
      </c>
      <c r="B77" s="14" t="inlineStr">
        <is>
          <t>NAVEL TARDIA</t>
        </is>
      </c>
      <c r="C77" s="15" t="n">
        <v>1597</v>
      </c>
      <c r="D77" s="14" t="inlineStr">
        <is>
          <t>CARBALLO SIRIA, ANTONIO JOSE</t>
        </is>
      </c>
      <c r="E77" s="14" t="inlineStr">
        <is>
          <t>LANE LATE</t>
        </is>
      </c>
      <c r="F77" s="15" t="n">
        <v>881</v>
      </c>
      <c r="G77" s="16" t="n">
        <v>273.11</v>
      </c>
      <c r="H77" s="17" t="n">
        <v>0.31</v>
      </c>
      <c r="I77" s="16" t="n">
        <v>55.06</v>
      </c>
      <c r="J77" s="16" t="n">
        <v>8.08</v>
      </c>
      <c r="K77" s="16" t="n">
        <v>0</v>
      </c>
      <c r="L77" s="16" t="n">
        <v>-9.779999999999999</v>
      </c>
      <c r="M77" s="16" t="n">
        <v>0</v>
      </c>
      <c r="N77" s="16" t="n">
        <v>200.19</v>
      </c>
      <c r="O77" s="17" t="n">
        <v>0.24941</v>
      </c>
      <c r="P77" s="18" t="n">
        <v>12</v>
      </c>
      <c r="Q77" s="18" t="n">
        <v>2</v>
      </c>
      <c r="R77" s="16" t="n">
        <v>219.73</v>
      </c>
      <c r="S77" s="14" t="inlineStr">
        <is>
          <t>NAVEL TARDIA</t>
        </is>
      </c>
      <c r="T77" s="14" t="inlineStr">
        <is>
          <t>INDUSTRIA</t>
        </is>
      </c>
      <c r="U77" s="19">
        <f>IFERROR(166.386*I77/F77,0)</f>
        <v/>
      </c>
      <c r="V77" s="19">
        <f>IFERROR(166.386*M77/F77,0)</f>
        <v/>
      </c>
      <c r="W77" s="19">
        <f>IFERROR(166.386*L77/F77,0)</f>
        <v/>
      </c>
    </row>
    <row r="78">
      <c r="A78" s="14" t="n">
        <v>2324</v>
      </c>
      <c r="B78" s="14" t="inlineStr">
        <is>
          <t>NAVEL TARDIA</t>
        </is>
      </c>
      <c r="C78" s="15" t="n">
        <v>1627</v>
      </c>
      <c r="D78" s="14" t="inlineStr">
        <is>
          <t>FRUTAS ANDALUZAS DE SEVILLA S.L.</t>
        </is>
      </c>
      <c r="E78" s="14" t="inlineStr">
        <is>
          <t>LANE LATE</t>
        </is>
      </c>
      <c r="F78" s="15" t="n">
        <v>4559</v>
      </c>
      <c r="G78" s="16" t="n">
        <v>1413.29</v>
      </c>
      <c r="H78" s="17" t="n">
        <v>0.31</v>
      </c>
      <c r="I78" s="16" t="n">
        <v>0</v>
      </c>
      <c r="J78" s="16" t="n">
        <v>46.1</v>
      </c>
      <c r="K78" s="16" t="n">
        <v>0</v>
      </c>
      <c r="L78" s="16" t="n">
        <v>-23.7</v>
      </c>
      <c r="M78" s="16" t="n">
        <v>0</v>
      </c>
      <c r="N78" s="16" t="n">
        <v>1343.49</v>
      </c>
      <c r="O78" s="17" t="n">
        <v>0.32345</v>
      </c>
      <c r="P78" s="18" t="n">
        <v>12</v>
      </c>
      <c r="Q78" s="18" t="n">
        <v>2</v>
      </c>
      <c r="R78" s="16" t="n">
        <v>1474.61</v>
      </c>
      <c r="S78" s="14" t="inlineStr">
        <is>
          <t>NAVEL TARDIA</t>
        </is>
      </c>
      <c r="T78" s="14" t="inlineStr">
        <is>
          <t>INDUSTRIA</t>
        </is>
      </c>
      <c r="U78" s="19">
        <f>IFERROR(166.386*I78/F78,0)</f>
        <v/>
      </c>
      <c r="V78" s="19">
        <f>IFERROR(166.386*M78/F78,0)</f>
        <v/>
      </c>
      <c r="W78" s="19">
        <f>IFERROR(166.386*L78/F78,0)</f>
        <v/>
      </c>
    </row>
    <row r="79">
      <c r="A79" s="14" t="n">
        <v>2325</v>
      </c>
      <c r="B79" s="14" t="inlineStr">
        <is>
          <t>NAVEL TEMPRANA</t>
        </is>
      </c>
      <c r="C79" s="15" t="n">
        <v>487</v>
      </c>
      <c r="D79" s="14" t="inlineStr">
        <is>
          <t>NUÑEZ ORDOÑEZ,ANGEL CUSTODIO</t>
        </is>
      </c>
      <c r="E79" s="14" t="inlineStr">
        <is>
          <t>NAVELINA</t>
        </is>
      </c>
      <c r="F79" s="15" t="n">
        <v>570</v>
      </c>
      <c r="G79" s="16" t="n">
        <v>176.7</v>
      </c>
      <c r="H79" s="17" t="n">
        <v>0.31</v>
      </c>
      <c r="I79" s="16" t="n">
        <v>35.62</v>
      </c>
      <c r="J79" s="16" t="n">
        <v>10.75</v>
      </c>
      <c r="K79" s="16" t="n">
        <v>0</v>
      </c>
      <c r="L79" s="16" t="n">
        <v>-6.33</v>
      </c>
      <c r="M79" s="16" t="n">
        <v>0</v>
      </c>
      <c r="N79" s="16" t="n">
        <v>124</v>
      </c>
      <c r="O79" s="17" t="n">
        <v>0.23877</v>
      </c>
      <c r="P79" s="18" t="n">
        <v>12</v>
      </c>
      <c r="Q79" s="18" t="n">
        <v>2</v>
      </c>
      <c r="R79" s="16" t="n">
        <v>136.1</v>
      </c>
      <c r="S79" s="14" t="inlineStr">
        <is>
          <t>NAVEL TEMPRANA</t>
        </is>
      </c>
      <c r="T79" s="14" t="inlineStr">
        <is>
          <t>INDUSTRIA</t>
        </is>
      </c>
      <c r="U79" s="19">
        <f>IFERROR(166.386*I79/F79,0)</f>
        <v/>
      </c>
      <c r="V79" s="19">
        <f>IFERROR(166.386*M79/F79,0)</f>
        <v/>
      </c>
      <c r="W79" s="19">
        <f>IFERROR(166.386*L79/F79,0)</f>
        <v/>
      </c>
    </row>
    <row r="80">
      <c r="A80" s="14" t="n">
        <v>2325</v>
      </c>
      <c r="B80" s="14" t="inlineStr">
        <is>
          <t>NAVEL TEMPRANA</t>
        </is>
      </c>
      <c r="C80" s="15" t="n">
        <v>716</v>
      </c>
      <c r="D80" s="14" t="inlineStr">
        <is>
          <t>MARTIN GARCIA,MARIANO</t>
        </is>
      </c>
      <c r="E80" s="14" t="inlineStr">
        <is>
          <t>NEWHALL</t>
        </is>
      </c>
      <c r="F80" s="15" t="n">
        <v>5700</v>
      </c>
      <c r="G80" s="16" t="n">
        <v>1767</v>
      </c>
      <c r="H80" s="17" t="n">
        <v>0.31</v>
      </c>
      <c r="I80" s="16" t="n">
        <v>356.25</v>
      </c>
      <c r="J80" s="16" t="n">
        <v>124.8</v>
      </c>
      <c r="K80" s="16" t="n">
        <v>0</v>
      </c>
      <c r="L80" s="16" t="n">
        <v>-63.27</v>
      </c>
      <c r="M80" s="16" t="n">
        <v>0</v>
      </c>
      <c r="N80" s="16" t="n">
        <v>1222.68</v>
      </c>
      <c r="O80" s="17" t="n">
        <v>0.23544</v>
      </c>
      <c r="P80" s="18" t="n">
        <v>12</v>
      </c>
      <c r="Q80" s="18" t="n">
        <v>2</v>
      </c>
      <c r="R80" s="16" t="n">
        <v>1342.01</v>
      </c>
      <c r="S80" s="14" t="inlineStr">
        <is>
          <t>NAVEL TEMPRANA</t>
        </is>
      </c>
      <c r="T80" s="14" t="inlineStr">
        <is>
          <t>INDUSTRIA</t>
        </is>
      </c>
      <c r="U80" s="19">
        <f>IFERROR(166.386*I80/F80,0)</f>
        <v/>
      </c>
      <c r="V80" s="19">
        <f>IFERROR(166.386*M80/F80,0)</f>
        <v/>
      </c>
      <c r="W80" s="19">
        <f>IFERROR(166.386*L80/F80,0)</f>
        <v/>
      </c>
    </row>
    <row r="81">
      <c r="A81" s="14" t="n">
        <v>2325</v>
      </c>
      <c r="B81" s="14" t="inlineStr">
        <is>
          <t>NAVEL TEMPRANA</t>
        </is>
      </c>
      <c r="C81" s="15" t="n">
        <v>877</v>
      </c>
      <c r="D81" s="14" t="inlineStr">
        <is>
          <t>AGRICOLAS RECUERO  S.C.</t>
        </is>
      </c>
      <c r="E81" s="14" t="inlineStr">
        <is>
          <t>NAVELINA</t>
        </is>
      </c>
      <c r="F81" s="15" t="n">
        <v>995</v>
      </c>
      <c r="G81" s="16" t="n">
        <v>308.45</v>
      </c>
      <c r="H81" s="17" t="n">
        <v>0.31</v>
      </c>
      <c r="I81" s="16" t="n">
        <v>62.19</v>
      </c>
      <c r="J81" s="16" t="n">
        <v>6.19</v>
      </c>
      <c r="K81" s="16" t="n">
        <v>0</v>
      </c>
      <c r="L81" s="16" t="n">
        <v>-11.04</v>
      </c>
      <c r="M81" s="16" t="n">
        <v>0</v>
      </c>
      <c r="N81" s="16" t="n">
        <v>229.03</v>
      </c>
      <c r="O81" s="17" t="n">
        <v>0.25264</v>
      </c>
      <c r="P81" s="18" t="n">
        <v>12</v>
      </c>
      <c r="Q81" s="18" t="n">
        <v>2</v>
      </c>
      <c r="R81" s="16" t="n">
        <v>251.38</v>
      </c>
      <c r="S81" s="14" t="inlineStr">
        <is>
          <t>NAVEL TEMPRANA</t>
        </is>
      </c>
      <c r="T81" s="14" t="inlineStr">
        <is>
          <t>INDUSTRIA</t>
        </is>
      </c>
      <c r="U81" s="19">
        <f>IFERROR(166.386*I81/F81,0)</f>
        <v/>
      </c>
      <c r="V81" s="19">
        <f>IFERROR(166.386*M81/F81,0)</f>
        <v/>
      </c>
      <c r="W81" s="19">
        <f>IFERROR(166.386*L81/F81,0)</f>
        <v/>
      </c>
    </row>
    <row r="82">
      <c r="A82" s="14" t="n">
        <v>2325</v>
      </c>
      <c r="B82" s="14" t="inlineStr">
        <is>
          <t>NAVEL TEMPRANA</t>
        </is>
      </c>
      <c r="C82" s="15" t="n">
        <v>886</v>
      </c>
      <c r="D82" s="14" t="inlineStr">
        <is>
          <t>IGEÑO LUQUE S.C.</t>
        </is>
      </c>
      <c r="E82" s="14" t="inlineStr">
        <is>
          <t>NAVELINA</t>
        </is>
      </c>
      <c r="F82" s="15" t="n">
        <v>277</v>
      </c>
      <c r="G82" s="16" t="n">
        <v>85.87</v>
      </c>
      <c r="H82" s="17" t="n">
        <v>0.31</v>
      </c>
      <c r="I82" s="16" t="n">
        <v>17.31</v>
      </c>
      <c r="J82" s="16" t="n">
        <v>1.41</v>
      </c>
      <c r="K82" s="16" t="n">
        <v>0</v>
      </c>
      <c r="L82" s="16" t="n">
        <v>0</v>
      </c>
      <c r="M82" s="16" t="n">
        <v>0</v>
      </c>
      <c r="N82" s="16" t="n">
        <v>67.15000000000001</v>
      </c>
      <c r="O82" s="17" t="n">
        <v>0.26606</v>
      </c>
      <c r="P82" s="18" t="n">
        <v>12</v>
      </c>
      <c r="Q82" s="18" t="n">
        <v>2</v>
      </c>
      <c r="R82" s="16" t="n">
        <v>73.7</v>
      </c>
      <c r="S82" s="14" t="inlineStr">
        <is>
          <t>NAVEL TEMPRANA</t>
        </is>
      </c>
      <c r="T82" s="14" t="inlineStr">
        <is>
          <t>INDUSTRIA</t>
        </is>
      </c>
      <c r="U82" s="19">
        <f>IFERROR(166.386*I82/F82,0)</f>
        <v/>
      </c>
      <c r="V82" s="19">
        <f>IFERROR(166.386*M82/F82,0)</f>
        <v/>
      </c>
      <c r="W82" s="19">
        <f>IFERROR(166.386*L82/F82,0)</f>
        <v/>
      </c>
    </row>
    <row r="83">
      <c r="A83" s="14" t="n">
        <v>2325</v>
      </c>
      <c r="B83" s="14" t="inlineStr">
        <is>
          <t>NAVEL TEMPRANA</t>
        </is>
      </c>
      <c r="C83" s="15" t="n">
        <v>886</v>
      </c>
      <c r="D83" s="14" t="inlineStr">
        <is>
          <t>IGEÑO LUQUE S.C.</t>
        </is>
      </c>
      <c r="E83" s="14" t="inlineStr">
        <is>
          <t>WASHINGTON</t>
        </is>
      </c>
      <c r="F83" s="15" t="n">
        <v>326</v>
      </c>
      <c r="G83" s="16" t="n">
        <v>101.06</v>
      </c>
      <c r="H83" s="17" t="n">
        <v>0.31</v>
      </c>
      <c r="I83" s="16" t="n">
        <v>20.38</v>
      </c>
      <c r="J83" s="16" t="n">
        <v>1.66</v>
      </c>
      <c r="K83" s="16" t="n">
        <v>0</v>
      </c>
      <c r="L83" s="16" t="n">
        <v>-1.81</v>
      </c>
      <c r="M83" s="16" t="n">
        <v>0</v>
      </c>
      <c r="N83" s="16" t="n">
        <v>77.20999999999999</v>
      </c>
      <c r="O83" s="17" t="n">
        <v>0.25997</v>
      </c>
      <c r="P83" s="18" t="n">
        <v>12</v>
      </c>
      <c r="Q83" s="18" t="n">
        <v>2</v>
      </c>
      <c r="R83" s="16" t="n">
        <v>84.75</v>
      </c>
      <c r="S83" s="14" t="inlineStr">
        <is>
          <t>NAVEL TEMPRANA</t>
        </is>
      </c>
      <c r="T83" s="14" t="inlineStr">
        <is>
          <t>INDUSTRIA</t>
        </is>
      </c>
      <c r="U83" s="19">
        <f>IFERROR(166.386*I83/F83,0)</f>
        <v/>
      </c>
      <c r="V83" s="19">
        <f>IFERROR(166.386*M83/F83,0)</f>
        <v/>
      </c>
      <c r="W83" s="19">
        <f>IFERROR(166.386*L83/F83,0)</f>
        <v/>
      </c>
    </row>
    <row r="84">
      <c r="A84" s="14" t="n">
        <v>2325</v>
      </c>
      <c r="B84" s="14" t="inlineStr">
        <is>
          <t>NAVEL TEMPRANA</t>
        </is>
      </c>
      <c r="C84" s="15" t="n">
        <v>1099</v>
      </c>
      <c r="D84" s="14" t="inlineStr">
        <is>
          <t>CUEVAS MORGADO,RAFAEL</t>
        </is>
      </c>
      <c r="E84" s="14" t="inlineStr">
        <is>
          <t>NAVELINA</t>
        </is>
      </c>
      <c r="F84" s="15" t="n">
        <v>1224</v>
      </c>
      <c r="G84" s="16" t="n">
        <v>379.44</v>
      </c>
      <c r="H84" s="17" t="n">
        <v>0.31</v>
      </c>
      <c r="I84" s="16" t="n">
        <v>0</v>
      </c>
      <c r="J84" s="16" t="n">
        <v>17.83</v>
      </c>
      <c r="K84" s="16" t="n">
        <v>0</v>
      </c>
      <c r="L84" s="16" t="n">
        <v>-13.59</v>
      </c>
      <c r="M84" s="16" t="n">
        <v>0</v>
      </c>
      <c r="N84" s="16" t="n">
        <v>348.02</v>
      </c>
      <c r="O84" s="17" t="n">
        <v>0.31208</v>
      </c>
      <c r="P84" s="18" t="n">
        <v>12</v>
      </c>
      <c r="Q84" s="18" t="n">
        <v>2</v>
      </c>
      <c r="R84" s="16" t="n">
        <v>381.99</v>
      </c>
      <c r="S84" s="14" t="inlineStr">
        <is>
          <t>NAVEL TEMPRANA</t>
        </is>
      </c>
      <c r="T84" s="14" t="inlineStr">
        <is>
          <t>INDUSTRIA</t>
        </is>
      </c>
      <c r="U84" s="19">
        <f>IFERROR(166.386*I84/F84,0)</f>
        <v/>
      </c>
      <c r="V84" s="19">
        <f>IFERROR(166.386*M84/F84,0)</f>
        <v/>
      </c>
      <c r="W84" s="19">
        <f>IFERROR(166.386*L84/F84,0)</f>
        <v/>
      </c>
    </row>
    <row r="85">
      <c r="A85" s="14" t="n">
        <v>2325</v>
      </c>
      <c r="B85" s="14" t="inlineStr">
        <is>
          <t>NAVEL TEMPRANA</t>
        </is>
      </c>
      <c r="C85" s="15" t="n">
        <v>1103</v>
      </c>
      <c r="D85" s="14" t="inlineStr">
        <is>
          <t>MARTIN RUIZ,JOSE</t>
        </is>
      </c>
      <c r="E85" s="14" t="inlineStr">
        <is>
          <t>NAVELINA</t>
        </is>
      </c>
      <c r="F85" s="15" t="n">
        <v>402</v>
      </c>
      <c r="G85" s="16" t="n">
        <v>124.62</v>
      </c>
      <c r="H85" s="17" t="n">
        <v>0.31</v>
      </c>
      <c r="I85" s="16" t="n">
        <v>24.92</v>
      </c>
      <c r="J85" s="16" t="n">
        <v>3.75</v>
      </c>
      <c r="K85" s="16" t="n">
        <v>0</v>
      </c>
      <c r="L85" s="16" t="n">
        <v>-4.46</v>
      </c>
      <c r="M85" s="16" t="n">
        <v>0</v>
      </c>
      <c r="N85" s="16" t="n">
        <v>91.48999999999999</v>
      </c>
      <c r="O85" s="17" t="n">
        <v>0.2498</v>
      </c>
      <c r="P85" s="18" t="n">
        <v>12</v>
      </c>
      <c r="Q85" s="18" t="n">
        <v>2</v>
      </c>
      <c r="R85" s="16" t="n">
        <v>100.42</v>
      </c>
      <c r="S85" s="14" t="inlineStr">
        <is>
          <t>NAVEL TEMPRANA</t>
        </is>
      </c>
      <c r="T85" s="14" t="inlineStr">
        <is>
          <t>INDUSTRIA</t>
        </is>
      </c>
      <c r="U85" s="19">
        <f>IFERROR(166.386*I85/F85,0)</f>
        <v/>
      </c>
      <c r="V85" s="19">
        <f>IFERROR(166.386*M85/F85,0)</f>
        <v/>
      </c>
      <c r="W85" s="19">
        <f>IFERROR(166.386*L85/F85,0)</f>
        <v/>
      </c>
    </row>
    <row r="86">
      <c r="A86" s="14" t="n">
        <v>2325</v>
      </c>
      <c r="B86" s="14" t="inlineStr">
        <is>
          <t>NAVEL TEMPRANA</t>
        </is>
      </c>
      <c r="C86" s="15" t="n">
        <v>1111</v>
      </c>
      <c r="D86" s="14" t="inlineStr">
        <is>
          <t>LACAL GUIL,MERCEDES</t>
        </is>
      </c>
      <c r="E86" s="14" t="inlineStr">
        <is>
          <t>WASHINGTON</t>
        </is>
      </c>
      <c r="F86" s="15" t="n">
        <v>8880</v>
      </c>
      <c r="G86" s="16" t="n">
        <v>2752.8</v>
      </c>
      <c r="H86" s="17" t="n">
        <v>0.31</v>
      </c>
      <c r="I86" s="16" t="n">
        <v>555</v>
      </c>
      <c r="J86" s="16" t="n">
        <v>72.73999999999999</v>
      </c>
      <c r="K86" s="16" t="n">
        <v>0</v>
      </c>
      <c r="L86" s="16" t="n">
        <v>0</v>
      </c>
      <c r="M86" s="16" t="n">
        <v>0</v>
      </c>
      <c r="N86" s="16" t="n">
        <v>2125.06</v>
      </c>
      <c r="O86" s="17" t="n">
        <v>0.26267</v>
      </c>
      <c r="P86" s="18" t="n">
        <v>12</v>
      </c>
      <c r="Q86" s="18" t="n">
        <v>2</v>
      </c>
      <c r="R86" s="16" t="n">
        <v>2332.47</v>
      </c>
      <c r="S86" s="14" t="inlineStr">
        <is>
          <t>NAVEL TEMPRANA</t>
        </is>
      </c>
      <c r="T86" s="14" t="inlineStr">
        <is>
          <t>INDUSTRIA</t>
        </is>
      </c>
      <c r="U86" s="19">
        <f>IFERROR(166.386*I86/F86,0)</f>
        <v/>
      </c>
      <c r="V86" s="19">
        <f>IFERROR(166.386*M86/F86,0)</f>
        <v/>
      </c>
      <c r="W86" s="19">
        <f>IFERROR(166.386*L86/F86,0)</f>
        <v/>
      </c>
    </row>
    <row r="87">
      <c r="A87" s="14" t="n">
        <v>2325</v>
      </c>
      <c r="B87" s="14" t="inlineStr">
        <is>
          <t>NAVEL TEMPRANA</t>
        </is>
      </c>
      <c r="C87" s="15" t="n">
        <v>1129</v>
      </c>
      <c r="D87" s="14" t="inlineStr">
        <is>
          <t>MIÑANA JARDON,JOSE MANUEL</t>
        </is>
      </c>
      <c r="E87" s="14" t="inlineStr">
        <is>
          <t>WASHINGTON</t>
        </is>
      </c>
      <c r="F87" s="15" t="n">
        <v>3902</v>
      </c>
      <c r="G87" s="16" t="n">
        <v>1209.62</v>
      </c>
      <c r="H87" s="17" t="n">
        <v>0.31</v>
      </c>
      <c r="I87" s="16" t="n">
        <v>258.57</v>
      </c>
      <c r="J87" s="16" t="n">
        <v>42.01</v>
      </c>
      <c r="K87" s="16" t="n">
        <v>0</v>
      </c>
      <c r="L87" s="16" t="n">
        <v>-26.14</v>
      </c>
      <c r="M87" s="16" t="n">
        <v>0</v>
      </c>
      <c r="N87" s="16" t="n">
        <v>882.9</v>
      </c>
      <c r="O87" s="17" t="n">
        <v>0.24835</v>
      </c>
      <c r="P87" s="18" t="n">
        <v>12</v>
      </c>
      <c r="Q87" s="18" t="n">
        <v>2</v>
      </c>
      <c r="R87" s="16" t="n">
        <v>969.0700000000001</v>
      </c>
      <c r="S87" s="14" t="inlineStr">
        <is>
          <t>NAVEL TEMPRANA</t>
        </is>
      </c>
      <c r="T87" s="14" t="inlineStr">
        <is>
          <t>INDUSTRIA</t>
        </is>
      </c>
      <c r="U87" s="19">
        <f>IFERROR(166.386*I87/F87,0)</f>
        <v/>
      </c>
      <c r="V87" s="19">
        <f>IFERROR(166.386*M87/F87,0)</f>
        <v/>
      </c>
      <c r="W87" s="19">
        <f>IFERROR(166.386*L87/F87,0)</f>
        <v/>
      </c>
    </row>
    <row r="88">
      <c r="A88" s="14" t="n">
        <v>2325</v>
      </c>
      <c r="B88" s="14" t="inlineStr">
        <is>
          <t>NAVEL TEMPRANA</t>
        </is>
      </c>
      <c r="C88" s="15" t="n">
        <v>1184</v>
      </c>
      <c r="D88" s="14" t="inlineStr">
        <is>
          <t>CLUB DE CAMPO LAS LAGUNAS</t>
        </is>
      </c>
      <c r="E88" s="14" t="inlineStr">
        <is>
          <t>NEWHALL</t>
        </is>
      </c>
      <c r="F88" s="15" t="n">
        <v>7593</v>
      </c>
      <c r="G88" s="16" t="n">
        <v>2353.83</v>
      </c>
      <c r="H88" s="17" t="n">
        <v>0.31</v>
      </c>
      <c r="I88" s="16" t="n">
        <v>484.31</v>
      </c>
      <c r="J88" s="16" t="n">
        <v>69.29000000000001</v>
      </c>
      <c r="K88" s="16" t="n">
        <v>0</v>
      </c>
      <c r="L88" s="16" t="n">
        <v>-84.28</v>
      </c>
      <c r="M88" s="16" t="n">
        <v>0</v>
      </c>
      <c r="N88" s="16" t="n">
        <v>1715.95</v>
      </c>
      <c r="O88" s="17" t="n">
        <v>0.23503</v>
      </c>
      <c r="P88" s="18" t="n">
        <v>4</v>
      </c>
      <c r="Q88" s="18" t="n">
        <v>0</v>
      </c>
      <c r="R88" s="16" t="n">
        <v>1784.59</v>
      </c>
      <c r="S88" s="14" t="inlineStr">
        <is>
          <t>NAVEL TEMPRANA</t>
        </is>
      </c>
      <c r="T88" s="14" t="inlineStr">
        <is>
          <t>INDUSTRIA</t>
        </is>
      </c>
      <c r="U88" s="19">
        <f>IFERROR(166.386*I88/F88,0)</f>
        <v/>
      </c>
      <c r="V88" s="19">
        <f>IFERROR(166.386*M88/F88,0)</f>
        <v/>
      </c>
      <c r="W88" s="19">
        <f>IFERROR(166.386*L88/F88,0)</f>
        <v/>
      </c>
    </row>
    <row r="89">
      <c r="A89" s="14" t="n">
        <v>2325</v>
      </c>
      <c r="B89" s="14" t="inlineStr">
        <is>
          <t>NAVEL TEMPRANA</t>
        </is>
      </c>
      <c r="C89" s="15" t="n">
        <v>1197</v>
      </c>
      <c r="D89" s="14" t="inlineStr">
        <is>
          <t>MUNZON FERNANDEZ,ANTONIO</t>
        </is>
      </c>
      <c r="E89" s="14" t="inlineStr">
        <is>
          <t>NAVELINA</t>
        </is>
      </c>
      <c r="F89" s="15" t="n">
        <v>1385</v>
      </c>
      <c r="G89" s="16" t="n">
        <v>429.35</v>
      </c>
      <c r="H89" s="17" t="n">
        <v>0.31</v>
      </c>
      <c r="I89" s="16" t="n">
        <v>86.56</v>
      </c>
      <c r="J89" s="16" t="n">
        <v>12.66</v>
      </c>
      <c r="K89" s="16" t="n">
        <v>0</v>
      </c>
      <c r="L89" s="16" t="n">
        <v>0</v>
      </c>
      <c r="M89" s="16" t="n">
        <v>0</v>
      </c>
      <c r="N89" s="16" t="n">
        <v>330.13</v>
      </c>
      <c r="O89" s="17" t="n">
        <v>0.26162</v>
      </c>
      <c r="P89" s="18" t="n">
        <v>12</v>
      </c>
      <c r="Q89" s="18" t="n">
        <v>2</v>
      </c>
      <c r="R89" s="16" t="n">
        <v>362.35</v>
      </c>
      <c r="S89" s="14" t="inlineStr">
        <is>
          <t>NAVEL TEMPRANA</t>
        </is>
      </c>
      <c r="T89" s="14" t="inlineStr">
        <is>
          <t>INDUSTRIA</t>
        </is>
      </c>
      <c r="U89" s="19">
        <f>IFERROR(166.386*I89/F89,0)</f>
        <v/>
      </c>
      <c r="V89" s="19">
        <f>IFERROR(166.386*M89/F89,0)</f>
        <v/>
      </c>
      <c r="W89" s="19">
        <f>IFERROR(166.386*L89/F89,0)</f>
        <v/>
      </c>
    </row>
    <row r="90">
      <c r="A90" s="14" t="n">
        <v>2325</v>
      </c>
      <c r="B90" s="14" t="inlineStr">
        <is>
          <t>NAVEL TEMPRANA</t>
        </is>
      </c>
      <c r="C90" s="15" t="n">
        <v>1197</v>
      </c>
      <c r="D90" s="14" t="inlineStr">
        <is>
          <t>MUNZON FERNANDEZ,ANTONIO</t>
        </is>
      </c>
      <c r="E90" s="14" t="inlineStr">
        <is>
          <t>NEWHALL</t>
        </is>
      </c>
      <c r="F90" s="15" t="n">
        <v>6418</v>
      </c>
      <c r="G90" s="16" t="n">
        <v>1989.58</v>
      </c>
      <c r="H90" s="17" t="n">
        <v>0.31</v>
      </c>
      <c r="I90" s="16" t="n">
        <v>401.13</v>
      </c>
      <c r="J90" s="16" t="n">
        <v>58.68</v>
      </c>
      <c r="K90" s="16" t="n">
        <v>0</v>
      </c>
      <c r="L90" s="16" t="n">
        <v>0</v>
      </c>
      <c r="M90" s="16" t="n">
        <v>0</v>
      </c>
      <c r="N90" s="16" t="n">
        <v>1529.77</v>
      </c>
      <c r="O90" s="17" t="n">
        <v>0.26162</v>
      </c>
      <c r="P90" s="18" t="n">
        <v>12</v>
      </c>
      <c r="Q90" s="18" t="n">
        <v>2</v>
      </c>
      <c r="R90" s="16" t="n">
        <v>1679.08</v>
      </c>
      <c r="S90" s="14" t="inlineStr">
        <is>
          <t>NAVEL TEMPRANA</t>
        </is>
      </c>
      <c r="T90" s="14" t="inlineStr">
        <is>
          <t>INDUSTRIA</t>
        </is>
      </c>
      <c r="U90" s="19">
        <f>IFERROR(166.386*I90/F90,0)</f>
        <v/>
      </c>
      <c r="V90" s="19">
        <f>IFERROR(166.386*M90/F90,0)</f>
        <v/>
      </c>
      <c r="W90" s="19">
        <f>IFERROR(166.386*L90/F90,0)</f>
        <v/>
      </c>
    </row>
    <row r="91">
      <c r="A91" s="14" t="n">
        <v>2325</v>
      </c>
      <c r="B91" s="14" t="inlineStr">
        <is>
          <t>NAVEL TEMPRANA</t>
        </is>
      </c>
      <c r="C91" s="15" t="n">
        <v>1272</v>
      </c>
      <c r="D91" s="14" t="inlineStr">
        <is>
          <t>HERMANOS GONZALEZ ROLDAN,S.C.</t>
        </is>
      </c>
      <c r="E91" s="14" t="inlineStr">
        <is>
          <t>NEWHALL</t>
        </is>
      </c>
      <c r="F91" s="15" t="n">
        <v>703</v>
      </c>
      <c r="G91" s="16" t="n">
        <v>217.93</v>
      </c>
      <c r="H91" s="17" t="n">
        <v>0.31</v>
      </c>
      <c r="I91" s="16" t="n">
        <v>43.94</v>
      </c>
      <c r="J91" s="16" t="n">
        <v>12.92</v>
      </c>
      <c r="K91" s="16" t="n">
        <v>0</v>
      </c>
      <c r="L91" s="16" t="n">
        <v>-7.8</v>
      </c>
      <c r="M91" s="16" t="n">
        <v>0</v>
      </c>
      <c r="N91" s="16" t="n">
        <v>153.27</v>
      </c>
      <c r="O91" s="17" t="n">
        <v>0.2393</v>
      </c>
      <c r="P91" s="18" t="n">
        <v>12</v>
      </c>
      <c r="Q91" s="18" t="n">
        <v>2</v>
      </c>
      <c r="R91" s="16" t="n">
        <v>168.23</v>
      </c>
      <c r="S91" s="14" t="inlineStr">
        <is>
          <t>NAVEL TEMPRANA</t>
        </is>
      </c>
      <c r="T91" s="14" t="inlineStr">
        <is>
          <t>INDUSTRIA</t>
        </is>
      </c>
      <c r="U91" s="19">
        <f>IFERROR(166.386*I91/F91,0)</f>
        <v/>
      </c>
      <c r="V91" s="19">
        <f>IFERROR(166.386*M91/F91,0)</f>
        <v/>
      </c>
      <c r="W91" s="19">
        <f>IFERROR(166.386*L91/F91,0)</f>
        <v/>
      </c>
    </row>
    <row r="92">
      <c r="A92" s="14" t="n">
        <v>2325</v>
      </c>
      <c r="B92" s="14" t="inlineStr">
        <is>
          <t>NAVEL TEMPRANA</t>
        </is>
      </c>
      <c r="C92" s="15" t="n">
        <v>1278</v>
      </c>
      <c r="D92" s="14" t="inlineStr">
        <is>
          <t>CALDERO PATO,ANGELES</t>
        </is>
      </c>
      <c r="E92" s="14" t="inlineStr">
        <is>
          <t>NAVELINA</t>
        </is>
      </c>
      <c r="F92" s="15" t="n">
        <v>225</v>
      </c>
      <c r="G92" s="16" t="n">
        <v>69.75</v>
      </c>
      <c r="H92" s="17" t="n">
        <v>0.31</v>
      </c>
      <c r="I92" s="16" t="n">
        <v>14.06</v>
      </c>
      <c r="J92" s="16" t="n">
        <v>2.37</v>
      </c>
      <c r="K92" s="16" t="n">
        <v>0</v>
      </c>
      <c r="L92" s="16" t="n">
        <v>-2.5</v>
      </c>
      <c r="M92" s="16" t="n">
        <v>0</v>
      </c>
      <c r="N92" s="16" t="n">
        <v>50.82</v>
      </c>
      <c r="O92" s="17" t="n">
        <v>0.24791</v>
      </c>
      <c r="P92" s="18" t="n">
        <v>12</v>
      </c>
      <c r="Q92" s="18" t="n">
        <v>2</v>
      </c>
      <c r="R92" s="16" t="n">
        <v>55.78</v>
      </c>
      <c r="S92" s="14" t="inlineStr">
        <is>
          <t>NAVEL TEMPRANA</t>
        </is>
      </c>
      <c r="T92" s="14" t="inlineStr">
        <is>
          <t>INDUSTRIA</t>
        </is>
      </c>
      <c r="U92" s="19">
        <f>IFERROR(166.386*I92/F92,0)</f>
        <v/>
      </c>
      <c r="V92" s="19">
        <f>IFERROR(166.386*M92/F92,0)</f>
        <v/>
      </c>
      <c r="W92" s="19">
        <f>IFERROR(166.386*L92/F92,0)</f>
        <v/>
      </c>
    </row>
    <row r="93">
      <c r="A93" s="14" t="n">
        <v>2325</v>
      </c>
      <c r="B93" s="14" t="inlineStr">
        <is>
          <t>NAVEL TEMPRANA</t>
        </is>
      </c>
      <c r="C93" s="15" t="n">
        <v>1301</v>
      </c>
      <c r="D93" s="14" t="inlineStr">
        <is>
          <t>BEREÑO REY,ENCARNACION</t>
        </is>
      </c>
      <c r="E93" s="14" t="inlineStr">
        <is>
          <t>NAVELINA</t>
        </is>
      </c>
      <c r="F93" s="15" t="n">
        <v>201</v>
      </c>
      <c r="G93" s="16" t="n">
        <v>62.31</v>
      </c>
      <c r="H93" s="17" t="n">
        <v>0.31</v>
      </c>
      <c r="I93" s="16" t="n">
        <v>12.56</v>
      </c>
      <c r="J93" s="16" t="n">
        <v>1.85</v>
      </c>
      <c r="K93" s="16" t="n">
        <v>0</v>
      </c>
      <c r="L93" s="16" t="n">
        <v>-2.23</v>
      </c>
      <c r="M93" s="16" t="n">
        <v>0</v>
      </c>
      <c r="N93" s="16" t="n">
        <v>45.67</v>
      </c>
      <c r="O93" s="17" t="n">
        <v>0.2494</v>
      </c>
      <c r="P93" s="18" t="n">
        <v>12</v>
      </c>
      <c r="Q93" s="18" t="n">
        <v>2</v>
      </c>
      <c r="R93" s="16" t="n">
        <v>50.13</v>
      </c>
      <c r="S93" s="14" t="inlineStr">
        <is>
          <t>NAVEL TEMPRANA</t>
        </is>
      </c>
      <c r="T93" s="14" t="inlineStr">
        <is>
          <t>INDUSTRIA</t>
        </is>
      </c>
      <c r="U93" s="19">
        <f>IFERROR(166.386*I93/F93,0)</f>
        <v/>
      </c>
      <c r="V93" s="19">
        <f>IFERROR(166.386*M93/F93,0)</f>
        <v/>
      </c>
      <c r="W93" s="19">
        <f>IFERROR(166.386*L93/F93,0)</f>
        <v/>
      </c>
    </row>
    <row r="94">
      <c r="A94" s="14" t="n">
        <v>2325</v>
      </c>
      <c r="B94" s="14" t="inlineStr">
        <is>
          <t>NAVEL TEMPRANA</t>
        </is>
      </c>
      <c r="C94" s="15" t="n">
        <v>1316</v>
      </c>
      <c r="D94" s="14" t="inlineStr">
        <is>
          <t>JIMENA GARCIA,JUAN MANUEL</t>
        </is>
      </c>
      <c r="E94" s="14" t="inlineStr">
        <is>
          <t>WASHINGTON</t>
        </is>
      </c>
      <c r="F94" s="15" t="n">
        <v>1156</v>
      </c>
      <c r="G94" s="16" t="n">
        <v>358.36</v>
      </c>
      <c r="H94" s="17" t="n">
        <v>0.31</v>
      </c>
      <c r="I94" s="16" t="n">
        <v>72</v>
      </c>
      <c r="J94" s="16" t="n">
        <v>7.77</v>
      </c>
      <c r="K94" s="16" t="n">
        <v>0</v>
      </c>
      <c r="L94" s="16" t="n">
        <v>-12.83</v>
      </c>
      <c r="M94" s="16" t="n">
        <v>0</v>
      </c>
      <c r="N94" s="16" t="n">
        <v>265.76</v>
      </c>
      <c r="O94" s="17" t="n">
        <v>0.25234</v>
      </c>
      <c r="P94" s="18" t="n">
        <v>12</v>
      </c>
      <c r="Q94" s="18" t="n">
        <v>2</v>
      </c>
      <c r="R94" s="16" t="n">
        <v>291.7</v>
      </c>
      <c r="S94" s="14" t="inlineStr">
        <is>
          <t>NAVEL TEMPRANA</t>
        </is>
      </c>
      <c r="T94" s="14" t="inlineStr">
        <is>
          <t>INDUSTRIA</t>
        </is>
      </c>
      <c r="U94" s="19">
        <f>IFERROR(166.386*I94/F94,0)</f>
        <v/>
      </c>
      <c r="V94" s="19">
        <f>IFERROR(166.386*M94/F94,0)</f>
        <v/>
      </c>
      <c r="W94" s="19">
        <f>IFERROR(166.386*L94/F94,0)</f>
        <v/>
      </c>
    </row>
    <row r="95">
      <c r="A95" s="14" t="n">
        <v>2325</v>
      </c>
      <c r="B95" s="14" t="inlineStr">
        <is>
          <t>NAVEL TEMPRANA</t>
        </is>
      </c>
      <c r="C95" s="15" t="n">
        <v>1350</v>
      </c>
      <c r="D95" s="14" t="inlineStr">
        <is>
          <t>FAMILIA GONZALEZ LACAL S.C.</t>
        </is>
      </c>
      <c r="E95" s="14" t="inlineStr">
        <is>
          <t>NEWHALL</t>
        </is>
      </c>
      <c r="F95" s="15" t="n">
        <v>5200</v>
      </c>
      <c r="G95" s="16" t="n">
        <v>1612</v>
      </c>
      <c r="H95" s="17" t="n">
        <v>0.31</v>
      </c>
      <c r="I95" s="16" t="n">
        <v>325</v>
      </c>
      <c r="J95" s="16" t="n">
        <v>72.63</v>
      </c>
      <c r="K95" s="16" t="n">
        <v>0</v>
      </c>
      <c r="L95" s="16" t="n">
        <v>0</v>
      </c>
      <c r="M95" s="16" t="n">
        <v>0</v>
      </c>
      <c r="N95" s="16" t="n">
        <v>1214.37</v>
      </c>
      <c r="O95" s="17" t="n">
        <v>0.25633</v>
      </c>
      <c r="P95" s="18" t="n">
        <v>12</v>
      </c>
      <c r="Q95" s="18" t="n">
        <v>2</v>
      </c>
      <c r="R95" s="16" t="n">
        <v>1332.89</v>
      </c>
      <c r="S95" s="14" t="inlineStr">
        <is>
          <t>NAVEL TEMPRANA</t>
        </is>
      </c>
      <c r="T95" s="14" t="inlineStr">
        <is>
          <t>INDUSTRIA</t>
        </is>
      </c>
      <c r="U95" s="19">
        <f>IFERROR(166.386*I95/F95,0)</f>
        <v/>
      </c>
      <c r="V95" s="19">
        <f>IFERROR(166.386*M95/F95,0)</f>
        <v/>
      </c>
      <c r="W95" s="19">
        <f>IFERROR(166.386*L95/F95,0)</f>
        <v/>
      </c>
    </row>
    <row r="96">
      <c r="A96" s="14" t="n">
        <v>2325</v>
      </c>
      <c r="B96" s="14" t="inlineStr">
        <is>
          <t>NAVEL TEMPRANA</t>
        </is>
      </c>
      <c r="C96" s="15" t="n">
        <v>1395</v>
      </c>
      <c r="D96" s="14" t="inlineStr">
        <is>
          <t>AGRICOLA HERMANOS BUIZA S.C.</t>
        </is>
      </c>
      <c r="E96" s="14" t="inlineStr">
        <is>
          <t>NAVELINA</t>
        </is>
      </c>
      <c r="F96" s="15" t="n">
        <v>325</v>
      </c>
      <c r="G96" s="16" t="n">
        <v>100.75</v>
      </c>
      <c r="H96" s="17" t="n">
        <v>0.31</v>
      </c>
      <c r="I96" s="16" t="n">
        <v>0</v>
      </c>
      <c r="J96" s="16" t="n">
        <v>1.23</v>
      </c>
      <c r="K96" s="16" t="n">
        <v>0</v>
      </c>
      <c r="L96" s="16" t="n">
        <v>0</v>
      </c>
      <c r="M96" s="16" t="n">
        <v>0</v>
      </c>
      <c r="N96" s="16" t="n">
        <v>99.52</v>
      </c>
      <c r="O96" s="17" t="n">
        <v>0.33609</v>
      </c>
      <c r="P96" s="18" t="n">
        <v>12</v>
      </c>
      <c r="Q96" s="18" t="n">
        <v>2</v>
      </c>
      <c r="R96" s="16" t="n">
        <v>109.23</v>
      </c>
      <c r="S96" s="14" t="inlineStr">
        <is>
          <t>NAVEL TEMPRANA</t>
        </is>
      </c>
      <c r="T96" s="14" t="inlineStr">
        <is>
          <t>INDUSTRIA</t>
        </is>
      </c>
      <c r="U96" s="19">
        <f>IFERROR(166.386*I96/F96,0)</f>
        <v/>
      </c>
      <c r="V96" s="19">
        <f>IFERROR(166.386*M96/F96,0)</f>
        <v/>
      </c>
      <c r="W96" s="19">
        <f>IFERROR(166.386*L96/F96,0)</f>
        <v/>
      </c>
    </row>
    <row r="97">
      <c r="A97" s="14" t="n">
        <v>2325</v>
      </c>
      <c r="B97" s="14" t="inlineStr">
        <is>
          <t>NAVEL TEMPRANA</t>
        </is>
      </c>
      <c r="C97" s="15" t="n">
        <v>1411</v>
      </c>
      <c r="D97" s="14" t="inlineStr">
        <is>
          <t>HERMANOS PEÑA GRIÑAN S.C.</t>
        </is>
      </c>
      <c r="E97" s="14" t="inlineStr">
        <is>
          <t>NAVELINA</t>
        </is>
      </c>
      <c r="F97" s="15" t="n">
        <v>61543</v>
      </c>
      <c r="G97" s="16" t="n">
        <v>19078.33</v>
      </c>
      <c r="H97" s="17" t="n">
        <v>0.31</v>
      </c>
      <c r="I97" s="16" t="n">
        <v>3843.81</v>
      </c>
      <c r="J97" s="16" t="n">
        <v>510.91</v>
      </c>
      <c r="K97" s="16" t="n">
        <v>0</v>
      </c>
      <c r="L97" s="16" t="n">
        <v>-683.13</v>
      </c>
      <c r="M97" s="16" t="n">
        <v>0</v>
      </c>
      <c r="N97" s="16" t="n">
        <v>14040.48</v>
      </c>
      <c r="O97" s="17" t="n">
        <v>0.25041</v>
      </c>
      <c r="P97" s="18" t="n">
        <v>12</v>
      </c>
      <c r="Q97" s="18" t="n">
        <v>2</v>
      </c>
      <c r="R97" s="16" t="n">
        <v>15410.83</v>
      </c>
      <c r="S97" s="14" t="inlineStr">
        <is>
          <t>NAVEL TEMPRANA</t>
        </is>
      </c>
      <c r="T97" s="14" t="inlineStr">
        <is>
          <t>INDUSTRIA</t>
        </is>
      </c>
      <c r="U97" s="19">
        <f>IFERROR(166.386*I97/F97,0)</f>
        <v/>
      </c>
      <c r="V97" s="19">
        <f>IFERROR(166.386*M97/F97,0)</f>
        <v/>
      </c>
      <c r="W97" s="19">
        <f>IFERROR(166.386*L97/F97,0)</f>
        <v/>
      </c>
    </row>
    <row r="98">
      <c r="A98" s="14" t="n">
        <v>2325</v>
      </c>
      <c r="B98" s="14" t="inlineStr">
        <is>
          <t>NAVEL TEMPRANA</t>
        </is>
      </c>
      <c r="C98" s="15" t="n">
        <v>1411</v>
      </c>
      <c r="D98" s="14" t="inlineStr">
        <is>
          <t>HERMANOS PEÑA GRIÑAN S.C.</t>
        </is>
      </c>
      <c r="E98" s="14" t="inlineStr">
        <is>
          <t>WASHINGTON</t>
        </is>
      </c>
      <c r="F98" s="15" t="n">
        <v>5410</v>
      </c>
      <c r="G98" s="16" t="n">
        <v>1677.1</v>
      </c>
      <c r="H98" s="17" t="n">
        <v>0.31</v>
      </c>
      <c r="I98" s="16" t="n">
        <v>338.13</v>
      </c>
      <c r="J98" s="16" t="n">
        <v>44.91</v>
      </c>
      <c r="K98" s="16" t="n">
        <v>0</v>
      </c>
      <c r="L98" s="16" t="n">
        <v>-60.05</v>
      </c>
      <c r="M98" s="16" t="n">
        <v>0</v>
      </c>
      <c r="N98" s="16" t="n">
        <v>1234.01</v>
      </c>
      <c r="O98" s="17" t="n">
        <v>0.25036</v>
      </c>
      <c r="P98" s="18" t="n">
        <v>12</v>
      </c>
      <c r="Q98" s="18" t="n">
        <v>2</v>
      </c>
      <c r="R98" s="16" t="n">
        <v>1354.45</v>
      </c>
      <c r="S98" s="14" t="inlineStr">
        <is>
          <t>NAVEL TEMPRANA</t>
        </is>
      </c>
      <c r="T98" s="14" t="inlineStr">
        <is>
          <t>INDUSTRIA</t>
        </is>
      </c>
      <c r="U98" s="19">
        <f>IFERROR(166.386*I98/F98,0)</f>
        <v/>
      </c>
      <c r="V98" s="19">
        <f>IFERROR(166.386*M98/F98,0)</f>
        <v/>
      </c>
      <c r="W98" s="19">
        <f>IFERROR(166.386*L98/F98,0)</f>
        <v/>
      </c>
    </row>
    <row r="99">
      <c r="A99" s="14" t="n">
        <v>2325</v>
      </c>
      <c r="B99" s="14" t="inlineStr">
        <is>
          <t>NAVEL TEMPRANA</t>
        </is>
      </c>
      <c r="C99" s="15" t="n">
        <v>1429</v>
      </c>
      <c r="D99" s="14" t="inlineStr">
        <is>
          <t>MARTINEZ LOPEZ DE ROZAS,JUAN</t>
        </is>
      </c>
      <c r="E99" s="14" t="inlineStr">
        <is>
          <t>NAVELATE</t>
        </is>
      </c>
      <c r="F99" s="15" t="n">
        <v>301</v>
      </c>
      <c r="G99" s="16" t="n">
        <v>93.31</v>
      </c>
      <c r="H99" s="17" t="n">
        <v>0.31</v>
      </c>
      <c r="I99" s="16" t="n">
        <v>18.81</v>
      </c>
      <c r="J99" s="16" t="n">
        <v>2.98</v>
      </c>
      <c r="K99" s="16" t="n">
        <v>0</v>
      </c>
      <c r="L99" s="16" t="n">
        <v>-3.34</v>
      </c>
      <c r="M99" s="16" t="n">
        <v>0</v>
      </c>
      <c r="N99" s="16" t="n">
        <v>68.18000000000001</v>
      </c>
      <c r="O99" s="17" t="n">
        <v>0.2486</v>
      </c>
      <c r="P99" s="18" t="n">
        <v>12</v>
      </c>
      <c r="Q99" s="18" t="n">
        <v>2</v>
      </c>
      <c r="R99" s="16" t="n">
        <v>74.83</v>
      </c>
      <c r="S99" s="14" t="inlineStr">
        <is>
          <t>NAVEL TEMPRANA</t>
        </is>
      </c>
      <c r="T99" s="14" t="inlineStr">
        <is>
          <t>INDUSTRIA</t>
        </is>
      </c>
      <c r="U99" s="19">
        <f>IFERROR(166.386*I99/F99,0)</f>
        <v/>
      </c>
      <c r="V99" s="19">
        <f>IFERROR(166.386*M99/F99,0)</f>
        <v/>
      </c>
      <c r="W99" s="19">
        <f>IFERROR(166.386*L99/F99,0)</f>
        <v/>
      </c>
    </row>
    <row r="100">
      <c r="A100" s="14" t="n">
        <v>2325</v>
      </c>
      <c r="B100" s="14" t="inlineStr">
        <is>
          <t>NAVEL TEMPRANA</t>
        </is>
      </c>
      <c r="C100" s="15" t="n">
        <v>1441</v>
      </c>
      <c r="D100" s="14" t="inlineStr">
        <is>
          <t>AGUILAR GAGO,MANUEL</t>
        </is>
      </c>
      <c r="E100" s="14" t="inlineStr">
        <is>
          <t>NAVELINA</t>
        </is>
      </c>
      <c r="F100" s="15" t="n">
        <v>4420</v>
      </c>
      <c r="G100" s="16" t="n">
        <v>1370.2</v>
      </c>
      <c r="H100" s="17" t="n">
        <v>0.31</v>
      </c>
      <c r="I100" s="16" t="n">
        <v>276.25</v>
      </c>
      <c r="J100" s="16" t="n">
        <v>84.63</v>
      </c>
      <c r="K100" s="16" t="n">
        <v>0</v>
      </c>
      <c r="L100" s="16" t="n">
        <v>-49.06</v>
      </c>
      <c r="M100" s="16" t="n">
        <v>0</v>
      </c>
      <c r="N100" s="16" t="n">
        <v>960.26</v>
      </c>
      <c r="O100" s="17" t="n">
        <v>0.23846</v>
      </c>
      <c r="P100" s="18" t="n">
        <v>12</v>
      </c>
      <c r="Q100" s="18" t="n">
        <v>2</v>
      </c>
      <c r="R100" s="16" t="n">
        <v>1053.98</v>
      </c>
      <c r="S100" s="14" t="inlineStr">
        <is>
          <t>NAVEL TEMPRANA</t>
        </is>
      </c>
      <c r="T100" s="14" t="inlineStr">
        <is>
          <t>INDUSTRIA</t>
        </is>
      </c>
      <c r="U100" s="19">
        <f>IFERROR(166.386*I100/F100,0)</f>
        <v/>
      </c>
      <c r="V100" s="19">
        <f>IFERROR(166.386*M100/F100,0)</f>
        <v/>
      </c>
      <c r="W100" s="19">
        <f>IFERROR(166.386*L100/F100,0)</f>
        <v/>
      </c>
    </row>
    <row r="101">
      <c r="A101" s="14" t="n">
        <v>2325</v>
      </c>
      <c r="B101" s="14" t="inlineStr">
        <is>
          <t>NAVEL TEMPRANA</t>
        </is>
      </c>
      <c r="C101" s="15" t="n">
        <v>1443</v>
      </c>
      <c r="D101" s="14" t="inlineStr">
        <is>
          <t>TOMENO SUAREZ,ALBERTO</t>
        </is>
      </c>
      <c r="E101" s="14" t="inlineStr">
        <is>
          <t>NAVELINA</t>
        </is>
      </c>
      <c r="F101" s="15" t="n">
        <v>1500</v>
      </c>
      <c r="G101" s="16" t="n">
        <v>465</v>
      </c>
      <c r="H101" s="17" t="n">
        <v>0.31</v>
      </c>
      <c r="I101" s="16" t="n">
        <v>0</v>
      </c>
      <c r="J101" s="16" t="n">
        <v>9.279999999999999</v>
      </c>
      <c r="K101" s="16" t="n">
        <v>0</v>
      </c>
      <c r="L101" s="16" t="n">
        <v>-16.65</v>
      </c>
      <c r="M101" s="16" t="n">
        <v>0</v>
      </c>
      <c r="N101" s="16" t="n">
        <v>439.07</v>
      </c>
      <c r="O101" s="17" t="n">
        <v>0.32128</v>
      </c>
      <c r="P101" s="18" t="n">
        <v>12</v>
      </c>
      <c r="Q101" s="18" t="n">
        <v>2</v>
      </c>
      <c r="R101" s="16" t="n">
        <v>481.92</v>
      </c>
      <c r="S101" s="14" t="inlineStr">
        <is>
          <t>NAVEL TEMPRANA</t>
        </is>
      </c>
      <c r="T101" s="14" t="inlineStr">
        <is>
          <t>INDUSTRIA</t>
        </is>
      </c>
      <c r="U101" s="19">
        <f>IFERROR(166.386*I101/F101,0)</f>
        <v/>
      </c>
      <c r="V101" s="19">
        <f>IFERROR(166.386*M101/F101,0)</f>
        <v/>
      </c>
      <c r="W101" s="19">
        <f>IFERROR(166.386*L101/F101,0)</f>
        <v/>
      </c>
    </row>
    <row r="102">
      <c r="A102" s="14" t="n">
        <v>2325</v>
      </c>
      <c r="B102" s="14" t="inlineStr">
        <is>
          <t>NAVEL TEMPRANA</t>
        </is>
      </c>
      <c r="C102" s="15" t="n">
        <v>1445</v>
      </c>
      <c r="D102" s="14" t="inlineStr">
        <is>
          <t>REAL GARCIA,MIGUEL</t>
        </is>
      </c>
      <c r="E102" s="14" t="inlineStr">
        <is>
          <t>NAVELINA</t>
        </is>
      </c>
      <c r="F102" s="15" t="n">
        <v>9498</v>
      </c>
      <c r="G102" s="16" t="n">
        <v>2944.38</v>
      </c>
      <c r="H102" s="17" t="n">
        <v>0.31</v>
      </c>
      <c r="I102" s="16" t="n">
        <v>593.62</v>
      </c>
      <c r="J102" s="16" t="n">
        <v>87.69</v>
      </c>
      <c r="K102" s="16" t="n">
        <v>0</v>
      </c>
      <c r="L102" s="16" t="n">
        <v>-105.43</v>
      </c>
      <c r="M102" s="16" t="n">
        <v>0</v>
      </c>
      <c r="N102" s="16" t="n">
        <v>2157.64</v>
      </c>
      <c r="O102" s="17" t="n">
        <v>0.24934</v>
      </c>
      <c r="P102" s="18" t="n">
        <v>12</v>
      </c>
      <c r="Q102" s="18" t="n">
        <v>2</v>
      </c>
      <c r="R102" s="16" t="n">
        <v>2368.23</v>
      </c>
      <c r="S102" s="14" t="inlineStr">
        <is>
          <t>NAVEL TEMPRANA</t>
        </is>
      </c>
      <c r="T102" s="14" t="inlineStr">
        <is>
          <t>INDUSTRIA</t>
        </is>
      </c>
      <c r="U102" s="19">
        <f>IFERROR(166.386*I102/F102,0)</f>
        <v/>
      </c>
      <c r="V102" s="19">
        <f>IFERROR(166.386*M102/F102,0)</f>
        <v/>
      </c>
      <c r="W102" s="19">
        <f>IFERROR(166.386*L102/F102,0)</f>
        <v/>
      </c>
    </row>
    <row r="103">
      <c r="A103" s="14" t="n">
        <v>2325</v>
      </c>
      <c r="B103" s="14" t="inlineStr">
        <is>
          <t>NAVEL TEMPRANA</t>
        </is>
      </c>
      <c r="C103" s="15" t="n">
        <v>1470</v>
      </c>
      <c r="D103" s="14" t="inlineStr">
        <is>
          <t>NIETO RAMIREZ,CARLOS EDUARDO</t>
        </is>
      </c>
      <c r="E103" s="14" t="inlineStr">
        <is>
          <t>WASHINGTON</t>
        </is>
      </c>
      <c r="F103" s="15" t="n">
        <v>44820</v>
      </c>
      <c r="G103" s="16" t="n">
        <v>13894.2</v>
      </c>
      <c r="H103" s="17" t="n">
        <v>0.31</v>
      </c>
      <c r="I103" s="16" t="n">
        <v>2801.25</v>
      </c>
      <c r="J103" s="16" t="n">
        <v>332.05</v>
      </c>
      <c r="K103" s="16" t="n">
        <v>0</v>
      </c>
      <c r="L103" s="16" t="n">
        <v>-182.04</v>
      </c>
      <c r="M103" s="16" t="n">
        <v>0</v>
      </c>
      <c r="N103" s="16" t="n">
        <v>10578.86</v>
      </c>
      <c r="O103" s="17" t="n">
        <v>0.24056</v>
      </c>
      <c r="P103" s="18" t="n">
        <v>4</v>
      </c>
      <c r="Q103" s="18" t="n">
        <v>2</v>
      </c>
      <c r="R103" s="16" t="n">
        <v>10781.97</v>
      </c>
      <c r="S103" s="14" t="inlineStr">
        <is>
          <t>NAVEL TEMPRANA</t>
        </is>
      </c>
      <c r="T103" s="14" t="inlineStr">
        <is>
          <t>INDUSTRIA</t>
        </is>
      </c>
      <c r="U103" s="19">
        <f>IFERROR(166.386*I103/F103,0)</f>
        <v/>
      </c>
      <c r="V103" s="19">
        <f>IFERROR(166.386*M103/F103,0)</f>
        <v/>
      </c>
      <c r="W103" s="19">
        <f>IFERROR(166.386*L103/F103,0)</f>
        <v/>
      </c>
    </row>
    <row r="104">
      <c r="A104" s="14" t="n">
        <v>2325</v>
      </c>
      <c r="B104" s="14" t="inlineStr">
        <is>
          <t>NAVEL TEMPRANA</t>
        </is>
      </c>
      <c r="C104" s="15" t="n">
        <v>1491</v>
      </c>
      <c r="D104" s="14" t="inlineStr">
        <is>
          <t>JIMENEZ LORENTE,SONIA</t>
        </is>
      </c>
      <c r="E104" s="14" t="inlineStr">
        <is>
          <t>NAVELINA</t>
        </is>
      </c>
      <c r="F104" s="15" t="n">
        <v>915</v>
      </c>
      <c r="G104" s="16" t="n">
        <v>283.65</v>
      </c>
      <c r="H104" s="17" t="n">
        <v>0.31</v>
      </c>
      <c r="I104" s="16" t="n">
        <v>57.19</v>
      </c>
      <c r="J104" s="16" t="n">
        <v>5.88</v>
      </c>
      <c r="K104" s="16" t="n">
        <v>0</v>
      </c>
      <c r="L104" s="16" t="n">
        <v>-10.16</v>
      </c>
      <c r="M104" s="16" t="n">
        <v>0</v>
      </c>
      <c r="N104" s="16" t="n">
        <v>210.42</v>
      </c>
      <c r="O104" s="17" t="n">
        <v>0.25242</v>
      </c>
      <c r="P104" s="18" t="n">
        <v>12</v>
      </c>
      <c r="Q104" s="18" t="n">
        <v>2</v>
      </c>
      <c r="R104" s="16" t="n">
        <v>230.96</v>
      </c>
      <c r="S104" s="14" t="inlineStr">
        <is>
          <t>NAVEL TEMPRANA</t>
        </is>
      </c>
      <c r="T104" s="14" t="inlineStr">
        <is>
          <t>INDUSTRIA</t>
        </is>
      </c>
      <c r="U104" s="19">
        <f>IFERROR(166.386*I104/F104,0)</f>
        <v/>
      </c>
      <c r="V104" s="19">
        <f>IFERROR(166.386*M104/F104,0)</f>
        <v/>
      </c>
      <c r="W104" s="19">
        <f>IFERROR(166.386*L104/F104,0)</f>
        <v/>
      </c>
    </row>
    <row r="105">
      <c r="A105" s="14" t="n">
        <v>2325</v>
      </c>
      <c r="B105" s="14" t="inlineStr">
        <is>
          <t>NAVEL TEMPRANA</t>
        </is>
      </c>
      <c r="C105" s="15" t="n">
        <v>1516</v>
      </c>
      <c r="D105" s="14" t="inlineStr">
        <is>
          <t>CALZADO RUIZ, YOLANDA</t>
        </is>
      </c>
      <c r="E105" s="14" t="inlineStr">
        <is>
          <t>NEWHALL</t>
        </is>
      </c>
      <c r="F105" s="15" t="n">
        <v>15330</v>
      </c>
      <c r="G105" s="16" t="n">
        <v>4752.3</v>
      </c>
      <c r="H105" s="17" t="n">
        <v>0.31</v>
      </c>
      <c r="I105" s="16" t="n">
        <v>0</v>
      </c>
      <c r="J105" s="16" t="n">
        <v>142.36</v>
      </c>
      <c r="K105" s="16" t="n">
        <v>0</v>
      </c>
      <c r="L105" s="16" t="n">
        <v>-64.54000000000001</v>
      </c>
      <c r="M105" s="16" t="n">
        <v>0</v>
      </c>
      <c r="N105" s="16" t="n">
        <v>4545.4</v>
      </c>
      <c r="O105" s="17" t="n">
        <v>0.32544</v>
      </c>
      <c r="P105" s="18" t="n">
        <v>12</v>
      </c>
      <c r="Q105" s="18" t="n">
        <v>2</v>
      </c>
      <c r="R105" s="16" t="n">
        <v>4989.03</v>
      </c>
      <c r="S105" s="14" t="inlineStr">
        <is>
          <t>NAVEL TEMPRANA</t>
        </is>
      </c>
      <c r="T105" s="14" t="inlineStr">
        <is>
          <t>INDUSTRIA</t>
        </is>
      </c>
      <c r="U105" s="19">
        <f>IFERROR(166.386*I105/F105,0)</f>
        <v/>
      </c>
      <c r="V105" s="19">
        <f>IFERROR(166.386*M105/F105,0)</f>
        <v/>
      </c>
      <c r="W105" s="19">
        <f>IFERROR(166.386*L105/F105,0)</f>
        <v/>
      </c>
    </row>
    <row r="106">
      <c r="A106" s="14" t="n">
        <v>2325</v>
      </c>
      <c r="B106" s="14" t="inlineStr">
        <is>
          <t>NAVEL TEMPRANA</t>
        </is>
      </c>
      <c r="C106" s="15" t="n">
        <v>1518</v>
      </c>
      <c r="D106" s="14" t="inlineStr">
        <is>
          <t>CALZADO ARGüELLES,MARIA</t>
        </is>
      </c>
      <c r="E106" s="14" t="inlineStr">
        <is>
          <t>NAVELINA</t>
        </is>
      </c>
      <c r="F106" s="15" t="n">
        <v>5311</v>
      </c>
      <c r="G106" s="16" t="n">
        <v>1646.41</v>
      </c>
      <c r="H106" s="17" t="n">
        <v>0.31</v>
      </c>
      <c r="I106" s="16" t="n">
        <v>331.94</v>
      </c>
      <c r="J106" s="16" t="n">
        <v>45.9</v>
      </c>
      <c r="K106" s="16" t="n">
        <v>0</v>
      </c>
      <c r="L106" s="16" t="n">
        <v>-58.95</v>
      </c>
      <c r="M106" s="16" t="n">
        <v>0</v>
      </c>
      <c r="N106" s="16" t="n">
        <v>1209.62</v>
      </c>
      <c r="O106" s="17" t="n">
        <v>0.24999</v>
      </c>
      <c r="P106" s="18" t="n">
        <v>12</v>
      </c>
      <c r="Q106" s="18" t="n">
        <v>2</v>
      </c>
      <c r="R106" s="16" t="n">
        <v>1327.68</v>
      </c>
      <c r="S106" s="14" t="inlineStr">
        <is>
          <t>NAVEL TEMPRANA</t>
        </is>
      </c>
      <c r="T106" s="14" t="inlineStr">
        <is>
          <t>INDUSTRIA</t>
        </is>
      </c>
      <c r="U106" s="19">
        <f>IFERROR(166.386*I106/F106,0)</f>
        <v/>
      </c>
      <c r="V106" s="19">
        <f>IFERROR(166.386*M106/F106,0)</f>
        <v/>
      </c>
      <c r="W106" s="19">
        <f>IFERROR(166.386*L106/F106,0)</f>
        <v/>
      </c>
    </row>
    <row r="107">
      <c r="A107" s="14" t="n">
        <v>2325</v>
      </c>
      <c r="B107" s="14" t="inlineStr">
        <is>
          <t>NAVEL TEMPRANA</t>
        </is>
      </c>
      <c r="C107" s="15" t="n">
        <v>1525</v>
      </c>
      <c r="D107" s="14" t="inlineStr">
        <is>
          <t>ECIJA BORREGO, DOLORES</t>
        </is>
      </c>
      <c r="E107" s="14" t="inlineStr">
        <is>
          <t>NAVELINA</t>
        </is>
      </c>
      <c r="F107" s="15" t="n">
        <v>640</v>
      </c>
      <c r="G107" s="16" t="n">
        <v>198.4</v>
      </c>
      <c r="H107" s="17" t="n">
        <v>0.31</v>
      </c>
      <c r="I107" s="16" t="n">
        <v>40</v>
      </c>
      <c r="J107" s="16" t="n">
        <v>6.52</v>
      </c>
      <c r="K107" s="16" t="n">
        <v>0</v>
      </c>
      <c r="L107" s="16" t="n">
        <v>-7.1</v>
      </c>
      <c r="M107" s="16" t="n">
        <v>0</v>
      </c>
      <c r="N107" s="16" t="n">
        <v>144.78</v>
      </c>
      <c r="O107" s="17" t="n">
        <v>0.2483</v>
      </c>
      <c r="P107" s="18" t="n">
        <v>12</v>
      </c>
      <c r="Q107" s="18" t="n">
        <v>2</v>
      </c>
      <c r="R107" s="16" t="n">
        <v>158.91</v>
      </c>
      <c r="S107" s="14" t="inlineStr">
        <is>
          <t>NAVEL TEMPRANA</t>
        </is>
      </c>
      <c r="T107" s="14" t="inlineStr">
        <is>
          <t>INDUSTRIA</t>
        </is>
      </c>
      <c r="U107" s="19">
        <f>IFERROR(166.386*I107/F107,0)</f>
        <v/>
      </c>
      <c r="V107" s="19">
        <f>IFERROR(166.386*M107/F107,0)</f>
        <v/>
      </c>
      <c r="W107" s="19">
        <f>IFERROR(166.386*L107/F107,0)</f>
        <v/>
      </c>
    </row>
    <row r="108">
      <c r="A108" s="14" t="n">
        <v>2325</v>
      </c>
      <c r="B108" s="14" t="inlineStr">
        <is>
          <t>NAVEL TEMPRANA</t>
        </is>
      </c>
      <c r="C108" s="15" t="n">
        <v>1527</v>
      </c>
      <c r="D108" s="14" t="inlineStr">
        <is>
          <t>MARQUEZ SOTILLO, ANTONIO</t>
        </is>
      </c>
      <c r="E108" s="14" t="inlineStr">
        <is>
          <t>NAVELINA</t>
        </is>
      </c>
      <c r="F108" s="15" t="n">
        <v>517</v>
      </c>
      <c r="G108" s="16" t="n">
        <v>160.27</v>
      </c>
      <c r="H108" s="17" t="n">
        <v>0.31</v>
      </c>
      <c r="I108" s="16" t="n">
        <v>32.31</v>
      </c>
      <c r="J108" s="16" t="n">
        <v>2.68</v>
      </c>
      <c r="K108" s="16" t="n">
        <v>0</v>
      </c>
      <c r="L108" s="16" t="n">
        <v>-5.74</v>
      </c>
      <c r="M108" s="16" t="n">
        <v>0</v>
      </c>
      <c r="N108" s="16" t="n">
        <v>119.54</v>
      </c>
      <c r="O108" s="17" t="n">
        <v>0.25379</v>
      </c>
      <c r="P108" s="18" t="n">
        <v>12</v>
      </c>
      <c r="Q108" s="18" t="n">
        <v>2</v>
      </c>
      <c r="R108" s="16" t="n">
        <v>131.21</v>
      </c>
      <c r="S108" s="14" t="inlineStr">
        <is>
          <t>NAVEL TEMPRANA</t>
        </is>
      </c>
      <c r="T108" s="14" t="inlineStr">
        <is>
          <t>INDUSTRIA</t>
        </is>
      </c>
      <c r="U108" s="19">
        <f>IFERROR(166.386*I108/F108,0)</f>
        <v/>
      </c>
      <c r="V108" s="19">
        <f>IFERROR(166.386*M108/F108,0)</f>
        <v/>
      </c>
      <c r="W108" s="19">
        <f>IFERROR(166.386*L108/F108,0)</f>
        <v/>
      </c>
    </row>
    <row r="109">
      <c r="A109" s="14" t="n">
        <v>2325</v>
      </c>
      <c r="B109" s="14" t="inlineStr">
        <is>
          <t>NAVEL TEMPRANA</t>
        </is>
      </c>
      <c r="C109" s="15" t="n">
        <v>1529</v>
      </c>
      <c r="D109" s="14" t="inlineStr">
        <is>
          <t>RAMOS BRUGAROLAS, JOSE</t>
        </is>
      </c>
      <c r="E109" s="14" t="inlineStr">
        <is>
          <t>NAVELINA</t>
        </is>
      </c>
      <c r="F109" s="15" t="n">
        <v>3833</v>
      </c>
      <c r="G109" s="16" t="n">
        <v>1188.23</v>
      </c>
      <c r="H109" s="17" t="n">
        <v>0.31</v>
      </c>
      <c r="I109" s="16" t="n">
        <v>287.48</v>
      </c>
      <c r="J109" s="16" t="n">
        <v>25.34</v>
      </c>
      <c r="K109" s="16" t="n">
        <v>0</v>
      </c>
      <c r="L109" s="16" t="n">
        <v>-42.55</v>
      </c>
      <c r="M109" s="16" t="n">
        <v>0</v>
      </c>
      <c r="N109" s="16" t="n">
        <v>832.86</v>
      </c>
      <c r="O109" s="17" t="n">
        <v>0.23849</v>
      </c>
      <c r="P109" s="18" t="n">
        <v>12</v>
      </c>
      <c r="Q109" s="18" t="n">
        <v>2</v>
      </c>
      <c r="R109" s="16" t="n">
        <v>914.15</v>
      </c>
      <c r="S109" s="14" t="inlineStr">
        <is>
          <t>NAVEL TEMPRANA</t>
        </is>
      </c>
      <c r="T109" s="14" t="inlineStr">
        <is>
          <t>INDUSTRIA</t>
        </is>
      </c>
      <c r="U109" s="19">
        <f>IFERROR(166.386*I109/F109,0)</f>
        <v/>
      </c>
      <c r="V109" s="19">
        <f>IFERROR(166.386*M109/F109,0)</f>
        <v/>
      </c>
      <c r="W109" s="19">
        <f>IFERROR(166.386*L109/F109,0)</f>
        <v/>
      </c>
    </row>
    <row r="110">
      <c r="A110" s="14" t="n">
        <v>2325</v>
      </c>
      <c r="B110" s="14" t="inlineStr">
        <is>
          <t>NAVEL TEMPRANA</t>
        </is>
      </c>
      <c r="C110" s="15" t="n">
        <v>1530</v>
      </c>
      <c r="D110" s="14" t="inlineStr">
        <is>
          <t>CABRERA BONILLA, GRACIA Mª</t>
        </is>
      </c>
      <c r="E110" s="14" t="inlineStr">
        <is>
          <t>NAVELINA</t>
        </is>
      </c>
      <c r="F110" s="15" t="n">
        <v>3445</v>
      </c>
      <c r="G110" s="16" t="n">
        <v>1067.95</v>
      </c>
      <c r="H110" s="17" t="n">
        <v>0.31</v>
      </c>
      <c r="I110" s="16" t="n">
        <v>162.88</v>
      </c>
      <c r="J110" s="16" t="n">
        <v>25.95</v>
      </c>
      <c r="K110" s="16" t="n">
        <v>0</v>
      </c>
      <c r="L110" s="16" t="n">
        <v>-38.24</v>
      </c>
      <c r="M110" s="16" t="n">
        <v>0</v>
      </c>
      <c r="N110" s="16" t="n">
        <v>840.88</v>
      </c>
      <c r="O110" s="17" t="n">
        <v>0.26791</v>
      </c>
      <c r="P110" s="18" t="n">
        <v>12</v>
      </c>
      <c r="Q110" s="18" t="n">
        <v>2</v>
      </c>
      <c r="R110" s="16" t="n">
        <v>922.95</v>
      </c>
      <c r="S110" s="14" t="inlineStr">
        <is>
          <t>NAVEL TEMPRANA</t>
        </is>
      </c>
      <c r="T110" s="14" t="inlineStr">
        <is>
          <t>INDUSTRIA</t>
        </is>
      </c>
      <c r="U110" s="19">
        <f>IFERROR(166.386*I110/F110,0)</f>
        <v/>
      </c>
      <c r="V110" s="19">
        <f>IFERROR(166.386*M110/F110,0)</f>
        <v/>
      </c>
      <c r="W110" s="19">
        <f>IFERROR(166.386*L110/F110,0)</f>
        <v/>
      </c>
    </row>
    <row r="111">
      <c r="A111" s="14" t="n">
        <v>2325</v>
      </c>
      <c r="B111" s="14" t="inlineStr">
        <is>
          <t>NAVEL TEMPRANA</t>
        </is>
      </c>
      <c r="C111" s="15" t="n">
        <v>1544</v>
      </c>
      <c r="D111" s="14" t="inlineStr">
        <is>
          <t>HARO ORDOÑO, ALVARO</t>
        </is>
      </c>
      <c r="E111" s="14" t="inlineStr">
        <is>
          <t>NAVELINA</t>
        </is>
      </c>
      <c r="F111" s="15" t="n">
        <v>690</v>
      </c>
      <c r="G111" s="16" t="n">
        <v>213.9</v>
      </c>
      <c r="H111" s="17" t="n">
        <v>0.31</v>
      </c>
      <c r="I111" s="16" t="n">
        <v>0</v>
      </c>
      <c r="J111" s="16" t="n">
        <v>3.88</v>
      </c>
      <c r="K111" s="16" t="n">
        <v>0</v>
      </c>
      <c r="L111" s="16" t="n">
        <v>-7.66</v>
      </c>
      <c r="M111" s="16" t="n">
        <v>0</v>
      </c>
      <c r="N111" s="16" t="n">
        <v>202.36</v>
      </c>
      <c r="O111" s="17" t="n">
        <v>0.3219</v>
      </c>
      <c r="P111" s="18" t="n">
        <v>12</v>
      </c>
      <c r="Q111" s="18" t="n">
        <v>2</v>
      </c>
      <c r="R111" s="16" t="n">
        <v>222.11</v>
      </c>
      <c r="S111" s="14" t="inlineStr">
        <is>
          <t>NAVEL TEMPRANA</t>
        </is>
      </c>
      <c r="T111" s="14" t="inlineStr">
        <is>
          <t>INDUSTRIA</t>
        </is>
      </c>
      <c r="U111" s="19">
        <f>IFERROR(166.386*I111/F111,0)</f>
        <v/>
      </c>
      <c r="V111" s="19">
        <f>IFERROR(166.386*M111/F111,0)</f>
        <v/>
      </c>
      <c r="W111" s="19">
        <f>IFERROR(166.386*L111/F111,0)</f>
        <v/>
      </c>
    </row>
    <row r="112">
      <c r="A112" s="14" t="n">
        <v>2325</v>
      </c>
      <c r="B112" s="14" t="inlineStr">
        <is>
          <t>NAVEL TEMPRANA</t>
        </is>
      </c>
      <c r="C112" s="15" t="n">
        <v>1546</v>
      </c>
      <c r="D112" s="14" t="inlineStr">
        <is>
          <t>GARCIA PELEGRIN, MANUEL</t>
        </is>
      </c>
      <c r="E112" s="14" t="inlineStr">
        <is>
          <t>NAVELINA</t>
        </is>
      </c>
      <c r="F112" s="15" t="n">
        <v>21515</v>
      </c>
      <c r="G112" s="16" t="n">
        <v>6669.65</v>
      </c>
      <c r="H112" s="17" t="n">
        <v>0.31</v>
      </c>
      <c r="I112" s="16" t="n">
        <v>1344.69</v>
      </c>
      <c r="J112" s="16" t="n">
        <v>154.33</v>
      </c>
      <c r="K112" s="16" t="n">
        <v>0</v>
      </c>
      <c r="L112" s="16" t="n">
        <v>-3.72</v>
      </c>
      <c r="M112" s="16" t="n">
        <v>0</v>
      </c>
      <c r="N112" s="16" t="n">
        <v>5166.91</v>
      </c>
      <c r="O112" s="17" t="n">
        <v>0.26359</v>
      </c>
      <c r="P112" s="18" t="n">
        <v>12</v>
      </c>
      <c r="Q112" s="18" t="n">
        <v>2</v>
      </c>
      <c r="R112" s="16" t="n">
        <v>5671.2</v>
      </c>
      <c r="S112" s="14" t="inlineStr">
        <is>
          <t>NAVEL TEMPRANA</t>
        </is>
      </c>
      <c r="T112" s="14" t="inlineStr">
        <is>
          <t>INDUSTRIA</t>
        </is>
      </c>
      <c r="U112" s="19">
        <f>IFERROR(166.386*I112/F112,0)</f>
        <v/>
      </c>
      <c r="V112" s="19">
        <f>IFERROR(166.386*M112/F112,0)</f>
        <v/>
      </c>
      <c r="W112" s="19">
        <f>IFERROR(166.386*L112/F112,0)</f>
        <v/>
      </c>
    </row>
    <row r="113">
      <c r="A113" s="14" t="n">
        <v>2325</v>
      </c>
      <c r="B113" s="14" t="inlineStr">
        <is>
          <t>NAVEL TEMPRANA</t>
        </is>
      </c>
      <c r="C113" s="15" t="n">
        <v>1550</v>
      </c>
      <c r="D113" s="14" t="inlineStr">
        <is>
          <t>CADORTAN S.L.</t>
        </is>
      </c>
      <c r="E113" s="14" t="inlineStr">
        <is>
          <t>NAVELINA</t>
        </is>
      </c>
      <c r="F113" s="15" t="n">
        <v>4036</v>
      </c>
      <c r="G113" s="16" t="n">
        <v>1251.16</v>
      </c>
      <c r="H113" s="17" t="n">
        <v>0.31</v>
      </c>
      <c r="I113" s="16" t="n">
        <v>252.25</v>
      </c>
      <c r="J113" s="16" t="n">
        <v>35.71</v>
      </c>
      <c r="K113" s="16" t="n">
        <v>0</v>
      </c>
      <c r="L113" s="16" t="n">
        <v>-44.8</v>
      </c>
      <c r="M113" s="16" t="n">
        <v>0</v>
      </c>
      <c r="N113" s="16" t="n">
        <v>918.4</v>
      </c>
      <c r="O113" s="17" t="n">
        <v>0.23666</v>
      </c>
      <c r="P113" s="18" t="n">
        <v>4</v>
      </c>
      <c r="Q113" s="18" t="n">
        <v>0</v>
      </c>
      <c r="R113" s="16" t="n">
        <v>955.14</v>
      </c>
      <c r="S113" s="14" t="inlineStr">
        <is>
          <t>NAVEL TEMPRANA</t>
        </is>
      </c>
      <c r="T113" s="14" t="inlineStr">
        <is>
          <t>INDUSTRIA</t>
        </is>
      </c>
      <c r="U113" s="19">
        <f>IFERROR(166.386*I113/F113,0)</f>
        <v/>
      </c>
      <c r="V113" s="19">
        <f>IFERROR(166.386*M113/F113,0)</f>
        <v/>
      </c>
      <c r="W113" s="19">
        <f>IFERROR(166.386*L113/F113,0)</f>
        <v/>
      </c>
    </row>
    <row r="114">
      <c r="A114" s="14" t="n">
        <v>2325</v>
      </c>
      <c r="B114" s="14" t="inlineStr">
        <is>
          <t>NAVEL TEMPRANA</t>
        </is>
      </c>
      <c r="C114" s="15" t="n">
        <v>1573</v>
      </c>
      <c r="D114" s="14" t="inlineStr">
        <is>
          <t>HNOS. JIMENEZ ARIZA C.B.</t>
        </is>
      </c>
      <c r="E114" s="14" t="inlineStr">
        <is>
          <t>NAVELINA</t>
        </is>
      </c>
      <c r="F114" s="15" t="n">
        <v>325</v>
      </c>
      <c r="G114" s="16" t="n">
        <v>100.75</v>
      </c>
      <c r="H114" s="17" t="n">
        <v>0.31</v>
      </c>
      <c r="I114" s="16" t="n">
        <v>20.31</v>
      </c>
      <c r="J114" s="16" t="n">
        <v>0</v>
      </c>
      <c r="K114" s="16" t="n">
        <v>0</v>
      </c>
      <c r="L114" s="16" t="n">
        <v>-3.61</v>
      </c>
      <c r="M114" s="16" t="n">
        <v>0</v>
      </c>
      <c r="N114" s="16" t="n">
        <v>76.83</v>
      </c>
      <c r="O114" s="17" t="n">
        <v>0.25948</v>
      </c>
      <c r="P114" s="18" t="n">
        <v>12</v>
      </c>
      <c r="Q114" s="18" t="n">
        <v>2</v>
      </c>
      <c r="R114" s="16" t="n">
        <v>84.33</v>
      </c>
      <c r="S114" s="14" t="inlineStr">
        <is>
          <t>NAVEL TEMPRANA</t>
        </is>
      </c>
      <c r="T114" s="14" t="inlineStr">
        <is>
          <t>INDUSTRIA</t>
        </is>
      </c>
      <c r="U114" s="19">
        <f>IFERROR(166.386*I114/F114,0)</f>
        <v/>
      </c>
      <c r="V114" s="19">
        <f>IFERROR(166.386*M114/F114,0)</f>
        <v/>
      </c>
      <c r="W114" s="19">
        <f>IFERROR(166.386*L114/F114,0)</f>
        <v/>
      </c>
    </row>
    <row r="115">
      <c r="A115" s="14" t="n">
        <v>2325</v>
      </c>
      <c r="B115" s="14" t="inlineStr">
        <is>
          <t>NAVEL TEMPRANA</t>
        </is>
      </c>
      <c r="C115" s="15" t="n">
        <v>1578</v>
      </c>
      <c r="D115" s="14" t="inlineStr">
        <is>
          <t>GARCIA CARRASCO, Mª ANGELES</t>
        </is>
      </c>
      <c r="E115" s="14" t="inlineStr">
        <is>
          <t>NAVELINA</t>
        </is>
      </c>
      <c r="F115" s="15" t="n">
        <v>3525</v>
      </c>
      <c r="G115" s="16" t="n">
        <v>1092.75</v>
      </c>
      <c r="H115" s="17" t="n">
        <v>0.31</v>
      </c>
      <c r="I115" s="16" t="n">
        <v>220.31</v>
      </c>
      <c r="J115" s="16" t="n">
        <v>32.92</v>
      </c>
      <c r="K115" s="16" t="n">
        <v>0</v>
      </c>
      <c r="L115" s="16" t="n">
        <v>-39.13</v>
      </c>
      <c r="M115" s="16" t="n">
        <v>0</v>
      </c>
      <c r="N115" s="16" t="n">
        <v>800.39</v>
      </c>
      <c r="O115" s="17" t="n">
        <v>0.24922</v>
      </c>
      <c r="P115" s="18" t="n">
        <v>12</v>
      </c>
      <c r="Q115" s="18" t="n">
        <v>2</v>
      </c>
      <c r="R115" s="16" t="n">
        <v>878.51</v>
      </c>
      <c r="S115" s="14" t="inlineStr">
        <is>
          <t>NAVEL TEMPRANA</t>
        </is>
      </c>
      <c r="T115" s="14" t="inlineStr">
        <is>
          <t>INDUSTRIA</t>
        </is>
      </c>
      <c r="U115" s="19">
        <f>IFERROR(166.386*I115/F115,0)</f>
        <v/>
      </c>
      <c r="V115" s="19">
        <f>IFERROR(166.386*M115/F115,0)</f>
        <v/>
      </c>
      <c r="W115" s="19">
        <f>IFERROR(166.386*L115/F115,0)</f>
        <v/>
      </c>
    </row>
    <row r="116">
      <c r="A116" s="14" t="n">
        <v>2325</v>
      </c>
      <c r="B116" s="14" t="inlineStr">
        <is>
          <t>NAVEL TEMPRANA</t>
        </is>
      </c>
      <c r="C116" s="15" t="n">
        <v>1587</v>
      </c>
      <c r="D116" s="14" t="inlineStr">
        <is>
          <t>SANTOS LARA, ISMAEL</t>
        </is>
      </c>
      <c r="E116" s="14" t="inlineStr">
        <is>
          <t>NAVELINA</t>
        </is>
      </c>
      <c r="F116" s="15" t="n">
        <v>2845</v>
      </c>
      <c r="G116" s="16" t="n">
        <v>881.95</v>
      </c>
      <c r="H116" s="17" t="n">
        <v>0.31</v>
      </c>
      <c r="I116" s="16" t="n">
        <v>0</v>
      </c>
      <c r="J116" s="16" t="n">
        <v>134.55</v>
      </c>
      <c r="K116" s="16" t="n">
        <v>0</v>
      </c>
      <c r="L116" s="16" t="n">
        <v>-27.58</v>
      </c>
      <c r="M116" s="16" t="n">
        <v>0</v>
      </c>
      <c r="N116" s="16" t="n">
        <v>719.8200000000001</v>
      </c>
      <c r="O116" s="17" t="n">
        <v>0.2777</v>
      </c>
      <c r="P116" s="18" t="n">
        <v>12</v>
      </c>
      <c r="Q116" s="18" t="n">
        <v>2</v>
      </c>
      <c r="R116" s="16" t="n">
        <v>790.0700000000001</v>
      </c>
      <c r="S116" s="14" t="inlineStr">
        <is>
          <t>NAVEL TEMPRANA</t>
        </is>
      </c>
      <c r="T116" s="14" t="inlineStr">
        <is>
          <t>INDUSTRIA</t>
        </is>
      </c>
      <c r="U116" s="19">
        <f>IFERROR(166.386*I116/F116,0)</f>
        <v/>
      </c>
      <c r="V116" s="19">
        <f>IFERROR(166.386*M116/F116,0)</f>
        <v/>
      </c>
      <c r="W116" s="19">
        <f>IFERROR(166.386*L116/F116,0)</f>
        <v/>
      </c>
    </row>
    <row r="117">
      <c r="A117" s="14" t="n">
        <v>2325</v>
      </c>
      <c r="B117" s="14" t="inlineStr">
        <is>
          <t>NAVEL TEMPRANA</t>
        </is>
      </c>
      <c r="C117" s="15" t="n">
        <v>1588</v>
      </c>
      <c r="D117" s="14" t="inlineStr">
        <is>
          <t>RAMOS GARCIA DE TEJADA, ALVARO</t>
        </is>
      </c>
      <c r="E117" s="14" t="inlineStr">
        <is>
          <t>NAVELINA</t>
        </is>
      </c>
      <c r="F117" s="15" t="n">
        <v>1235</v>
      </c>
      <c r="G117" s="16" t="n">
        <v>382.85</v>
      </c>
      <c r="H117" s="17" t="n">
        <v>0.31</v>
      </c>
      <c r="I117" s="16" t="n">
        <v>92.63</v>
      </c>
      <c r="J117" s="16" t="n">
        <v>7.08</v>
      </c>
      <c r="K117" s="16" t="n">
        <v>0</v>
      </c>
      <c r="L117" s="16" t="n">
        <v>-13.71</v>
      </c>
      <c r="M117" s="16" t="n">
        <v>0</v>
      </c>
      <c r="N117" s="16" t="n">
        <v>269.43</v>
      </c>
      <c r="O117" s="17" t="n">
        <v>0.23946</v>
      </c>
      <c r="P117" s="18" t="n">
        <v>12</v>
      </c>
      <c r="Q117" s="18" t="n">
        <v>2</v>
      </c>
      <c r="R117" s="16" t="n">
        <v>295.73</v>
      </c>
      <c r="S117" s="14" t="inlineStr">
        <is>
          <t>NAVEL TEMPRANA</t>
        </is>
      </c>
      <c r="T117" s="14" t="inlineStr">
        <is>
          <t>INDUSTRIA</t>
        </is>
      </c>
      <c r="U117" s="19">
        <f>IFERROR(166.386*I117/F117,0)</f>
        <v/>
      </c>
      <c r="V117" s="19">
        <f>IFERROR(166.386*M117/F117,0)</f>
        <v/>
      </c>
      <c r="W117" s="19">
        <f>IFERROR(166.386*L117/F117,0)</f>
        <v/>
      </c>
    </row>
    <row r="118">
      <c r="A118" s="14" t="n">
        <v>2325</v>
      </c>
      <c r="B118" s="14" t="inlineStr">
        <is>
          <t>NAVEL TEMPRANA</t>
        </is>
      </c>
      <c r="C118" s="15" t="n">
        <v>1608</v>
      </c>
      <c r="D118" s="14" t="inlineStr">
        <is>
          <t>ALVAREZ CUEVAS, MANUEL</t>
        </is>
      </c>
      <c r="E118" s="14" t="inlineStr">
        <is>
          <t>NAVELINA</t>
        </is>
      </c>
      <c r="F118" s="15" t="n">
        <v>9890</v>
      </c>
      <c r="G118" s="16" t="n">
        <v>3065.9</v>
      </c>
      <c r="H118" s="17" t="n">
        <v>0.31</v>
      </c>
      <c r="I118" s="16" t="n">
        <v>618.13</v>
      </c>
      <c r="J118" s="16" t="n">
        <v>0</v>
      </c>
      <c r="K118" s="16" t="n">
        <v>0</v>
      </c>
      <c r="L118" s="16" t="n">
        <v>-109.78</v>
      </c>
      <c r="M118" s="16" t="n">
        <v>0</v>
      </c>
      <c r="N118" s="16" t="n">
        <v>2337.99</v>
      </c>
      <c r="O118" s="17" t="n">
        <v>0.25947</v>
      </c>
      <c r="P118" s="18" t="n">
        <v>12</v>
      </c>
      <c r="Q118" s="18" t="n">
        <v>2</v>
      </c>
      <c r="R118" s="16" t="n">
        <v>2566.18</v>
      </c>
      <c r="S118" s="14" t="inlineStr">
        <is>
          <t>NAVEL TEMPRANA</t>
        </is>
      </c>
      <c r="T118" s="14" t="inlineStr">
        <is>
          <t>INDUSTRIA</t>
        </is>
      </c>
      <c r="U118" s="19">
        <f>IFERROR(166.386*I118/F118,0)</f>
        <v/>
      </c>
      <c r="V118" s="19">
        <f>IFERROR(166.386*M118/F118,0)</f>
        <v/>
      </c>
      <c r="W118" s="19">
        <f>IFERROR(166.386*L118/F118,0)</f>
        <v/>
      </c>
    </row>
    <row r="119">
      <c r="A119" s="14" t="n">
        <v>2325</v>
      </c>
      <c r="B119" s="14" t="inlineStr">
        <is>
          <t>NAVEL TEMPRANA</t>
        </is>
      </c>
      <c r="C119" s="15" t="n">
        <v>1613</v>
      </c>
      <c r="D119" s="14" t="inlineStr">
        <is>
          <t>MARTIN RUIZ, DOMINGO</t>
        </is>
      </c>
      <c r="E119" s="14" t="inlineStr">
        <is>
          <t>NAVELINA</t>
        </is>
      </c>
      <c r="F119" s="15" t="n">
        <v>3188</v>
      </c>
      <c r="G119" s="16" t="n">
        <v>988.28</v>
      </c>
      <c r="H119" s="17" t="n">
        <v>0.31</v>
      </c>
      <c r="I119" s="16" t="n">
        <v>199.25</v>
      </c>
      <c r="J119" s="16" t="n">
        <v>0</v>
      </c>
      <c r="K119" s="16" t="n">
        <v>0</v>
      </c>
      <c r="L119" s="16" t="n">
        <v>-35.39</v>
      </c>
      <c r="M119" s="16" t="n">
        <v>0</v>
      </c>
      <c r="N119" s="16" t="n">
        <v>753.64</v>
      </c>
      <c r="O119" s="17" t="n">
        <v>0.25947</v>
      </c>
      <c r="P119" s="18" t="n">
        <v>12</v>
      </c>
      <c r="Q119" s="18" t="n">
        <v>2</v>
      </c>
      <c r="R119" s="16" t="n">
        <v>827.2</v>
      </c>
      <c r="S119" s="14" t="inlineStr">
        <is>
          <t>NAVEL TEMPRANA</t>
        </is>
      </c>
      <c r="T119" s="14" t="inlineStr">
        <is>
          <t>INDUSTRIA</t>
        </is>
      </c>
      <c r="U119" s="19">
        <f>IFERROR(166.386*I119/F119,0)</f>
        <v/>
      </c>
      <c r="V119" s="19">
        <f>IFERROR(166.386*M119/F119,0)</f>
        <v/>
      </c>
      <c r="W119" s="19">
        <f>IFERROR(166.386*L119/F119,0)</f>
        <v/>
      </c>
    </row>
    <row r="120">
      <c r="A120" s="14" t="n">
        <v>2325</v>
      </c>
      <c r="B120" s="14" t="inlineStr">
        <is>
          <t>NAVEL TEMPRANA</t>
        </is>
      </c>
      <c r="C120" s="15" t="n">
        <v>1614</v>
      </c>
      <c r="D120" s="14" t="inlineStr">
        <is>
          <t>MARIN SERRANO 2025 S.C.</t>
        </is>
      </c>
      <c r="E120" s="14" t="inlineStr">
        <is>
          <t>NAVELINA</t>
        </is>
      </c>
      <c r="F120" s="15" t="n">
        <v>1025</v>
      </c>
      <c r="G120" s="16" t="n">
        <v>317.75</v>
      </c>
      <c r="H120" s="17" t="n">
        <v>0.31</v>
      </c>
      <c r="I120" s="16" t="n">
        <v>64.06</v>
      </c>
      <c r="J120" s="16" t="n">
        <v>1.96</v>
      </c>
      <c r="K120" s="16" t="n">
        <v>0</v>
      </c>
      <c r="L120" s="16" t="n">
        <v>-11.38</v>
      </c>
      <c r="M120" s="16" t="n">
        <v>0</v>
      </c>
      <c r="N120" s="16" t="n">
        <v>240.35</v>
      </c>
      <c r="O120" s="17" t="n">
        <v>0.25738</v>
      </c>
      <c r="P120" s="18" t="n">
        <v>12</v>
      </c>
      <c r="Q120" s="18" t="n">
        <v>2</v>
      </c>
      <c r="R120" s="16" t="n">
        <v>263.81</v>
      </c>
      <c r="S120" s="14" t="inlineStr">
        <is>
          <t>NAVEL TEMPRANA</t>
        </is>
      </c>
      <c r="T120" s="14" t="inlineStr">
        <is>
          <t>INDUSTRIA</t>
        </is>
      </c>
      <c r="U120" s="19">
        <f>IFERROR(166.386*I120/F120,0)</f>
        <v/>
      </c>
      <c r="V120" s="19">
        <f>IFERROR(166.386*M120/F120,0)</f>
        <v/>
      </c>
      <c r="W120" s="19">
        <f>IFERROR(166.386*L120/F120,0)</f>
        <v/>
      </c>
    </row>
    <row r="121">
      <c r="A121" s="14" t="n">
        <v>2325</v>
      </c>
      <c r="B121" s="14" t="inlineStr">
        <is>
          <t>NAVEL TEMPRANA</t>
        </is>
      </c>
      <c r="C121" s="15" t="n">
        <v>1617</v>
      </c>
      <c r="D121" s="14" t="inlineStr">
        <is>
          <t>MARZAL LLOP, Mª LUISA</t>
        </is>
      </c>
      <c r="E121" s="14" t="inlineStr">
        <is>
          <t>NAVELINA</t>
        </is>
      </c>
      <c r="F121" s="15" t="n">
        <v>4250</v>
      </c>
      <c r="G121" s="16" t="n">
        <v>1317.5</v>
      </c>
      <c r="H121" s="17" t="n">
        <v>0.31</v>
      </c>
      <c r="I121" s="16" t="n">
        <v>265.62</v>
      </c>
      <c r="J121" s="16" t="n">
        <v>39.1</v>
      </c>
      <c r="K121" s="16" t="n">
        <v>0</v>
      </c>
      <c r="L121" s="16" t="n">
        <v>-47.18</v>
      </c>
      <c r="M121" s="16" t="n">
        <v>0</v>
      </c>
      <c r="N121" s="16" t="n">
        <v>965.6</v>
      </c>
      <c r="O121" s="17" t="n">
        <v>0.24937</v>
      </c>
      <c r="P121" s="18" t="n">
        <v>12</v>
      </c>
      <c r="Q121" s="18" t="n">
        <v>2</v>
      </c>
      <c r="R121" s="16" t="n">
        <v>1059.84</v>
      </c>
      <c r="S121" s="14" t="inlineStr">
        <is>
          <t>NAVEL TEMPRANA</t>
        </is>
      </c>
      <c r="T121" s="14" t="inlineStr">
        <is>
          <t>INDUSTRIA</t>
        </is>
      </c>
      <c r="U121" s="19">
        <f>IFERROR(166.386*I121/F121,0)</f>
        <v/>
      </c>
      <c r="V121" s="19">
        <f>IFERROR(166.386*M121/F121,0)</f>
        <v/>
      </c>
      <c r="W121" s="19">
        <f>IFERROR(166.386*L121/F121,0)</f>
        <v/>
      </c>
    </row>
    <row r="122">
      <c r="A122" s="14" t="n">
        <v>2325</v>
      </c>
      <c r="B122" s="14" t="inlineStr">
        <is>
          <t>NAVEL TEMPRANA</t>
        </is>
      </c>
      <c r="C122" s="15" t="n">
        <v>1622</v>
      </c>
      <c r="D122" s="14" t="inlineStr">
        <is>
          <t>DURAN ELENA, JOSE VICENTE</t>
        </is>
      </c>
      <c r="E122" s="14" t="inlineStr">
        <is>
          <t>NAVELINA</t>
        </is>
      </c>
      <c r="F122" s="15" t="n">
        <v>31879</v>
      </c>
      <c r="G122" s="16" t="n">
        <v>9882.49</v>
      </c>
      <c r="H122" s="17" t="n">
        <v>0.31</v>
      </c>
      <c r="I122" s="16" t="n">
        <v>1992.44</v>
      </c>
      <c r="J122" s="16" t="n">
        <v>0</v>
      </c>
      <c r="K122" s="16" t="n">
        <v>0</v>
      </c>
      <c r="L122" s="16" t="n">
        <v>0</v>
      </c>
      <c r="M122" s="16" t="n">
        <v>0</v>
      </c>
      <c r="N122" s="16" t="n">
        <v>7890.05</v>
      </c>
      <c r="O122" s="17" t="n">
        <v>0.27166</v>
      </c>
      <c r="P122" s="18" t="n">
        <v>12</v>
      </c>
      <c r="Q122" s="18" t="n">
        <v>2</v>
      </c>
      <c r="R122" s="16" t="n">
        <v>8660.120000000001</v>
      </c>
      <c r="S122" s="14" t="inlineStr">
        <is>
          <t>NAVEL TEMPRANA</t>
        </is>
      </c>
      <c r="T122" s="14" t="inlineStr">
        <is>
          <t>INDUSTRIA</t>
        </is>
      </c>
      <c r="U122" s="19">
        <f>IFERROR(166.386*I122/F122,0)</f>
        <v/>
      </c>
      <c r="V122" s="19">
        <f>IFERROR(166.386*M122/F122,0)</f>
        <v/>
      </c>
      <c r="W122" s="19">
        <f>IFERROR(166.386*L122/F122,0)</f>
        <v/>
      </c>
    </row>
    <row r="123">
      <c r="A123" s="14" t="n">
        <v>2325</v>
      </c>
      <c r="B123" s="14" t="inlineStr">
        <is>
          <t>NAVEL TEMPRANA</t>
        </is>
      </c>
      <c r="C123" s="15" t="n">
        <v>1623</v>
      </c>
      <c r="D123" s="14" t="inlineStr">
        <is>
          <t>GALLEGO BARRERA, GUILLERMO</t>
        </is>
      </c>
      <c r="E123" s="14" t="inlineStr">
        <is>
          <t>NAVELINA</t>
        </is>
      </c>
      <c r="F123" s="15" t="n">
        <v>1586</v>
      </c>
      <c r="G123" s="16" t="n">
        <v>491.66</v>
      </c>
      <c r="H123" s="17" t="n">
        <v>0.31</v>
      </c>
      <c r="I123" s="16" t="n">
        <v>118.95</v>
      </c>
      <c r="J123" s="16" t="n">
        <v>2.89</v>
      </c>
      <c r="K123" s="16" t="n">
        <v>0</v>
      </c>
      <c r="L123" s="16" t="n">
        <v>-17.6</v>
      </c>
      <c r="M123" s="16" t="n">
        <v>0</v>
      </c>
      <c r="N123" s="16" t="n">
        <v>352.22</v>
      </c>
      <c r="O123" s="17" t="n">
        <v>0.24376</v>
      </c>
      <c r="P123" s="18" t="n">
        <v>12</v>
      </c>
      <c r="Q123" s="18" t="n">
        <v>2</v>
      </c>
      <c r="R123" s="16" t="n">
        <v>386.6</v>
      </c>
      <c r="S123" s="14" t="inlineStr">
        <is>
          <t>NAVEL TEMPRANA</t>
        </is>
      </c>
      <c r="T123" s="14" t="inlineStr">
        <is>
          <t>INDUSTRIA</t>
        </is>
      </c>
      <c r="U123" s="19">
        <f>IFERROR(166.386*I123/F123,0)</f>
        <v/>
      </c>
      <c r="V123" s="19">
        <f>IFERROR(166.386*M123/F123,0)</f>
        <v/>
      </c>
      <c r="W123" s="19">
        <f>IFERROR(166.386*L123/F123,0)</f>
        <v/>
      </c>
    </row>
    <row r="124">
      <c r="A124" s="20" t="n"/>
      <c r="B124" s="20" t="n"/>
      <c r="C124" s="21" t="n"/>
      <c r="D124" s="20" t="inlineStr">
        <is>
          <t>TOTAL GENERAL</t>
        </is>
      </c>
      <c r="E124" s="20" t="n"/>
      <c r="F124" s="21" t="n">
        <v>1609384</v>
      </c>
      <c r="G124" s="22" t="n">
        <v>498909.04</v>
      </c>
      <c r="H124" s="23" t="n"/>
      <c r="I124" s="22" t="n">
        <v>94089.62</v>
      </c>
      <c r="J124" s="22" t="n">
        <v>13756.42</v>
      </c>
      <c r="K124" s="22" t="n">
        <v>0</v>
      </c>
      <c r="L124" s="22" t="n">
        <v>-5013.96</v>
      </c>
      <c r="M124" s="22" t="n">
        <v>0</v>
      </c>
      <c r="N124" s="22" t="n">
        <v>386049.04</v>
      </c>
      <c r="O124" s="23" t="n">
        <v>0.2625533433910117</v>
      </c>
      <c r="P124" s="24" t="n"/>
      <c r="Q124" s="24" t="n"/>
      <c r="R124" s="22" t="n">
        <v>422549.15</v>
      </c>
      <c r="S124" s="20" t="n"/>
      <c r="T124" s="20" t="n"/>
      <c r="U124" s="25" t="n"/>
      <c r="V124" s="25" t="n"/>
      <c r="W124" s="25" t="n"/>
    </row>
  </sheetData>
  <autoFilter ref="A1:W124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45" customWidth="1" min="5" max="5"/>
    <col width="28" customWidth="1" min="6" max="6"/>
    <col width="12" customWidth="1" min="7" max="7"/>
  </cols>
  <sheetData>
    <row r="1">
      <c r="A1" s="1" t="inlineStr">
        <is>
          <t>Id Remesa</t>
        </is>
      </c>
      <c r="B1" s="1" t="inlineStr">
        <is>
          <t>Remesa</t>
        </is>
      </c>
      <c r="C1" s="1" t="inlineStr">
        <is>
          <t>Fase</t>
        </is>
      </c>
      <c r="D1" s="1" t="inlineStr">
        <is>
          <t>Tipo de error</t>
        </is>
      </c>
      <c r="E1" s="1" t="inlineStr">
        <is>
          <t>Mensaje</t>
        </is>
      </c>
      <c r="F1" s="2" t="inlineStr">
        <is>
          <t>Fecha y hora</t>
        </is>
      </c>
      <c r="G1" s="1" t="inlineStr">
        <is>
          <t>Estado</t>
        </is>
      </c>
    </row>
    <row r="2">
      <c r="A2" s="5" t="n">
        <v>2323</v>
      </c>
      <c r="B2" s="5" t="inlineStr">
        <is>
          <t>NAVEL MEDIA</t>
        </is>
      </c>
      <c r="C2" s="5" t="inlineStr">
        <is>
          <t>ERROR</t>
        </is>
      </c>
      <c r="D2" s="5" t="inlineStr">
        <is>
          <t>ValueError</t>
        </is>
      </c>
      <c r="E2" s="5" t="inlineStr">
        <is>
          <t>El cálculo no contiene líneas para exportar</t>
        </is>
      </c>
      <c r="F2" s="6" t="n">
        <v>46231.74575749142</v>
      </c>
      <c r="G2" s="5" t="inlineStr">
        <is>
          <t>ERROR</t>
        </is>
      </c>
    </row>
    <row r="3">
      <c r="A3" s="5" t="n">
        <v>2321</v>
      </c>
      <c r="B3" s="5" t="inlineStr">
        <is>
          <t>BLANCA TARDIA</t>
        </is>
      </c>
      <c r="C3" s="5" t="inlineStr">
        <is>
          <t>WARNING</t>
        </is>
      </c>
      <c r="D3" s="5" t="inlineStr">
        <is>
          <t>Warning</t>
        </is>
      </c>
      <c r="E3" s="5" t="inlineStr">
        <is>
          <t>11 entregas ya figuran como liquidadas.</t>
        </is>
      </c>
      <c r="F3" s="6" t="n">
        <v>46231.74575749142</v>
      </c>
      <c r="G3" s="5" t="inlineStr">
        <is>
          <t>WARNING</t>
        </is>
      </c>
    </row>
    <row r="4">
      <c r="A4" s="5" t="n">
        <v>2321</v>
      </c>
      <c r="B4" s="5" t="inlineStr">
        <is>
          <t>BLANCA TARDIA</t>
        </is>
      </c>
      <c r="C4" s="5" t="inlineStr">
        <is>
          <t>WARNING</t>
        </is>
      </c>
      <c r="D4" s="5" t="inlineStr">
        <is>
          <t>Warning</t>
        </is>
      </c>
      <c r="E4" s="5" t="inlineStr">
        <is>
          <t>No existe tarifa BonCalidad para socio=909 campaña=2026 empresa=1 cultivo=INDUSTRIA.</t>
        </is>
      </c>
      <c r="F4" s="6" t="n">
        <v>46231.74575749142</v>
      </c>
      <c r="G4" s="5" t="inlineStr">
        <is>
          <t>WARNING</t>
        </is>
      </c>
    </row>
    <row r="5">
      <c r="A5" s="5" t="n">
        <v>2321</v>
      </c>
      <c r="B5" s="5" t="inlineStr">
        <is>
          <t>BLANCA TARDIA</t>
        </is>
      </c>
      <c r="C5" s="5" t="inlineStr">
        <is>
          <t>WARNING</t>
        </is>
      </c>
      <c r="D5" s="5" t="inlineStr">
        <is>
          <t>Warning</t>
        </is>
      </c>
      <c r="E5" s="5" t="inlineStr">
        <is>
          <t>No existe fuente acumulada disponible; saldo informativo calculado con cuota ya aplicada = 0.</t>
        </is>
      </c>
      <c r="F5" s="6" t="n">
        <v>46231.74575749142</v>
      </c>
      <c r="G5" s="5" t="inlineStr">
        <is>
          <t>WARNING</t>
        </is>
      </c>
    </row>
    <row r="6">
      <c r="A6" s="5" t="n">
        <v>2321</v>
      </c>
      <c r="B6" s="5" t="inlineStr">
        <is>
          <t>BLANCA TARDIA</t>
        </is>
      </c>
      <c r="C6" s="5" t="inlineStr">
        <is>
          <t>WARNING</t>
        </is>
      </c>
      <c r="D6" s="5" t="inlineStr">
        <is>
          <t>Warning</t>
        </is>
      </c>
      <c r="E6" s="5" t="inlineStr">
        <is>
          <t>No existe tarifa BonCalidad para socio=990 campaña=2026 empresa=1 cultivo=INDUSTRIA.</t>
        </is>
      </c>
      <c r="F6" s="6" t="n">
        <v>46231.74575749142</v>
      </c>
      <c r="G6" s="5" t="inlineStr">
        <is>
          <t>WARNING</t>
        </is>
      </c>
    </row>
    <row r="7">
      <c r="A7" s="5" t="n">
        <v>2321</v>
      </c>
      <c r="B7" s="5" t="inlineStr">
        <is>
          <t>BLANCA TARDIA</t>
        </is>
      </c>
      <c r="C7" s="5" t="inlineStr">
        <is>
          <t>WARNING</t>
        </is>
      </c>
      <c r="D7" s="5" t="inlineStr">
        <is>
          <t>Warning</t>
        </is>
      </c>
      <c r="E7" s="5" t="inlineStr">
        <is>
          <t>No existe tarifa BonCalidad para socio=1072 campaña=2026 empresa=1 cultivo=INDUSTRIA.</t>
        </is>
      </c>
      <c r="F7" s="6" t="n">
        <v>46231.74575749142</v>
      </c>
      <c r="G7" s="5" t="inlineStr">
        <is>
          <t>WARNING</t>
        </is>
      </c>
    </row>
    <row r="8">
      <c r="A8" s="5" t="n">
        <v>2321</v>
      </c>
      <c r="B8" s="5" t="inlineStr">
        <is>
          <t>BLANCA TARDIA</t>
        </is>
      </c>
      <c r="C8" s="5" t="inlineStr">
        <is>
          <t>WARNING</t>
        </is>
      </c>
      <c r="D8" s="5" t="inlineStr">
        <is>
          <t>Warning</t>
        </is>
      </c>
      <c r="E8" s="5" t="inlineStr">
        <is>
          <t>No existe tarifa BonCalidad para socio=1426 campaña=2026 empresa=1 cultivo=INDUSTRIA.</t>
        </is>
      </c>
      <c r="F8" s="6" t="n">
        <v>46231.74575749142</v>
      </c>
      <c r="G8" s="5" t="inlineStr">
        <is>
          <t>WARNING</t>
        </is>
      </c>
    </row>
    <row r="9">
      <c r="A9" s="5" t="n">
        <v>2321</v>
      </c>
      <c r="B9" s="5" t="inlineStr">
        <is>
          <t>BLANCA TARDIA</t>
        </is>
      </c>
      <c r="C9" s="5" t="inlineStr">
        <is>
          <t>WARNING</t>
        </is>
      </c>
      <c r="D9" s="5" t="inlineStr">
        <is>
          <t>Warning</t>
        </is>
      </c>
      <c r="E9" s="5" t="inlineStr">
        <is>
          <t>No existe tarifa BonCalidad para socio=1491 campaña=2026 empresa=1 cultivo=INDUSTRIA.</t>
        </is>
      </c>
      <c r="F9" s="6" t="n">
        <v>46231.74575749142</v>
      </c>
      <c r="G9" s="5" t="inlineStr">
        <is>
          <t>WARNING</t>
        </is>
      </c>
    </row>
    <row r="10">
      <c r="A10" s="5" t="n">
        <v>2321</v>
      </c>
      <c r="B10" s="5" t="inlineStr">
        <is>
          <t>BLANCA TARDIA</t>
        </is>
      </c>
      <c r="C10" s="5" t="inlineStr">
        <is>
          <t>WARNING</t>
        </is>
      </c>
      <c r="D10" s="5" t="inlineStr">
        <is>
          <t>Warning</t>
        </is>
      </c>
      <c r="E10" s="5" t="inlineStr">
        <is>
          <t>No existe tarifa BonCalidad para socio=1561 campaña=2026 empresa=1 cultivo=INDUSTRIA.</t>
        </is>
      </c>
      <c r="F10" s="6" t="n">
        <v>46231.74575749142</v>
      </c>
      <c r="G10" s="5" t="inlineStr">
        <is>
          <t>WARNING</t>
        </is>
      </c>
    </row>
    <row r="11">
      <c r="A11" s="5" t="n">
        <v>2321</v>
      </c>
      <c r="B11" s="5" t="inlineStr">
        <is>
          <t>BLANCA TARDIA</t>
        </is>
      </c>
      <c r="C11" s="5" t="inlineStr">
        <is>
          <t>WARNING</t>
        </is>
      </c>
      <c r="D11" s="5" t="inlineStr">
        <is>
          <t>Warning</t>
        </is>
      </c>
      <c r="E11" s="5" t="inlineStr">
        <is>
          <t>No existe tarifa BonCalidad para socio=1594 campaña=2026 empresa=1 cultivo=INDUSTRIA.</t>
        </is>
      </c>
      <c r="F11" s="6" t="n">
        <v>46231.74575749142</v>
      </c>
      <c r="G11" s="5" t="inlineStr">
        <is>
          <t>WARNING</t>
        </is>
      </c>
    </row>
    <row r="12">
      <c r="A12" s="5" t="n">
        <v>2321</v>
      </c>
      <c r="B12" s="5" t="inlineStr">
        <is>
          <t>BLANCA TARDIA</t>
        </is>
      </c>
      <c r="C12" s="5" t="inlineStr">
        <is>
          <t>WARNING</t>
        </is>
      </c>
      <c r="D12" s="5" t="inlineStr">
        <is>
          <t>Warning</t>
        </is>
      </c>
      <c r="E12" s="5" t="inlineStr">
        <is>
          <t>No existe tarifa BonCalidad para socio=1596 campaña=2026 empresa=1 cultivo=INDUSTRIA.</t>
        </is>
      </c>
      <c r="F12" s="6" t="n">
        <v>46231.74575749142</v>
      </c>
      <c r="G12" s="5" t="inlineStr">
        <is>
          <t>WARNING</t>
        </is>
      </c>
    </row>
    <row r="13">
      <c r="A13" s="5" t="n">
        <v>2321</v>
      </c>
      <c r="B13" s="5" t="inlineStr">
        <is>
          <t>BLANCA TARDIA</t>
        </is>
      </c>
      <c r="C13" s="5" t="inlineStr">
        <is>
          <t>WARNING</t>
        </is>
      </c>
      <c r="D13" s="5" t="inlineStr">
        <is>
          <t>Warning</t>
        </is>
      </c>
      <c r="E13" s="5" t="inlineStr">
        <is>
          <t>No existe tarifa BonCalidad para socio=1614 campaña=2026 empresa=1 cultivo=INDUSTRIA.</t>
        </is>
      </c>
      <c r="F13" s="6" t="n">
        <v>46231.74575749142</v>
      </c>
      <c r="G13" s="5" t="inlineStr">
        <is>
          <t>WARNING</t>
        </is>
      </c>
    </row>
    <row r="14">
      <c r="A14" s="5" t="n">
        <v>2322</v>
      </c>
      <c r="B14" s="5" t="inlineStr">
        <is>
          <t>BLANCA TEMPRANA</t>
        </is>
      </c>
      <c r="C14" s="5" t="inlineStr">
        <is>
          <t>WARNING</t>
        </is>
      </c>
      <c r="D14" s="5" t="inlineStr">
        <is>
          <t>Warning</t>
        </is>
      </c>
      <c r="E14" s="5" t="inlineStr">
        <is>
          <t>204 entregas ya figuran como liquidadas.</t>
        </is>
      </c>
      <c r="F14" s="6" t="n">
        <v>46231.74575749142</v>
      </c>
      <c r="G14" s="5" t="inlineStr">
        <is>
          <t>WARNING</t>
        </is>
      </c>
    </row>
    <row r="15">
      <c r="A15" s="5" t="n">
        <v>2322</v>
      </c>
      <c r="B15" s="5" t="inlineStr">
        <is>
          <t>BLANCA TEMPRANA</t>
        </is>
      </c>
      <c r="C15" s="5" t="inlineStr">
        <is>
          <t>WARNING</t>
        </is>
      </c>
      <c r="D15" s="5" t="inlineStr">
        <is>
          <t>Warning</t>
        </is>
      </c>
      <c r="E15" s="5" t="inlineStr">
        <is>
          <t>No existe tarifa BonCalidad para socio=453 campaña=2026 empresa=1 cultivo=INDUSTRIA.</t>
        </is>
      </c>
      <c r="F15" s="6" t="n">
        <v>46231.74575749142</v>
      </c>
      <c r="G15" s="5" t="inlineStr">
        <is>
          <t>WARNING</t>
        </is>
      </c>
    </row>
    <row r="16">
      <c r="A16" s="5" t="n">
        <v>2322</v>
      </c>
      <c r="B16" s="5" t="inlineStr">
        <is>
          <t>BLANCA TEMPRANA</t>
        </is>
      </c>
      <c r="C16" s="5" t="inlineStr">
        <is>
          <t>WARNING</t>
        </is>
      </c>
      <c r="D16" s="5" t="inlineStr">
        <is>
          <t>Warning</t>
        </is>
      </c>
      <c r="E16" s="5" t="inlineStr">
        <is>
          <t>No existe fuente acumulada disponible; saldo informativo calculado con cuota ya aplicada = 0.</t>
        </is>
      </c>
      <c r="F16" s="6" t="n">
        <v>46231.74575749142</v>
      </c>
      <c r="G16" s="5" t="inlineStr">
        <is>
          <t>WARNING</t>
        </is>
      </c>
    </row>
    <row r="17">
      <c r="A17" s="5" t="n">
        <v>2322</v>
      </c>
      <c r="B17" s="5" t="inlineStr">
        <is>
          <t>BLANCA TEMPRANA</t>
        </is>
      </c>
      <c r="C17" s="5" t="inlineStr">
        <is>
          <t>WARNING</t>
        </is>
      </c>
      <c r="D17" s="5" t="inlineStr">
        <is>
          <t>Warning</t>
        </is>
      </c>
      <c r="E17" s="5" t="inlineStr">
        <is>
          <t>No existe tarifa BonCalidad para socio=466 campaña=2026 empresa=1 cultivo=INDUSTRIA.</t>
        </is>
      </c>
      <c r="F17" s="6" t="n">
        <v>46231.74575749142</v>
      </c>
      <c r="G17" s="5" t="inlineStr">
        <is>
          <t>WARNING</t>
        </is>
      </c>
    </row>
    <row r="18">
      <c r="A18" s="5" t="n">
        <v>2322</v>
      </c>
      <c r="B18" s="5" t="inlineStr">
        <is>
          <t>BLANCA TEMPRANA</t>
        </is>
      </c>
      <c r="C18" s="5" t="inlineStr">
        <is>
          <t>WARNING</t>
        </is>
      </c>
      <c r="D18" s="5" t="inlineStr">
        <is>
          <t>Warning</t>
        </is>
      </c>
      <c r="E18" s="5" t="inlineStr">
        <is>
          <t>No existe tarifa BonCalidad para socio=798 campaña=2026 empresa=1 cultivo=INDUSTRIA.</t>
        </is>
      </c>
      <c r="F18" s="6" t="n">
        <v>46231.74575749142</v>
      </c>
      <c r="G18" s="5" t="inlineStr">
        <is>
          <t>WARNING</t>
        </is>
      </c>
    </row>
    <row r="19">
      <c r="A19" s="5" t="n">
        <v>2322</v>
      </c>
      <c r="B19" s="5" t="inlineStr">
        <is>
          <t>BLANCA TEMPRANA</t>
        </is>
      </c>
      <c r="C19" s="5" t="inlineStr">
        <is>
          <t>WARNING</t>
        </is>
      </c>
      <c r="D19" s="5" t="inlineStr">
        <is>
          <t>Warning</t>
        </is>
      </c>
      <c r="E19" s="5" t="inlineStr">
        <is>
          <t>No existe tarifa BonCalidad para socio=824 campaña=2026 empresa=1 cultivo=INDUSTRIA.</t>
        </is>
      </c>
      <c r="F19" s="6" t="n">
        <v>46231.74575749142</v>
      </c>
      <c r="G19" s="5" t="inlineStr">
        <is>
          <t>WARNING</t>
        </is>
      </c>
    </row>
    <row r="20">
      <c r="A20" s="5" t="n">
        <v>2322</v>
      </c>
      <c r="B20" s="5" t="inlineStr">
        <is>
          <t>BLANCA TEMPRANA</t>
        </is>
      </c>
      <c r="C20" s="5" t="inlineStr">
        <is>
          <t>WARNING</t>
        </is>
      </c>
      <c r="D20" s="5" t="inlineStr">
        <is>
          <t>Warning</t>
        </is>
      </c>
      <c r="E20" s="5" t="inlineStr">
        <is>
          <t>No existe tarifa BonCalidad para socio=883 campaña=2026 empresa=1 cultivo=INDUSTRIA.</t>
        </is>
      </c>
      <c r="F20" s="6" t="n">
        <v>46231.74575749142</v>
      </c>
      <c r="G20" s="5" t="inlineStr">
        <is>
          <t>WARNING</t>
        </is>
      </c>
    </row>
    <row r="21">
      <c r="A21" s="5" t="n">
        <v>2322</v>
      </c>
      <c r="B21" s="5" t="inlineStr">
        <is>
          <t>BLANCA TEMPRANA</t>
        </is>
      </c>
      <c r="C21" s="5" t="inlineStr">
        <is>
          <t>WARNING</t>
        </is>
      </c>
      <c r="D21" s="5" t="inlineStr">
        <is>
          <t>Warning</t>
        </is>
      </c>
      <c r="E21" s="5" t="inlineStr">
        <is>
          <t>No existe tarifa BonCalidad para socio=937 campaña=2026 empresa=1 cultivo=INDUSTRIA.</t>
        </is>
      </c>
      <c r="F21" s="6" t="n">
        <v>46231.74575749142</v>
      </c>
      <c r="G21" s="5" t="inlineStr">
        <is>
          <t>WARNING</t>
        </is>
      </c>
    </row>
    <row r="22">
      <c r="A22" s="5" t="n">
        <v>2322</v>
      </c>
      <c r="B22" s="5" t="inlineStr">
        <is>
          <t>BLANCA TEMPRANA</t>
        </is>
      </c>
      <c r="C22" s="5" t="inlineStr">
        <is>
          <t>WARNING</t>
        </is>
      </c>
      <c r="D22" s="5" t="inlineStr">
        <is>
          <t>Warning</t>
        </is>
      </c>
      <c r="E22" s="5" t="inlineStr">
        <is>
          <t>No existe tarifa BonCalidad para socio=963 campaña=2026 empresa=1 cultivo=INDUSTRIA.</t>
        </is>
      </c>
      <c r="F22" s="6" t="n">
        <v>46231.74575749142</v>
      </c>
      <c r="G22" s="5" t="inlineStr">
        <is>
          <t>WARNING</t>
        </is>
      </c>
    </row>
    <row r="23">
      <c r="A23" s="5" t="n">
        <v>2322</v>
      </c>
      <c r="B23" s="5" t="inlineStr">
        <is>
          <t>BLANCA TEMPRANA</t>
        </is>
      </c>
      <c r="C23" s="5" t="inlineStr">
        <is>
          <t>WARNING</t>
        </is>
      </c>
      <c r="D23" s="5" t="inlineStr">
        <is>
          <t>Warning</t>
        </is>
      </c>
      <c r="E23" s="5" t="inlineStr">
        <is>
          <t>Cuota Ha no aplicable: sin superficie sujeta a cuota.</t>
        </is>
      </c>
      <c r="F23" s="6" t="n">
        <v>46231.74575749142</v>
      </c>
      <c r="G23" s="5" t="inlineStr">
        <is>
          <t>WARNING</t>
        </is>
      </c>
    </row>
    <row r="24">
      <c r="A24" s="5" t="n">
        <v>2322</v>
      </c>
      <c r="B24" s="5" t="inlineStr">
        <is>
          <t>BLANCA TEMPRANA</t>
        </is>
      </c>
      <c r="C24" s="5" t="inlineStr">
        <is>
          <t>WARNING</t>
        </is>
      </c>
      <c r="D24" s="5" t="inlineStr">
        <is>
          <t>Warning</t>
        </is>
      </c>
      <c r="E24" s="5" t="inlineStr">
        <is>
          <t>No existe tarifa BonCalidad para socio=989 campaña=2026 empresa=1 cultivo=INDUSTRIA.</t>
        </is>
      </c>
      <c r="F24" s="6" t="n">
        <v>46231.74575749142</v>
      </c>
      <c r="G24" s="5" t="inlineStr">
        <is>
          <t>WARNING</t>
        </is>
      </c>
    </row>
    <row r="25">
      <c r="A25" s="5" t="n">
        <v>2322</v>
      </c>
      <c r="B25" s="5" t="inlineStr">
        <is>
          <t>BLANCA TEMPRANA</t>
        </is>
      </c>
      <c r="C25" s="5" t="inlineStr">
        <is>
          <t>WARNING</t>
        </is>
      </c>
      <c r="D25" s="5" t="inlineStr">
        <is>
          <t>Warning</t>
        </is>
      </c>
      <c r="E25" s="5" t="inlineStr">
        <is>
          <t>No existe tarifa BonCalidad para socio=994 campaña=2026 empresa=1 cultivo=INDUSTRIA.</t>
        </is>
      </c>
      <c r="F25" s="6" t="n">
        <v>46231.74575749142</v>
      </c>
      <c r="G25" s="5" t="inlineStr">
        <is>
          <t>WARNING</t>
        </is>
      </c>
    </row>
    <row r="26">
      <c r="A26" s="5" t="n">
        <v>2322</v>
      </c>
      <c r="B26" s="5" t="inlineStr">
        <is>
          <t>BLANCA TEMPRANA</t>
        </is>
      </c>
      <c r="C26" s="5" t="inlineStr">
        <is>
          <t>WARNING</t>
        </is>
      </c>
      <c r="D26" s="5" t="inlineStr">
        <is>
          <t>Warning</t>
        </is>
      </c>
      <c r="E26" s="5" t="inlineStr">
        <is>
          <t>No existe tarifa BonCalidad para socio=1111 campaña=2026 empresa=1 cultivo=INDUSTRIA.</t>
        </is>
      </c>
      <c r="F26" s="6" t="n">
        <v>46231.74575749142</v>
      </c>
      <c r="G26" s="5" t="inlineStr">
        <is>
          <t>WARNING</t>
        </is>
      </c>
    </row>
    <row r="27">
      <c r="A27" s="5" t="n">
        <v>2322</v>
      </c>
      <c r="B27" s="5" t="inlineStr">
        <is>
          <t>BLANCA TEMPRANA</t>
        </is>
      </c>
      <c r="C27" s="5" t="inlineStr">
        <is>
          <t>WARNING</t>
        </is>
      </c>
      <c r="D27" s="5" t="inlineStr">
        <is>
          <t>Warning</t>
        </is>
      </c>
      <c r="E27" s="5" t="inlineStr">
        <is>
          <t>No existe tarifa BonCalidad para socio=1124 campaña=2026 empresa=1 cultivo=INDUSTRIA.</t>
        </is>
      </c>
      <c r="F27" s="6" t="n">
        <v>46231.74575749142</v>
      </c>
      <c r="G27" s="5" t="inlineStr">
        <is>
          <t>WARNING</t>
        </is>
      </c>
    </row>
    <row r="28">
      <c r="A28" s="5" t="n">
        <v>2322</v>
      </c>
      <c r="B28" s="5" t="inlineStr">
        <is>
          <t>BLANCA TEMPRANA</t>
        </is>
      </c>
      <c r="C28" s="5" t="inlineStr">
        <is>
          <t>WARNING</t>
        </is>
      </c>
      <c r="D28" s="5" t="inlineStr">
        <is>
          <t>Warning</t>
        </is>
      </c>
      <c r="E28" s="5" t="inlineStr">
        <is>
          <t>No existe tarifa BonCalidad para socio=1126 campaña=2026 empresa=1 cultivo=INDUSTRIA.</t>
        </is>
      </c>
      <c r="F28" s="6" t="n">
        <v>46231.74575749142</v>
      </c>
      <c r="G28" s="5" t="inlineStr">
        <is>
          <t>WARNING</t>
        </is>
      </c>
    </row>
    <row r="29">
      <c r="A29" s="5" t="n">
        <v>2322</v>
      </c>
      <c r="B29" s="5" t="inlineStr">
        <is>
          <t>BLANCA TEMPRANA</t>
        </is>
      </c>
      <c r="C29" s="5" t="inlineStr">
        <is>
          <t>WARNING</t>
        </is>
      </c>
      <c r="D29" s="5" t="inlineStr">
        <is>
          <t>Warning</t>
        </is>
      </c>
      <c r="E29" s="5" t="inlineStr">
        <is>
          <t>No existe tarifa BonCalidad para socio=1128 campaña=2026 empresa=1 cultivo=INDUSTRIA.</t>
        </is>
      </c>
      <c r="F29" s="6" t="n">
        <v>46231.74575749142</v>
      </c>
      <c r="G29" s="5" t="inlineStr">
        <is>
          <t>WARNING</t>
        </is>
      </c>
    </row>
    <row r="30">
      <c r="A30" s="5" t="n">
        <v>2322</v>
      </c>
      <c r="B30" s="5" t="inlineStr">
        <is>
          <t>BLANCA TEMPRANA</t>
        </is>
      </c>
      <c r="C30" s="5" t="inlineStr">
        <is>
          <t>WARNING</t>
        </is>
      </c>
      <c r="D30" s="5" t="inlineStr">
        <is>
          <t>Warning</t>
        </is>
      </c>
      <c r="E30" s="5" t="inlineStr">
        <is>
          <t>No existe tarifa BonCalidad para socio=1133 campaña=2026 empresa=1 cultivo=INDUSTRIA.</t>
        </is>
      </c>
      <c r="F30" s="6" t="n">
        <v>46231.74575749142</v>
      </c>
      <c r="G30" s="5" t="inlineStr">
        <is>
          <t>WARNING</t>
        </is>
      </c>
    </row>
    <row r="31">
      <c r="A31" s="5" t="n">
        <v>2322</v>
      </c>
      <c r="B31" s="5" t="inlineStr">
        <is>
          <t>BLANCA TEMPRANA</t>
        </is>
      </c>
      <c r="C31" s="5" t="inlineStr">
        <is>
          <t>WARNING</t>
        </is>
      </c>
      <c r="D31" s="5" t="inlineStr">
        <is>
          <t>Warning</t>
        </is>
      </c>
      <c r="E31" s="5" t="inlineStr">
        <is>
          <t>No existe tarifa BonCalidad para socio=1178 campaña=2026 empresa=1 cultivo=INDUSTRIA.</t>
        </is>
      </c>
      <c r="F31" s="6" t="n">
        <v>46231.74575749142</v>
      </c>
      <c r="G31" s="5" t="inlineStr">
        <is>
          <t>WARNING</t>
        </is>
      </c>
    </row>
    <row r="32">
      <c r="A32" s="5" t="n">
        <v>2322</v>
      </c>
      <c r="B32" s="5" t="inlineStr">
        <is>
          <t>BLANCA TEMPRANA</t>
        </is>
      </c>
      <c r="C32" s="5" t="inlineStr">
        <is>
          <t>WARNING</t>
        </is>
      </c>
      <c r="D32" s="5" t="inlineStr">
        <is>
          <t>Warning</t>
        </is>
      </c>
      <c r="E32" s="5" t="inlineStr">
        <is>
          <t>No existe tarifa BonCalidad para socio=1202 campaña=2026 empresa=1 cultivo=INDUSTRIA.</t>
        </is>
      </c>
      <c r="F32" s="6" t="n">
        <v>46231.74575749142</v>
      </c>
      <c r="G32" s="5" t="inlineStr">
        <is>
          <t>WARNING</t>
        </is>
      </c>
    </row>
    <row r="33">
      <c r="A33" s="5" t="n">
        <v>2322</v>
      </c>
      <c r="B33" s="5" t="inlineStr">
        <is>
          <t>BLANCA TEMPRANA</t>
        </is>
      </c>
      <c r="C33" s="5" t="inlineStr">
        <is>
          <t>WARNING</t>
        </is>
      </c>
      <c r="D33" s="5" t="inlineStr">
        <is>
          <t>Warning</t>
        </is>
      </c>
      <c r="E33" s="5" t="inlineStr">
        <is>
          <t>No existe tarifa BonCalidad para socio=1219 campaña=2026 empresa=1 cultivo=INDUSTRIA.</t>
        </is>
      </c>
      <c r="F33" s="6" t="n">
        <v>46231.74575749142</v>
      </c>
      <c r="G33" s="5" t="inlineStr">
        <is>
          <t>WARNING</t>
        </is>
      </c>
    </row>
    <row r="34">
      <c r="A34" s="5" t="n">
        <v>2322</v>
      </c>
      <c r="B34" s="5" t="inlineStr">
        <is>
          <t>BLANCA TEMPRANA</t>
        </is>
      </c>
      <c r="C34" s="5" t="inlineStr">
        <is>
          <t>WARNING</t>
        </is>
      </c>
      <c r="D34" s="5" t="inlineStr">
        <is>
          <t>Warning</t>
        </is>
      </c>
      <c r="E34" s="5" t="inlineStr">
        <is>
          <t>No existe tarifa BonCalidad para socio=1251 campaña=2026 empresa=1 cultivo=INDUSTRIA.</t>
        </is>
      </c>
      <c r="F34" s="6" t="n">
        <v>46231.74575749142</v>
      </c>
      <c r="G34" s="5" t="inlineStr">
        <is>
          <t>WARNING</t>
        </is>
      </c>
    </row>
    <row r="35">
      <c r="A35" s="5" t="n">
        <v>2322</v>
      </c>
      <c r="B35" s="5" t="inlineStr">
        <is>
          <t>BLANCA TEMPRANA</t>
        </is>
      </c>
      <c r="C35" s="5" t="inlineStr">
        <is>
          <t>WARNING</t>
        </is>
      </c>
      <c r="D35" s="5" t="inlineStr">
        <is>
          <t>Warning</t>
        </is>
      </c>
      <c r="E35" s="5" t="inlineStr">
        <is>
          <t>No existe tarifa BonCalidad para socio=1272 campaña=2026 empresa=1 cultivo=INDUSTRIA.</t>
        </is>
      </c>
      <c r="F35" s="6" t="n">
        <v>46231.74575749142</v>
      </c>
      <c r="G35" s="5" t="inlineStr">
        <is>
          <t>WARNING</t>
        </is>
      </c>
    </row>
    <row r="36">
      <c r="A36" s="5" t="n">
        <v>2322</v>
      </c>
      <c r="B36" s="5" t="inlineStr">
        <is>
          <t>BLANCA TEMPRANA</t>
        </is>
      </c>
      <c r="C36" s="5" t="inlineStr">
        <is>
          <t>WARNING</t>
        </is>
      </c>
      <c r="D36" s="5" t="inlineStr">
        <is>
          <t>Warning</t>
        </is>
      </c>
      <c r="E36" s="5" t="inlineStr">
        <is>
          <t>No existe tarifa BonCalidad para socio=1280 campaña=2026 empresa=1 cultivo=INDUSTRIA.</t>
        </is>
      </c>
      <c r="F36" s="6" t="n">
        <v>46231.74575749142</v>
      </c>
      <c r="G36" s="5" t="inlineStr">
        <is>
          <t>WARNING</t>
        </is>
      </c>
    </row>
    <row r="37">
      <c r="A37" s="5" t="n">
        <v>2322</v>
      </c>
      <c r="B37" s="5" t="inlineStr">
        <is>
          <t>BLANCA TEMPRANA</t>
        </is>
      </c>
      <c r="C37" s="5" t="inlineStr">
        <is>
          <t>WARNING</t>
        </is>
      </c>
      <c r="D37" s="5" t="inlineStr">
        <is>
          <t>Warning</t>
        </is>
      </c>
      <c r="E37" s="5" t="inlineStr">
        <is>
          <t>No existe tarifa BonCalidad para socio=1283 campaña=2026 empresa=1 cultivo=INDUSTRIA.</t>
        </is>
      </c>
      <c r="F37" s="6" t="n">
        <v>46231.74575749142</v>
      </c>
      <c r="G37" s="5" t="inlineStr">
        <is>
          <t>WARNING</t>
        </is>
      </c>
    </row>
    <row r="38">
      <c r="A38" s="5" t="n">
        <v>2322</v>
      </c>
      <c r="B38" s="5" t="inlineStr">
        <is>
          <t>BLANCA TEMPRANA</t>
        </is>
      </c>
      <c r="C38" s="5" t="inlineStr">
        <is>
          <t>WARNING</t>
        </is>
      </c>
      <c r="D38" s="5" t="inlineStr">
        <is>
          <t>Warning</t>
        </is>
      </c>
      <c r="E38" s="5" t="inlineStr">
        <is>
          <t>No existe tarifa BonCalidad para socio=1313 campaña=2026 empresa=1 cultivo=INDUSTRIA.</t>
        </is>
      </c>
      <c r="F38" s="6" t="n">
        <v>46231.74575749142</v>
      </c>
      <c r="G38" s="5" t="inlineStr">
        <is>
          <t>WARNING</t>
        </is>
      </c>
    </row>
    <row r="39">
      <c r="A39" s="5" t="n">
        <v>2322</v>
      </c>
      <c r="B39" s="5" t="inlineStr">
        <is>
          <t>BLANCA TEMPRANA</t>
        </is>
      </c>
      <c r="C39" s="5" t="inlineStr">
        <is>
          <t>WARNING</t>
        </is>
      </c>
      <c r="D39" s="5" t="inlineStr">
        <is>
          <t>Warning</t>
        </is>
      </c>
      <c r="E39" s="5" t="inlineStr">
        <is>
          <t>No existe tarifa BonCalidad para socio=1350 campaña=2026 empresa=1 cultivo=INDUSTRIA.</t>
        </is>
      </c>
      <c r="F39" s="6" t="n">
        <v>46231.74575749142</v>
      </c>
      <c r="G39" s="5" t="inlineStr">
        <is>
          <t>WARNING</t>
        </is>
      </c>
    </row>
    <row r="40">
      <c r="A40" s="5" t="n">
        <v>2322</v>
      </c>
      <c r="B40" s="5" t="inlineStr">
        <is>
          <t>BLANCA TEMPRANA</t>
        </is>
      </c>
      <c r="C40" s="5" t="inlineStr">
        <is>
          <t>WARNING</t>
        </is>
      </c>
      <c r="D40" s="5" t="inlineStr">
        <is>
          <t>Warning</t>
        </is>
      </c>
      <c r="E40" s="5" t="inlineStr">
        <is>
          <t>El socio 1350 figura certificado GlobalGAP en CITRICOS pero no en CITRICOS. Se ha aplicado la certificación global del socio. Revise DEEPP.</t>
        </is>
      </c>
      <c r="F40" s="6" t="n">
        <v>46231.74575749142</v>
      </c>
      <c r="G40" s="5" t="inlineStr">
        <is>
          <t>WARNING</t>
        </is>
      </c>
    </row>
    <row r="41">
      <c r="A41" s="5" t="n">
        <v>2322</v>
      </c>
      <c r="B41" s="5" t="inlineStr">
        <is>
          <t>BLANCA TEMPRANA</t>
        </is>
      </c>
      <c r="C41" s="5" t="inlineStr">
        <is>
          <t>WARNING</t>
        </is>
      </c>
      <c r="D41" s="5" t="inlineStr">
        <is>
          <t>Warning</t>
        </is>
      </c>
      <c r="E41" s="5" t="inlineStr">
        <is>
          <t>No existe tarifa BonCalidad para socio=1354 campaña=2026 empresa=1 cultivo=INDUSTRIA.</t>
        </is>
      </c>
      <c r="F41" s="6" t="n">
        <v>46231.74575749142</v>
      </c>
      <c r="G41" s="5" t="inlineStr">
        <is>
          <t>WARNING</t>
        </is>
      </c>
    </row>
    <row r="42">
      <c r="A42" s="5" t="n">
        <v>2322</v>
      </c>
      <c r="B42" s="5" t="inlineStr">
        <is>
          <t>BLANCA TEMPRANA</t>
        </is>
      </c>
      <c r="C42" s="5" t="inlineStr">
        <is>
          <t>WARNING</t>
        </is>
      </c>
      <c r="D42" s="5" t="inlineStr">
        <is>
          <t>Warning</t>
        </is>
      </c>
      <c r="E42" s="5" t="inlineStr">
        <is>
          <t>No existe tarifa BonCalidad para socio=1355 campaña=2026 empresa=1 cultivo=INDUSTRIA.</t>
        </is>
      </c>
      <c r="F42" s="6" t="n">
        <v>46231.74575749142</v>
      </c>
      <c r="G42" s="5" t="inlineStr">
        <is>
          <t>WARNING</t>
        </is>
      </c>
    </row>
    <row r="43">
      <c r="A43" s="5" t="n">
        <v>2322</v>
      </c>
      <c r="B43" s="5" t="inlineStr">
        <is>
          <t>BLANCA TEMPRANA</t>
        </is>
      </c>
      <c r="C43" s="5" t="inlineStr">
        <is>
          <t>WARNING</t>
        </is>
      </c>
      <c r="D43" s="5" t="inlineStr">
        <is>
          <t>Warning</t>
        </is>
      </c>
      <c r="E43" s="5" t="inlineStr">
        <is>
          <t>No existe tarifa BonCalidad para socio=1374 campaña=2026 empresa=1 cultivo=INDUSTRIA.</t>
        </is>
      </c>
      <c r="F43" s="6" t="n">
        <v>46231.74575749142</v>
      </c>
      <c r="G43" s="5" t="inlineStr">
        <is>
          <t>WARNING</t>
        </is>
      </c>
    </row>
    <row r="44">
      <c r="A44" s="5" t="n">
        <v>2322</v>
      </c>
      <c r="B44" s="5" t="inlineStr">
        <is>
          <t>BLANCA TEMPRANA</t>
        </is>
      </c>
      <c r="C44" s="5" t="inlineStr">
        <is>
          <t>WARNING</t>
        </is>
      </c>
      <c r="D44" s="5" t="inlineStr">
        <is>
          <t>Warning</t>
        </is>
      </c>
      <c r="E44" s="5" t="inlineStr">
        <is>
          <t>No existe tarifa BonCalidad para socio=1411 campaña=2026 empresa=1 cultivo=INDUSTRIA.</t>
        </is>
      </c>
      <c r="F44" s="6" t="n">
        <v>46231.74575749142</v>
      </c>
      <c r="G44" s="5" t="inlineStr">
        <is>
          <t>WARNING</t>
        </is>
      </c>
    </row>
    <row r="45">
      <c r="A45" s="5" t="n">
        <v>2322</v>
      </c>
      <c r="B45" s="5" t="inlineStr">
        <is>
          <t>BLANCA TEMPRANA</t>
        </is>
      </c>
      <c r="C45" s="5" t="inlineStr">
        <is>
          <t>WARNING</t>
        </is>
      </c>
      <c r="D45" s="5" t="inlineStr">
        <is>
          <t>Warning</t>
        </is>
      </c>
      <c r="E45" s="5" t="inlineStr">
        <is>
          <t>No existe tarifa BonCalidad para socio=1443 campaña=2026 empresa=1 cultivo=INDUSTRIA.</t>
        </is>
      </c>
      <c r="F45" s="6" t="n">
        <v>46231.74575749142</v>
      </c>
      <c r="G45" s="5" t="inlineStr">
        <is>
          <t>WARNING</t>
        </is>
      </c>
    </row>
    <row r="46">
      <c r="A46" s="5" t="n">
        <v>2322</v>
      </c>
      <c r="B46" s="5" t="inlineStr">
        <is>
          <t>BLANCA TEMPRANA</t>
        </is>
      </c>
      <c r="C46" s="5" t="inlineStr">
        <is>
          <t>WARNING</t>
        </is>
      </c>
      <c r="D46" s="5" t="inlineStr">
        <is>
          <t>Warning</t>
        </is>
      </c>
      <c r="E46" s="5" t="inlineStr">
        <is>
          <t>No existe tarifa BonCalidad para socio=1445 campaña=2026 empresa=1 cultivo=INDUSTRIA.</t>
        </is>
      </c>
      <c r="F46" s="6" t="n">
        <v>46231.74575749142</v>
      </c>
      <c r="G46" s="5" t="inlineStr">
        <is>
          <t>WARNING</t>
        </is>
      </c>
    </row>
    <row r="47">
      <c r="A47" s="5" t="n">
        <v>2322</v>
      </c>
      <c r="B47" s="5" t="inlineStr">
        <is>
          <t>BLANCA TEMPRANA</t>
        </is>
      </c>
      <c r="C47" s="5" t="inlineStr">
        <is>
          <t>WARNING</t>
        </is>
      </c>
      <c r="D47" s="5" t="inlineStr">
        <is>
          <t>Warning</t>
        </is>
      </c>
      <c r="E47" s="5" t="inlineStr">
        <is>
          <t>No existe tarifa BonCalidad para socio=1459 campaña=2026 empresa=1 cultivo=INDUSTRIA.</t>
        </is>
      </c>
      <c r="F47" s="6" t="n">
        <v>46231.74575749142</v>
      </c>
      <c r="G47" s="5" t="inlineStr">
        <is>
          <t>WARNING</t>
        </is>
      </c>
    </row>
    <row r="48">
      <c r="A48" s="5" t="n">
        <v>2322</v>
      </c>
      <c r="B48" s="5" t="inlineStr">
        <is>
          <t>BLANCA TEMPRANA</t>
        </is>
      </c>
      <c r="C48" s="5" t="inlineStr">
        <is>
          <t>WARNING</t>
        </is>
      </c>
      <c r="D48" s="5" t="inlineStr">
        <is>
          <t>Warning</t>
        </is>
      </c>
      <c r="E48" s="5" t="inlineStr">
        <is>
          <t>No existe tarifa BonCalidad para socio=1462 campaña=2026 empresa=1 cultivo=INDUSTRIA.</t>
        </is>
      </c>
      <c r="F48" s="6" t="n">
        <v>46231.74575749142</v>
      </c>
      <c r="G48" s="5" t="inlineStr">
        <is>
          <t>WARNING</t>
        </is>
      </c>
    </row>
    <row r="49">
      <c r="A49" s="5" t="n">
        <v>2322</v>
      </c>
      <c r="B49" s="5" t="inlineStr">
        <is>
          <t>BLANCA TEMPRANA</t>
        </is>
      </c>
      <c r="C49" s="5" t="inlineStr">
        <is>
          <t>WARNING</t>
        </is>
      </c>
      <c r="D49" s="5" t="inlineStr">
        <is>
          <t>Warning</t>
        </is>
      </c>
      <c r="E49" s="5" t="inlineStr">
        <is>
          <t>No existe tarifa BonCalidad para socio=1467 campaña=2026 empresa=1 cultivo=INDUSTRIA.</t>
        </is>
      </c>
      <c r="F49" s="6" t="n">
        <v>46231.74575749142</v>
      </c>
      <c r="G49" s="5" t="inlineStr">
        <is>
          <t>WARNING</t>
        </is>
      </c>
    </row>
    <row r="50">
      <c r="A50" s="5" t="n">
        <v>2322</v>
      </c>
      <c r="B50" s="5" t="inlineStr">
        <is>
          <t>BLANCA TEMPRANA</t>
        </is>
      </c>
      <c r="C50" s="5" t="inlineStr">
        <is>
          <t>WARNING</t>
        </is>
      </c>
      <c r="D50" s="5" t="inlineStr">
        <is>
          <t>Warning</t>
        </is>
      </c>
      <c r="E50" s="5" t="inlineStr">
        <is>
          <t>No existe tarifa BonCalidad para socio=1470 campaña=2026 empresa=1 cultivo=INDUSTRIA.</t>
        </is>
      </c>
      <c r="F50" s="6" t="n">
        <v>46231.74575749142</v>
      </c>
      <c r="G50" s="5" t="inlineStr">
        <is>
          <t>WARNING</t>
        </is>
      </c>
    </row>
    <row r="51">
      <c r="A51" s="5" t="n">
        <v>2322</v>
      </c>
      <c r="B51" s="5" t="inlineStr">
        <is>
          <t>BLANCA TEMPRANA</t>
        </is>
      </c>
      <c r="C51" s="5" t="inlineStr">
        <is>
          <t>WARNING</t>
        </is>
      </c>
      <c r="D51" s="5" t="inlineStr">
        <is>
          <t>Warning</t>
        </is>
      </c>
      <c r="E51" s="5" t="inlineStr">
        <is>
          <t>No existe tarifa BonCalidad para socio=1471 campaña=2026 empresa=1 cultivo=INDUSTRIA.</t>
        </is>
      </c>
      <c r="F51" s="6" t="n">
        <v>46231.74575749142</v>
      </c>
      <c r="G51" s="5" t="inlineStr">
        <is>
          <t>WARNING</t>
        </is>
      </c>
    </row>
    <row r="52">
      <c r="A52" s="5" t="n">
        <v>2322</v>
      </c>
      <c r="B52" s="5" t="inlineStr">
        <is>
          <t>BLANCA TEMPRANA</t>
        </is>
      </c>
      <c r="C52" s="5" t="inlineStr">
        <is>
          <t>WARNING</t>
        </is>
      </c>
      <c r="D52" s="5" t="inlineStr">
        <is>
          <t>Warning</t>
        </is>
      </c>
      <c r="E52" s="5" t="inlineStr">
        <is>
          <t>No existe tarifa BonCalidad para socio=1485 campaña=2026 empresa=1 cultivo=INDUSTRIA.</t>
        </is>
      </c>
      <c r="F52" s="6" t="n">
        <v>46231.74575749142</v>
      </c>
      <c r="G52" s="5" t="inlineStr">
        <is>
          <t>WARNING</t>
        </is>
      </c>
    </row>
    <row r="53">
      <c r="A53" s="5" t="n">
        <v>2322</v>
      </c>
      <c r="B53" s="5" t="inlineStr">
        <is>
          <t>BLANCA TEMPRANA</t>
        </is>
      </c>
      <c r="C53" s="5" t="inlineStr">
        <is>
          <t>WARNING</t>
        </is>
      </c>
      <c r="D53" s="5" t="inlineStr">
        <is>
          <t>Warning</t>
        </is>
      </c>
      <c r="E53" s="5" t="inlineStr">
        <is>
          <t>No existe tarifa BonCalidad para socio=1487 campaña=2026 empresa=1 cultivo=INDUSTRIA.</t>
        </is>
      </c>
      <c r="F53" s="6" t="n">
        <v>46231.74575749142</v>
      </c>
      <c r="G53" s="5" t="inlineStr">
        <is>
          <t>WARNING</t>
        </is>
      </c>
    </row>
    <row r="54">
      <c r="A54" s="5" t="n">
        <v>2322</v>
      </c>
      <c r="B54" s="5" t="inlineStr">
        <is>
          <t>BLANCA TEMPRANA</t>
        </is>
      </c>
      <c r="C54" s="5" t="inlineStr">
        <is>
          <t>WARNING</t>
        </is>
      </c>
      <c r="D54" s="5" t="inlineStr">
        <is>
          <t>Warning</t>
        </is>
      </c>
      <c r="E54" s="5" t="inlineStr">
        <is>
          <t>No existe tarifa BonCalidad para socio=1512 campaña=2026 empresa=1 cultivo=INDUSTRIA.</t>
        </is>
      </c>
      <c r="F54" s="6" t="n">
        <v>46231.74575749142</v>
      </c>
      <c r="G54" s="5" t="inlineStr">
        <is>
          <t>WARNING</t>
        </is>
      </c>
    </row>
    <row r="55">
      <c r="A55" s="5" t="n">
        <v>2322</v>
      </c>
      <c r="B55" s="5" t="inlineStr">
        <is>
          <t>BLANCA TEMPRANA</t>
        </is>
      </c>
      <c r="C55" s="5" t="inlineStr">
        <is>
          <t>WARNING</t>
        </is>
      </c>
      <c r="D55" s="5" t="inlineStr">
        <is>
          <t>Warning</t>
        </is>
      </c>
      <c r="E55" s="5" t="inlineStr">
        <is>
          <t>No existe tarifa BonCalidad para socio=1514 campaña=2026 empresa=1 cultivo=INDUSTRIA.</t>
        </is>
      </c>
      <c r="F55" s="6" t="n">
        <v>46231.74575749142</v>
      </c>
      <c r="G55" s="5" t="inlineStr">
        <is>
          <t>WARNING</t>
        </is>
      </c>
    </row>
    <row r="56">
      <c r="A56" s="5" t="n">
        <v>2322</v>
      </c>
      <c r="B56" s="5" t="inlineStr">
        <is>
          <t>BLANCA TEMPRANA</t>
        </is>
      </c>
      <c r="C56" s="5" t="inlineStr">
        <is>
          <t>WARNING</t>
        </is>
      </c>
      <c r="D56" s="5" t="inlineStr">
        <is>
          <t>Warning</t>
        </is>
      </c>
      <c r="E56" s="5" t="inlineStr">
        <is>
          <t>No existe tarifa BonCalidad para socio=1523 campaña=2026 empresa=1 cultivo=INDUSTRIA.</t>
        </is>
      </c>
      <c r="F56" s="6" t="n">
        <v>46231.74575749142</v>
      </c>
      <c r="G56" s="5" t="inlineStr">
        <is>
          <t>WARNING</t>
        </is>
      </c>
    </row>
    <row r="57">
      <c r="A57" s="5" t="n">
        <v>2322</v>
      </c>
      <c r="B57" s="5" t="inlineStr">
        <is>
          <t>BLANCA TEMPRANA</t>
        </is>
      </c>
      <c r="C57" s="5" t="inlineStr">
        <is>
          <t>WARNING</t>
        </is>
      </c>
      <c r="D57" s="5" t="inlineStr">
        <is>
          <t>Warning</t>
        </is>
      </c>
      <c r="E57" s="5" t="inlineStr">
        <is>
          <t>El socio 1523 figura certificado GlobalGAP en CITRICOS, KAKIS, MANDARINA pero no en CITRICOS. Se ha aplicado la certificación global del socio. Revise DEEPP.</t>
        </is>
      </c>
      <c r="F57" s="6" t="n">
        <v>46231.74575749142</v>
      </c>
      <c r="G57" s="5" t="inlineStr">
        <is>
          <t>WARNING</t>
        </is>
      </c>
    </row>
    <row r="58">
      <c r="A58" s="5" t="n">
        <v>2322</v>
      </c>
      <c r="B58" s="5" t="inlineStr">
        <is>
          <t>BLANCA TEMPRANA</t>
        </is>
      </c>
      <c r="C58" s="5" t="inlineStr">
        <is>
          <t>WARNING</t>
        </is>
      </c>
      <c r="D58" s="5" t="inlineStr">
        <is>
          <t>Warning</t>
        </is>
      </c>
      <c r="E58" s="5" t="inlineStr">
        <is>
          <t>No existe tarifa BonCalidad para socio=1542 campaña=2026 empresa=1 cultivo=INDUSTRIA.</t>
        </is>
      </c>
      <c r="F58" s="6" t="n">
        <v>46231.74575749142</v>
      </c>
      <c r="G58" s="5" t="inlineStr">
        <is>
          <t>WARNING</t>
        </is>
      </c>
    </row>
    <row r="59">
      <c r="A59" s="5" t="n">
        <v>2322</v>
      </c>
      <c r="B59" s="5" t="inlineStr">
        <is>
          <t>BLANCA TEMPRANA</t>
        </is>
      </c>
      <c r="C59" s="5" t="inlineStr">
        <is>
          <t>WARNING</t>
        </is>
      </c>
      <c r="D59" s="5" t="inlineStr">
        <is>
          <t>Warning</t>
        </is>
      </c>
      <c r="E59" s="5" t="inlineStr">
        <is>
          <t>No existe tarifa BonCalidad para socio=1544 campaña=2026 empresa=1 cultivo=INDUSTRIA.</t>
        </is>
      </c>
      <c r="F59" s="6" t="n">
        <v>46231.74575749142</v>
      </c>
      <c r="G59" s="5" t="inlineStr">
        <is>
          <t>WARNING</t>
        </is>
      </c>
    </row>
    <row r="60">
      <c r="A60" s="5" t="n">
        <v>2322</v>
      </c>
      <c r="B60" s="5" t="inlineStr">
        <is>
          <t>BLANCA TEMPRANA</t>
        </is>
      </c>
      <c r="C60" s="5" t="inlineStr">
        <is>
          <t>WARNING</t>
        </is>
      </c>
      <c r="D60" s="5" t="inlineStr">
        <is>
          <t>Warning</t>
        </is>
      </c>
      <c r="E60" s="5" t="inlineStr">
        <is>
          <t>No existe tarifa BonCalidad para socio=1546 campaña=2026 empresa=1 cultivo=INDUSTRIA.</t>
        </is>
      </c>
      <c r="F60" s="6" t="n">
        <v>46231.74575749142</v>
      </c>
      <c r="G60" s="5" t="inlineStr">
        <is>
          <t>WARNING</t>
        </is>
      </c>
    </row>
    <row r="61">
      <c r="A61" s="5" t="n">
        <v>2322</v>
      </c>
      <c r="B61" s="5" t="inlineStr">
        <is>
          <t>BLANCA TEMPRANA</t>
        </is>
      </c>
      <c r="C61" s="5" t="inlineStr">
        <is>
          <t>WARNING</t>
        </is>
      </c>
      <c r="D61" s="5" t="inlineStr">
        <is>
          <t>Warning</t>
        </is>
      </c>
      <c r="E61" s="5" t="inlineStr">
        <is>
          <t>No existe tarifa BonCalidad para socio=1561 campaña=2026 empresa=1 cultivo=INDUSTRIA.</t>
        </is>
      </c>
      <c r="F61" s="6" t="n">
        <v>46231.74575749142</v>
      </c>
      <c r="G61" s="5" t="inlineStr">
        <is>
          <t>WARNING</t>
        </is>
      </c>
    </row>
    <row r="62">
      <c r="A62" s="5" t="n">
        <v>2322</v>
      </c>
      <c r="B62" s="5" t="inlineStr">
        <is>
          <t>BLANCA TEMPRANA</t>
        </is>
      </c>
      <c r="C62" s="5" t="inlineStr">
        <is>
          <t>WARNING</t>
        </is>
      </c>
      <c r="D62" s="5" t="inlineStr">
        <is>
          <t>Warning</t>
        </is>
      </c>
      <c r="E62" s="5" t="inlineStr">
        <is>
          <t>No existe tarifa BonCalidad para socio=1562 campaña=2026 empresa=1 cultivo=INDUSTRIA.</t>
        </is>
      </c>
      <c r="F62" s="6" t="n">
        <v>46231.74575749142</v>
      </c>
      <c r="G62" s="5" t="inlineStr">
        <is>
          <t>WARNING</t>
        </is>
      </c>
    </row>
    <row r="63">
      <c r="A63" s="5" t="n">
        <v>2322</v>
      </c>
      <c r="B63" s="5" t="inlineStr">
        <is>
          <t>BLANCA TEMPRANA</t>
        </is>
      </c>
      <c r="C63" s="5" t="inlineStr">
        <is>
          <t>WARNING</t>
        </is>
      </c>
      <c r="D63" s="5" t="inlineStr">
        <is>
          <t>Warning</t>
        </is>
      </c>
      <c r="E63" s="5" t="inlineStr">
        <is>
          <t>No existe tarifa BonCalidad para socio=1564 campaña=2026 empresa=1 cultivo=INDUSTRIA.</t>
        </is>
      </c>
      <c r="F63" s="6" t="n">
        <v>46231.74575749142</v>
      </c>
      <c r="G63" s="5" t="inlineStr">
        <is>
          <t>WARNING</t>
        </is>
      </c>
    </row>
    <row r="64">
      <c r="A64" s="5" t="n">
        <v>2322</v>
      </c>
      <c r="B64" s="5" t="inlineStr">
        <is>
          <t>BLANCA TEMPRANA</t>
        </is>
      </c>
      <c r="C64" s="5" t="inlineStr">
        <is>
          <t>WARNING</t>
        </is>
      </c>
      <c r="D64" s="5" t="inlineStr">
        <is>
          <t>Warning</t>
        </is>
      </c>
      <c r="E64" s="5" t="inlineStr">
        <is>
          <t>No existe tarifa BonCalidad para socio=1577 campaña=2026 empresa=1 cultivo=INDUSTRIA.</t>
        </is>
      </c>
      <c r="F64" s="6" t="n">
        <v>46231.74575749142</v>
      </c>
      <c r="G64" s="5" t="inlineStr">
        <is>
          <t>WARNING</t>
        </is>
      </c>
    </row>
    <row r="65">
      <c r="A65" s="5" t="n">
        <v>2322</v>
      </c>
      <c r="B65" s="5" t="inlineStr">
        <is>
          <t>BLANCA TEMPRANA</t>
        </is>
      </c>
      <c r="C65" s="5" t="inlineStr">
        <is>
          <t>WARNING</t>
        </is>
      </c>
      <c r="D65" s="5" t="inlineStr">
        <is>
          <t>Warning</t>
        </is>
      </c>
      <c r="E65" s="5" t="inlineStr">
        <is>
          <t>No existe tarifa BonCalidad para socio=1579 campaña=2026 empresa=1 cultivo=INDUSTRIA.</t>
        </is>
      </c>
      <c r="F65" s="6" t="n">
        <v>46231.74575749142</v>
      </c>
      <c r="G65" s="5" t="inlineStr">
        <is>
          <t>WARNING</t>
        </is>
      </c>
    </row>
    <row r="66">
      <c r="A66" s="5" t="n">
        <v>2322</v>
      </c>
      <c r="B66" s="5" t="inlineStr">
        <is>
          <t>BLANCA TEMPRANA</t>
        </is>
      </c>
      <c r="C66" s="5" t="inlineStr">
        <is>
          <t>WARNING</t>
        </is>
      </c>
      <c r="D66" s="5" t="inlineStr">
        <is>
          <t>Warning</t>
        </is>
      </c>
      <c r="E66" s="5" t="inlineStr">
        <is>
          <t>No existe tarifa BonCalidad para socio=1582 campaña=2026 empresa=1 cultivo=INDUSTRIA.</t>
        </is>
      </c>
      <c r="F66" s="6" t="n">
        <v>46231.74575749142</v>
      </c>
      <c r="G66" s="5" t="inlineStr">
        <is>
          <t>WARNING</t>
        </is>
      </c>
    </row>
    <row r="67">
      <c r="A67" s="5" t="n">
        <v>2322</v>
      </c>
      <c r="B67" s="5" t="inlineStr">
        <is>
          <t>BLANCA TEMPRANA</t>
        </is>
      </c>
      <c r="C67" s="5" t="inlineStr">
        <is>
          <t>WARNING</t>
        </is>
      </c>
      <c r="D67" s="5" t="inlineStr">
        <is>
          <t>Warning</t>
        </is>
      </c>
      <c r="E67" s="5" t="inlineStr">
        <is>
          <t>No existe tarifa BonCalidad para socio=1585 campaña=2026 empresa=1 cultivo=INDUSTRIA.</t>
        </is>
      </c>
      <c r="F67" s="6" t="n">
        <v>46231.74575749142</v>
      </c>
      <c r="G67" s="5" t="inlineStr">
        <is>
          <t>WARNING</t>
        </is>
      </c>
    </row>
    <row r="68">
      <c r="A68" s="5" t="n">
        <v>2322</v>
      </c>
      <c r="B68" s="5" t="inlineStr">
        <is>
          <t>BLANCA TEMPRANA</t>
        </is>
      </c>
      <c r="C68" s="5" t="inlineStr">
        <is>
          <t>WARNING</t>
        </is>
      </c>
      <c r="D68" s="5" t="inlineStr">
        <is>
          <t>Warning</t>
        </is>
      </c>
      <c r="E68" s="5" t="inlineStr">
        <is>
          <t>No existe tarifa BonCalidad para socio=1589 campaña=2026 empresa=1 cultivo=INDUSTRIA.</t>
        </is>
      </c>
      <c r="F68" s="6" t="n">
        <v>46231.74575749142</v>
      </c>
      <c r="G68" s="5" t="inlineStr">
        <is>
          <t>WARNING</t>
        </is>
      </c>
    </row>
    <row r="69">
      <c r="A69" s="5" t="n">
        <v>2322</v>
      </c>
      <c r="B69" s="5" t="inlineStr">
        <is>
          <t>BLANCA TEMPRANA</t>
        </is>
      </c>
      <c r="C69" s="5" t="inlineStr">
        <is>
          <t>WARNING</t>
        </is>
      </c>
      <c r="D69" s="5" t="inlineStr">
        <is>
          <t>Warning</t>
        </is>
      </c>
      <c r="E69" s="5" t="inlineStr">
        <is>
          <t>No existe tarifa BonCalidad para socio=1590 campaña=2026 empresa=1 cultivo=INDUSTRIA.</t>
        </is>
      </c>
      <c r="F69" s="6" t="n">
        <v>46231.74575749142</v>
      </c>
      <c r="G69" s="5" t="inlineStr">
        <is>
          <t>WARNING</t>
        </is>
      </c>
    </row>
    <row r="70">
      <c r="A70" s="5" t="n">
        <v>2322</v>
      </c>
      <c r="B70" s="5" t="inlineStr">
        <is>
          <t>BLANCA TEMPRANA</t>
        </is>
      </c>
      <c r="C70" s="5" t="inlineStr">
        <is>
          <t>WARNING</t>
        </is>
      </c>
      <c r="D70" s="5" t="inlineStr">
        <is>
          <t>Warning</t>
        </is>
      </c>
      <c r="E70" s="5" t="inlineStr">
        <is>
          <t>No existe tarifa BonCalidad para socio=1612 campaña=2026 empresa=1 cultivo=INDUSTRIA.</t>
        </is>
      </c>
      <c r="F70" s="6" t="n">
        <v>46231.74575749142</v>
      </c>
      <c r="G70" s="5" t="inlineStr">
        <is>
          <t>WARNING</t>
        </is>
      </c>
    </row>
    <row r="71">
      <c r="A71" s="5" t="n">
        <v>2322</v>
      </c>
      <c r="B71" s="5" t="inlineStr">
        <is>
          <t>BLANCA TEMPRANA</t>
        </is>
      </c>
      <c r="C71" s="5" t="inlineStr">
        <is>
          <t>WARNING</t>
        </is>
      </c>
      <c r="D71" s="5" t="inlineStr">
        <is>
          <t>Warning</t>
        </is>
      </c>
      <c r="E71" s="5" t="inlineStr">
        <is>
          <t>No existe tarifa BonCalidad para socio=1624 campaña=2026 empresa=1 cultivo=INDUSTRIA.</t>
        </is>
      </c>
      <c r="F71" s="6" t="n">
        <v>46231.74575749142</v>
      </c>
      <c r="G71" s="5" t="inlineStr">
        <is>
          <t>WARNING</t>
        </is>
      </c>
    </row>
    <row r="72">
      <c r="A72" s="5" t="n">
        <v>2324</v>
      </c>
      <c r="B72" s="5" t="inlineStr">
        <is>
          <t>NAVEL TARDIA</t>
        </is>
      </c>
      <c r="C72" s="5" t="inlineStr">
        <is>
          <t>WARNING</t>
        </is>
      </c>
      <c r="D72" s="5" t="inlineStr">
        <is>
          <t>Warning</t>
        </is>
      </c>
      <c r="E72" s="5" t="inlineStr">
        <is>
          <t>43 entregas ya figuran como liquidadas.</t>
        </is>
      </c>
      <c r="F72" s="6" t="n">
        <v>46231.74575749142</v>
      </c>
      <c r="G72" s="5" t="inlineStr">
        <is>
          <t>WARNING</t>
        </is>
      </c>
    </row>
    <row r="73">
      <c r="A73" s="5" t="n">
        <v>2324</v>
      </c>
      <c r="B73" s="5" t="inlineStr">
        <is>
          <t>NAVEL TARDIA</t>
        </is>
      </c>
      <c r="C73" s="5" t="inlineStr">
        <is>
          <t>WARNING</t>
        </is>
      </c>
      <c r="D73" s="5" t="inlineStr">
        <is>
          <t>Warning</t>
        </is>
      </c>
      <c r="E73" s="5" t="inlineStr">
        <is>
          <t>No existe tarifa BonCalidad para socio=798 campaña=2026 empresa=1 cultivo=INDUSTRIA.</t>
        </is>
      </c>
      <c r="F73" s="6" t="n">
        <v>46231.74575749142</v>
      </c>
      <c r="G73" s="5" t="inlineStr">
        <is>
          <t>WARNING</t>
        </is>
      </c>
    </row>
    <row r="74">
      <c r="A74" s="5" t="n">
        <v>2324</v>
      </c>
      <c r="B74" s="5" t="inlineStr">
        <is>
          <t>NAVEL TARDIA</t>
        </is>
      </c>
      <c r="C74" s="5" t="inlineStr">
        <is>
          <t>WARNING</t>
        </is>
      </c>
      <c r="D74" s="5" t="inlineStr">
        <is>
          <t>Warning</t>
        </is>
      </c>
      <c r="E74" s="5" t="inlineStr">
        <is>
          <t>No existe fuente acumulada disponible; saldo informativo calculado con cuota ya aplicada = 0.</t>
        </is>
      </c>
      <c r="F74" s="6" t="n">
        <v>46231.74575749142</v>
      </c>
      <c r="G74" s="5" t="inlineStr">
        <is>
          <t>WARNING</t>
        </is>
      </c>
    </row>
    <row r="75">
      <c r="A75" s="5" t="n">
        <v>2324</v>
      </c>
      <c r="B75" s="5" t="inlineStr">
        <is>
          <t>NAVEL TARDIA</t>
        </is>
      </c>
      <c r="C75" s="5" t="inlineStr">
        <is>
          <t>WARNING</t>
        </is>
      </c>
      <c r="D75" s="5" t="inlineStr">
        <is>
          <t>Warning</t>
        </is>
      </c>
      <c r="E75" s="5" t="inlineStr">
        <is>
          <t>No existe tarifa BonCalidad para socio=904 campaña=2026 empresa=1 cultivo=INDUSTRIA.</t>
        </is>
      </c>
      <c r="F75" s="6" t="n">
        <v>46231.74575749142</v>
      </c>
      <c r="G75" s="5" t="inlineStr">
        <is>
          <t>WARNING</t>
        </is>
      </c>
    </row>
    <row r="76">
      <c r="A76" s="5" t="n">
        <v>2324</v>
      </c>
      <c r="B76" s="5" t="inlineStr">
        <is>
          <t>NAVEL TARDIA</t>
        </is>
      </c>
      <c r="C76" s="5" t="inlineStr">
        <is>
          <t>WARNING</t>
        </is>
      </c>
      <c r="D76" s="5" t="inlineStr">
        <is>
          <t>Warning</t>
        </is>
      </c>
      <c r="E76" s="5" t="inlineStr">
        <is>
          <t>No existe tarifa BonCalidad para socio=990 campaña=2026 empresa=1 cultivo=INDUSTRIA.</t>
        </is>
      </c>
      <c r="F76" s="6" t="n">
        <v>46231.74575749142</v>
      </c>
      <c r="G76" s="5" t="inlineStr">
        <is>
          <t>WARNING</t>
        </is>
      </c>
    </row>
    <row r="77">
      <c r="A77" s="5" t="n">
        <v>2324</v>
      </c>
      <c r="B77" s="5" t="inlineStr">
        <is>
          <t>NAVEL TARDIA</t>
        </is>
      </c>
      <c r="C77" s="5" t="inlineStr">
        <is>
          <t>WARNING</t>
        </is>
      </c>
      <c r="D77" s="5" t="inlineStr">
        <is>
          <t>Warning</t>
        </is>
      </c>
      <c r="E77" s="5" t="inlineStr">
        <is>
          <t>No existe tarifa BonCalidad para socio=1178 campaña=2026 empresa=1 cultivo=INDUSTRIA.</t>
        </is>
      </c>
      <c r="F77" s="6" t="n">
        <v>46231.74575749142</v>
      </c>
      <c r="G77" s="5" t="inlineStr">
        <is>
          <t>WARNING</t>
        </is>
      </c>
    </row>
    <row r="78">
      <c r="A78" s="5" t="n">
        <v>2324</v>
      </c>
      <c r="B78" s="5" t="inlineStr">
        <is>
          <t>NAVEL TARDIA</t>
        </is>
      </c>
      <c r="C78" s="5" t="inlineStr">
        <is>
          <t>WARNING</t>
        </is>
      </c>
      <c r="D78" s="5" t="inlineStr">
        <is>
          <t>Warning</t>
        </is>
      </c>
      <c r="E78" s="5" t="inlineStr">
        <is>
          <t>No existe tarifa BonCalidad para socio=1205 campaña=2026 empresa=1 cultivo=INDUSTRIA.</t>
        </is>
      </c>
      <c r="F78" s="6" t="n">
        <v>46231.74575749142</v>
      </c>
      <c r="G78" s="5" t="inlineStr">
        <is>
          <t>WARNING</t>
        </is>
      </c>
    </row>
    <row r="79">
      <c r="A79" s="5" t="n">
        <v>2324</v>
      </c>
      <c r="B79" s="5" t="inlineStr">
        <is>
          <t>NAVEL TARDIA</t>
        </is>
      </c>
      <c r="C79" s="5" t="inlineStr">
        <is>
          <t>WARNING</t>
        </is>
      </c>
      <c r="D79" s="5" t="inlineStr">
        <is>
          <t>Warning</t>
        </is>
      </c>
      <c r="E79" s="5" t="inlineStr">
        <is>
          <t>No existe tarifa BonCalidad para socio=1255 campaña=2026 empresa=1 cultivo=INDUSTRIA.</t>
        </is>
      </c>
      <c r="F79" s="6" t="n">
        <v>46231.74575749142</v>
      </c>
      <c r="G79" s="5" t="inlineStr">
        <is>
          <t>WARNING</t>
        </is>
      </c>
    </row>
    <row r="80">
      <c r="A80" s="5" t="n">
        <v>2324</v>
      </c>
      <c r="B80" s="5" t="inlineStr">
        <is>
          <t>NAVEL TARDIA</t>
        </is>
      </c>
      <c r="C80" s="5" t="inlineStr">
        <is>
          <t>WARNING</t>
        </is>
      </c>
      <c r="D80" s="5" t="inlineStr">
        <is>
          <t>Warning</t>
        </is>
      </c>
      <c r="E80" s="5" t="inlineStr">
        <is>
          <t>No existe tarifa BonCalidad para socio=1272 campaña=2026 empresa=1 cultivo=INDUSTRIA.</t>
        </is>
      </c>
      <c r="F80" s="6" t="n">
        <v>46231.74575749142</v>
      </c>
      <c r="G80" s="5" t="inlineStr">
        <is>
          <t>WARNING</t>
        </is>
      </c>
    </row>
    <row r="81">
      <c r="A81" s="5" t="n">
        <v>2324</v>
      </c>
      <c r="B81" s="5" t="inlineStr">
        <is>
          <t>NAVEL TARDIA</t>
        </is>
      </c>
      <c r="C81" s="5" t="inlineStr">
        <is>
          <t>WARNING</t>
        </is>
      </c>
      <c r="D81" s="5" t="inlineStr">
        <is>
          <t>Warning</t>
        </is>
      </c>
      <c r="E81" s="5" t="inlineStr">
        <is>
          <t>No existe tarifa BonCalidad para socio=1415 campaña=2026 empresa=1 cultivo=INDUSTRIA.</t>
        </is>
      </c>
      <c r="F81" s="6" t="n">
        <v>46231.74575749142</v>
      </c>
      <c r="G81" s="5" t="inlineStr">
        <is>
          <t>WARNING</t>
        </is>
      </c>
    </row>
    <row r="82">
      <c r="A82" s="5" t="n">
        <v>2324</v>
      </c>
      <c r="B82" s="5" t="inlineStr">
        <is>
          <t>NAVEL TARDIA</t>
        </is>
      </c>
      <c r="C82" s="5" t="inlineStr">
        <is>
          <t>WARNING</t>
        </is>
      </c>
      <c r="D82" s="5" t="inlineStr">
        <is>
          <t>Warning</t>
        </is>
      </c>
      <c r="E82" s="5" t="inlineStr">
        <is>
          <t>No existe tarifa BonCalidad para socio=1445 campaña=2026 empresa=1 cultivo=INDUSTRIA.</t>
        </is>
      </c>
      <c r="F82" s="6" t="n">
        <v>46231.74575749142</v>
      </c>
      <c r="G82" s="5" t="inlineStr">
        <is>
          <t>WARNING</t>
        </is>
      </c>
    </row>
    <row r="83">
      <c r="A83" s="5" t="n">
        <v>2324</v>
      </c>
      <c r="B83" s="5" t="inlineStr">
        <is>
          <t>NAVEL TARDIA</t>
        </is>
      </c>
      <c r="C83" s="5" t="inlineStr">
        <is>
          <t>WARNING</t>
        </is>
      </c>
      <c r="D83" s="5" t="inlineStr">
        <is>
          <t>Warning</t>
        </is>
      </c>
      <c r="E83" s="5" t="inlineStr">
        <is>
          <t>No existe tarifa BonCalidad para socio=1500 campaña=2026 empresa=1 cultivo=INDUSTRIA.</t>
        </is>
      </c>
      <c r="F83" s="6" t="n">
        <v>46231.74575749142</v>
      </c>
      <c r="G83" s="5" t="inlineStr">
        <is>
          <t>WARNING</t>
        </is>
      </c>
    </row>
    <row r="84">
      <c r="A84" s="5" t="n">
        <v>2324</v>
      </c>
      <c r="B84" s="5" t="inlineStr">
        <is>
          <t>NAVEL TARDIA</t>
        </is>
      </c>
      <c r="C84" s="5" t="inlineStr">
        <is>
          <t>WARNING</t>
        </is>
      </c>
      <c r="D84" s="5" t="inlineStr">
        <is>
          <t>Warning</t>
        </is>
      </c>
      <c r="E84" s="5" t="inlineStr">
        <is>
          <t>No existe tarifa BonCalidad para socio=1507 campaña=2026 empresa=1 cultivo=INDUSTRIA.</t>
        </is>
      </c>
      <c r="F84" s="6" t="n">
        <v>46231.74575749142</v>
      </c>
      <c r="G84" s="5" t="inlineStr">
        <is>
          <t>WARNING</t>
        </is>
      </c>
    </row>
    <row r="85">
      <c r="A85" s="5" t="n">
        <v>2324</v>
      </c>
      <c r="B85" s="5" t="inlineStr">
        <is>
          <t>NAVEL TARDIA</t>
        </is>
      </c>
      <c r="C85" s="5" t="inlineStr">
        <is>
          <t>WARNING</t>
        </is>
      </c>
      <c r="D85" s="5" t="inlineStr">
        <is>
          <t>Warning</t>
        </is>
      </c>
      <c r="E85" s="5" t="inlineStr">
        <is>
          <t>No existe tarifa BonCalidad para socio=1544 campaña=2026 empresa=1 cultivo=INDUSTRIA.</t>
        </is>
      </c>
      <c r="F85" s="6" t="n">
        <v>46231.74575749142</v>
      </c>
      <c r="G85" s="5" t="inlineStr">
        <is>
          <t>WARNING</t>
        </is>
      </c>
    </row>
    <row r="86">
      <c r="A86" s="5" t="n">
        <v>2324</v>
      </c>
      <c r="B86" s="5" t="inlineStr">
        <is>
          <t>NAVEL TARDIA</t>
        </is>
      </c>
      <c r="C86" s="5" t="inlineStr">
        <is>
          <t>WARNING</t>
        </is>
      </c>
      <c r="D86" s="5" t="inlineStr">
        <is>
          <t>Warning</t>
        </is>
      </c>
      <c r="E86" s="5" t="inlineStr">
        <is>
          <t>No existe tarifa BonCalidad para socio=1597 campaña=2026 empresa=1 cultivo=INDUSTRIA.</t>
        </is>
      </c>
      <c r="F86" s="6" t="n">
        <v>46231.74575749142</v>
      </c>
      <c r="G86" s="5" t="inlineStr">
        <is>
          <t>WARNING</t>
        </is>
      </c>
    </row>
    <row r="87">
      <c r="A87" s="5" t="n">
        <v>2324</v>
      </c>
      <c r="B87" s="5" t="inlineStr">
        <is>
          <t>NAVEL TARDIA</t>
        </is>
      </c>
      <c r="C87" s="5" t="inlineStr">
        <is>
          <t>WARNING</t>
        </is>
      </c>
      <c r="D87" s="5" t="inlineStr">
        <is>
          <t>Warning</t>
        </is>
      </c>
      <c r="E87" s="5" t="inlineStr">
        <is>
          <t>No existe tarifa BonCalidad para socio=1627 campaña=2026 empresa=1 cultivo=INDUSTRIA.</t>
        </is>
      </c>
      <c r="F87" s="6" t="n">
        <v>46231.74575749142</v>
      </c>
      <c r="G87" s="5" t="inlineStr">
        <is>
          <t>WARNING</t>
        </is>
      </c>
    </row>
    <row r="88">
      <c r="A88" s="5" t="n">
        <v>2325</v>
      </c>
      <c r="B88" s="5" t="inlineStr">
        <is>
          <t>NAVEL TEMPRANA</t>
        </is>
      </c>
      <c r="C88" s="5" t="inlineStr">
        <is>
          <t>WARNING</t>
        </is>
      </c>
      <c r="D88" s="5" t="inlineStr">
        <is>
          <t>Warning</t>
        </is>
      </c>
      <c r="E88" s="5" t="inlineStr">
        <is>
          <t>96 entregas ya figuran como liquidadas.</t>
        </is>
      </c>
      <c r="F88" s="6" t="n">
        <v>46231.74575749142</v>
      </c>
      <c r="G88" s="5" t="inlineStr">
        <is>
          <t>WARNING</t>
        </is>
      </c>
    </row>
    <row r="89">
      <c r="A89" s="5" t="n">
        <v>2325</v>
      </c>
      <c r="B89" s="5" t="inlineStr">
        <is>
          <t>NAVEL TEMPRANA</t>
        </is>
      </c>
      <c r="C89" s="5" t="inlineStr">
        <is>
          <t>WARNING</t>
        </is>
      </c>
      <c r="D89" s="5" t="inlineStr">
        <is>
          <t>Warning</t>
        </is>
      </c>
      <c r="E89" s="5" t="inlineStr">
        <is>
          <t>No existe tarifa BonCalidad para socio=487 campaña=2026 empresa=1 cultivo=INDUSTRIA.</t>
        </is>
      </c>
      <c r="F89" s="6" t="n">
        <v>46231.74575749142</v>
      </c>
      <c r="G89" s="5" t="inlineStr">
        <is>
          <t>WARNING</t>
        </is>
      </c>
    </row>
    <row r="90">
      <c r="A90" s="5" t="n">
        <v>2325</v>
      </c>
      <c r="B90" s="5" t="inlineStr">
        <is>
          <t>NAVEL TEMPRANA</t>
        </is>
      </c>
      <c r="C90" s="5" t="inlineStr">
        <is>
          <t>WARNING</t>
        </is>
      </c>
      <c r="D90" s="5" t="inlineStr">
        <is>
          <t>Warning</t>
        </is>
      </c>
      <c r="E90" s="5" t="inlineStr">
        <is>
          <t>No existe fuente acumulada disponible; saldo informativo calculado con cuota ya aplicada = 0.</t>
        </is>
      </c>
      <c r="F90" s="6" t="n">
        <v>46231.74575749142</v>
      </c>
      <c r="G90" s="5" t="inlineStr">
        <is>
          <t>WARNING</t>
        </is>
      </c>
    </row>
    <row r="91">
      <c r="A91" s="5" t="n">
        <v>2325</v>
      </c>
      <c r="B91" s="5" t="inlineStr">
        <is>
          <t>NAVEL TEMPRANA</t>
        </is>
      </c>
      <c r="C91" s="5" t="inlineStr">
        <is>
          <t>WARNING</t>
        </is>
      </c>
      <c r="D91" s="5" t="inlineStr">
        <is>
          <t>Warning</t>
        </is>
      </c>
      <c r="E91" s="5" t="inlineStr">
        <is>
          <t>No existe tarifa BonCalidad para socio=716 campaña=2026 empresa=1 cultivo=INDUSTRIA.</t>
        </is>
      </c>
      <c r="F91" s="6" t="n">
        <v>46231.74575749142</v>
      </c>
      <c r="G91" s="5" t="inlineStr">
        <is>
          <t>WARNING</t>
        </is>
      </c>
    </row>
    <row r="92">
      <c r="A92" s="5" t="n">
        <v>2325</v>
      </c>
      <c r="B92" s="5" t="inlineStr">
        <is>
          <t>NAVEL TEMPRANA</t>
        </is>
      </c>
      <c r="C92" s="5" t="inlineStr">
        <is>
          <t>WARNING</t>
        </is>
      </c>
      <c r="D92" s="5" t="inlineStr">
        <is>
          <t>Warning</t>
        </is>
      </c>
      <c r="E92" s="5" t="inlineStr">
        <is>
          <t>No existe tarifa BonCalidad para socio=877 campaña=2026 empresa=1 cultivo=INDUSTRIA.</t>
        </is>
      </c>
      <c r="F92" s="6" t="n">
        <v>46231.74575749142</v>
      </c>
      <c r="G92" s="5" t="inlineStr">
        <is>
          <t>WARNING</t>
        </is>
      </c>
    </row>
    <row r="93">
      <c r="A93" s="5" t="n">
        <v>2325</v>
      </c>
      <c r="B93" s="5" t="inlineStr">
        <is>
          <t>NAVEL TEMPRANA</t>
        </is>
      </c>
      <c r="C93" s="5" t="inlineStr">
        <is>
          <t>WARNING</t>
        </is>
      </c>
      <c r="D93" s="5" t="inlineStr">
        <is>
          <t>Warning</t>
        </is>
      </c>
      <c r="E93" s="5" t="inlineStr">
        <is>
          <t>No existe tarifa BonCalidad para socio=886 campaña=2026 empresa=1 cultivo=INDUSTRIA.</t>
        </is>
      </c>
      <c r="F93" s="6" t="n">
        <v>46231.74575749142</v>
      </c>
      <c r="G93" s="5" t="inlineStr">
        <is>
          <t>WARNING</t>
        </is>
      </c>
    </row>
    <row r="94">
      <c r="A94" s="5" t="n">
        <v>2325</v>
      </c>
      <c r="B94" s="5" t="inlineStr">
        <is>
          <t>NAVEL TEMPRANA</t>
        </is>
      </c>
      <c r="C94" s="5" t="inlineStr">
        <is>
          <t>WARNING</t>
        </is>
      </c>
      <c r="D94" s="5" t="inlineStr">
        <is>
          <t>Warning</t>
        </is>
      </c>
      <c r="E94" s="5" t="inlineStr">
        <is>
          <t>El socio 886 figura certificado GlobalGAP en CITRICOS, KAKIS, MANDARINA pero no en KAKIS. Se ha aplicado la certificación global del socio. Revise DEEPP.</t>
        </is>
      </c>
      <c r="F94" s="6" t="n">
        <v>46231.74575749142</v>
      </c>
      <c r="G94" s="5" t="inlineStr">
        <is>
          <t>WARNING</t>
        </is>
      </c>
    </row>
    <row r="95">
      <c r="A95" s="5" t="n">
        <v>2325</v>
      </c>
      <c r="B95" s="5" t="inlineStr">
        <is>
          <t>NAVEL TEMPRANA</t>
        </is>
      </c>
      <c r="C95" s="5" t="inlineStr">
        <is>
          <t>WARNING</t>
        </is>
      </c>
      <c r="D95" s="5" t="inlineStr">
        <is>
          <t>Warning</t>
        </is>
      </c>
      <c r="E95" s="5" t="inlineStr">
        <is>
          <t>No existe tarifa BonCalidad para socio=1099 campaña=2026 empresa=1 cultivo=INDUSTRIA.</t>
        </is>
      </c>
      <c r="F95" s="6" t="n">
        <v>46231.74575749142</v>
      </c>
      <c r="G95" s="5" t="inlineStr">
        <is>
          <t>WARNING</t>
        </is>
      </c>
    </row>
    <row r="96">
      <c r="A96" s="5" t="n">
        <v>2325</v>
      </c>
      <c r="B96" s="5" t="inlineStr">
        <is>
          <t>NAVEL TEMPRANA</t>
        </is>
      </c>
      <c r="C96" s="5" t="inlineStr">
        <is>
          <t>WARNING</t>
        </is>
      </c>
      <c r="D96" s="5" t="inlineStr">
        <is>
          <t>Warning</t>
        </is>
      </c>
      <c r="E96" s="5" t="inlineStr">
        <is>
          <t>No existe tarifa BonCalidad para socio=1103 campaña=2026 empresa=1 cultivo=INDUSTRIA.</t>
        </is>
      </c>
      <c r="F96" s="6" t="n">
        <v>46231.74575749142</v>
      </c>
      <c r="G96" s="5" t="inlineStr">
        <is>
          <t>WARNING</t>
        </is>
      </c>
    </row>
    <row r="97">
      <c r="A97" s="5" t="n">
        <v>2325</v>
      </c>
      <c r="B97" s="5" t="inlineStr">
        <is>
          <t>NAVEL TEMPRANA</t>
        </is>
      </c>
      <c r="C97" s="5" t="inlineStr">
        <is>
          <t>WARNING</t>
        </is>
      </c>
      <c r="D97" s="5" t="inlineStr">
        <is>
          <t>Warning</t>
        </is>
      </c>
      <c r="E97" s="5" t="inlineStr">
        <is>
          <t>No existe tarifa BonCalidad para socio=1111 campaña=2026 empresa=1 cultivo=INDUSTRIA.</t>
        </is>
      </c>
      <c r="F97" s="6" t="n">
        <v>46231.74575749142</v>
      </c>
      <c r="G97" s="5" t="inlineStr">
        <is>
          <t>WARNING</t>
        </is>
      </c>
    </row>
    <row r="98">
      <c r="A98" s="5" t="n">
        <v>2325</v>
      </c>
      <c r="B98" s="5" t="inlineStr">
        <is>
          <t>NAVEL TEMPRANA</t>
        </is>
      </c>
      <c r="C98" s="5" t="inlineStr">
        <is>
          <t>WARNING</t>
        </is>
      </c>
      <c r="D98" s="5" t="inlineStr">
        <is>
          <t>Warning</t>
        </is>
      </c>
      <c r="E98" s="5" t="inlineStr">
        <is>
          <t>No existe tarifa BonCalidad para socio=1129 campaña=2026 empresa=1 cultivo=INDUSTRIA.</t>
        </is>
      </c>
      <c r="F98" s="6" t="n">
        <v>46231.74575749142</v>
      </c>
      <c r="G98" s="5" t="inlineStr">
        <is>
          <t>WARNING</t>
        </is>
      </c>
    </row>
    <row r="99">
      <c r="A99" s="5" t="n">
        <v>2325</v>
      </c>
      <c r="B99" s="5" t="inlineStr">
        <is>
          <t>NAVEL TEMPRANA</t>
        </is>
      </c>
      <c r="C99" s="5" t="inlineStr">
        <is>
          <t>WARNING</t>
        </is>
      </c>
      <c r="D99" s="5" t="inlineStr">
        <is>
          <t>Warning</t>
        </is>
      </c>
      <c r="E99" s="5" t="inlineStr">
        <is>
          <t>No existe tarifa BonCalidad para socio=1184 campaña=2026 empresa=1 cultivo=INDUSTRIA.</t>
        </is>
      </c>
      <c r="F99" s="6" t="n">
        <v>46231.74575749142</v>
      </c>
      <c r="G99" s="5" t="inlineStr">
        <is>
          <t>WARNING</t>
        </is>
      </c>
    </row>
    <row r="100">
      <c r="A100" s="5" t="n">
        <v>2325</v>
      </c>
      <c r="B100" s="5" t="inlineStr">
        <is>
          <t>NAVEL TEMPRANA</t>
        </is>
      </c>
      <c r="C100" s="5" t="inlineStr">
        <is>
          <t>WARNING</t>
        </is>
      </c>
      <c r="D100" s="5" t="inlineStr">
        <is>
          <t>Warning</t>
        </is>
      </c>
      <c r="E100" s="5" t="inlineStr">
        <is>
          <t>No existe tarifa BonCalidad para socio=1197 campaña=2026 empresa=1 cultivo=INDUSTRIA.</t>
        </is>
      </c>
      <c r="F100" s="6" t="n">
        <v>46231.74575749142</v>
      </c>
      <c r="G100" s="5" t="inlineStr">
        <is>
          <t>WARNING</t>
        </is>
      </c>
    </row>
    <row r="101">
      <c r="A101" s="5" t="n">
        <v>2325</v>
      </c>
      <c r="B101" s="5" t="inlineStr">
        <is>
          <t>NAVEL TEMPRANA</t>
        </is>
      </c>
      <c r="C101" s="5" t="inlineStr">
        <is>
          <t>WARNING</t>
        </is>
      </c>
      <c r="D101" s="5" t="inlineStr">
        <is>
          <t>Warning</t>
        </is>
      </c>
      <c r="E101" s="5" t="inlineStr">
        <is>
          <t>No existe tarifa BonCalidad para socio=1272 campaña=2026 empresa=1 cultivo=INDUSTRIA.</t>
        </is>
      </c>
      <c r="F101" s="6" t="n">
        <v>46231.74575749142</v>
      </c>
      <c r="G101" s="5" t="inlineStr">
        <is>
          <t>WARNING</t>
        </is>
      </c>
    </row>
    <row r="102">
      <c r="A102" s="5" t="n">
        <v>2325</v>
      </c>
      <c r="B102" s="5" t="inlineStr">
        <is>
          <t>NAVEL TEMPRANA</t>
        </is>
      </c>
      <c r="C102" s="5" t="inlineStr">
        <is>
          <t>WARNING</t>
        </is>
      </c>
      <c r="D102" s="5" t="inlineStr">
        <is>
          <t>Warning</t>
        </is>
      </c>
      <c r="E102" s="5" t="inlineStr">
        <is>
          <t>No existe tarifa BonCalidad para socio=1278 campaña=2026 empresa=1 cultivo=INDUSTRIA.</t>
        </is>
      </c>
      <c r="F102" s="6" t="n">
        <v>46231.74575749142</v>
      </c>
      <c r="G102" s="5" t="inlineStr">
        <is>
          <t>WARNING</t>
        </is>
      </c>
    </row>
    <row r="103">
      <c r="A103" s="5" t="n">
        <v>2325</v>
      </c>
      <c r="B103" s="5" t="inlineStr">
        <is>
          <t>NAVEL TEMPRANA</t>
        </is>
      </c>
      <c r="C103" s="5" t="inlineStr">
        <is>
          <t>WARNING</t>
        </is>
      </c>
      <c r="D103" s="5" t="inlineStr">
        <is>
          <t>Warning</t>
        </is>
      </c>
      <c r="E103" s="5" t="inlineStr">
        <is>
          <t>No existe tarifa BonCalidad para socio=1301 campaña=2026 empresa=1 cultivo=INDUSTRIA.</t>
        </is>
      </c>
      <c r="F103" s="6" t="n">
        <v>46231.74575749142</v>
      </c>
      <c r="G103" s="5" t="inlineStr">
        <is>
          <t>WARNING</t>
        </is>
      </c>
    </row>
    <row r="104">
      <c r="A104" s="5" t="n">
        <v>2325</v>
      </c>
      <c r="B104" s="5" t="inlineStr">
        <is>
          <t>NAVEL TEMPRANA</t>
        </is>
      </c>
      <c r="C104" s="5" t="inlineStr">
        <is>
          <t>WARNING</t>
        </is>
      </c>
      <c r="D104" s="5" t="inlineStr">
        <is>
          <t>Warning</t>
        </is>
      </c>
      <c r="E104" s="5" t="inlineStr">
        <is>
          <t>No existe tarifa BonCalidad para socio=1316 campaña=2026 empresa=1 cultivo=INDUSTRIA.</t>
        </is>
      </c>
      <c r="F104" s="6" t="n">
        <v>46231.74575749142</v>
      </c>
      <c r="G104" s="5" t="inlineStr">
        <is>
          <t>WARNING</t>
        </is>
      </c>
    </row>
    <row r="105">
      <c r="A105" s="5" t="n">
        <v>2325</v>
      </c>
      <c r="B105" s="5" t="inlineStr">
        <is>
          <t>NAVEL TEMPRANA</t>
        </is>
      </c>
      <c r="C105" s="5" t="inlineStr">
        <is>
          <t>WARNING</t>
        </is>
      </c>
      <c r="D105" s="5" t="inlineStr">
        <is>
          <t>Warning</t>
        </is>
      </c>
      <c r="E105" s="5" t="inlineStr">
        <is>
          <t>No existe tarifa BonCalidad para socio=1350 campaña=2026 empresa=1 cultivo=INDUSTRIA.</t>
        </is>
      </c>
      <c r="F105" s="6" t="n">
        <v>46231.74575749142</v>
      </c>
      <c r="G105" s="5" t="inlineStr">
        <is>
          <t>WARNING</t>
        </is>
      </c>
    </row>
    <row r="106">
      <c r="A106" s="5" t="n">
        <v>2325</v>
      </c>
      <c r="B106" s="5" t="inlineStr">
        <is>
          <t>NAVEL TEMPRANA</t>
        </is>
      </c>
      <c r="C106" s="5" t="inlineStr">
        <is>
          <t>WARNING</t>
        </is>
      </c>
      <c r="D106" s="5" t="inlineStr">
        <is>
          <t>Warning</t>
        </is>
      </c>
      <c r="E106" s="5" t="inlineStr">
        <is>
          <t>El socio 1350 figura certificado GlobalGAP en CITRICOS pero no en CITRICOS. Se ha aplicado la certificación global del socio. Revise DEEPP.</t>
        </is>
      </c>
      <c r="F106" s="6" t="n">
        <v>46231.74575749142</v>
      </c>
      <c r="G106" s="5" t="inlineStr">
        <is>
          <t>WARNING</t>
        </is>
      </c>
    </row>
    <row r="107">
      <c r="A107" s="5" t="n">
        <v>2325</v>
      </c>
      <c r="B107" s="5" t="inlineStr">
        <is>
          <t>NAVEL TEMPRANA</t>
        </is>
      </c>
      <c r="C107" s="5" t="inlineStr">
        <is>
          <t>WARNING</t>
        </is>
      </c>
      <c r="D107" s="5" t="inlineStr">
        <is>
          <t>Warning</t>
        </is>
      </c>
      <c r="E107" s="5" t="inlineStr">
        <is>
          <t>No existe tarifa BonCalidad para socio=1395 campaña=2026 empresa=1 cultivo=INDUSTRIA.</t>
        </is>
      </c>
      <c r="F107" s="6" t="n">
        <v>46231.74575749142</v>
      </c>
      <c r="G107" s="5" t="inlineStr">
        <is>
          <t>WARNING</t>
        </is>
      </c>
    </row>
    <row r="108">
      <c r="A108" s="5" t="n">
        <v>2325</v>
      </c>
      <c r="B108" s="5" t="inlineStr">
        <is>
          <t>NAVEL TEMPRANA</t>
        </is>
      </c>
      <c r="C108" s="5" t="inlineStr">
        <is>
          <t>WARNING</t>
        </is>
      </c>
      <c r="D108" s="5" t="inlineStr">
        <is>
          <t>Warning</t>
        </is>
      </c>
      <c r="E108" s="5" t="inlineStr">
        <is>
          <t>No existe tarifa BonCalidad para socio=1411 campaña=2026 empresa=1 cultivo=INDUSTRIA.</t>
        </is>
      </c>
      <c r="F108" s="6" t="n">
        <v>46231.74575749142</v>
      </c>
      <c r="G108" s="5" t="inlineStr">
        <is>
          <t>WARNING</t>
        </is>
      </c>
    </row>
    <row r="109">
      <c r="A109" s="5" t="n">
        <v>2325</v>
      </c>
      <c r="B109" s="5" t="inlineStr">
        <is>
          <t>NAVEL TEMPRANA</t>
        </is>
      </c>
      <c r="C109" s="5" t="inlineStr">
        <is>
          <t>WARNING</t>
        </is>
      </c>
      <c r="D109" s="5" t="inlineStr">
        <is>
          <t>Warning</t>
        </is>
      </c>
      <c r="E109" s="5" t="inlineStr">
        <is>
          <t>No existe tarifa BonCalidad para socio=1429 campaña=2026 empresa=1 cultivo=INDUSTRIA.</t>
        </is>
      </c>
      <c r="F109" s="6" t="n">
        <v>46231.74575749142</v>
      </c>
      <c r="G109" s="5" t="inlineStr">
        <is>
          <t>WARNING</t>
        </is>
      </c>
    </row>
    <row r="110">
      <c r="A110" s="5" t="n">
        <v>2325</v>
      </c>
      <c r="B110" s="5" t="inlineStr">
        <is>
          <t>NAVEL TEMPRANA</t>
        </is>
      </c>
      <c r="C110" s="5" t="inlineStr">
        <is>
          <t>WARNING</t>
        </is>
      </c>
      <c r="D110" s="5" t="inlineStr">
        <is>
          <t>Warning</t>
        </is>
      </c>
      <c r="E110" s="5" t="inlineStr">
        <is>
          <t>No existe tarifa BonCalidad para socio=1441 campaña=2026 empresa=1 cultivo=INDUSTRIA.</t>
        </is>
      </c>
      <c r="F110" s="6" t="n">
        <v>46231.74575749142</v>
      </c>
      <c r="G110" s="5" t="inlineStr">
        <is>
          <t>WARNING</t>
        </is>
      </c>
    </row>
    <row r="111">
      <c r="A111" s="5" t="n">
        <v>2325</v>
      </c>
      <c r="B111" s="5" t="inlineStr">
        <is>
          <t>NAVEL TEMPRANA</t>
        </is>
      </c>
      <c r="C111" s="5" t="inlineStr">
        <is>
          <t>WARNING</t>
        </is>
      </c>
      <c r="D111" s="5" t="inlineStr">
        <is>
          <t>Warning</t>
        </is>
      </c>
      <c r="E111" s="5" t="inlineStr">
        <is>
          <t>No existe tarifa BonCalidad para socio=1443 campaña=2026 empresa=1 cultivo=INDUSTRIA.</t>
        </is>
      </c>
      <c r="F111" s="6" t="n">
        <v>46231.74575749142</v>
      </c>
      <c r="G111" s="5" t="inlineStr">
        <is>
          <t>WARNING</t>
        </is>
      </c>
    </row>
    <row r="112">
      <c r="A112" s="5" t="n">
        <v>2325</v>
      </c>
      <c r="B112" s="5" t="inlineStr">
        <is>
          <t>NAVEL TEMPRANA</t>
        </is>
      </c>
      <c r="C112" s="5" t="inlineStr">
        <is>
          <t>WARNING</t>
        </is>
      </c>
      <c r="D112" s="5" t="inlineStr">
        <is>
          <t>Warning</t>
        </is>
      </c>
      <c r="E112" s="5" t="inlineStr">
        <is>
          <t>No existe tarifa BonCalidad para socio=1445 campaña=2026 empresa=1 cultivo=INDUSTRIA.</t>
        </is>
      </c>
      <c r="F112" s="6" t="n">
        <v>46231.74575749142</v>
      </c>
      <c r="G112" s="5" t="inlineStr">
        <is>
          <t>WARNING</t>
        </is>
      </c>
    </row>
    <row r="113">
      <c r="A113" s="5" t="n">
        <v>2325</v>
      </c>
      <c r="B113" s="5" t="inlineStr">
        <is>
          <t>NAVEL TEMPRANA</t>
        </is>
      </c>
      <c r="C113" s="5" t="inlineStr">
        <is>
          <t>WARNING</t>
        </is>
      </c>
      <c r="D113" s="5" t="inlineStr">
        <is>
          <t>Warning</t>
        </is>
      </c>
      <c r="E113" s="5" t="inlineStr">
        <is>
          <t>No existe tarifa BonCalidad para socio=1470 campaña=2026 empresa=1 cultivo=INDUSTRIA.</t>
        </is>
      </c>
      <c r="F113" s="6" t="n">
        <v>46231.74575749142</v>
      </c>
      <c r="G113" s="5" t="inlineStr">
        <is>
          <t>WARNING</t>
        </is>
      </c>
    </row>
    <row r="114">
      <c r="A114" s="5" t="n">
        <v>2325</v>
      </c>
      <c r="B114" s="5" t="inlineStr">
        <is>
          <t>NAVEL TEMPRANA</t>
        </is>
      </c>
      <c r="C114" s="5" t="inlineStr">
        <is>
          <t>WARNING</t>
        </is>
      </c>
      <c r="D114" s="5" t="inlineStr">
        <is>
          <t>Warning</t>
        </is>
      </c>
      <c r="E114" s="5" t="inlineStr">
        <is>
          <t>No existe tarifa BonCalidad para socio=1491 campaña=2026 empresa=1 cultivo=INDUSTRIA.</t>
        </is>
      </c>
      <c r="F114" s="6" t="n">
        <v>46231.74575749142</v>
      </c>
      <c r="G114" s="5" t="inlineStr">
        <is>
          <t>WARNING</t>
        </is>
      </c>
    </row>
    <row r="115">
      <c r="A115" s="5" t="n">
        <v>2325</v>
      </c>
      <c r="B115" s="5" t="inlineStr">
        <is>
          <t>NAVEL TEMPRANA</t>
        </is>
      </c>
      <c r="C115" s="5" t="inlineStr">
        <is>
          <t>WARNING</t>
        </is>
      </c>
      <c r="D115" s="5" t="inlineStr">
        <is>
          <t>Warning</t>
        </is>
      </c>
      <c r="E115" s="5" t="inlineStr">
        <is>
          <t>No existe tarifa BonCalidad para socio=1516 campaña=2026 empresa=1 cultivo=INDUSTRIA.</t>
        </is>
      </c>
      <c r="F115" s="6" t="n">
        <v>46231.74575749142</v>
      </c>
      <c r="G115" s="5" t="inlineStr">
        <is>
          <t>WARNING</t>
        </is>
      </c>
    </row>
    <row r="116">
      <c r="A116" s="5" t="n">
        <v>2325</v>
      </c>
      <c r="B116" s="5" t="inlineStr">
        <is>
          <t>NAVEL TEMPRANA</t>
        </is>
      </c>
      <c r="C116" s="5" t="inlineStr">
        <is>
          <t>WARNING</t>
        </is>
      </c>
      <c r="D116" s="5" t="inlineStr">
        <is>
          <t>Warning</t>
        </is>
      </c>
      <c r="E116" s="5" t="inlineStr">
        <is>
          <t>No existe tarifa BonCalidad para socio=1518 campaña=2026 empresa=1 cultivo=INDUSTRIA.</t>
        </is>
      </c>
      <c r="F116" s="6" t="n">
        <v>46231.74575749142</v>
      </c>
      <c r="G116" s="5" t="inlineStr">
        <is>
          <t>WARNING</t>
        </is>
      </c>
    </row>
    <row r="117">
      <c r="A117" s="5" t="n">
        <v>2325</v>
      </c>
      <c r="B117" s="5" t="inlineStr">
        <is>
          <t>NAVEL TEMPRANA</t>
        </is>
      </c>
      <c r="C117" s="5" t="inlineStr">
        <is>
          <t>WARNING</t>
        </is>
      </c>
      <c r="D117" s="5" t="inlineStr">
        <is>
          <t>Warning</t>
        </is>
      </c>
      <c r="E117" s="5" t="inlineStr">
        <is>
          <t>No existe tarifa BonCalidad para socio=1525 campaña=2026 empresa=1 cultivo=INDUSTRIA.</t>
        </is>
      </c>
      <c r="F117" s="6" t="n">
        <v>46231.74575749142</v>
      </c>
      <c r="G117" s="5" t="inlineStr">
        <is>
          <t>WARNING</t>
        </is>
      </c>
    </row>
    <row r="118">
      <c r="A118" s="5" t="n">
        <v>2325</v>
      </c>
      <c r="B118" s="5" t="inlineStr">
        <is>
          <t>NAVEL TEMPRANA</t>
        </is>
      </c>
      <c r="C118" s="5" t="inlineStr">
        <is>
          <t>WARNING</t>
        </is>
      </c>
      <c r="D118" s="5" t="inlineStr">
        <is>
          <t>Warning</t>
        </is>
      </c>
      <c r="E118" s="5" t="inlineStr">
        <is>
          <t>No existe tarifa BonCalidad para socio=1527 campaña=2026 empresa=1 cultivo=INDUSTRIA.</t>
        </is>
      </c>
      <c r="F118" s="6" t="n">
        <v>46231.74575749142</v>
      </c>
      <c r="G118" s="5" t="inlineStr">
        <is>
          <t>WARNING</t>
        </is>
      </c>
    </row>
    <row r="119">
      <c r="A119" s="5" t="n">
        <v>2325</v>
      </c>
      <c r="B119" s="5" t="inlineStr">
        <is>
          <t>NAVEL TEMPRANA</t>
        </is>
      </c>
      <c r="C119" s="5" t="inlineStr">
        <is>
          <t>WARNING</t>
        </is>
      </c>
      <c r="D119" s="5" t="inlineStr">
        <is>
          <t>Warning</t>
        </is>
      </c>
      <c r="E119" s="5" t="inlineStr">
        <is>
          <t>No existe tarifa BonCalidad para socio=1529 campaña=2026 empresa=1 cultivo=INDUSTRIA.</t>
        </is>
      </c>
      <c r="F119" s="6" t="n">
        <v>46231.74575749142</v>
      </c>
      <c r="G119" s="5" t="inlineStr">
        <is>
          <t>WARNING</t>
        </is>
      </c>
    </row>
    <row r="120">
      <c r="A120" s="5" t="n">
        <v>2325</v>
      </c>
      <c r="B120" s="5" t="inlineStr">
        <is>
          <t>NAVEL TEMPRANA</t>
        </is>
      </c>
      <c r="C120" s="5" t="inlineStr">
        <is>
          <t>WARNING</t>
        </is>
      </c>
      <c r="D120" s="5" t="inlineStr">
        <is>
          <t>Warning</t>
        </is>
      </c>
      <c r="E120" s="5" t="inlineStr">
        <is>
          <t>No existe tarifa BonCalidad para socio=1530 campaña=2026 empresa=1 cultivo=INDUSTRIA.</t>
        </is>
      </c>
      <c r="F120" s="6" t="n">
        <v>46231.74575749142</v>
      </c>
      <c r="G120" s="5" t="inlineStr">
        <is>
          <t>WARNING</t>
        </is>
      </c>
    </row>
    <row r="121">
      <c r="A121" s="5" t="n">
        <v>2325</v>
      </c>
      <c r="B121" s="5" t="inlineStr">
        <is>
          <t>NAVEL TEMPRANA</t>
        </is>
      </c>
      <c r="C121" s="5" t="inlineStr">
        <is>
          <t>WARNING</t>
        </is>
      </c>
      <c r="D121" s="5" t="inlineStr">
        <is>
          <t>Warning</t>
        </is>
      </c>
      <c r="E121" s="5" t="inlineStr">
        <is>
          <t>No existe tarifa BonCalidad para socio=1544 campaña=2026 empresa=1 cultivo=INDUSTRIA.</t>
        </is>
      </c>
      <c r="F121" s="6" t="n">
        <v>46231.74575749142</v>
      </c>
      <c r="G121" s="5" t="inlineStr">
        <is>
          <t>WARNING</t>
        </is>
      </c>
    </row>
    <row r="122">
      <c r="A122" s="5" t="n">
        <v>2325</v>
      </c>
      <c r="B122" s="5" t="inlineStr">
        <is>
          <t>NAVEL TEMPRANA</t>
        </is>
      </c>
      <c r="C122" s="5" t="inlineStr">
        <is>
          <t>WARNING</t>
        </is>
      </c>
      <c r="D122" s="5" t="inlineStr">
        <is>
          <t>Warning</t>
        </is>
      </c>
      <c r="E122" s="5" t="inlineStr">
        <is>
          <t>No existe tarifa BonCalidad para socio=1546 campaña=2026 empresa=1 cultivo=INDUSTRIA.</t>
        </is>
      </c>
      <c r="F122" s="6" t="n">
        <v>46231.74575749142</v>
      </c>
      <c r="G122" s="5" t="inlineStr">
        <is>
          <t>WARNING</t>
        </is>
      </c>
    </row>
    <row r="123">
      <c r="A123" s="5" t="n">
        <v>2325</v>
      </c>
      <c r="B123" s="5" t="inlineStr">
        <is>
          <t>NAVEL TEMPRANA</t>
        </is>
      </c>
      <c r="C123" s="5" t="inlineStr">
        <is>
          <t>WARNING</t>
        </is>
      </c>
      <c r="D123" s="5" t="inlineStr">
        <is>
          <t>Warning</t>
        </is>
      </c>
      <c r="E123" s="5" t="inlineStr">
        <is>
          <t>No existe tarifa BonCalidad para socio=1550 campaña=2026 empresa=1 cultivo=INDUSTRIA.</t>
        </is>
      </c>
      <c r="F123" s="6" t="n">
        <v>46231.74575749142</v>
      </c>
      <c r="G123" s="5" t="inlineStr">
        <is>
          <t>WARNING</t>
        </is>
      </c>
    </row>
    <row r="124">
      <c r="A124" s="5" t="n">
        <v>2325</v>
      </c>
      <c r="B124" s="5" t="inlineStr">
        <is>
          <t>NAVEL TEMPRANA</t>
        </is>
      </c>
      <c r="C124" s="5" t="inlineStr">
        <is>
          <t>WARNING</t>
        </is>
      </c>
      <c r="D124" s="5" t="inlineStr">
        <is>
          <t>Warning</t>
        </is>
      </c>
      <c r="E124" s="5" t="inlineStr">
        <is>
          <t>El socio 1550 figura certificado GlobalGAP en CITRICOS, MANDARINA pero no en CITRICOS, MANDARINA. Se ha aplicado la certificación global del socio. Revise DEEPP.</t>
        </is>
      </c>
      <c r="F124" s="6" t="n">
        <v>46231.74575749142</v>
      </c>
      <c r="G124" s="5" t="inlineStr">
        <is>
          <t>WARNING</t>
        </is>
      </c>
    </row>
    <row r="125">
      <c r="A125" s="5" t="n">
        <v>2325</v>
      </c>
      <c r="B125" s="5" t="inlineStr">
        <is>
          <t>NAVEL TEMPRANA</t>
        </is>
      </c>
      <c r="C125" s="5" t="inlineStr">
        <is>
          <t>WARNING</t>
        </is>
      </c>
      <c r="D125" s="5" t="inlineStr">
        <is>
          <t>Warning</t>
        </is>
      </c>
      <c r="E125" s="5" t="inlineStr">
        <is>
          <t>No existe tarifa BonCalidad para socio=1573 campaña=2026 empresa=1 cultivo=INDUSTRIA.</t>
        </is>
      </c>
      <c r="F125" s="6" t="n">
        <v>46231.74575749142</v>
      </c>
      <c r="G125" s="5" t="inlineStr">
        <is>
          <t>WARNING</t>
        </is>
      </c>
    </row>
    <row r="126">
      <c r="A126" s="5" t="n">
        <v>2325</v>
      </c>
      <c r="B126" s="5" t="inlineStr">
        <is>
          <t>NAVEL TEMPRANA</t>
        </is>
      </c>
      <c r="C126" s="5" t="inlineStr">
        <is>
          <t>WARNING</t>
        </is>
      </c>
      <c r="D126" s="5" t="inlineStr">
        <is>
          <t>Warning</t>
        </is>
      </c>
      <c r="E126" s="5" t="inlineStr">
        <is>
          <t>Cuota Ha no aplicable: sin superficie sujeta a cuota.</t>
        </is>
      </c>
      <c r="F126" s="6" t="n">
        <v>46231.74575749142</v>
      </c>
      <c r="G126" s="5" t="inlineStr">
        <is>
          <t>WARNING</t>
        </is>
      </c>
    </row>
    <row r="127">
      <c r="A127" s="5" t="n">
        <v>2325</v>
      </c>
      <c r="B127" s="5" t="inlineStr">
        <is>
          <t>NAVEL TEMPRANA</t>
        </is>
      </c>
      <c r="C127" s="5" t="inlineStr">
        <is>
          <t>WARNING</t>
        </is>
      </c>
      <c r="D127" s="5" t="inlineStr">
        <is>
          <t>Warning</t>
        </is>
      </c>
      <c r="E127" s="5" t="inlineStr">
        <is>
          <t>No existe tarifa BonCalidad para socio=1578 campaña=2026 empresa=1 cultivo=INDUSTRIA.</t>
        </is>
      </c>
      <c r="F127" s="6" t="n">
        <v>46231.74575749142</v>
      </c>
      <c r="G127" s="5" t="inlineStr">
        <is>
          <t>WARNING</t>
        </is>
      </c>
    </row>
    <row r="128">
      <c r="A128" s="5" t="n">
        <v>2325</v>
      </c>
      <c r="B128" s="5" t="inlineStr">
        <is>
          <t>NAVEL TEMPRANA</t>
        </is>
      </c>
      <c r="C128" s="5" t="inlineStr">
        <is>
          <t>WARNING</t>
        </is>
      </c>
      <c r="D128" s="5" t="inlineStr">
        <is>
          <t>Warning</t>
        </is>
      </c>
      <c r="E128" s="5" t="inlineStr">
        <is>
          <t>No existe tarifa BonCalidad para socio=1587 campaña=2026 empresa=1 cultivo=INDUSTRIA.</t>
        </is>
      </c>
      <c r="F128" s="6" t="n">
        <v>46231.74575749142</v>
      </c>
      <c r="G128" s="5" t="inlineStr">
        <is>
          <t>WARNING</t>
        </is>
      </c>
    </row>
    <row r="129">
      <c r="A129" s="5" t="n">
        <v>2325</v>
      </c>
      <c r="B129" s="5" t="inlineStr">
        <is>
          <t>NAVEL TEMPRANA</t>
        </is>
      </c>
      <c r="C129" s="5" t="inlineStr">
        <is>
          <t>WARNING</t>
        </is>
      </c>
      <c r="D129" s="5" t="inlineStr">
        <is>
          <t>Warning</t>
        </is>
      </c>
      <c r="E129" s="5" t="inlineStr">
        <is>
          <t>No existe tarifa BonCalidad para socio=1588 campaña=2026 empresa=1 cultivo=INDUSTRIA.</t>
        </is>
      </c>
      <c r="F129" s="6" t="n">
        <v>46231.74575749142</v>
      </c>
      <c r="G129" s="5" t="inlineStr">
        <is>
          <t>WARNING</t>
        </is>
      </c>
    </row>
    <row r="130">
      <c r="A130" s="5" t="n">
        <v>2325</v>
      </c>
      <c r="B130" s="5" t="inlineStr">
        <is>
          <t>NAVEL TEMPRANA</t>
        </is>
      </c>
      <c r="C130" s="5" t="inlineStr">
        <is>
          <t>WARNING</t>
        </is>
      </c>
      <c r="D130" s="5" t="inlineStr">
        <is>
          <t>Warning</t>
        </is>
      </c>
      <c r="E130" s="5" t="inlineStr">
        <is>
          <t>No existe tarifa BonCalidad para socio=1608 campaña=2026 empresa=1 cultivo=INDUSTRIA.</t>
        </is>
      </c>
      <c r="F130" s="6" t="n">
        <v>46231.74575749142</v>
      </c>
      <c r="G130" s="5" t="inlineStr">
        <is>
          <t>WARNING</t>
        </is>
      </c>
    </row>
    <row r="131">
      <c r="A131" s="5" t="n">
        <v>2325</v>
      </c>
      <c r="B131" s="5" t="inlineStr">
        <is>
          <t>NAVEL TEMPRANA</t>
        </is>
      </c>
      <c r="C131" s="5" t="inlineStr">
        <is>
          <t>WARNING</t>
        </is>
      </c>
      <c r="D131" s="5" t="inlineStr">
        <is>
          <t>Warning</t>
        </is>
      </c>
      <c r="E131" s="5" t="inlineStr">
        <is>
          <t>No existe tarifa BonCalidad para socio=1613 campaña=2026 empresa=1 cultivo=INDUSTRIA.</t>
        </is>
      </c>
      <c r="F131" s="6" t="n">
        <v>46231.74575749142</v>
      </c>
      <c r="G131" s="5" t="inlineStr">
        <is>
          <t>WARNING</t>
        </is>
      </c>
    </row>
    <row r="132">
      <c r="A132" s="5" t="n">
        <v>2325</v>
      </c>
      <c r="B132" s="5" t="inlineStr">
        <is>
          <t>NAVEL TEMPRANA</t>
        </is>
      </c>
      <c r="C132" s="5" t="inlineStr">
        <is>
          <t>WARNING</t>
        </is>
      </c>
      <c r="D132" s="5" t="inlineStr">
        <is>
          <t>Warning</t>
        </is>
      </c>
      <c r="E132" s="5" t="inlineStr">
        <is>
          <t>No existe tarifa BonCalidad para socio=1614 campaña=2026 empresa=1 cultivo=INDUSTRIA.</t>
        </is>
      </c>
      <c r="F132" s="6" t="n">
        <v>46231.74575749142</v>
      </c>
      <c r="G132" s="5" t="inlineStr">
        <is>
          <t>WARNING</t>
        </is>
      </c>
    </row>
    <row r="133">
      <c r="A133" s="5" t="n">
        <v>2325</v>
      </c>
      <c r="B133" s="5" t="inlineStr">
        <is>
          <t>NAVEL TEMPRANA</t>
        </is>
      </c>
      <c r="C133" s="5" t="inlineStr">
        <is>
          <t>WARNING</t>
        </is>
      </c>
      <c r="D133" s="5" t="inlineStr">
        <is>
          <t>Warning</t>
        </is>
      </c>
      <c r="E133" s="5" t="inlineStr">
        <is>
          <t>No existe tarifa BonCalidad para socio=1617 campaña=2026 empresa=1 cultivo=INDUSTRIA.</t>
        </is>
      </c>
      <c r="F133" s="6" t="n">
        <v>46231.74575749142</v>
      </c>
      <c r="G133" s="5" t="inlineStr">
        <is>
          <t>WARNING</t>
        </is>
      </c>
    </row>
    <row r="134">
      <c r="A134" s="5" t="n">
        <v>2325</v>
      </c>
      <c r="B134" s="5" t="inlineStr">
        <is>
          <t>NAVEL TEMPRANA</t>
        </is>
      </c>
      <c r="C134" s="5" t="inlineStr">
        <is>
          <t>WARNING</t>
        </is>
      </c>
      <c r="D134" s="5" t="inlineStr">
        <is>
          <t>Warning</t>
        </is>
      </c>
      <c r="E134" s="5" t="inlineStr">
        <is>
          <t>No existe tarifa BonCalidad para socio=1622 campaña=2026 empresa=1 cultivo=INDUSTRIA.</t>
        </is>
      </c>
      <c r="F134" s="6" t="n">
        <v>46231.74575749142</v>
      </c>
      <c r="G134" s="5" t="inlineStr">
        <is>
          <t>WARNING</t>
        </is>
      </c>
    </row>
    <row r="135">
      <c r="A135" s="5" t="n">
        <v>2325</v>
      </c>
      <c r="B135" s="5" t="inlineStr">
        <is>
          <t>NAVEL TEMPRANA</t>
        </is>
      </c>
      <c r="C135" s="5" t="inlineStr">
        <is>
          <t>WARNING</t>
        </is>
      </c>
      <c r="D135" s="5" t="inlineStr">
        <is>
          <t>Warning</t>
        </is>
      </c>
      <c r="E135" s="5" t="inlineStr">
        <is>
          <t>No existe tarifa BonCalidad para socio=1623 campaña=2026 empresa=1 cultivo=INDUSTRIA.</t>
        </is>
      </c>
      <c r="F135" s="6" t="n">
        <v>46231.74575749142</v>
      </c>
      <c r="G135" s="5" t="inlineStr">
        <is>
          <t>WARNING</t>
        </is>
      </c>
    </row>
  </sheetData>
  <autoFilter ref="A1:G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Fecha y hora de inicio</t>
        </is>
      </c>
      <c r="B1" s="2" t="n">
        <v>46231.74562317206</v>
      </c>
    </row>
    <row r="2">
      <c r="A2" s="5" t="inlineStr">
        <is>
          <t>Fecha y hora de fin</t>
        </is>
      </c>
      <c r="B2" s="6" t="n">
        <v>46231.74575749142</v>
      </c>
    </row>
    <row r="3">
      <c r="A3" s="5" t="inlineStr">
        <is>
          <t>Campaña</t>
        </is>
      </c>
      <c r="B3" s="5" t="inlineStr">
        <is>
          <t>2026</t>
        </is>
      </c>
    </row>
    <row r="4">
      <c r="A4" s="5" t="inlineStr">
        <is>
          <t>Empresa</t>
        </is>
      </c>
      <c r="B4" s="5" t="inlineStr">
        <is>
          <t>1</t>
        </is>
      </c>
    </row>
    <row r="5">
      <c r="A5" s="5" t="inlineStr">
        <is>
          <t>Cultivo</t>
        </is>
      </c>
      <c r="B5" s="5" t="inlineStr">
        <is>
          <t>INDUSTRIA</t>
        </is>
      </c>
    </row>
    <row r="6">
      <c r="A6" s="5" t="inlineStr">
        <is>
          <t>Usuario</t>
        </is>
      </c>
      <c r="B6" s="5" t="inlineStr"/>
    </row>
    <row r="7">
      <c r="A7" s="5" t="inlineStr">
        <is>
          <t>Número de remesas seleccionadas</t>
        </is>
      </c>
      <c r="B7" s="7" t="n">
        <v>5</v>
      </c>
    </row>
    <row r="8">
      <c r="A8" s="5" t="inlineStr">
        <is>
          <t>Número correctas</t>
        </is>
      </c>
      <c r="B8" s="7" t="n">
        <v>4</v>
      </c>
    </row>
    <row r="9">
      <c r="A9" s="5" t="inlineStr">
        <is>
          <t>Número con error</t>
        </is>
      </c>
      <c r="B9" s="7" t="n">
        <v>1</v>
      </c>
    </row>
    <row r="10">
      <c r="A10" s="5" t="inlineStr">
        <is>
          <t>IDs seleccionados</t>
        </is>
      </c>
      <c r="B10" s="5" t="inlineStr">
        <is>
          <t>2321, 2322, 2324, 2325, 2323</t>
        </is>
      </c>
    </row>
    <row r="11">
      <c r="A11" s="5" t="inlineStr">
        <is>
          <t>Nombres de las remesas</t>
        </is>
      </c>
      <c r="B11" s="5" t="inlineStr">
        <is>
          <t>BLANCA TARDIA, BLANCA TEMPRANA, NAVEL TARDIA, NAVEL TEMPRANA, NAVEL MEDIA</t>
        </is>
      </c>
    </row>
    <row r="12">
      <c r="A12" s="5" t="inlineStr">
        <is>
          <t>Tarifa Cuota Ha</t>
        </is>
      </c>
      <c r="B12" s="8" t="n">
        <v>195</v>
      </c>
    </row>
    <row r="13">
      <c r="A13" s="5" t="inlineStr">
        <is>
          <t>Cultivos sujetos a Cuota Ha</t>
        </is>
      </c>
      <c r="B13" s="5" t="inlineStr">
        <is>
          <t>DIRECTOCHF, DIRECTO, MANDARINA, INDUSTRIA, CITRICOS</t>
        </is>
      </c>
    </row>
    <row r="14">
      <c r="A14" s="5" t="inlineStr">
        <is>
          <t>Versión de la aplicación</t>
        </is>
      </c>
      <c r="B14" s="5" t="inlineStr">
        <is>
          <t>Remesas</t>
        </is>
      </c>
    </row>
    <row r="15">
      <c r="A15" s="5" t="inlineStr">
        <is>
          <t>Ruta base de salida</t>
        </is>
      </c>
      <c r="B15" s="5" t="inlineStr">
        <is>
          <t>C:\Liquidaciones\salidas\remesas\2026\INDUSTRIA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2026-07-28T15:53:53Z</dcterms:created>
  <dcterms:modified xmlns:dcterms="http://purl.org/dc/terms/" xmlns:xsi="http://www.w3.org/2001/XMLSchema-instance" xsi:type="dcterms:W3CDTF">2026-07-28T15:53:53Z</dcterms:modified>
</cp:coreProperties>
</file>