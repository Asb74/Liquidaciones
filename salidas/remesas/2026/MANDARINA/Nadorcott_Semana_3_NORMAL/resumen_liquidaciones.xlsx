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1214</v>
      </c>
      <c r="B2" s="3" t="inlineStr">
        <is>
          <t>CALZADA GAMIZ,JOSE ANTONIO</t>
        </is>
      </c>
      <c r="C2" s="3" t="inlineStr">
        <is>
          <t>NADORCOTT</t>
        </is>
      </c>
      <c r="D2" s="2" t="n">
        <v>66628</v>
      </c>
      <c r="E2" s="4" t="n">
        <v>46205.91</v>
      </c>
      <c r="F2" s="5" t="n">
        <v>0.6934908747073303</v>
      </c>
      <c r="G2" s="4" t="n">
        <v>8328.5</v>
      </c>
      <c r="H2" s="4" t="n">
        <v>604.9400000000001</v>
      </c>
      <c r="I2" s="4" t="n">
        <v>0</v>
      </c>
      <c r="J2" s="4" t="n">
        <v>0</v>
      </c>
      <c r="K2" s="4" t="n">
        <v>1134.82</v>
      </c>
      <c r="L2" s="4" t="n">
        <v>38407.29</v>
      </c>
      <c r="M2" s="5" t="n">
        <v>0.6327</v>
      </c>
      <c r="N2" s="6" t="n">
        <v>12</v>
      </c>
      <c r="O2" s="6" t="n">
        <v>2</v>
      </c>
      <c r="P2" s="4" t="n">
        <v>42155.84</v>
      </c>
      <c r="Q2" s="3" t="inlineStr">
        <is>
          <t>Nadorcott Semana 3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1443</v>
      </c>
      <c r="B3" s="3" t="inlineStr">
        <is>
          <t>TOMENO SUAREZ,ALBERTO</t>
        </is>
      </c>
      <c r="C3" s="3" t="inlineStr">
        <is>
          <t>NADORCOTT</t>
        </is>
      </c>
      <c r="D3" s="2" t="n">
        <v>48467</v>
      </c>
      <c r="E3" s="4" t="n">
        <v>34887.49</v>
      </c>
      <c r="F3" s="5" t="n">
        <v>0.719819464790476</v>
      </c>
      <c r="G3" s="4" t="n">
        <v>0</v>
      </c>
      <c r="H3" s="4" t="n">
        <v>299.7</v>
      </c>
      <c r="I3" s="4" t="n">
        <v>0</v>
      </c>
      <c r="J3" s="4" t="n">
        <v>430.34</v>
      </c>
      <c r="K3" s="4" t="n">
        <v>784.88</v>
      </c>
      <c r="L3" s="4" t="n">
        <v>35803.01</v>
      </c>
      <c r="M3" s="5" t="n">
        <v>0.81081</v>
      </c>
      <c r="N3" s="6" t="n">
        <v>12</v>
      </c>
      <c r="O3" s="6" t="n">
        <v>2</v>
      </c>
      <c r="P3" s="4" t="n">
        <v>39297.38</v>
      </c>
      <c r="Q3" s="3" t="inlineStr">
        <is>
          <t>Nadorcott Semana 3 NORMAL</t>
        </is>
      </c>
      <c r="R3" s="3" t="inlineStr">
        <is>
          <t>MANDARINA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1491</v>
      </c>
      <c r="B4" s="3" t="inlineStr">
        <is>
          <t>JIMENEZ LORENTE,SONIA</t>
        </is>
      </c>
      <c r="C4" s="3" t="inlineStr">
        <is>
          <t>NADORCOTT</t>
        </is>
      </c>
      <c r="D4" s="2" t="n">
        <v>49910</v>
      </c>
      <c r="E4" s="4" t="n">
        <v>39264.46</v>
      </c>
      <c r="F4" s="5" t="n">
        <v>0.7867052694850731</v>
      </c>
      <c r="G4" s="4" t="n">
        <v>6238.75</v>
      </c>
      <c r="H4" s="4" t="n">
        <v>320.57</v>
      </c>
      <c r="I4" s="4" t="n">
        <v>0</v>
      </c>
      <c r="J4" s="4" t="n">
        <v>0</v>
      </c>
      <c r="K4" s="4" t="n">
        <v>812.51</v>
      </c>
      <c r="L4" s="4" t="n">
        <v>33517.65</v>
      </c>
      <c r="M4" s="5" t="n">
        <v>0.73711</v>
      </c>
      <c r="N4" s="6" t="n">
        <v>12</v>
      </c>
      <c r="O4" s="6" t="n">
        <v>2</v>
      </c>
      <c r="P4" s="4" t="n">
        <v>36788.97</v>
      </c>
      <c r="Q4" s="3" t="inlineStr">
        <is>
          <t>Nadorcott Semana 3 NORMAL</t>
        </is>
      </c>
      <c r="R4" s="3" t="inlineStr">
        <is>
          <t>MANDARINA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1514</v>
      </c>
      <c r="B5" s="3" t="inlineStr">
        <is>
          <t>PRIETO ROMERO, JAVIER</t>
        </is>
      </c>
      <c r="C5" s="3" t="inlineStr">
        <is>
          <t>NADORCOTT</t>
        </is>
      </c>
      <c r="D5" s="2" t="n">
        <v>19038</v>
      </c>
      <c r="E5" s="4" t="n">
        <v>13150.07</v>
      </c>
      <c r="F5" s="5" t="n">
        <v>0.6907274923836537</v>
      </c>
      <c r="G5" s="4" t="n">
        <v>2379.75</v>
      </c>
      <c r="H5" s="4" t="n">
        <v>421.33</v>
      </c>
      <c r="I5" s="4" t="n">
        <v>0</v>
      </c>
      <c r="J5" s="4" t="n">
        <v>0</v>
      </c>
      <c r="K5" s="4" t="n">
        <v>292.05</v>
      </c>
      <c r="L5" s="4" t="n">
        <v>10641.04</v>
      </c>
      <c r="M5" s="5" t="n">
        <v>0.61349</v>
      </c>
      <c r="N5" s="6" t="n">
        <v>12</v>
      </c>
      <c r="O5" s="6" t="n">
        <v>2</v>
      </c>
      <c r="P5" s="4" t="n">
        <v>11679.61</v>
      </c>
      <c r="Q5" s="3" t="inlineStr">
        <is>
          <t>Nadorcott Semana 3 NORMAL</t>
        </is>
      </c>
      <c r="R5" s="3" t="inlineStr">
        <is>
          <t>MANDARINA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8" t="n"/>
      <c r="B6" s="9" t="inlineStr">
        <is>
          <t>TOTAL</t>
        </is>
      </c>
      <c r="C6" s="9" t="n"/>
      <c r="D6" s="8">
        <f>SUM(D2:D5)</f>
        <v/>
      </c>
      <c r="E6" s="10">
        <f>SUM(E2:E5)</f>
        <v/>
      </c>
      <c r="F6" s="11" t="n"/>
      <c r="G6" s="10">
        <f>SUM(G2:G5)</f>
        <v/>
      </c>
      <c r="H6" s="10">
        <f>SUM(H2:H5)</f>
        <v/>
      </c>
      <c r="I6" s="10">
        <f>SUM(I2:I5)</f>
        <v/>
      </c>
      <c r="J6" s="10">
        <f>SUM(J2:J5)</f>
        <v/>
      </c>
      <c r="K6" s="10">
        <f>SUM(K2:K5)</f>
        <v/>
      </c>
      <c r="L6" s="10">
        <f>SUM(L2:L5)</f>
        <v/>
      </c>
      <c r="M6" s="11">
        <f>IFERROR(P6/D6,0)</f>
        <v/>
      </c>
      <c r="N6" s="12" t="n"/>
      <c r="O6" s="12" t="n"/>
      <c r="P6" s="10">
        <f>SUM(P2:P5)</f>
        <v/>
      </c>
      <c r="Q6" s="9" t="n"/>
      <c r="R6" s="9" t="n"/>
      <c r="S6" s="13" t="n"/>
      <c r="T6" s="13" t="n"/>
      <c r="U6" s="13" t="n"/>
    </row>
  </sheetData>
  <autoFilter ref="A1:U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n">
        <v>0</v>
      </c>
      <c r="E2" t="inlineStr">
        <is>
          <t>not_found</t>
        </is>
      </c>
      <c r="F2" t="n">
        <v>10.97</v>
      </c>
      <c r="G2" t="n">
        <v>195</v>
      </c>
      <c r="H2" t="n">
        <v>2139.15</v>
      </c>
      <c r="I2" t="n">
        <v>235605</v>
      </c>
      <c r="J2" t="n">
        <v>0.009079391354173299</v>
      </c>
      <c r="K2" t="n">
        <v>604.9400000000001</v>
      </c>
      <c r="L2" t="n">
        <v>0</v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0</v>
      </c>
      <c r="E3" t="inlineStr">
        <is>
          <t>not_found</t>
        </is>
      </c>
      <c r="F3" t="n">
        <v>17.08</v>
      </c>
      <c r="G3" t="n">
        <v>195</v>
      </c>
      <c r="H3" t="n">
        <v>3330.6</v>
      </c>
      <c r="I3" t="n">
        <v>538619</v>
      </c>
      <c r="J3" t="n">
        <v>0.006183591741100852</v>
      </c>
      <c r="K3" t="n">
        <v>299.7</v>
      </c>
      <c r="L3" t="n">
        <v>0</v>
      </c>
    </row>
    <row r="4">
      <c r="A4" t="n">
        <v>1491</v>
      </c>
      <c r="B4" t="inlineStr">
        <is>
          <t>JIMENEZ LORENTE,SONIA</t>
        </is>
      </c>
      <c r="C4" t="inlineStr">
        <is>
          <t>NADORCOTT</t>
        </is>
      </c>
      <c r="D4" t="n">
        <v>0</v>
      </c>
      <c r="E4" t="inlineStr">
        <is>
          <t>not_found</t>
        </is>
      </c>
      <c r="F4" t="n">
        <v>7.94</v>
      </c>
      <c r="G4" t="n">
        <v>195</v>
      </c>
      <c r="H4" t="n">
        <v>1548.3</v>
      </c>
      <c r="I4" t="n">
        <v>241057</v>
      </c>
      <c r="J4" t="n">
        <v>0.006422962203960059</v>
      </c>
      <c r="K4" t="n">
        <v>320.57</v>
      </c>
      <c r="L4" t="n">
        <v>0</v>
      </c>
    </row>
    <row r="5">
      <c r="A5" t="n">
        <v>1514</v>
      </c>
      <c r="B5" t="inlineStr">
        <is>
          <t>PRIETO ROMERO, JAVIER</t>
        </is>
      </c>
      <c r="C5" t="inlineStr">
        <is>
          <t>NADORCOTT</t>
        </is>
      </c>
      <c r="D5" t="n">
        <v>0</v>
      </c>
      <c r="E5" t="inlineStr">
        <is>
          <t>not_found</t>
        </is>
      </c>
      <c r="F5" t="n">
        <v>5.24</v>
      </c>
      <c r="G5" t="n">
        <v>195</v>
      </c>
      <c r="H5" t="n">
        <v>1021.8</v>
      </c>
      <c r="I5" t="n">
        <v>46170</v>
      </c>
      <c r="J5" t="n">
        <v>0.02213125406107862</v>
      </c>
      <c r="K5" t="n">
        <v>421.33</v>
      </c>
      <c r="L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1214</v>
      </c>
      <c r="B2" t="inlineStr">
        <is>
          <t>CALZADA GAMIZ,JOSE ANTONIO</t>
        </is>
      </c>
      <c r="C2" t="n">
        <v>613</v>
      </c>
      <c r="D2" t="inlineStr">
        <is>
          <t>MANDARINA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613</v>
      </c>
      <c r="K2" t="n">
        <v>2026</v>
      </c>
      <c r="L2" t="inlineStr">
        <is>
          <t>1</t>
        </is>
      </c>
      <c r="M2" t="inlineStr">
        <is>
          <t>MANDARINA</t>
        </is>
      </c>
      <c r="N2" t="inlineStr">
        <is>
          <t>41055</t>
        </is>
      </c>
      <c r="O2" t="inlineStr">
        <is>
          <t>20</t>
        </is>
      </c>
      <c r="P2" t="inlineStr">
        <is>
          <t>9</t>
        </is>
      </c>
      <c r="Q2" t="inlineStr">
        <is>
          <t>1</t>
        </is>
      </c>
      <c r="R2" t="n">
        <v>4.98</v>
      </c>
      <c r="S2" t="n">
        <v>0</v>
      </c>
      <c r="T2" t="n">
        <v>4.98</v>
      </c>
      <c r="V2" t="inlineStr">
        <is>
          <t>Sí</t>
        </is>
      </c>
      <c r="W2" t="inlineStr"/>
    </row>
    <row r="3">
      <c r="A3" t="n">
        <v>1214</v>
      </c>
      <c r="B3" t="inlineStr">
        <is>
          <t>CALZADA GAMIZ,JOSE ANTONIO</t>
        </is>
      </c>
      <c r="C3" t="n">
        <v>621</v>
      </c>
      <c r="D3" t="inlineStr">
        <is>
          <t>MANDARINA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621</v>
      </c>
      <c r="K3" t="n">
        <v>2026</v>
      </c>
      <c r="L3" t="inlineStr">
        <is>
          <t>1</t>
        </is>
      </c>
      <c r="M3" t="inlineStr">
        <is>
          <t>MANDARINA</t>
        </is>
      </c>
      <c r="N3" t="inlineStr">
        <is>
          <t>41055</t>
        </is>
      </c>
      <c r="O3" t="inlineStr">
        <is>
          <t>19</t>
        </is>
      </c>
      <c r="P3" t="inlineStr">
        <is>
          <t>10</t>
        </is>
      </c>
      <c r="Q3" t="inlineStr">
        <is>
          <t>5</t>
        </is>
      </c>
      <c r="R3" t="n">
        <v>5.99</v>
      </c>
      <c r="S3" t="n">
        <v>0</v>
      </c>
      <c r="T3" t="n">
        <v>5.65</v>
      </c>
      <c r="V3" t="inlineStr">
        <is>
          <t>Sí</t>
        </is>
      </c>
      <c r="W3" t="inlineStr"/>
    </row>
    <row r="4">
      <c r="A4" t="n">
        <v>1443</v>
      </c>
      <c r="B4" t="inlineStr">
        <is>
          <t>TOMENO SUAREZ,ALBERTO</t>
        </is>
      </c>
      <c r="C4" t="n">
        <v>42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42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21</t>
        </is>
      </c>
      <c r="P4" t="inlineStr">
        <is>
          <t>13</t>
        </is>
      </c>
      <c r="Q4" t="inlineStr">
        <is>
          <t>10</t>
        </is>
      </c>
      <c r="R4" t="n">
        <v>1.35</v>
      </c>
      <c r="S4" t="n">
        <v>2.28223</v>
      </c>
      <c r="T4" t="n">
        <v>1.35</v>
      </c>
      <c r="V4" t="inlineStr">
        <is>
          <t>Sí</t>
        </is>
      </c>
      <c r="W4" t="inlineStr"/>
    </row>
    <row r="5">
      <c r="A5" t="n">
        <v>1443</v>
      </c>
      <c r="B5" t="inlineStr">
        <is>
          <t>TOMENO SUAREZ,ALBERTO</t>
        </is>
      </c>
      <c r="C5" t="n">
        <v>42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42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21</t>
        </is>
      </c>
      <c r="P5" t="inlineStr">
        <is>
          <t>13</t>
        </is>
      </c>
      <c r="Q5" t="inlineStr">
        <is>
          <t>3</t>
        </is>
      </c>
      <c r="R5" t="n">
        <v>1.28</v>
      </c>
      <c r="S5" t="n">
        <v>0</v>
      </c>
      <c r="T5" t="n">
        <v>1.28</v>
      </c>
      <c r="V5" t="inlineStr">
        <is>
          <t>Sí</t>
        </is>
      </c>
      <c r="W5" t="inlineStr"/>
    </row>
    <row r="6">
      <c r="A6" t="n">
        <v>1443</v>
      </c>
      <c r="B6" t="inlineStr">
        <is>
          <t>TOMENO SUAREZ,ALBERTO</t>
        </is>
      </c>
      <c r="C6" t="n">
        <v>46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46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21</t>
        </is>
      </c>
      <c r="P6" t="inlineStr">
        <is>
          <t>13</t>
        </is>
      </c>
      <c r="Q6" t="inlineStr">
        <is>
          <t>1</t>
        </is>
      </c>
      <c r="R6" t="n">
        <v>1.45</v>
      </c>
      <c r="S6" t="n">
        <v>1.449891</v>
      </c>
      <c r="T6" t="n">
        <v>1.45</v>
      </c>
      <c r="V6" t="inlineStr">
        <is>
          <t>Sí</t>
        </is>
      </c>
      <c r="W6" t="inlineStr"/>
    </row>
    <row r="7">
      <c r="A7" t="n">
        <v>1443</v>
      </c>
      <c r="B7" t="inlineStr">
        <is>
          <t>TOMENO SUAREZ,ALBERTO</t>
        </is>
      </c>
      <c r="C7" t="n">
        <v>671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671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21</t>
        </is>
      </c>
      <c r="P7" t="inlineStr">
        <is>
          <t>15</t>
        </is>
      </c>
      <c r="Q7" t="inlineStr">
        <is>
          <t>1</t>
        </is>
      </c>
      <c r="R7" t="n">
        <v>2.6</v>
      </c>
      <c r="S7" t="n">
        <v>0</v>
      </c>
      <c r="T7" t="n">
        <v>2.6</v>
      </c>
      <c r="V7" t="inlineStr">
        <is>
          <t>No</t>
        </is>
      </c>
      <c r="W7" t="inlineStr">
        <is>
          <t>PLANTACION_MENOR_CINCO_ANOS</t>
        </is>
      </c>
    </row>
    <row r="8">
      <c r="A8" t="n">
        <v>1443</v>
      </c>
      <c r="B8" t="inlineStr">
        <is>
          <t>TOMENO SUAREZ,ALBERTO</t>
        </is>
      </c>
      <c r="C8" t="n">
        <v>671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671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21</t>
        </is>
      </c>
      <c r="P8" t="inlineStr">
        <is>
          <t>13</t>
        </is>
      </c>
      <c r="Q8" t="inlineStr">
        <is>
          <t>10</t>
        </is>
      </c>
      <c r="R8" t="n">
        <v>0.93</v>
      </c>
      <c r="S8" t="n">
        <v>0</v>
      </c>
      <c r="T8" t="n">
        <v>0.93</v>
      </c>
      <c r="V8" t="inlineStr">
        <is>
          <t>No</t>
        </is>
      </c>
      <c r="W8" t="inlineStr">
        <is>
          <t>PLANTACION_MENOR_CINCO_ANOS</t>
        </is>
      </c>
    </row>
    <row r="9">
      <c r="A9" t="n">
        <v>1443</v>
      </c>
      <c r="B9" t="inlineStr">
        <is>
          <t>TOMENO SUAREZ,ALBERTO</t>
        </is>
      </c>
      <c r="C9" t="n">
        <v>671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671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21</t>
        </is>
      </c>
      <c r="P9" t="inlineStr">
        <is>
          <t>13</t>
        </is>
      </c>
      <c r="Q9" t="inlineStr">
        <is>
          <t>3</t>
        </is>
      </c>
      <c r="R9" t="n">
        <v>0.88</v>
      </c>
      <c r="S9" t="n">
        <v>0</v>
      </c>
      <c r="T9" t="n">
        <v>0.88</v>
      </c>
      <c r="V9" t="inlineStr">
        <is>
          <t>No</t>
        </is>
      </c>
      <c r="W9" t="inlineStr">
        <is>
          <t>PLANTACION_MENOR_CINCO_ANOS</t>
        </is>
      </c>
    </row>
    <row r="10">
      <c r="A10" t="n">
        <v>1443</v>
      </c>
      <c r="B10" t="inlineStr">
        <is>
          <t>TOMENO SUAREZ,ALBERTO</t>
        </is>
      </c>
      <c r="C10" t="n">
        <v>611</v>
      </c>
      <c r="D10" t="inlineStr">
        <is>
          <t>MANDARINA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611</v>
      </c>
      <c r="K10" t="n">
        <v>2026</v>
      </c>
      <c r="L10" t="inlineStr">
        <is>
          <t>1</t>
        </is>
      </c>
      <c r="M10" t="inlineStr">
        <is>
          <t>MANDARINA</t>
        </is>
      </c>
      <c r="N10" t="inlineStr">
        <is>
          <t>41055</t>
        </is>
      </c>
      <c r="O10" t="inlineStr">
        <is>
          <t>15</t>
        </is>
      </c>
      <c r="P10" t="inlineStr">
        <is>
          <t>123</t>
        </is>
      </c>
      <c r="Q10" t="inlineStr">
        <is>
          <t>1</t>
        </is>
      </c>
      <c r="R10" t="n">
        <v>4.4</v>
      </c>
      <c r="S10" t="n">
        <v>0</v>
      </c>
      <c r="T10" t="n">
        <v>4.4</v>
      </c>
      <c r="V10" t="inlineStr">
        <is>
          <t>Sí</t>
        </is>
      </c>
      <c r="W10" t="inlineStr"/>
    </row>
    <row r="11">
      <c r="A11" t="n">
        <v>1443</v>
      </c>
      <c r="B11" t="inlineStr">
        <is>
          <t>TOMENO SUAREZ,ALBERTO</t>
        </is>
      </c>
      <c r="C11" t="n">
        <v>612</v>
      </c>
      <c r="D11" t="inlineStr">
        <is>
          <t>MANDARINA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612</v>
      </c>
      <c r="K11" t="n">
        <v>2026</v>
      </c>
      <c r="L11" t="inlineStr">
        <is>
          <t>1</t>
        </is>
      </c>
      <c r="M11" t="inlineStr">
        <is>
          <t>MANDARINA</t>
        </is>
      </c>
      <c r="N11" t="inlineStr">
        <is>
          <t>41055</t>
        </is>
      </c>
      <c r="O11" t="inlineStr">
        <is>
          <t>19</t>
        </is>
      </c>
      <c r="P11" t="inlineStr">
        <is>
          <t>5</t>
        </is>
      </c>
      <c r="Q11" t="inlineStr">
        <is>
          <t>5</t>
        </is>
      </c>
      <c r="R11" t="n">
        <v>0.03</v>
      </c>
      <c r="S11" t="n">
        <v>0</v>
      </c>
      <c r="T11" t="n">
        <v>0.03</v>
      </c>
      <c r="V11" t="inlineStr">
        <is>
          <t>Sí</t>
        </is>
      </c>
      <c r="W11" t="inlineStr"/>
    </row>
    <row r="12">
      <c r="A12" t="n">
        <v>1443</v>
      </c>
      <c r="B12" t="inlineStr">
        <is>
          <t>TOMENO SUAREZ,ALBERTO</t>
        </is>
      </c>
      <c r="C12" t="n">
        <v>612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612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41055</t>
        </is>
      </c>
      <c r="O12" t="inlineStr">
        <is>
          <t>19</t>
        </is>
      </c>
      <c r="P12" t="inlineStr">
        <is>
          <t>7</t>
        </is>
      </c>
      <c r="Q12" t="inlineStr">
        <is>
          <t>4</t>
        </is>
      </c>
      <c r="R12" t="n">
        <v>0.08</v>
      </c>
      <c r="S12" t="n">
        <v>0</v>
      </c>
      <c r="T12" t="n">
        <v>0.08</v>
      </c>
      <c r="V12" t="inlineStr">
        <is>
          <t>Sí</t>
        </is>
      </c>
      <c r="W12" t="inlineStr"/>
    </row>
    <row r="13">
      <c r="A13" t="n">
        <v>1443</v>
      </c>
      <c r="B13" t="inlineStr">
        <is>
          <t>TOMENO SUAREZ,ALBERTO</t>
        </is>
      </c>
      <c r="C13" t="n">
        <v>612</v>
      </c>
      <c r="D13" t="inlineStr">
        <is>
          <t>MANDARINA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612</v>
      </c>
      <c r="K13" t="n">
        <v>2026</v>
      </c>
      <c r="L13" t="inlineStr">
        <is>
          <t>1</t>
        </is>
      </c>
      <c r="M13" t="inlineStr">
        <is>
          <t>MANDARINA</t>
        </is>
      </c>
      <c r="N13" t="inlineStr">
        <is>
          <t>41055</t>
        </is>
      </c>
      <c r="O13" t="inlineStr">
        <is>
          <t>19</t>
        </is>
      </c>
      <c r="P13" t="inlineStr">
        <is>
          <t>6</t>
        </is>
      </c>
      <c r="Q13" t="inlineStr">
        <is>
          <t>1</t>
        </is>
      </c>
      <c r="R13" t="n">
        <v>1.92</v>
      </c>
      <c r="S13" t="n">
        <v>0</v>
      </c>
      <c r="T13" t="n">
        <v>1.92</v>
      </c>
      <c r="V13" t="inlineStr">
        <is>
          <t>Sí</t>
        </is>
      </c>
      <c r="W13" t="inlineStr"/>
    </row>
    <row r="14">
      <c r="A14" t="n">
        <v>1443</v>
      </c>
      <c r="B14" t="inlineStr">
        <is>
          <t>TOMENO SUAREZ,ALBERTO</t>
        </is>
      </c>
      <c r="C14" t="n">
        <v>612</v>
      </c>
      <c r="D14" t="inlineStr">
        <is>
          <t>MANDARINA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612</v>
      </c>
      <c r="K14" t="n">
        <v>2026</v>
      </c>
      <c r="L14" t="inlineStr">
        <is>
          <t>1</t>
        </is>
      </c>
      <c r="M14" t="inlineStr">
        <is>
          <t>MANDARINA</t>
        </is>
      </c>
      <c r="N14" t="inlineStr">
        <is>
          <t>41055</t>
        </is>
      </c>
      <c r="O14" t="inlineStr">
        <is>
          <t>19</t>
        </is>
      </c>
      <c r="P14" t="inlineStr">
        <is>
          <t>6</t>
        </is>
      </c>
      <c r="Q14" t="inlineStr">
        <is>
          <t>3</t>
        </is>
      </c>
      <c r="R14" t="n">
        <v>1.58</v>
      </c>
      <c r="S14" t="n">
        <v>0</v>
      </c>
      <c r="T14" t="n">
        <v>1.58</v>
      </c>
      <c r="V14" t="inlineStr">
        <is>
          <t>Sí</t>
        </is>
      </c>
      <c r="W14" t="inlineStr"/>
    </row>
    <row r="15">
      <c r="A15" t="n">
        <v>1443</v>
      </c>
      <c r="B15" t="inlineStr">
        <is>
          <t>TOMENO SUAREZ,ALBERTO</t>
        </is>
      </c>
      <c r="C15" t="n">
        <v>612</v>
      </c>
      <c r="D15" t="inlineStr">
        <is>
          <t>MANDARINA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612</v>
      </c>
      <c r="K15" t="n">
        <v>2026</v>
      </c>
      <c r="L15" t="inlineStr">
        <is>
          <t>1</t>
        </is>
      </c>
      <c r="M15" t="inlineStr">
        <is>
          <t>MANDARINA</t>
        </is>
      </c>
      <c r="N15" t="inlineStr">
        <is>
          <t>41055</t>
        </is>
      </c>
      <c r="O15" t="inlineStr">
        <is>
          <t>19</t>
        </is>
      </c>
      <c r="P15" t="inlineStr">
        <is>
          <t>7</t>
        </is>
      </c>
      <c r="Q15" t="inlineStr">
        <is>
          <t>1</t>
        </is>
      </c>
      <c r="R15" t="n">
        <v>3.91</v>
      </c>
      <c r="S15" t="n">
        <v>0</v>
      </c>
      <c r="T15" t="n">
        <v>3.91</v>
      </c>
      <c r="V15" t="inlineStr">
        <is>
          <t>Sí</t>
        </is>
      </c>
      <c r="W15" t="inlineStr"/>
    </row>
    <row r="16">
      <c r="A16" t="n">
        <v>1443</v>
      </c>
      <c r="B16" t="inlineStr">
        <is>
          <t>TOMENO SUAREZ,ALBERTO</t>
        </is>
      </c>
      <c r="C16" t="n">
        <v>612</v>
      </c>
      <c r="D16" t="inlineStr">
        <is>
          <t>MANDARINA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612</v>
      </c>
      <c r="K16" t="n">
        <v>2026</v>
      </c>
      <c r="L16" t="inlineStr">
        <is>
          <t>1</t>
        </is>
      </c>
      <c r="M16" t="inlineStr">
        <is>
          <t>MANDARINA</t>
        </is>
      </c>
      <c r="N16" t="inlineStr">
        <is>
          <t>41055</t>
        </is>
      </c>
      <c r="O16" t="inlineStr">
        <is>
          <t>19</t>
        </is>
      </c>
      <c r="P16" t="inlineStr">
        <is>
          <t>7</t>
        </is>
      </c>
      <c r="Q16" t="inlineStr">
        <is>
          <t>2</t>
        </is>
      </c>
      <c r="R16" t="n">
        <v>0.5600000000000001</v>
      </c>
      <c r="S16" t="n">
        <v>0</v>
      </c>
      <c r="T16" t="n">
        <v>0.5600000000000001</v>
      </c>
      <c r="V16" t="inlineStr">
        <is>
          <t>Sí</t>
        </is>
      </c>
      <c r="W16" t="inlineStr"/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MANDARINA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612</v>
      </c>
      <c r="K17" t="n">
        <v>2026</v>
      </c>
      <c r="L17" t="inlineStr">
        <is>
          <t>1</t>
        </is>
      </c>
      <c r="M17" t="inlineStr">
        <is>
          <t>MANDARINA</t>
        </is>
      </c>
      <c r="N17" t="inlineStr">
        <is>
          <t>41055</t>
        </is>
      </c>
      <c r="O17" t="inlineStr">
        <is>
          <t>19</t>
        </is>
      </c>
      <c r="P17" t="inlineStr">
        <is>
          <t>24</t>
        </is>
      </c>
      <c r="Q17" t="inlineStr">
        <is>
          <t>2</t>
        </is>
      </c>
      <c r="R17" t="n">
        <v>0.29</v>
      </c>
      <c r="S17" t="n">
        <v>0</v>
      </c>
      <c r="T17" t="n">
        <v>0.29</v>
      </c>
      <c r="V17" t="inlineStr">
        <is>
          <t>Sí</t>
        </is>
      </c>
      <c r="W17" t="inlineStr"/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MANDARINA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612</v>
      </c>
      <c r="K18" t="n">
        <v>2026</v>
      </c>
      <c r="L18" t="inlineStr">
        <is>
          <t>1</t>
        </is>
      </c>
      <c r="M18" t="inlineStr">
        <is>
          <t>MANDARINA</t>
        </is>
      </c>
      <c r="N18" t="inlineStr">
        <is>
          <t>41055</t>
        </is>
      </c>
      <c r="O18" t="inlineStr">
        <is>
          <t>19</t>
        </is>
      </c>
      <c r="P18" t="inlineStr">
        <is>
          <t>7</t>
        </is>
      </c>
      <c r="Q18" t="inlineStr">
        <is>
          <t>5</t>
        </is>
      </c>
      <c r="R18" t="n">
        <v>0.23</v>
      </c>
      <c r="S18" t="n">
        <v>0</v>
      </c>
      <c r="T18" t="n">
        <v>0.23</v>
      </c>
      <c r="V18" t="inlineStr">
        <is>
          <t>Sí</t>
        </is>
      </c>
      <c r="W18" t="inlineStr"/>
    </row>
    <row r="19">
      <c r="A19" t="n">
        <v>1491</v>
      </c>
      <c r="B19" t="inlineStr">
        <is>
          <t>JIMENEZ LORENTE,SONIA</t>
        </is>
      </c>
      <c r="C19" t="n">
        <v>370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370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14036</t>
        </is>
      </c>
      <c r="O19" t="inlineStr">
        <is>
          <t>29</t>
        </is>
      </c>
      <c r="P19" t="inlineStr">
        <is>
          <t>58</t>
        </is>
      </c>
      <c r="Q19" t="inlineStr">
        <is>
          <t>1</t>
        </is>
      </c>
      <c r="R19" t="n">
        <v>2.2</v>
      </c>
      <c r="S19" t="n">
        <v>0</v>
      </c>
      <c r="T19" t="n">
        <v>2.2</v>
      </c>
      <c r="V19" t="inlineStr">
        <is>
          <t>Sí</t>
        </is>
      </c>
      <c r="W19" t="inlineStr"/>
    </row>
    <row r="20">
      <c r="A20" t="n">
        <v>1491</v>
      </c>
      <c r="B20" t="inlineStr">
        <is>
          <t>JIMENEZ LORENTE,SONIA</t>
        </is>
      </c>
      <c r="C20" t="n">
        <v>563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563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14036</t>
        </is>
      </c>
      <c r="O20" t="inlineStr">
        <is>
          <t>29</t>
        </is>
      </c>
      <c r="P20" t="inlineStr">
        <is>
          <t>58</t>
        </is>
      </c>
      <c r="Q20" t="inlineStr">
        <is>
          <t>1</t>
        </is>
      </c>
      <c r="R20" t="n">
        <v>1.69</v>
      </c>
      <c r="S20" t="n">
        <v>0</v>
      </c>
      <c r="T20" t="n">
        <v>1.66</v>
      </c>
      <c r="V20" t="inlineStr">
        <is>
          <t>Sí</t>
        </is>
      </c>
      <c r="W20" t="inlineStr"/>
    </row>
    <row r="21">
      <c r="A21" t="n">
        <v>1491</v>
      </c>
      <c r="B21" t="inlineStr">
        <is>
          <t>JIMENEZ LORENTE,SONIA</t>
        </is>
      </c>
      <c r="C21" t="n">
        <v>563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563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14036</t>
        </is>
      </c>
      <c r="O21" t="inlineStr">
        <is>
          <t>29</t>
        </is>
      </c>
      <c r="P21" t="inlineStr">
        <is>
          <t>58</t>
        </is>
      </c>
      <c r="Q21" t="inlineStr">
        <is>
          <t>12</t>
        </is>
      </c>
      <c r="R21" t="n">
        <v>0.52</v>
      </c>
      <c r="S21" t="n">
        <v>0</v>
      </c>
      <c r="T21" t="n">
        <v>0.58</v>
      </c>
      <c r="V21" t="inlineStr">
        <is>
          <t>Sí</t>
        </is>
      </c>
      <c r="W21" t="inlineStr"/>
    </row>
    <row r="22">
      <c r="A22" t="n">
        <v>1491</v>
      </c>
      <c r="B22" t="inlineStr">
        <is>
          <t>JIMENEZ LORENTE,SONIA</t>
        </is>
      </c>
      <c r="C22" t="n">
        <v>569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569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14036</t>
        </is>
      </c>
      <c r="O22" t="inlineStr">
        <is>
          <t>29</t>
        </is>
      </c>
      <c r="P22" t="inlineStr">
        <is>
          <t>58</t>
        </is>
      </c>
      <c r="Q22" t="inlineStr">
        <is>
          <t>1</t>
        </is>
      </c>
      <c r="R22" t="n">
        <v>1.28</v>
      </c>
      <c r="S22" t="n">
        <v>0</v>
      </c>
      <c r="T22" t="n">
        <v>0</v>
      </c>
      <c r="V22" t="inlineStr">
        <is>
          <t>Sí</t>
        </is>
      </c>
      <c r="W22" t="inlineStr"/>
    </row>
    <row r="23">
      <c r="A23" t="n">
        <v>1491</v>
      </c>
      <c r="B23" t="inlineStr">
        <is>
          <t>JIMENEZ LORENTE,SONIA</t>
        </is>
      </c>
      <c r="C23" t="n">
        <v>619</v>
      </c>
      <c r="D23" t="inlineStr">
        <is>
          <t>MANDARINA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619</v>
      </c>
      <c r="K23" t="n">
        <v>2026</v>
      </c>
      <c r="L23" t="inlineStr">
        <is>
          <t>1</t>
        </is>
      </c>
      <c r="M23" t="inlineStr">
        <is>
          <t>MANDARINA</t>
        </is>
      </c>
      <c r="N23" t="inlineStr">
        <is>
          <t>14036</t>
        </is>
      </c>
      <c r="O23" t="inlineStr">
        <is>
          <t>29</t>
        </is>
      </c>
      <c r="P23" t="inlineStr">
        <is>
          <t>58</t>
        </is>
      </c>
      <c r="Q23" t="inlineStr">
        <is>
          <t>1</t>
        </is>
      </c>
      <c r="R23" t="n">
        <v>2.25</v>
      </c>
      <c r="S23" t="n">
        <v>0</v>
      </c>
      <c r="T23" t="n">
        <v>2.3</v>
      </c>
      <c r="V23" t="inlineStr">
        <is>
          <t>Sí</t>
        </is>
      </c>
      <c r="W23" t="inlineStr"/>
    </row>
    <row r="24">
      <c r="A24" t="n">
        <v>1514</v>
      </c>
      <c r="B24" t="inlineStr">
        <is>
          <t>PRIETO ROMERO, JAVIER</t>
        </is>
      </c>
      <c r="C24" t="n">
        <v>691</v>
      </c>
      <c r="D24" t="inlineStr">
        <is>
          <t>CITRICOS</t>
        </is>
      </c>
      <c r="E24" t="n">
        <v>2026</v>
      </c>
      <c r="F24" t="n">
        <v>1</v>
      </c>
      <c r="G24" t="n">
        <v>0</v>
      </c>
      <c r="H24" t="inlineStr">
        <is>
          <t>No</t>
        </is>
      </c>
      <c r="V24" t="inlineStr">
        <is>
          <t>No</t>
        </is>
      </c>
      <c r="W24" t="inlineStr">
        <is>
          <t>CHA_NO_SELECCIONADO; CHA_NO_ACTIVO</t>
        </is>
      </c>
    </row>
    <row r="25">
      <c r="A25" t="n">
        <v>1514</v>
      </c>
      <c r="B25" t="inlineStr">
        <is>
          <t>PRIETO ROMERO, JAVIER</t>
        </is>
      </c>
      <c r="C25" t="n">
        <v>331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331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12</t>
        </is>
      </c>
      <c r="P25" t="inlineStr">
        <is>
          <t>11</t>
        </is>
      </c>
      <c r="Q25" t="inlineStr">
        <is>
          <t>2</t>
        </is>
      </c>
      <c r="R25" t="n">
        <v>2.04</v>
      </c>
      <c r="S25" t="n">
        <v>2.0418</v>
      </c>
      <c r="T25" t="n">
        <v>2.09</v>
      </c>
      <c r="V25" t="inlineStr">
        <is>
          <t>Sí</t>
        </is>
      </c>
      <c r="W25" t="inlineStr"/>
    </row>
    <row r="26">
      <c r="A26" t="n">
        <v>1514</v>
      </c>
      <c r="B26" t="inlineStr">
        <is>
          <t>PRIETO ROMERO, JAVIER</t>
        </is>
      </c>
      <c r="C26" t="n">
        <v>610</v>
      </c>
      <c r="D26" t="inlineStr">
        <is>
          <t>MANDARINA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610</v>
      </c>
      <c r="K26" t="n">
        <v>2026</v>
      </c>
      <c r="L26" t="inlineStr">
        <is>
          <t>1</t>
        </is>
      </c>
      <c r="M26" t="inlineStr">
        <is>
          <t>MANDARINA</t>
        </is>
      </c>
      <c r="N26" t="inlineStr">
        <is>
          <t>41055</t>
        </is>
      </c>
      <c r="O26" t="inlineStr">
        <is>
          <t>11</t>
        </is>
      </c>
      <c r="P26" t="inlineStr">
        <is>
          <t>120</t>
        </is>
      </c>
      <c r="Q26" t="inlineStr">
        <is>
          <t>4</t>
        </is>
      </c>
      <c r="R26" t="n">
        <v>2.4</v>
      </c>
      <c r="S26" t="n">
        <v>0</v>
      </c>
      <c r="T26" t="n">
        <v>2.4</v>
      </c>
      <c r="V26" t="inlineStr">
        <is>
          <t>Sí</t>
        </is>
      </c>
      <c r="W26" t="inlineStr"/>
    </row>
    <row r="27">
      <c r="A27" t="n">
        <v>1514</v>
      </c>
      <c r="B27" t="inlineStr">
        <is>
          <t>PRIETO ROMERO, JAVIER</t>
        </is>
      </c>
      <c r="C27" t="n">
        <v>610</v>
      </c>
      <c r="D27" t="inlineStr">
        <is>
          <t>MANDARINA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610</v>
      </c>
      <c r="K27" t="n">
        <v>2026</v>
      </c>
      <c r="L27" t="inlineStr">
        <is>
          <t>1</t>
        </is>
      </c>
      <c r="M27" t="inlineStr">
        <is>
          <t>MANDARINA</t>
        </is>
      </c>
      <c r="N27" t="inlineStr">
        <is>
          <t>41055</t>
        </is>
      </c>
      <c r="O27" t="inlineStr">
        <is>
          <t>11</t>
        </is>
      </c>
      <c r="P27" t="inlineStr">
        <is>
          <t>120</t>
        </is>
      </c>
      <c r="Q27" t="inlineStr">
        <is>
          <t>3</t>
        </is>
      </c>
      <c r="R27" t="n">
        <v>0.8</v>
      </c>
      <c r="S27" t="n">
        <v>0</v>
      </c>
      <c r="T27" t="n">
        <v>0.8</v>
      </c>
      <c r="V27" t="inlineStr">
        <is>
          <t>Sí</t>
        </is>
      </c>
      <c r="W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calculated</t>
        </is>
      </c>
      <c r="E2" t="n">
        <v>10.97</v>
      </c>
      <c r="F2" t="n">
        <v>2139.15</v>
      </c>
      <c r="G2" t="n">
        <v>235605</v>
      </c>
      <c r="H2" t="n">
        <v>0.009079391354173299</v>
      </c>
      <c r="I2" t="n">
        <v>66628</v>
      </c>
      <c r="J2" t="n">
        <v>604.9400000000001</v>
      </c>
      <c r="K2" t="inlineStr">
        <is>
          <t>No existe tarifa BonCalidad para socio=1214 campaña=2026 empresa=1 cultivo=MANDARINA.; No existe fuente acumulada disponible; saldo informativo calculado con cuota ya aplicada = 0.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calculated</t>
        </is>
      </c>
      <c r="E3" t="n">
        <v>17.08</v>
      </c>
      <c r="F3" t="n">
        <v>3330.6</v>
      </c>
      <c r="G3" t="n">
        <v>538619</v>
      </c>
      <c r="H3" t="n">
        <v>0.006183591741100852</v>
      </c>
      <c r="I3" t="n">
        <v>48467</v>
      </c>
      <c r="J3" t="n">
        <v>299.7</v>
      </c>
      <c r="K3" t="inlineStr">
        <is>
          <t>No existe tarifa BonCalidad para socio=1443 campaña=2026 empresa=1 cultivo=MANDARINA.; No existe fuente acumulada disponible; saldo informativo calculado con cuota ya aplicada = 0.</t>
        </is>
      </c>
    </row>
    <row r="4">
      <c r="A4" t="n">
        <v>1491</v>
      </c>
      <c r="B4" t="inlineStr">
        <is>
          <t>JIMENEZ LORENTE,SONIA</t>
        </is>
      </c>
      <c r="C4" t="inlineStr">
        <is>
          <t>NADORCOTT</t>
        </is>
      </c>
      <c r="D4" t="inlineStr">
        <is>
          <t>calculated</t>
        </is>
      </c>
      <c r="E4" t="n">
        <v>7.94</v>
      </c>
      <c r="F4" t="n">
        <v>1548.3</v>
      </c>
      <c r="G4" t="n">
        <v>241057</v>
      </c>
      <c r="H4" t="n">
        <v>0.006422962203960059</v>
      </c>
      <c r="I4" t="n">
        <v>49910</v>
      </c>
      <c r="J4" t="n">
        <v>320.57</v>
      </c>
      <c r="K4" t="inlineStr">
        <is>
          <t>No existe tarifa BonCalidad para socio=1491 campaña=2026 empresa=1 cultivo=MANDARINA.; No existe fuente acumulada disponible; saldo informativo calculado con cuota ya aplicada = 0.</t>
        </is>
      </c>
    </row>
    <row r="5">
      <c r="A5" t="n">
        <v>1514</v>
      </c>
      <c r="B5" t="inlineStr">
        <is>
          <t>PRIETO ROMERO, JAVIER</t>
        </is>
      </c>
      <c r="C5" t="inlineStr">
        <is>
          <t>NADORCOTT</t>
        </is>
      </c>
      <c r="D5" t="inlineStr">
        <is>
          <t>calculated</t>
        </is>
      </c>
      <c r="E5" t="n">
        <v>5.24</v>
      </c>
      <c r="F5" t="n">
        <v>1021.8</v>
      </c>
      <c r="G5" t="n">
        <v>46170</v>
      </c>
      <c r="H5" t="n">
        <v>0.02213125406107862</v>
      </c>
      <c r="I5" t="n">
        <v>19038</v>
      </c>
      <c r="J5" t="n">
        <v>421.33</v>
      </c>
      <c r="K5" t="inlineStr">
        <is>
          <t>No existe tarifa BonCalidad para socio=1514 campaña=2026 empresa=1 cultivo=MANDARINA.;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MANDARINA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66628</v>
      </c>
      <c r="R2" t="n">
        <v>62940.81813</v>
      </c>
      <c r="S2" t="n">
        <v>62940.81813</v>
      </c>
      <c r="T2" t="n">
        <v>1134.82</v>
      </c>
      <c r="U2" t="n">
        <v>1134.82</v>
      </c>
      <c r="V2" t="n">
        <v>1134.82</v>
      </c>
      <c r="W2" t="n">
        <v>1134.82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2026</t>
        </is>
      </c>
      <c r="E3" t="inlineStr">
        <is>
          <t>1</t>
        </is>
      </c>
      <c r="F3" t="inlineStr">
        <is>
          <t>MANDARINA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CITRICOS, KAKIS, MANDARINA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48467</v>
      </c>
      <c r="R3" t="n">
        <v>43532.06956</v>
      </c>
      <c r="S3" t="n">
        <v>43532.06956</v>
      </c>
      <c r="T3" t="n">
        <v>784.88</v>
      </c>
      <c r="U3" t="n">
        <v>784.88</v>
      </c>
      <c r="V3" t="n">
        <v>784.88</v>
      </c>
      <c r="W3" t="n">
        <v>784.88</v>
      </c>
      <c r="X3" t="inlineStr">
        <is>
          <t>calculated</t>
        </is>
      </c>
      <c r="Y3" t="inlineStr"/>
      <c r="Z3" t="inlineStr">
        <is>
          <t>SÍ</t>
        </is>
      </c>
    </row>
    <row r="4">
      <c r="A4" t="n">
        <v>1491</v>
      </c>
      <c r="B4" t="inlineStr">
        <is>
          <t>JIMENEZ LORENTE,SONIA</t>
        </is>
      </c>
      <c r="C4" t="inlineStr">
        <is>
          <t>NADORCOTT</t>
        </is>
      </c>
      <c r="D4" t="inlineStr">
        <is>
          <t>2026</t>
        </is>
      </c>
      <c r="E4" t="inlineStr">
        <is>
          <t>1</t>
        </is>
      </c>
      <c r="F4" t="inlineStr">
        <is>
          <t>MANDARINA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CITRICOS, MANDARINA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49910</v>
      </c>
      <c r="R4" t="n">
        <v>45064.337138</v>
      </c>
      <c r="S4" t="n">
        <v>45064.337138</v>
      </c>
      <c r="T4" t="n">
        <v>812.51</v>
      </c>
      <c r="U4" t="n">
        <v>812.51</v>
      </c>
      <c r="V4" t="n">
        <v>812.51</v>
      </c>
      <c r="W4" t="n">
        <v>812.51</v>
      </c>
      <c r="X4" t="inlineStr">
        <is>
          <t>calculated</t>
        </is>
      </c>
      <c r="Y4" t="inlineStr"/>
      <c r="Z4" t="inlineStr">
        <is>
          <t>SÍ</t>
        </is>
      </c>
    </row>
    <row r="5">
      <c r="A5" t="n">
        <v>1514</v>
      </c>
      <c r="B5" t="inlineStr">
        <is>
          <t>PRIETO ROMERO, JAVIER</t>
        </is>
      </c>
      <c r="C5" t="inlineStr">
        <is>
          <t>NADORCOTT</t>
        </is>
      </c>
      <c r="D5" t="inlineStr">
        <is>
          <t>2026</t>
        </is>
      </c>
      <c r="E5" t="inlineStr">
        <is>
          <t>1</t>
        </is>
      </c>
      <c r="F5" t="inlineStr">
        <is>
          <t>MANDARINA</t>
        </is>
      </c>
      <c r="G5" t="inlineStr">
        <is>
          <t>SÍ</t>
        </is>
      </c>
      <c r="H5" t="inlineStr">
        <is>
          <t>SÍ</t>
        </is>
      </c>
      <c r="I5" t="inlineStr">
        <is>
          <t>NO</t>
        </is>
      </c>
      <c r="J5" t="inlineStr">
        <is>
          <t>CITRICOS, MANDARINA, SANDIA</t>
        </is>
      </c>
      <c r="K5" t="inlineStr"/>
      <c r="L5" t="inlineStr">
        <is>
          <t>ORO</t>
        </is>
      </c>
      <c r="M5" t="n">
        <v>1</v>
      </c>
      <c r="N5" t="n">
        <v>0.01803</v>
      </c>
      <c r="O5" t="n">
        <v>0</v>
      </c>
      <c r="P5" t="inlineStr">
        <is>
          <t>neto_comercial</t>
        </is>
      </c>
      <c r="Q5" t="n">
        <v>19038</v>
      </c>
      <c r="R5" t="n">
        <v>16197.94895</v>
      </c>
      <c r="S5" t="n">
        <v>16197.94895</v>
      </c>
      <c r="T5" t="n">
        <v>292.05</v>
      </c>
      <c r="U5" t="n">
        <v>292.05</v>
      </c>
      <c r="V5" t="n">
        <v>292.05</v>
      </c>
      <c r="W5" t="n">
        <v>292.05</v>
      </c>
      <c r="X5" t="inlineStr">
        <is>
          <t>calculated</t>
        </is>
      </c>
      <c r="Y5" t="inlineStr"/>
      <c r="Z5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Nadorcott Semana 3 NORMAL</t>
        </is>
      </c>
      <c r="E2" t="inlineStr">
        <is>
          <t>NADORCOTT</t>
        </is>
      </c>
      <c r="F2" t="inlineStr">
        <is>
          <t>VARIETY</t>
        </is>
      </c>
      <c r="G2" t="inlineStr"/>
      <c r="H2" t="inlineStr"/>
      <c r="I2" t="inlineStr">
        <is>
          <t>NADORCOTT</t>
        </is>
      </c>
      <c r="J2" t="n">
        <v>1</v>
      </c>
      <c r="K2" t="inlineStr">
        <is>
          <t>VARIETY</t>
        </is>
      </c>
      <c r="L2" t="inlineStr"/>
      <c r="M2" t="inlineStr">
        <is>
          <t>NADORCOTT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n">
        <v>46205.91</v>
      </c>
      <c r="E2" t="n">
        <v>46205.91</v>
      </c>
      <c r="F2" t="n">
        <v>8328.5</v>
      </c>
      <c r="G2" t="n">
        <v>604.9400000000001</v>
      </c>
      <c r="H2" t="n">
        <v>0</v>
      </c>
      <c r="I2" t="n">
        <v>0</v>
      </c>
      <c r="J2" t="n">
        <v>1134.82</v>
      </c>
      <c r="K2" t="n">
        <v>38407.29</v>
      </c>
      <c r="L2" t="n">
        <v>38407.29</v>
      </c>
      <c r="M2" t="n">
        <v>38407.29</v>
      </c>
      <c r="N2" t="n">
        <v>0</v>
      </c>
      <c r="O2" t="n">
        <v>0.57644</v>
      </c>
      <c r="P2" t="n">
        <v>0.6327</v>
      </c>
      <c r="Q2" t="inlineStr">
        <is>
          <t>SÍ</t>
        </is>
      </c>
      <c r="R2" t="inlineStr"/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34887.49</v>
      </c>
      <c r="E3" t="n">
        <v>34887.49</v>
      </c>
      <c r="F3" t="n">
        <v>0</v>
      </c>
      <c r="G3" t="n">
        <v>299.7</v>
      </c>
      <c r="H3" t="n">
        <v>0</v>
      </c>
      <c r="I3" t="n">
        <v>430.34</v>
      </c>
      <c r="J3" t="n">
        <v>784.88</v>
      </c>
      <c r="K3" t="n">
        <v>35803.01</v>
      </c>
      <c r="L3" t="n">
        <v>35803.01</v>
      </c>
      <c r="M3" t="n">
        <v>35803.01</v>
      </c>
      <c r="N3" t="n">
        <v>0</v>
      </c>
      <c r="O3" t="n">
        <v>0.73871</v>
      </c>
      <c r="P3" t="n">
        <v>0.81081</v>
      </c>
      <c r="Q3" t="inlineStr">
        <is>
          <t>SÍ</t>
        </is>
      </c>
      <c r="R3" t="inlineStr"/>
    </row>
    <row r="4">
      <c r="A4" t="n">
        <v>1491</v>
      </c>
      <c r="B4" t="inlineStr">
        <is>
          <t>JIMENEZ LORENTE,SONIA</t>
        </is>
      </c>
      <c r="C4" t="inlineStr">
        <is>
          <t>NADORCOTT</t>
        </is>
      </c>
      <c r="D4" t="n">
        <v>39264.46</v>
      </c>
      <c r="E4" t="n">
        <v>39264.46</v>
      </c>
      <c r="F4" t="n">
        <v>6238.75</v>
      </c>
      <c r="G4" t="n">
        <v>320.57</v>
      </c>
      <c r="H4" t="n">
        <v>0</v>
      </c>
      <c r="I4" t="n">
        <v>0</v>
      </c>
      <c r="J4" t="n">
        <v>812.51</v>
      </c>
      <c r="K4" t="n">
        <v>33517.65</v>
      </c>
      <c r="L4" t="n">
        <v>33517.65</v>
      </c>
      <c r="M4" t="n">
        <v>33517.65</v>
      </c>
      <c r="N4" t="n">
        <v>0</v>
      </c>
      <c r="O4" t="n">
        <v>0.67156</v>
      </c>
      <c r="P4" t="n">
        <v>0.73711</v>
      </c>
      <c r="Q4" t="inlineStr">
        <is>
          <t>SÍ</t>
        </is>
      </c>
      <c r="R4" t="inlineStr"/>
    </row>
    <row r="5">
      <c r="A5" t="n">
        <v>1514</v>
      </c>
      <c r="B5" t="inlineStr">
        <is>
          <t>PRIETO ROMERO, JAVIER</t>
        </is>
      </c>
      <c r="C5" t="inlineStr">
        <is>
          <t>NADORCOTT</t>
        </is>
      </c>
      <c r="D5" t="n">
        <v>13150.07</v>
      </c>
      <c r="E5" t="n">
        <v>13150.07</v>
      </c>
      <c r="F5" t="n">
        <v>2379.75</v>
      </c>
      <c r="G5" t="n">
        <v>421.33</v>
      </c>
      <c r="H5" t="n">
        <v>0</v>
      </c>
      <c r="I5" t="n">
        <v>0</v>
      </c>
      <c r="J5" t="n">
        <v>292.05</v>
      </c>
      <c r="K5" t="n">
        <v>10641.04</v>
      </c>
      <c r="L5" t="n">
        <v>10641.04</v>
      </c>
      <c r="M5" t="n">
        <v>10641.04</v>
      </c>
      <c r="N5" t="n">
        <v>0</v>
      </c>
      <c r="O5" t="n">
        <v>0.55894</v>
      </c>
      <c r="P5" t="n">
        <v>0.61349</v>
      </c>
      <c r="Q5" t="inlineStr">
        <is>
          <t>SÍ</t>
        </is>
      </c>
      <c r="R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n">
        <v>38407.29</v>
      </c>
      <c r="E2" t="n">
        <v>12</v>
      </c>
      <c r="F2" t="n">
        <v>1.12</v>
      </c>
      <c r="G2" t="n">
        <v>4608.87</v>
      </c>
      <c r="H2" t="n">
        <v>43016.16</v>
      </c>
      <c r="I2" t="n">
        <v>2</v>
      </c>
      <c r="J2" t="n">
        <v>0.98</v>
      </c>
      <c r="K2" t="n">
        <v>860.3200000000001</v>
      </c>
      <c r="L2" t="n">
        <v>42155.84</v>
      </c>
      <c r="M2" t="n">
        <v>42155.84</v>
      </c>
      <c r="N2" t="n">
        <v>42155.84</v>
      </c>
      <c r="O2" t="n">
        <v>66628</v>
      </c>
      <c r="P2" t="n">
        <v>0.6327</v>
      </c>
      <c r="Q2" t="n">
        <v>0.6327</v>
      </c>
      <c r="R2" t="n">
        <v>0.6327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35803.01</v>
      </c>
      <c r="E3" t="n">
        <v>12</v>
      </c>
      <c r="F3" t="n">
        <v>1.12</v>
      </c>
      <c r="G3" t="n">
        <v>4296.36</v>
      </c>
      <c r="H3" t="n">
        <v>40099.37</v>
      </c>
      <c r="I3" t="n">
        <v>2</v>
      </c>
      <c r="J3" t="n">
        <v>0.98</v>
      </c>
      <c r="K3" t="n">
        <v>801.99</v>
      </c>
      <c r="L3" t="n">
        <v>39297.38</v>
      </c>
      <c r="M3" t="n">
        <v>39297.38</v>
      </c>
      <c r="N3" t="n">
        <v>39297.38</v>
      </c>
      <c r="O3" t="n">
        <v>48467</v>
      </c>
      <c r="P3" t="n">
        <v>0.81081</v>
      </c>
      <c r="Q3" t="n">
        <v>0.81081</v>
      </c>
      <c r="R3" t="n">
        <v>0.81081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1491</v>
      </c>
      <c r="B4" t="inlineStr">
        <is>
          <t>JIMENEZ LORENTE,SONIA</t>
        </is>
      </c>
      <c r="C4" t="inlineStr">
        <is>
          <t>NADORCOTT</t>
        </is>
      </c>
      <c r="D4" t="n">
        <v>33517.65</v>
      </c>
      <c r="E4" t="n">
        <v>12</v>
      </c>
      <c r="F4" t="n">
        <v>1.12</v>
      </c>
      <c r="G4" t="n">
        <v>4022.12</v>
      </c>
      <c r="H4" t="n">
        <v>37539.77</v>
      </c>
      <c r="I4" t="n">
        <v>2</v>
      </c>
      <c r="J4" t="n">
        <v>0.98</v>
      </c>
      <c r="K4" t="n">
        <v>750.8</v>
      </c>
      <c r="L4" t="n">
        <v>36788.97</v>
      </c>
      <c r="M4" t="n">
        <v>36788.97</v>
      </c>
      <c r="N4" t="n">
        <v>36788.97</v>
      </c>
      <c r="O4" t="n">
        <v>49910</v>
      </c>
      <c r="P4" t="n">
        <v>0.73711</v>
      </c>
      <c r="Q4" t="n">
        <v>0.73711</v>
      </c>
      <c r="R4" t="n">
        <v>0.73711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1514</v>
      </c>
      <c r="B5" t="inlineStr">
        <is>
          <t>PRIETO ROMERO, JAVIER</t>
        </is>
      </c>
      <c r="C5" t="inlineStr">
        <is>
          <t>NADORCOTT</t>
        </is>
      </c>
      <c r="D5" t="n">
        <v>10641.04</v>
      </c>
      <c r="E5" t="n">
        <v>12</v>
      </c>
      <c r="F5" t="n">
        <v>1.12</v>
      </c>
      <c r="G5" t="n">
        <v>1276.92</v>
      </c>
      <c r="H5" t="n">
        <v>11917.96</v>
      </c>
      <c r="I5" t="n">
        <v>2</v>
      </c>
      <c r="J5" t="n">
        <v>0.98</v>
      </c>
      <c r="K5" t="n">
        <v>238.36</v>
      </c>
      <c r="L5" t="n">
        <v>11679.61</v>
      </c>
      <c r="M5" t="n">
        <v>11679.61</v>
      </c>
      <c r="N5" t="n">
        <v>11679.61</v>
      </c>
      <c r="O5" t="n">
        <v>19038</v>
      </c>
      <c r="P5" t="n">
        <v>0.61349</v>
      </c>
      <c r="Q5" t="n">
        <v>0.61349</v>
      </c>
      <c r="R5" t="n">
        <v>0.61349</v>
      </c>
      <c r="S5" t="n">
        <v>0</v>
      </c>
      <c r="T5" t="n">
        <v>0</v>
      </c>
      <c r="U5" t="inlineStr">
        <is>
          <t>SÍ</t>
        </is>
      </c>
      <c r="V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10.97</v>
      </c>
      <c r="M2" t="n">
        <v>195</v>
      </c>
      <c r="N2" t="n">
        <v>2139.15</v>
      </c>
      <c r="O2" t="n">
        <v>235605</v>
      </c>
      <c r="P2" t="n">
        <v>0.009079391354173299</v>
      </c>
      <c r="Q2" t="n">
        <v>66628</v>
      </c>
      <c r="R2" t="n">
        <v>604.9400000000001</v>
      </c>
      <c r="S2" t="n">
        <v>0</v>
      </c>
      <c r="T2" t="n">
        <v>604.9400000000001</v>
      </c>
      <c r="U2" t="n">
        <v>1534.21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socio=1214 campaña=2026 empresa=1 cultivo=MANDARINA.; No existe fuente acumulada disponible; saldo informativo calculado con cuota ya aplicada = 0.</t>
        </is>
      </c>
      <c r="Y2" t="inlineStr">
        <is>
          <t>SÍ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5</v>
      </c>
      <c r="H3" t="n">
        <v>5</v>
      </c>
      <c r="I3" t="n">
        <v>12</v>
      </c>
      <c r="J3" t="n">
        <v>3</v>
      </c>
      <c r="K3" t="n">
        <v>0</v>
      </c>
      <c r="L3" t="n">
        <v>17.08</v>
      </c>
      <c r="M3" t="n">
        <v>195</v>
      </c>
      <c r="N3" t="n">
        <v>3330.6</v>
      </c>
      <c r="O3" t="n">
        <v>538619</v>
      </c>
      <c r="P3" t="n">
        <v>0.006183591741100852</v>
      </c>
      <c r="Q3" t="n">
        <v>48467</v>
      </c>
      <c r="R3" t="n">
        <v>299.7</v>
      </c>
      <c r="S3" t="n">
        <v>0</v>
      </c>
      <c r="T3" t="n">
        <v>299.7</v>
      </c>
      <c r="U3" t="n">
        <v>3030.9</v>
      </c>
      <c r="V3" t="inlineStr">
        <is>
          <t>OPEN</t>
        </is>
      </c>
      <c r="W3" t="inlineStr">
        <is>
          <t>calculated</t>
        </is>
      </c>
      <c r="X3" t="inlineStr">
        <is>
          <t>No existe tarifa BonCalidad para socio=1443 campaña=2026 empresa=1 cultivo=MANDARINA.; No existe fuente acumulada disponible; saldo informativo calculado con cuota ya aplicada = 0.</t>
        </is>
      </c>
      <c r="Y3" t="inlineStr">
        <is>
          <t>SÍ</t>
        </is>
      </c>
    </row>
    <row r="4">
      <c r="A4" t="n">
        <v>1491</v>
      </c>
      <c r="B4" t="inlineStr">
        <is>
          <t>JIMENEZ LORENTE,SONIA</t>
        </is>
      </c>
      <c r="C4" t="inlineStr">
        <is>
          <t>NADORCOTT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4</v>
      </c>
      <c r="H4" t="n">
        <v>4</v>
      </c>
      <c r="I4" t="n">
        <v>5</v>
      </c>
      <c r="J4" t="n">
        <v>0</v>
      </c>
      <c r="K4" t="n">
        <v>0</v>
      </c>
      <c r="L4" t="n">
        <v>7.94</v>
      </c>
      <c r="M4" t="n">
        <v>195</v>
      </c>
      <c r="N4" t="n">
        <v>1548.3</v>
      </c>
      <c r="O4" t="n">
        <v>241057</v>
      </c>
      <c r="P4" t="n">
        <v>0.006422962203960059</v>
      </c>
      <c r="Q4" t="n">
        <v>49910</v>
      </c>
      <c r="R4" t="n">
        <v>320.57</v>
      </c>
      <c r="S4" t="n">
        <v>0</v>
      </c>
      <c r="T4" t="n">
        <v>320.57</v>
      </c>
      <c r="U4" t="n">
        <v>1227.73</v>
      </c>
      <c r="V4" t="inlineStr">
        <is>
          <t>OPEN</t>
        </is>
      </c>
      <c r="W4" t="inlineStr">
        <is>
          <t>calculated</t>
        </is>
      </c>
      <c r="X4" t="inlineStr">
        <is>
          <t>No existe tarifa BonCalidad para socio=1491 campaña=2026 empresa=1 cultivo=MANDARINA.; No existe fuente acumulada disponible; saldo informativo calculado con cuota ya aplicada = 0.</t>
        </is>
      </c>
      <c r="Y4" t="inlineStr">
        <is>
          <t>SÍ</t>
        </is>
      </c>
    </row>
    <row r="5">
      <c r="A5" t="n">
        <v>1514</v>
      </c>
      <c r="B5" t="inlineStr">
        <is>
          <t>PRIETO ROMERO, JAVIER</t>
        </is>
      </c>
      <c r="C5" t="inlineStr">
        <is>
          <t>NADORCOTT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3</v>
      </c>
      <c r="H5" t="n">
        <v>2</v>
      </c>
      <c r="I5" t="n">
        <v>3</v>
      </c>
      <c r="J5" t="n">
        <v>0</v>
      </c>
      <c r="K5" t="n">
        <v>0</v>
      </c>
      <c r="L5" t="n">
        <v>5.24</v>
      </c>
      <c r="M5" t="n">
        <v>195</v>
      </c>
      <c r="N5" t="n">
        <v>1021.8</v>
      </c>
      <c r="O5" t="n">
        <v>46170</v>
      </c>
      <c r="P5" t="n">
        <v>0.02213125406107862</v>
      </c>
      <c r="Q5" t="n">
        <v>19038</v>
      </c>
      <c r="R5" t="n">
        <v>421.33</v>
      </c>
      <c r="S5" t="n">
        <v>0</v>
      </c>
      <c r="T5" t="n">
        <v>421.33</v>
      </c>
      <c r="U5" t="n">
        <v>600.47</v>
      </c>
      <c r="V5" t="inlineStr">
        <is>
          <t>OPEN</t>
        </is>
      </c>
      <c r="W5" t="inlineStr">
        <is>
          <t>calculated</t>
        </is>
      </c>
      <c r="X5" t="inlineStr">
        <is>
          <t>No existe tarifa BonCalidad para socio=1514 campaña=2026 empresa=1 cultivo=MANDARINA.; No existe fuente acumulada disponible; saldo informativo calculado con cuota ya aplicada = 0.</t>
        </is>
      </c>
      <c r="Y5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1214</v>
      </c>
      <c r="B2" t="inlineStr">
        <is>
          <t>CALZADA GAMIZ,JOSE ANTONIO</t>
        </is>
      </c>
      <c r="C2" t="n">
        <v>613</v>
      </c>
      <c r="D2" t="inlineStr">
        <is>
          <t>6455</t>
        </is>
      </c>
      <c r="E2" t="inlineStr">
        <is>
          <t>20</t>
        </is>
      </c>
      <c r="F2" t="inlineStr">
        <is>
          <t>9</t>
        </is>
      </c>
      <c r="G2" t="inlineStr">
        <is>
          <t>1</t>
        </is>
      </c>
      <c r="H2" t="n">
        <v>2016</v>
      </c>
      <c r="I2" t="n">
        <v>4.98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10.97</v>
      </c>
      <c r="P2" t="n">
        <v>2139.15</v>
      </c>
      <c r="Q2" t="n">
        <v>235605</v>
      </c>
      <c r="R2" t="n">
        <v>0.009079391354173299</v>
      </c>
      <c r="S2" t="n">
        <v>66628</v>
      </c>
      <c r="T2" t="n">
        <v>604.9400000000001</v>
      </c>
    </row>
    <row r="3">
      <c r="A3" t="n">
        <v>1214</v>
      </c>
      <c r="B3" t="inlineStr">
        <is>
          <t>CALZADA GAMIZ,JOSE ANTONIO</t>
        </is>
      </c>
      <c r="C3" t="n">
        <v>621</v>
      </c>
      <c r="D3" t="inlineStr">
        <is>
          <t>6456</t>
        </is>
      </c>
      <c r="E3" t="inlineStr">
        <is>
          <t>19</t>
        </is>
      </c>
      <c r="F3" t="inlineStr">
        <is>
          <t>10</t>
        </is>
      </c>
      <c r="G3" t="inlineStr">
        <is>
          <t>5</t>
        </is>
      </c>
      <c r="H3" t="n">
        <v>2019</v>
      </c>
      <c r="I3" t="n">
        <v>5.99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10.97</v>
      </c>
      <c r="P3" t="n">
        <v>2139.15</v>
      </c>
      <c r="Q3" t="n">
        <v>235605</v>
      </c>
      <c r="R3" t="n">
        <v>0.009079391354173299</v>
      </c>
      <c r="S3" t="n">
        <v>66628</v>
      </c>
      <c r="T3" t="n">
        <v>604.9400000000001</v>
      </c>
    </row>
    <row r="4">
      <c r="A4" t="n">
        <v>1443</v>
      </c>
      <c r="B4" t="inlineStr">
        <is>
          <t>TOMENO SUAREZ,ALBERTO</t>
        </is>
      </c>
      <c r="C4" t="n">
        <v>42</v>
      </c>
      <c r="D4" t="inlineStr">
        <is>
          <t>9005</t>
        </is>
      </c>
      <c r="E4" t="inlineStr">
        <is>
          <t>21</t>
        </is>
      </c>
      <c r="F4" t="inlineStr">
        <is>
          <t>13</t>
        </is>
      </c>
      <c r="G4" t="inlineStr">
        <is>
          <t>10</t>
        </is>
      </c>
      <c r="H4" t="n">
        <v>2010</v>
      </c>
      <c r="I4" t="n">
        <v>1.35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17.08</v>
      </c>
      <c r="P4" t="n">
        <v>3330.6</v>
      </c>
      <c r="Q4" t="n">
        <v>538619</v>
      </c>
      <c r="R4" t="n">
        <v>0.006183591741100852</v>
      </c>
      <c r="S4" t="n">
        <v>48467</v>
      </c>
      <c r="T4" t="n">
        <v>299.7</v>
      </c>
    </row>
    <row r="5">
      <c r="A5" t="n">
        <v>1443</v>
      </c>
      <c r="B5" t="inlineStr">
        <is>
          <t>TOMENO SUAREZ,ALBERTO</t>
        </is>
      </c>
      <c r="C5" t="n">
        <v>42</v>
      </c>
      <c r="D5" t="inlineStr">
        <is>
          <t>9006</t>
        </is>
      </c>
      <c r="E5" t="inlineStr">
        <is>
          <t>21</t>
        </is>
      </c>
      <c r="F5" t="inlineStr">
        <is>
          <t>13</t>
        </is>
      </c>
      <c r="G5" t="inlineStr">
        <is>
          <t>3</t>
        </is>
      </c>
      <c r="H5" t="n">
        <v>2010</v>
      </c>
      <c r="I5" t="n">
        <v>1.28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17.08</v>
      </c>
      <c r="P5" t="n">
        <v>3330.6</v>
      </c>
      <c r="Q5" t="n">
        <v>538619</v>
      </c>
      <c r="R5" t="n">
        <v>0.006183591741100852</v>
      </c>
      <c r="S5" t="n">
        <v>48467</v>
      </c>
      <c r="T5" t="n">
        <v>299.7</v>
      </c>
    </row>
    <row r="6">
      <c r="A6" t="n">
        <v>1443</v>
      </c>
      <c r="B6" t="inlineStr">
        <is>
          <t>TOMENO SUAREZ,ALBERTO</t>
        </is>
      </c>
      <c r="C6" t="n">
        <v>46</v>
      </c>
      <c r="D6" t="inlineStr">
        <is>
          <t>9007</t>
        </is>
      </c>
      <c r="E6" t="inlineStr">
        <is>
          <t>21</t>
        </is>
      </c>
      <c r="F6" t="inlineStr">
        <is>
          <t>13</t>
        </is>
      </c>
      <c r="G6" t="inlineStr">
        <is>
          <t>1</t>
        </is>
      </c>
      <c r="H6" t="n">
        <v>2007</v>
      </c>
      <c r="I6" t="n">
        <v>1.45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17.08</v>
      </c>
      <c r="P6" t="n">
        <v>3330.6</v>
      </c>
      <c r="Q6" t="n">
        <v>538619</v>
      </c>
      <c r="R6" t="n">
        <v>0.006183591741100852</v>
      </c>
      <c r="S6" t="n">
        <v>48467</v>
      </c>
      <c r="T6" t="n">
        <v>299.7</v>
      </c>
    </row>
    <row r="7">
      <c r="A7" t="n">
        <v>1443</v>
      </c>
      <c r="B7" t="inlineStr">
        <is>
          <t>TOMENO SUAREZ,ALBERTO</t>
        </is>
      </c>
      <c r="C7" t="n">
        <v>671</v>
      </c>
      <c r="D7" t="inlineStr">
        <is>
          <t>6368</t>
        </is>
      </c>
      <c r="E7" t="inlineStr">
        <is>
          <t>21</t>
        </is>
      </c>
      <c r="F7" t="inlineStr">
        <is>
          <t>15</t>
        </is>
      </c>
      <c r="G7" t="inlineStr">
        <is>
          <t>1</t>
        </is>
      </c>
      <c r="H7" t="n">
        <v>2024</v>
      </c>
      <c r="I7" t="n">
        <v>2.6</v>
      </c>
      <c r="J7" t="n">
        <v>1</v>
      </c>
      <c r="L7" t="inlineStr">
        <is>
          <t>No</t>
        </is>
      </c>
      <c r="M7" t="inlineStr">
        <is>
          <t>No</t>
        </is>
      </c>
      <c r="N7" t="inlineStr">
        <is>
          <t>PLANTACION_MENOR_CINCO_ANOS</t>
        </is>
      </c>
      <c r="O7" t="n">
        <v>17.08</v>
      </c>
      <c r="P7" t="n">
        <v>3330.6</v>
      </c>
      <c r="Q7" t="n">
        <v>538619</v>
      </c>
      <c r="R7" t="n">
        <v>0.006183591741100852</v>
      </c>
      <c r="S7" t="n">
        <v>48467</v>
      </c>
      <c r="T7" t="n">
        <v>299.7</v>
      </c>
    </row>
    <row r="8">
      <c r="A8" t="n">
        <v>1443</v>
      </c>
      <c r="B8" t="inlineStr">
        <is>
          <t>TOMENO SUAREZ,ALBERTO</t>
        </is>
      </c>
      <c r="C8" t="n">
        <v>671</v>
      </c>
      <c r="D8" t="inlineStr">
        <is>
          <t>9003</t>
        </is>
      </c>
      <c r="E8" t="inlineStr">
        <is>
          <t>21</t>
        </is>
      </c>
      <c r="F8" t="inlineStr">
        <is>
          <t>13</t>
        </is>
      </c>
      <c r="G8" t="inlineStr">
        <is>
          <t>10</t>
        </is>
      </c>
      <c r="H8" t="n">
        <v>2023</v>
      </c>
      <c r="I8" t="n">
        <v>0.93</v>
      </c>
      <c r="J8" t="n">
        <v>1</v>
      </c>
      <c r="L8" t="inlineStr">
        <is>
          <t>No</t>
        </is>
      </c>
      <c r="M8" t="inlineStr">
        <is>
          <t>No</t>
        </is>
      </c>
      <c r="N8" t="inlineStr">
        <is>
          <t>PLANTACION_MENOR_CINCO_ANOS</t>
        </is>
      </c>
      <c r="O8" t="n">
        <v>17.08</v>
      </c>
      <c r="P8" t="n">
        <v>3330.6</v>
      </c>
      <c r="Q8" t="n">
        <v>538619</v>
      </c>
      <c r="R8" t="n">
        <v>0.006183591741100852</v>
      </c>
      <c r="S8" t="n">
        <v>48467</v>
      </c>
      <c r="T8" t="n">
        <v>299.7</v>
      </c>
    </row>
    <row r="9">
      <c r="A9" t="n">
        <v>1443</v>
      </c>
      <c r="B9" t="inlineStr">
        <is>
          <t>TOMENO SUAREZ,ALBERTO</t>
        </is>
      </c>
      <c r="C9" t="n">
        <v>671</v>
      </c>
      <c r="D9" t="inlineStr">
        <is>
          <t>9004</t>
        </is>
      </c>
      <c r="E9" t="inlineStr">
        <is>
          <t>21</t>
        </is>
      </c>
      <c r="F9" t="inlineStr">
        <is>
          <t>13</t>
        </is>
      </c>
      <c r="G9" t="inlineStr">
        <is>
          <t>3</t>
        </is>
      </c>
      <c r="H9" t="n">
        <v>2023</v>
      </c>
      <c r="I9" t="n">
        <v>0.88</v>
      </c>
      <c r="J9" t="n">
        <v>1</v>
      </c>
      <c r="L9" t="inlineStr">
        <is>
          <t>No</t>
        </is>
      </c>
      <c r="M9" t="inlineStr">
        <is>
          <t>No</t>
        </is>
      </c>
      <c r="N9" t="inlineStr">
        <is>
          <t>PLANTACION_MENOR_CINCO_ANOS</t>
        </is>
      </c>
      <c r="O9" t="n">
        <v>17.08</v>
      </c>
      <c r="P9" t="n">
        <v>3330.6</v>
      </c>
      <c r="Q9" t="n">
        <v>538619</v>
      </c>
      <c r="R9" t="n">
        <v>0.006183591741100852</v>
      </c>
      <c r="S9" t="n">
        <v>48467</v>
      </c>
      <c r="T9" t="n">
        <v>299.7</v>
      </c>
    </row>
    <row r="10">
      <c r="A10" t="n">
        <v>1443</v>
      </c>
      <c r="B10" t="inlineStr">
        <is>
          <t>TOMENO SUAREZ,ALBERTO</t>
        </is>
      </c>
      <c r="C10" t="n">
        <v>611</v>
      </c>
      <c r="D10" t="inlineStr">
        <is>
          <t>6473</t>
        </is>
      </c>
      <c r="E10" t="inlineStr">
        <is>
          <t>15</t>
        </is>
      </c>
      <c r="F10" t="inlineStr">
        <is>
          <t>123</t>
        </is>
      </c>
      <c r="G10" t="inlineStr">
        <is>
          <t>1</t>
        </is>
      </c>
      <c r="H10" t="n">
        <v>2016</v>
      </c>
      <c r="I10" t="n">
        <v>4.4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17.08</v>
      </c>
      <c r="P10" t="n">
        <v>3330.6</v>
      </c>
      <c r="Q10" t="n">
        <v>538619</v>
      </c>
      <c r="R10" t="n">
        <v>0.006183591741100852</v>
      </c>
      <c r="S10" t="n">
        <v>48467</v>
      </c>
      <c r="T10" t="n">
        <v>299.7</v>
      </c>
    </row>
    <row r="11">
      <c r="A11" t="n">
        <v>1443</v>
      </c>
      <c r="B11" t="inlineStr">
        <is>
          <t>TOMENO SUAREZ,ALBERTO</t>
        </is>
      </c>
      <c r="C11" t="n">
        <v>612</v>
      </c>
      <c r="D11" t="inlineStr">
        <is>
          <t>6474</t>
        </is>
      </c>
      <c r="E11" t="inlineStr">
        <is>
          <t>19</t>
        </is>
      </c>
      <c r="F11" t="inlineStr">
        <is>
          <t>5</t>
        </is>
      </c>
      <c r="G11" t="inlineStr">
        <is>
          <t>5</t>
        </is>
      </c>
      <c r="H11" t="n">
        <v>2017</v>
      </c>
      <c r="I11" t="n">
        <v>0.03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17.08</v>
      </c>
      <c r="P11" t="n">
        <v>3330.6</v>
      </c>
      <c r="Q11" t="n">
        <v>538619</v>
      </c>
      <c r="R11" t="n">
        <v>0.006183591741100852</v>
      </c>
      <c r="S11" t="n">
        <v>48467</v>
      </c>
      <c r="T11" t="n">
        <v>299.7</v>
      </c>
    </row>
    <row r="12">
      <c r="A12" t="n">
        <v>1443</v>
      </c>
      <c r="B12" t="inlineStr">
        <is>
          <t>TOMENO SUAREZ,ALBERTO</t>
        </is>
      </c>
      <c r="C12" t="n">
        <v>612</v>
      </c>
      <c r="D12" t="inlineStr">
        <is>
          <t>6475</t>
        </is>
      </c>
      <c r="E12" t="inlineStr">
        <is>
          <t>19</t>
        </is>
      </c>
      <c r="F12" t="inlineStr">
        <is>
          <t>7</t>
        </is>
      </c>
      <c r="G12" t="inlineStr">
        <is>
          <t>4</t>
        </is>
      </c>
      <c r="H12" t="n">
        <v>2017</v>
      </c>
      <c r="I12" t="n">
        <v>0.08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17.08</v>
      </c>
      <c r="P12" t="n">
        <v>3330.6</v>
      </c>
      <c r="Q12" t="n">
        <v>538619</v>
      </c>
      <c r="R12" t="n">
        <v>0.006183591741100852</v>
      </c>
      <c r="S12" t="n">
        <v>48467</v>
      </c>
      <c r="T12" t="n">
        <v>299.7</v>
      </c>
    </row>
    <row r="13">
      <c r="A13" t="n">
        <v>1443</v>
      </c>
      <c r="B13" t="inlineStr">
        <is>
          <t>TOMENO SUAREZ,ALBERTO</t>
        </is>
      </c>
      <c r="C13" t="n">
        <v>612</v>
      </c>
      <c r="D13" t="inlineStr">
        <is>
          <t>9581</t>
        </is>
      </c>
      <c r="E13" t="inlineStr">
        <is>
          <t>19</t>
        </is>
      </c>
      <c r="F13" t="inlineStr">
        <is>
          <t>6</t>
        </is>
      </c>
      <c r="G13" t="inlineStr">
        <is>
          <t>1</t>
        </is>
      </c>
      <c r="H13" t="n">
        <v>2017</v>
      </c>
      <c r="I13" t="n">
        <v>1.92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17.08</v>
      </c>
      <c r="P13" t="n">
        <v>3330.6</v>
      </c>
      <c r="Q13" t="n">
        <v>538619</v>
      </c>
      <c r="R13" t="n">
        <v>0.006183591741100852</v>
      </c>
      <c r="S13" t="n">
        <v>48467</v>
      </c>
      <c r="T13" t="n">
        <v>299.7</v>
      </c>
    </row>
    <row r="14">
      <c r="A14" t="n">
        <v>1443</v>
      </c>
      <c r="B14" t="inlineStr">
        <is>
          <t>TOMENO SUAREZ,ALBERTO</t>
        </is>
      </c>
      <c r="C14" t="n">
        <v>612</v>
      </c>
      <c r="D14" t="inlineStr">
        <is>
          <t>9582</t>
        </is>
      </c>
      <c r="E14" t="inlineStr">
        <is>
          <t>19</t>
        </is>
      </c>
      <c r="F14" t="inlineStr">
        <is>
          <t>6</t>
        </is>
      </c>
      <c r="G14" t="inlineStr">
        <is>
          <t>3</t>
        </is>
      </c>
      <c r="H14" t="n">
        <v>2017</v>
      </c>
      <c r="I14" t="n">
        <v>1.58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17.08</v>
      </c>
      <c r="P14" t="n">
        <v>3330.6</v>
      </c>
      <c r="Q14" t="n">
        <v>538619</v>
      </c>
      <c r="R14" t="n">
        <v>0.006183591741100852</v>
      </c>
      <c r="S14" t="n">
        <v>48467</v>
      </c>
      <c r="T14" t="n">
        <v>299.7</v>
      </c>
    </row>
    <row r="15">
      <c r="A15" t="n">
        <v>1443</v>
      </c>
      <c r="B15" t="inlineStr">
        <is>
          <t>TOMENO SUAREZ,ALBERTO</t>
        </is>
      </c>
      <c r="C15" t="n">
        <v>612</v>
      </c>
      <c r="D15" t="inlineStr">
        <is>
          <t>9583</t>
        </is>
      </c>
      <c r="E15" t="inlineStr">
        <is>
          <t>19</t>
        </is>
      </c>
      <c r="F15" t="inlineStr">
        <is>
          <t>7</t>
        </is>
      </c>
      <c r="G15" t="inlineStr">
        <is>
          <t>1</t>
        </is>
      </c>
      <c r="H15" t="n">
        <v>2017</v>
      </c>
      <c r="I15" t="n">
        <v>3.91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17.08</v>
      </c>
      <c r="P15" t="n">
        <v>3330.6</v>
      </c>
      <c r="Q15" t="n">
        <v>538619</v>
      </c>
      <c r="R15" t="n">
        <v>0.006183591741100852</v>
      </c>
      <c r="S15" t="n">
        <v>48467</v>
      </c>
      <c r="T15" t="n">
        <v>299.7</v>
      </c>
    </row>
    <row r="16">
      <c r="A16" t="n">
        <v>1443</v>
      </c>
      <c r="B16" t="inlineStr">
        <is>
          <t>TOMENO SUAREZ,ALBERTO</t>
        </is>
      </c>
      <c r="C16" t="n">
        <v>612</v>
      </c>
      <c r="D16" t="inlineStr">
        <is>
          <t>9584</t>
        </is>
      </c>
      <c r="E16" t="inlineStr">
        <is>
          <t>19</t>
        </is>
      </c>
      <c r="F16" t="inlineStr">
        <is>
          <t>7</t>
        </is>
      </c>
      <c r="G16" t="inlineStr">
        <is>
          <t>2</t>
        </is>
      </c>
      <c r="H16" t="n">
        <v>2017</v>
      </c>
      <c r="I16" t="n">
        <v>0.5600000000000001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17.08</v>
      </c>
      <c r="P16" t="n">
        <v>3330.6</v>
      </c>
      <c r="Q16" t="n">
        <v>538619</v>
      </c>
      <c r="R16" t="n">
        <v>0.006183591741100852</v>
      </c>
      <c r="S16" t="n">
        <v>48467</v>
      </c>
      <c r="T16" t="n">
        <v>299.7</v>
      </c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9585</t>
        </is>
      </c>
      <c r="E17" t="inlineStr">
        <is>
          <t>19</t>
        </is>
      </c>
      <c r="F17" t="inlineStr">
        <is>
          <t>24</t>
        </is>
      </c>
      <c r="G17" t="inlineStr">
        <is>
          <t>2</t>
        </is>
      </c>
      <c r="H17" t="n">
        <v>2017</v>
      </c>
      <c r="I17" t="n">
        <v>0.29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17.08</v>
      </c>
      <c r="P17" t="n">
        <v>3330.6</v>
      </c>
      <c r="Q17" t="n">
        <v>538619</v>
      </c>
      <c r="R17" t="n">
        <v>0.006183591741100852</v>
      </c>
      <c r="S17" t="n">
        <v>48467</v>
      </c>
      <c r="T17" t="n">
        <v>299.7</v>
      </c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9586</t>
        </is>
      </c>
      <c r="E18" t="inlineStr">
        <is>
          <t>19</t>
        </is>
      </c>
      <c r="F18" t="inlineStr">
        <is>
          <t>7</t>
        </is>
      </c>
      <c r="G18" t="inlineStr">
        <is>
          <t>5</t>
        </is>
      </c>
      <c r="H18" t="n">
        <v>2017</v>
      </c>
      <c r="I18" t="n">
        <v>0.23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17.08</v>
      </c>
      <c r="P18" t="n">
        <v>3330.6</v>
      </c>
      <c r="Q18" t="n">
        <v>538619</v>
      </c>
      <c r="R18" t="n">
        <v>0.006183591741100852</v>
      </c>
      <c r="S18" t="n">
        <v>48467</v>
      </c>
      <c r="T18" t="n">
        <v>299.7</v>
      </c>
    </row>
    <row r="19">
      <c r="A19" t="n">
        <v>1491</v>
      </c>
      <c r="B19" t="inlineStr">
        <is>
          <t>JIMENEZ LORENTE,SONIA</t>
        </is>
      </c>
      <c r="C19" t="n">
        <v>370</v>
      </c>
      <c r="D19" t="inlineStr">
        <is>
          <t>9223</t>
        </is>
      </c>
      <c r="E19" t="inlineStr">
        <is>
          <t>29</t>
        </is>
      </c>
      <c r="F19" t="inlineStr">
        <is>
          <t>58</t>
        </is>
      </c>
      <c r="G19" t="inlineStr">
        <is>
          <t>1</t>
        </is>
      </c>
      <c r="H19" t="n">
        <v>2016</v>
      </c>
      <c r="I19" t="n">
        <v>2.2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7.94</v>
      </c>
      <c r="P19" t="n">
        <v>1548.3</v>
      </c>
      <c r="Q19" t="n">
        <v>241057</v>
      </c>
      <c r="R19" t="n">
        <v>0.006422962203960059</v>
      </c>
      <c r="S19" t="n">
        <v>49910</v>
      </c>
      <c r="T19" t="n">
        <v>320.57</v>
      </c>
    </row>
    <row r="20">
      <c r="A20" t="n">
        <v>1491</v>
      </c>
      <c r="B20" t="inlineStr">
        <is>
          <t>JIMENEZ LORENTE,SONIA</t>
        </is>
      </c>
      <c r="C20" t="n">
        <v>563</v>
      </c>
      <c r="D20" t="inlineStr">
        <is>
          <t>9220</t>
        </is>
      </c>
      <c r="E20" t="inlineStr">
        <is>
          <t>29</t>
        </is>
      </c>
      <c r="F20" t="inlineStr">
        <is>
          <t>58</t>
        </is>
      </c>
      <c r="G20" t="inlineStr">
        <is>
          <t>1</t>
        </is>
      </c>
      <c r="H20" t="n">
        <v>2021</v>
      </c>
      <c r="I20" t="n">
        <v>1.69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7.94</v>
      </c>
      <c r="P20" t="n">
        <v>1548.3</v>
      </c>
      <c r="Q20" t="n">
        <v>241057</v>
      </c>
      <c r="R20" t="n">
        <v>0.006422962203960059</v>
      </c>
      <c r="S20" t="n">
        <v>49910</v>
      </c>
      <c r="T20" t="n">
        <v>320.57</v>
      </c>
    </row>
    <row r="21">
      <c r="A21" t="n">
        <v>1491</v>
      </c>
      <c r="B21" t="inlineStr">
        <is>
          <t>JIMENEZ LORENTE,SONIA</t>
        </is>
      </c>
      <c r="C21" t="n">
        <v>563</v>
      </c>
      <c r="D21" t="inlineStr">
        <is>
          <t>9221</t>
        </is>
      </c>
      <c r="E21" t="inlineStr">
        <is>
          <t>29</t>
        </is>
      </c>
      <c r="F21" t="inlineStr">
        <is>
          <t>58</t>
        </is>
      </c>
      <c r="G21" t="inlineStr">
        <is>
          <t>12</t>
        </is>
      </c>
      <c r="H21" t="n">
        <v>2017</v>
      </c>
      <c r="I21" t="n">
        <v>0.52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7.94</v>
      </c>
      <c r="P21" t="n">
        <v>1548.3</v>
      </c>
      <c r="Q21" t="n">
        <v>241057</v>
      </c>
      <c r="R21" t="n">
        <v>0.006422962203960059</v>
      </c>
      <c r="S21" t="n">
        <v>49910</v>
      </c>
      <c r="T21" t="n">
        <v>320.57</v>
      </c>
    </row>
    <row r="22">
      <c r="A22" t="n">
        <v>1491</v>
      </c>
      <c r="B22" t="inlineStr">
        <is>
          <t>JIMENEZ LORENTE,SONIA</t>
        </is>
      </c>
      <c r="C22" t="n">
        <v>569</v>
      </c>
      <c r="D22" t="inlineStr">
        <is>
          <t>9222</t>
        </is>
      </c>
      <c r="E22" t="inlineStr">
        <is>
          <t>29</t>
        </is>
      </c>
      <c r="F22" t="inlineStr">
        <is>
          <t>58</t>
        </is>
      </c>
      <c r="G22" t="inlineStr">
        <is>
          <t>1</t>
        </is>
      </c>
      <c r="H22" t="n">
        <v>2014</v>
      </c>
      <c r="I22" t="n">
        <v>1.28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7.94</v>
      </c>
      <c r="P22" t="n">
        <v>1548.3</v>
      </c>
      <c r="Q22" t="n">
        <v>241057</v>
      </c>
      <c r="R22" t="n">
        <v>0.006422962203960059</v>
      </c>
      <c r="S22" t="n">
        <v>49910</v>
      </c>
      <c r="T22" t="n">
        <v>320.57</v>
      </c>
    </row>
    <row r="23">
      <c r="A23" t="n">
        <v>1491</v>
      </c>
      <c r="B23" t="inlineStr">
        <is>
          <t>JIMENEZ LORENTE,SONIA</t>
        </is>
      </c>
      <c r="C23" t="n">
        <v>619</v>
      </c>
      <c r="D23" t="inlineStr">
        <is>
          <t>9630</t>
        </is>
      </c>
      <c r="E23" t="inlineStr">
        <is>
          <t>29</t>
        </is>
      </c>
      <c r="F23" t="inlineStr">
        <is>
          <t>58</t>
        </is>
      </c>
      <c r="G23" t="inlineStr">
        <is>
          <t>1</t>
        </is>
      </c>
      <c r="H23" t="n">
        <v>2016</v>
      </c>
      <c r="I23" t="n">
        <v>2.25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7.94</v>
      </c>
      <c r="P23" t="n">
        <v>1548.3</v>
      </c>
      <c r="Q23" t="n">
        <v>241057</v>
      </c>
      <c r="R23" t="n">
        <v>0.006422962203960059</v>
      </c>
      <c r="S23" t="n">
        <v>49910</v>
      </c>
      <c r="T23" t="n">
        <v>320.57</v>
      </c>
    </row>
    <row r="24">
      <c r="A24" t="n">
        <v>1514</v>
      </c>
      <c r="B24" t="inlineStr">
        <is>
          <t>PRIETO ROMERO, JAVIER</t>
        </is>
      </c>
      <c r="C24" t="n">
        <v>691</v>
      </c>
      <c r="I24" t="n">
        <v>3.16</v>
      </c>
      <c r="J24" t="n">
        <v>0</v>
      </c>
      <c r="M24" t="inlineStr">
        <is>
          <t>No</t>
        </is>
      </c>
      <c r="N24" t="inlineStr">
        <is>
          <t>CHA_NO_SELECCIONADO; CHA_NO_ACTIVO</t>
        </is>
      </c>
      <c r="O24" t="n">
        <v>5.24</v>
      </c>
      <c r="P24" t="n">
        <v>1021.8</v>
      </c>
      <c r="Q24" t="n">
        <v>46170</v>
      </c>
      <c r="R24" t="n">
        <v>0.02213125406107862</v>
      </c>
      <c r="S24" t="n">
        <v>19038</v>
      </c>
      <c r="T24" t="n">
        <v>421.33</v>
      </c>
    </row>
    <row r="25">
      <c r="A25" t="n">
        <v>1514</v>
      </c>
      <c r="B25" t="inlineStr">
        <is>
          <t>PRIETO ROMERO, JAVIER</t>
        </is>
      </c>
      <c r="C25" t="n">
        <v>331</v>
      </c>
      <c r="D25" t="inlineStr">
        <is>
          <t>9071</t>
        </is>
      </c>
      <c r="E25" t="inlineStr">
        <is>
          <t>12</t>
        </is>
      </c>
      <c r="F25" t="inlineStr">
        <is>
          <t>11</t>
        </is>
      </c>
      <c r="G25" t="inlineStr">
        <is>
          <t>2</t>
        </is>
      </c>
      <c r="H25" t="n">
        <v>1993</v>
      </c>
      <c r="I25" t="n">
        <v>2.04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5.24</v>
      </c>
      <c r="P25" t="n">
        <v>1021.8</v>
      </c>
      <c r="Q25" t="n">
        <v>46170</v>
      </c>
      <c r="R25" t="n">
        <v>0.02213125406107862</v>
      </c>
      <c r="S25" t="n">
        <v>19038</v>
      </c>
      <c r="T25" t="n">
        <v>421.33</v>
      </c>
    </row>
    <row r="26">
      <c r="A26" t="n">
        <v>1514</v>
      </c>
      <c r="B26" t="inlineStr">
        <is>
          <t>PRIETO ROMERO, JAVIER</t>
        </is>
      </c>
      <c r="C26" t="n">
        <v>610</v>
      </c>
      <c r="D26" t="inlineStr">
        <is>
          <t>9587</t>
        </is>
      </c>
      <c r="E26" t="inlineStr">
        <is>
          <t>11</t>
        </is>
      </c>
      <c r="F26" t="inlineStr">
        <is>
          <t>120</t>
        </is>
      </c>
      <c r="G26" t="inlineStr">
        <is>
          <t>4</t>
        </is>
      </c>
      <c r="H26" t="n">
        <v>2016</v>
      </c>
      <c r="I26" t="n">
        <v>2.4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5.24</v>
      </c>
      <c r="P26" t="n">
        <v>1021.8</v>
      </c>
      <c r="Q26" t="n">
        <v>46170</v>
      </c>
      <c r="R26" t="n">
        <v>0.02213125406107862</v>
      </c>
      <c r="S26" t="n">
        <v>19038</v>
      </c>
      <c r="T26" t="n">
        <v>421.33</v>
      </c>
    </row>
    <row r="27">
      <c r="A27" t="n">
        <v>1514</v>
      </c>
      <c r="B27" t="inlineStr">
        <is>
          <t>PRIETO ROMERO, JAVIER</t>
        </is>
      </c>
      <c r="C27" t="n">
        <v>610</v>
      </c>
      <c r="D27" t="inlineStr">
        <is>
          <t>9588</t>
        </is>
      </c>
      <c r="E27" t="inlineStr">
        <is>
          <t>11</t>
        </is>
      </c>
      <c r="F27" t="inlineStr">
        <is>
          <t>120</t>
        </is>
      </c>
      <c r="G27" t="inlineStr">
        <is>
          <t>3</t>
        </is>
      </c>
      <c r="H27" t="n">
        <v>2016</v>
      </c>
      <c r="I27" t="n">
        <v>0.8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5.24</v>
      </c>
      <c r="P27" t="n">
        <v>1021.8</v>
      </c>
      <c r="Q27" t="n">
        <v>46170</v>
      </c>
      <c r="R27" t="n">
        <v>0.02213125406107862</v>
      </c>
      <c r="S27" t="n">
        <v>19038</v>
      </c>
      <c r="T27" t="n">
        <v>421.33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1214</v>
      </c>
      <c r="B2" t="inlineStr">
        <is>
          <t>CALZADA GAMIZ,JOSE ANTONIO</t>
        </is>
      </c>
      <c r="E2" t="n">
        <v>2026</v>
      </c>
      <c r="F2" t="n">
        <v>1</v>
      </c>
      <c r="G2" t="inlineStr">
        <is>
          <t>MANDARINA</t>
        </is>
      </c>
      <c r="H2" t="inlineStr">
        <is>
          <t>NADORCOTT</t>
        </is>
      </c>
      <c r="I2" t="n">
        <v>613</v>
      </c>
      <c r="J2" t="n">
        <v>11804</v>
      </c>
      <c r="K2" t="n">
        <v>0</v>
      </c>
      <c r="L2" t="n">
        <v>11804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1214</v>
      </c>
      <c r="B3" t="inlineStr">
        <is>
          <t>CALZADA GAMIZ,JOSE ANTONIO</t>
        </is>
      </c>
      <c r="E3" t="n">
        <v>2026</v>
      </c>
      <c r="F3" t="n">
        <v>1</v>
      </c>
      <c r="G3" t="inlineStr">
        <is>
          <t>MANDARINA</t>
        </is>
      </c>
      <c r="H3" t="inlineStr">
        <is>
          <t>NADORCOTT</t>
        </is>
      </c>
      <c r="I3" t="n">
        <v>613</v>
      </c>
      <c r="J3" t="n">
        <v>12044</v>
      </c>
      <c r="K3" t="n">
        <v>10930</v>
      </c>
      <c r="L3" t="n">
        <v>10930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1214</v>
      </c>
      <c r="B4" t="inlineStr">
        <is>
          <t>CALZADA GAMIZ,JOSE ANTONIO</t>
        </is>
      </c>
      <c r="E4" t="n">
        <v>2026</v>
      </c>
      <c r="F4" t="n">
        <v>1</v>
      </c>
      <c r="G4" t="inlineStr">
        <is>
          <t>MANDARINA</t>
        </is>
      </c>
      <c r="H4" t="inlineStr">
        <is>
          <t>NADORCOTT</t>
        </is>
      </c>
      <c r="I4" t="n">
        <v>613</v>
      </c>
      <c r="J4" t="n">
        <v>1009</v>
      </c>
      <c r="K4" t="n">
        <v>0</v>
      </c>
      <c r="L4" t="n">
        <v>1009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1214</v>
      </c>
      <c r="B5" t="inlineStr">
        <is>
          <t>CALZADA GAMIZ,JOSE ANTONIO</t>
        </is>
      </c>
      <c r="E5" t="n">
        <v>2026</v>
      </c>
      <c r="F5" t="n">
        <v>1</v>
      </c>
      <c r="G5" t="inlineStr">
        <is>
          <t>MANDARINA</t>
        </is>
      </c>
      <c r="H5" t="inlineStr">
        <is>
          <t>NADORCOTT</t>
        </is>
      </c>
      <c r="I5" t="n">
        <v>613</v>
      </c>
      <c r="J5" t="n">
        <v>11932</v>
      </c>
      <c r="K5" t="n">
        <v>0</v>
      </c>
      <c r="L5" t="n">
        <v>11932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1214</v>
      </c>
      <c r="B6" t="inlineStr">
        <is>
          <t>CALZADA GAMIZ,JOSE ANTONIO</t>
        </is>
      </c>
      <c r="E6" t="n">
        <v>2026</v>
      </c>
      <c r="F6" t="n">
        <v>1</v>
      </c>
      <c r="G6" t="inlineStr">
        <is>
          <t>MANDARINA</t>
        </is>
      </c>
      <c r="H6" t="inlineStr">
        <is>
          <t>NADORCOTT</t>
        </is>
      </c>
      <c r="I6" t="n">
        <v>613</v>
      </c>
      <c r="J6" t="n">
        <v>12848</v>
      </c>
      <c r="K6" t="n">
        <v>5962</v>
      </c>
      <c r="L6" t="n">
        <v>5962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1214</v>
      </c>
      <c r="B7" t="inlineStr">
        <is>
          <t>CALZADA GAMIZ,JOSE ANTONIO</t>
        </is>
      </c>
      <c r="E7" t="n">
        <v>2026</v>
      </c>
      <c r="F7" t="n">
        <v>1</v>
      </c>
      <c r="G7" t="inlineStr">
        <is>
          <t>MANDARINA</t>
        </is>
      </c>
      <c r="H7" t="inlineStr">
        <is>
          <t>NADORCOTT</t>
        </is>
      </c>
      <c r="I7" t="n">
        <v>613</v>
      </c>
      <c r="J7" t="n">
        <v>18944</v>
      </c>
      <c r="K7" t="n">
        <v>0</v>
      </c>
      <c r="L7" t="n">
        <v>18944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1214</v>
      </c>
      <c r="B8" t="inlineStr">
        <is>
          <t>CALZADA GAMIZ,JOSE ANTONIO</t>
        </is>
      </c>
      <c r="E8" t="n">
        <v>2026</v>
      </c>
      <c r="F8" t="n">
        <v>1</v>
      </c>
      <c r="G8" t="inlineStr">
        <is>
          <t>MANDARINA</t>
        </is>
      </c>
      <c r="H8" t="inlineStr">
        <is>
          <t>NADORCOTT</t>
        </is>
      </c>
      <c r="I8" t="n">
        <v>613</v>
      </c>
      <c r="J8" t="n">
        <v>1824</v>
      </c>
      <c r="K8" t="n">
        <v>0</v>
      </c>
      <c r="L8" t="n">
        <v>1824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1214</v>
      </c>
      <c r="B9" t="inlineStr">
        <is>
          <t>CALZADA GAMIZ,JOSE ANTONIO</t>
        </is>
      </c>
      <c r="E9" t="n">
        <v>2026</v>
      </c>
      <c r="F9" t="n">
        <v>1</v>
      </c>
      <c r="G9" t="inlineStr">
        <is>
          <t>MANDARINA</t>
        </is>
      </c>
      <c r="H9" t="inlineStr">
        <is>
          <t>NADORCOTT</t>
        </is>
      </c>
      <c r="I9" t="n">
        <v>613</v>
      </c>
      <c r="J9" t="n">
        <v>11983</v>
      </c>
      <c r="K9" t="n">
        <v>4877</v>
      </c>
      <c r="L9" t="n">
        <v>4877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1214</v>
      </c>
      <c r="B10" t="inlineStr">
        <is>
          <t>CALZADA GAMIZ,JOSE ANTONIO</t>
        </is>
      </c>
      <c r="E10" t="n">
        <v>2026</v>
      </c>
      <c r="F10" t="n">
        <v>1</v>
      </c>
      <c r="G10" t="inlineStr">
        <is>
          <t>MANDARINA</t>
        </is>
      </c>
      <c r="H10" t="inlineStr">
        <is>
          <t>NADORCOTT</t>
        </is>
      </c>
      <c r="I10" t="n">
        <v>613</v>
      </c>
      <c r="J10" t="n">
        <v>20502</v>
      </c>
      <c r="K10" t="n">
        <v>0</v>
      </c>
      <c r="L10" t="n">
        <v>20502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1214</v>
      </c>
      <c r="B11" t="inlineStr">
        <is>
          <t>CALZADA GAMIZ,JOSE ANTONIO</t>
        </is>
      </c>
      <c r="E11" t="n">
        <v>2026</v>
      </c>
      <c r="F11" t="n">
        <v>1</v>
      </c>
      <c r="G11" t="inlineStr">
        <is>
          <t>MANDARINA</t>
        </is>
      </c>
      <c r="H11" t="inlineStr">
        <is>
          <t>NADORCOTT</t>
        </is>
      </c>
      <c r="I11" t="n">
        <v>613</v>
      </c>
      <c r="J11" t="n">
        <v>20060</v>
      </c>
      <c r="K11" t="n">
        <v>0</v>
      </c>
      <c r="L11" t="n">
        <v>20060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1214</v>
      </c>
      <c r="B12" t="inlineStr">
        <is>
          <t>CALZADA GAMIZ,JOSE ANTONIO</t>
        </is>
      </c>
      <c r="E12" t="n">
        <v>2026</v>
      </c>
      <c r="F12" t="n">
        <v>1</v>
      </c>
      <c r="G12" t="inlineStr">
        <is>
          <t>MANDARINA</t>
        </is>
      </c>
      <c r="H12" t="inlineStr">
        <is>
          <t>NADORCOTT</t>
        </is>
      </c>
      <c r="I12" t="n">
        <v>613</v>
      </c>
      <c r="J12" t="n">
        <v>11785</v>
      </c>
      <c r="K12" t="n">
        <v>6149</v>
      </c>
      <c r="L12" t="n">
        <v>6149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1214</v>
      </c>
      <c r="B13" t="inlineStr">
        <is>
          <t>CALZADA GAMIZ,JOSE ANTONIO</t>
        </is>
      </c>
      <c r="E13" t="n">
        <v>2026</v>
      </c>
      <c r="F13" t="n">
        <v>1</v>
      </c>
      <c r="G13" t="inlineStr">
        <is>
          <t>MANDARINA</t>
        </is>
      </c>
      <c r="H13" t="inlineStr">
        <is>
          <t>NADORCOTT</t>
        </is>
      </c>
      <c r="I13" t="n">
        <v>613</v>
      </c>
      <c r="J13" t="n">
        <v>10476</v>
      </c>
      <c r="K13" t="n">
        <v>5926</v>
      </c>
      <c r="L13" t="n">
        <v>5926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1214</v>
      </c>
      <c r="B14" t="inlineStr">
        <is>
          <t>CALZADA GAMIZ,JOSE ANTONIO</t>
        </is>
      </c>
      <c r="E14" t="n">
        <v>2026</v>
      </c>
      <c r="F14" t="n">
        <v>1</v>
      </c>
      <c r="G14" t="inlineStr">
        <is>
          <t>MANDARINA</t>
        </is>
      </c>
      <c r="H14" t="inlineStr">
        <is>
          <t>NADORCOTT</t>
        </is>
      </c>
      <c r="I14" t="n">
        <v>613</v>
      </c>
      <c r="J14" t="n">
        <v>3890</v>
      </c>
      <c r="K14" t="n">
        <v>0</v>
      </c>
      <c r="L14" t="n">
        <v>3890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1214</v>
      </c>
      <c r="B15" t="inlineStr">
        <is>
          <t>CALZADA GAMIZ,JOSE ANTONIO</t>
        </is>
      </c>
      <c r="E15" t="n">
        <v>2026</v>
      </c>
      <c r="F15" t="n">
        <v>1</v>
      </c>
      <c r="G15" t="inlineStr">
        <is>
          <t>MANDARINA</t>
        </is>
      </c>
      <c r="H15" t="inlineStr">
        <is>
          <t>NADORCOTT</t>
        </is>
      </c>
      <c r="I15" t="n">
        <v>613</v>
      </c>
      <c r="J15" t="n">
        <v>9676</v>
      </c>
      <c r="K15" t="n">
        <v>0</v>
      </c>
      <c r="L15" t="n">
        <v>9676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1214</v>
      </c>
      <c r="B16" t="inlineStr">
        <is>
          <t>CALZADA GAMIZ,JOSE ANTONIO</t>
        </is>
      </c>
      <c r="E16" t="n">
        <v>2026</v>
      </c>
      <c r="F16" t="n">
        <v>1</v>
      </c>
      <c r="G16" t="inlineStr">
        <is>
          <t>MANDARINA</t>
        </is>
      </c>
      <c r="H16" t="inlineStr">
        <is>
          <t>NADORCOTT</t>
        </is>
      </c>
      <c r="I16" t="n">
        <v>613</v>
      </c>
      <c r="J16" t="n">
        <v>20140</v>
      </c>
      <c r="K16" t="n">
        <v>0</v>
      </c>
      <c r="L16" t="n">
        <v>20140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1214</v>
      </c>
      <c r="B17" t="inlineStr">
        <is>
          <t>CALZADA GAMIZ,JOSE ANTONIO</t>
        </is>
      </c>
      <c r="E17" t="n">
        <v>2026</v>
      </c>
      <c r="F17" t="n">
        <v>1</v>
      </c>
      <c r="G17" t="inlineStr">
        <is>
          <t>MANDARINA</t>
        </is>
      </c>
      <c r="H17" t="inlineStr">
        <is>
          <t>TANGO</t>
        </is>
      </c>
      <c r="I17" t="n">
        <v>621</v>
      </c>
      <c r="J17" t="n">
        <v>18104</v>
      </c>
      <c r="K17" t="n">
        <v>0</v>
      </c>
      <c r="L17" t="n">
        <v>18104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1214</v>
      </c>
      <c r="B18" t="inlineStr">
        <is>
          <t>CALZADA GAMIZ,JOSE ANTONIO</t>
        </is>
      </c>
      <c r="E18" t="n">
        <v>2026</v>
      </c>
      <c r="F18" t="n">
        <v>1</v>
      </c>
      <c r="G18" t="inlineStr">
        <is>
          <t>MANDARINA</t>
        </is>
      </c>
      <c r="H18" t="inlineStr">
        <is>
          <t>TANGO</t>
        </is>
      </c>
      <c r="I18" t="n">
        <v>621</v>
      </c>
      <c r="J18" t="n">
        <v>18936</v>
      </c>
      <c r="K18" t="n">
        <v>0</v>
      </c>
      <c r="L18" t="n">
        <v>18936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1214</v>
      </c>
      <c r="B19" t="inlineStr">
        <is>
          <t>CALZADA GAMIZ,JOSE ANTONIO</t>
        </is>
      </c>
      <c r="E19" t="n">
        <v>2026</v>
      </c>
      <c r="F19" t="n">
        <v>1</v>
      </c>
      <c r="G19" t="inlineStr">
        <is>
          <t>MANDARINA</t>
        </is>
      </c>
      <c r="H19" t="inlineStr">
        <is>
          <t>NADORCOTT</t>
        </is>
      </c>
      <c r="I19" t="n">
        <v>613</v>
      </c>
      <c r="J19" t="n">
        <v>11044</v>
      </c>
      <c r="K19" t="n">
        <v>0</v>
      </c>
      <c r="L19" t="n">
        <v>11044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1214</v>
      </c>
      <c r="B20" t="inlineStr">
        <is>
          <t>CALZADA GAMIZ,JOSE ANTONIO</t>
        </is>
      </c>
      <c r="E20" t="n">
        <v>2026</v>
      </c>
      <c r="F20" t="n">
        <v>1</v>
      </c>
      <c r="G20" t="inlineStr">
        <is>
          <t>MANDARINA</t>
        </is>
      </c>
      <c r="H20" t="inlineStr">
        <is>
          <t>NADORCOTT</t>
        </is>
      </c>
      <c r="I20" t="n">
        <v>613</v>
      </c>
      <c r="J20" t="n">
        <v>8812</v>
      </c>
      <c r="K20" t="n">
        <v>6121</v>
      </c>
      <c r="L20" t="n">
        <v>6121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1214</v>
      </c>
      <c r="B21" t="inlineStr">
        <is>
          <t>CALZADA GAMIZ,JOSE ANTONIO</t>
        </is>
      </c>
      <c r="E21" t="n">
        <v>2026</v>
      </c>
      <c r="F21" t="n">
        <v>1</v>
      </c>
      <c r="G21" t="inlineStr">
        <is>
          <t>MANDARINA</t>
        </is>
      </c>
      <c r="H21" t="inlineStr">
        <is>
          <t>NADORCOTT</t>
        </is>
      </c>
      <c r="I21" t="n">
        <v>613</v>
      </c>
      <c r="J21" t="n">
        <v>9472</v>
      </c>
      <c r="K21" t="n">
        <v>2295</v>
      </c>
      <c r="L21" t="n">
        <v>2295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1214</v>
      </c>
      <c r="B22" t="inlineStr">
        <is>
          <t>CALZADA GAMIZ,JOSE ANTONIO</t>
        </is>
      </c>
      <c r="E22" t="n">
        <v>2026</v>
      </c>
      <c r="F22" t="n">
        <v>1</v>
      </c>
      <c r="G22" t="inlineStr">
        <is>
          <t>MANDARINA</t>
        </is>
      </c>
      <c r="H22" t="inlineStr">
        <is>
          <t>TANGO</t>
        </is>
      </c>
      <c r="I22" t="n">
        <v>621</v>
      </c>
      <c r="J22" t="n">
        <v>18436</v>
      </c>
      <c r="K22" t="n">
        <v>0</v>
      </c>
      <c r="L22" t="n">
        <v>18436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1214</v>
      </c>
      <c r="B23" t="inlineStr">
        <is>
          <t>CALZADA GAMIZ,JOSE ANTONIO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TANGO</t>
        </is>
      </c>
      <c r="I23" t="n">
        <v>621</v>
      </c>
      <c r="J23" t="n">
        <v>1082</v>
      </c>
      <c r="K23" t="n">
        <v>0</v>
      </c>
      <c r="L23" t="n">
        <v>1082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1443</v>
      </c>
      <c r="B24" t="inlineStr">
        <is>
          <t>TOMENO SUAREZ,ALBERTO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NAVELINA</t>
        </is>
      </c>
      <c r="I24" t="n">
        <v>42</v>
      </c>
      <c r="J24" t="n">
        <v>23260</v>
      </c>
      <c r="K24" t="n">
        <v>0</v>
      </c>
      <c r="L24" t="n">
        <v>23260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1443</v>
      </c>
      <c r="B25" t="inlineStr">
        <is>
          <t>TOMENO SUAREZ,ALBERTO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NAVELINA</t>
        </is>
      </c>
      <c r="I25" t="n">
        <v>42</v>
      </c>
      <c r="J25" t="n">
        <v>11350</v>
      </c>
      <c r="K25" t="n">
        <v>10850</v>
      </c>
      <c r="L25" t="n">
        <v>10850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1443</v>
      </c>
      <c r="B26" t="inlineStr">
        <is>
          <t>TOMENO SUAREZ,ALBERTO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NAVELINA</t>
        </is>
      </c>
      <c r="I26" t="n">
        <v>42</v>
      </c>
      <c r="J26" t="n">
        <v>23130</v>
      </c>
      <c r="K26" t="n">
        <v>16814</v>
      </c>
      <c r="L26" t="n">
        <v>16814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1443</v>
      </c>
      <c r="B27" t="inlineStr">
        <is>
          <t>TOMENO SUAREZ,ALBERTO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NAVELINA</t>
        </is>
      </c>
      <c r="I27" t="n">
        <v>42</v>
      </c>
      <c r="J27" t="n">
        <v>24425</v>
      </c>
      <c r="K27" t="n">
        <v>4616</v>
      </c>
      <c r="L27" t="n">
        <v>4616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1443</v>
      </c>
      <c r="B28" t="inlineStr">
        <is>
          <t>TOMENO SUAREZ,ALBERTO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SALUSTIANA</t>
        </is>
      </c>
      <c r="I28" t="n">
        <v>46</v>
      </c>
      <c r="J28" t="n">
        <v>11800</v>
      </c>
      <c r="K28" t="n">
        <v>8040</v>
      </c>
      <c r="L28" t="n">
        <v>8040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1443</v>
      </c>
      <c r="B29" t="inlineStr">
        <is>
          <t>TOMENO SUAREZ,ALBERTO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SALUSTIANA</t>
        </is>
      </c>
      <c r="I29" t="n">
        <v>46</v>
      </c>
      <c r="J29" t="n">
        <v>12784</v>
      </c>
      <c r="K29" t="n">
        <v>818</v>
      </c>
      <c r="L29" t="n">
        <v>818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1443</v>
      </c>
      <c r="B30" t="inlineStr">
        <is>
          <t>TOMENO SUAREZ,ALBERTO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SALUSTIANA</t>
        </is>
      </c>
      <c r="I30" t="n">
        <v>46</v>
      </c>
      <c r="J30" t="n">
        <v>12416</v>
      </c>
      <c r="K30" t="n">
        <v>3216</v>
      </c>
      <c r="L30" t="n">
        <v>3216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1443</v>
      </c>
      <c r="B31" t="inlineStr">
        <is>
          <t>TOMENO SUAREZ,ALBERTO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SALUSTIANA</t>
        </is>
      </c>
      <c r="I31" t="n">
        <v>46</v>
      </c>
      <c r="J31" t="n">
        <v>11542</v>
      </c>
      <c r="K31" t="n">
        <v>10220</v>
      </c>
      <c r="L31" t="n">
        <v>10220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1443</v>
      </c>
      <c r="B32" t="inlineStr">
        <is>
          <t>TOMENO SUAREZ,ALBERTO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SALUSTIANA</t>
        </is>
      </c>
      <c r="I32" t="n">
        <v>46</v>
      </c>
      <c r="J32" t="n">
        <v>11928</v>
      </c>
      <c r="K32" t="n">
        <v>0</v>
      </c>
      <c r="L32" t="n">
        <v>11928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1443</v>
      </c>
      <c r="B33" t="inlineStr">
        <is>
          <t>TOMENO SUAREZ,ALBERTO</t>
        </is>
      </c>
      <c r="E33" t="n">
        <v>2026</v>
      </c>
      <c r="F33" t="n">
        <v>1</v>
      </c>
      <c r="G33" t="inlineStr">
        <is>
          <t>INDUSTRIA</t>
        </is>
      </c>
      <c r="H33" t="inlineStr">
        <is>
          <t>NAVELINA</t>
        </is>
      </c>
      <c r="I33" t="n">
        <v>42</v>
      </c>
      <c r="J33" t="n">
        <v>22360</v>
      </c>
      <c r="K33" t="n">
        <v>1070</v>
      </c>
      <c r="L33" t="n">
        <v>1070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1443</v>
      </c>
      <c r="B34" t="inlineStr">
        <is>
          <t>TOMENO SUAREZ,ALBERTO</t>
        </is>
      </c>
      <c r="E34" t="n">
        <v>2026</v>
      </c>
      <c r="F34" t="n">
        <v>1</v>
      </c>
      <c r="G34" t="inlineStr">
        <is>
          <t>INDUSTRIA</t>
        </is>
      </c>
      <c r="H34" t="inlineStr">
        <is>
          <t>NAVELINA</t>
        </is>
      </c>
      <c r="I34" t="n">
        <v>42</v>
      </c>
      <c r="J34" t="n">
        <v>9985</v>
      </c>
      <c r="K34" t="n">
        <v>430</v>
      </c>
      <c r="L34" t="n">
        <v>430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1443</v>
      </c>
      <c r="B35" t="inlineStr">
        <is>
          <t>TOMENO SUAREZ,ALBERTO</t>
        </is>
      </c>
      <c r="E35" t="n">
        <v>2026</v>
      </c>
      <c r="F35" t="n">
        <v>1</v>
      </c>
      <c r="G35" t="inlineStr">
        <is>
          <t>INDUSTRIA</t>
        </is>
      </c>
      <c r="H35" t="inlineStr">
        <is>
          <t>SALUSTIANA</t>
        </is>
      </c>
      <c r="I35" t="n">
        <v>46</v>
      </c>
      <c r="J35" t="n">
        <v>11322</v>
      </c>
      <c r="K35" t="n">
        <v>342</v>
      </c>
      <c r="L35" t="n">
        <v>342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1443</v>
      </c>
      <c r="B36" t="inlineStr">
        <is>
          <t>TOMENO SUAREZ,ALBERTO</t>
        </is>
      </c>
      <c r="E36" t="n">
        <v>2026</v>
      </c>
      <c r="F36" t="n">
        <v>1</v>
      </c>
      <c r="G36" t="inlineStr">
        <is>
          <t>MANDARINA</t>
        </is>
      </c>
      <c r="H36" t="inlineStr">
        <is>
          <t>NADORCOTT</t>
        </is>
      </c>
      <c r="I36" t="n">
        <v>612</v>
      </c>
      <c r="J36" t="n">
        <v>11996</v>
      </c>
      <c r="K36" t="n">
        <v>6402</v>
      </c>
      <c r="L36" t="n">
        <v>6402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1443</v>
      </c>
      <c r="B37" t="inlineStr">
        <is>
          <t>TOMENO SUAREZ,ALBERTO</t>
        </is>
      </c>
      <c r="E37" t="n">
        <v>2026</v>
      </c>
      <c r="F37" t="n">
        <v>1</v>
      </c>
      <c r="G37" t="inlineStr">
        <is>
          <t>MANDARINA</t>
        </is>
      </c>
      <c r="H37" t="inlineStr">
        <is>
          <t>NADORCOTT</t>
        </is>
      </c>
      <c r="I37" t="n">
        <v>612</v>
      </c>
      <c r="J37" t="n">
        <v>11112</v>
      </c>
      <c r="K37" t="n">
        <v>0</v>
      </c>
      <c r="L37" t="n">
        <v>11112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1443</v>
      </c>
      <c r="B38" t="inlineStr">
        <is>
          <t>TOMENO SUAREZ,ALBERTO</t>
        </is>
      </c>
      <c r="E38" t="n">
        <v>2026</v>
      </c>
      <c r="F38" t="n">
        <v>1</v>
      </c>
      <c r="G38" t="inlineStr">
        <is>
          <t>MANDARINA</t>
        </is>
      </c>
      <c r="H38" t="inlineStr">
        <is>
          <t>NADORCOTT</t>
        </is>
      </c>
      <c r="I38" t="n">
        <v>612</v>
      </c>
      <c r="J38" t="n">
        <v>12260</v>
      </c>
      <c r="K38" t="n">
        <v>4802</v>
      </c>
      <c r="L38" t="n">
        <v>4802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1443</v>
      </c>
      <c r="B39" t="inlineStr">
        <is>
          <t>TOMENO SUAREZ,ALBERTO</t>
        </is>
      </c>
      <c r="E39" t="n">
        <v>2026</v>
      </c>
      <c r="F39" t="n">
        <v>1</v>
      </c>
      <c r="G39" t="inlineStr">
        <is>
          <t>MANDARINA</t>
        </is>
      </c>
      <c r="H39" t="inlineStr">
        <is>
          <t>NADORCOTT</t>
        </is>
      </c>
      <c r="I39" t="n">
        <v>612</v>
      </c>
      <c r="J39" t="n">
        <v>11644</v>
      </c>
      <c r="K39" t="n">
        <v>0</v>
      </c>
      <c r="L39" t="n">
        <v>11644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1443</v>
      </c>
      <c r="B40" t="inlineStr">
        <is>
          <t>TOMENO SUAREZ,ALBERTO</t>
        </is>
      </c>
      <c r="E40" t="n">
        <v>2026</v>
      </c>
      <c r="F40" t="n">
        <v>1</v>
      </c>
      <c r="G40" t="inlineStr">
        <is>
          <t>MANDARINA</t>
        </is>
      </c>
      <c r="H40" t="inlineStr">
        <is>
          <t>NADORCOTT</t>
        </is>
      </c>
      <c r="I40" t="n">
        <v>612</v>
      </c>
      <c r="J40" t="n">
        <v>11904</v>
      </c>
      <c r="K40" t="n">
        <v>7228</v>
      </c>
      <c r="L40" t="n">
        <v>7228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1443</v>
      </c>
      <c r="B41" t="inlineStr">
        <is>
          <t>TOMENO SUAREZ,ALBERTO</t>
        </is>
      </c>
      <c r="E41" t="n">
        <v>2026</v>
      </c>
      <c r="F41" t="n">
        <v>1</v>
      </c>
      <c r="G41" t="inlineStr">
        <is>
          <t>MANDARINA</t>
        </is>
      </c>
      <c r="H41" t="inlineStr">
        <is>
          <t>NADORCOTT</t>
        </is>
      </c>
      <c r="I41" t="n">
        <v>612</v>
      </c>
      <c r="J41" t="n">
        <v>12432</v>
      </c>
      <c r="K41" t="n">
        <v>4016</v>
      </c>
      <c r="L41" t="n">
        <v>4016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1443</v>
      </c>
      <c r="B42" t="inlineStr">
        <is>
          <t>TOMENO SUAREZ,ALBERTO</t>
        </is>
      </c>
      <c r="E42" t="n">
        <v>2026</v>
      </c>
      <c r="F42" t="n">
        <v>1</v>
      </c>
      <c r="G42" t="inlineStr">
        <is>
          <t>MANDARINA</t>
        </is>
      </c>
      <c r="H42" t="inlineStr">
        <is>
          <t>NADORCOTT</t>
        </is>
      </c>
      <c r="I42" t="n">
        <v>612</v>
      </c>
      <c r="J42" t="n">
        <v>11412</v>
      </c>
      <c r="K42" t="n">
        <v>0</v>
      </c>
      <c r="L42" t="n">
        <v>11412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1443</v>
      </c>
      <c r="B43" t="inlineStr">
        <is>
          <t>TOMENO SUAREZ,ALBERTO</t>
        </is>
      </c>
      <c r="E43" t="n">
        <v>2026</v>
      </c>
      <c r="F43" t="n">
        <v>1</v>
      </c>
      <c r="G43" t="inlineStr">
        <is>
          <t>MANDARINA</t>
        </is>
      </c>
      <c r="H43" t="inlineStr">
        <is>
          <t>NADORCOTT</t>
        </is>
      </c>
      <c r="I43" t="n">
        <v>612</v>
      </c>
      <c r="J43" t="n">
        <v>11150</v>
      </c>
      <c r="K43" t="n">
        <v>0</v>
      </c>
      <c r="L43" t="n">
        <v>11150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1443</v>
      </c>
      <c r="B44" t="inlineStr">
        <is>
          <t>TOMENO SUAREZ,ALBERTO</t>
        </is>
      </c>
      <c r="E44" t="n">
        <v>2026</v>
      </c>
      <c r="F44" t="n">
        <v>1</v>
      </c>
      <c r="G44" t="inlineStr">
        <is>
          <t>MANDARINA</t>
        </is>
      </c>
      <c r="H44" t="inlineStr">
        <is>
          <t>TANGO</t>
        </is>
      </c>
      <c r="I44" t="n">
        <v>611</v>
      </c>
      <c r="J44" t="n">
        <v>20660</v>
      </c>
      <c r="K44" t="n">
        <v>0</v>
      </c>
      <c r="L44" t="n">
        <v>20660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1443</v>
      </c>
      <c r="B45" t="inlineStr">
        <is>
          <t>TOMENO SUAREZ,ALBERTO</t>
        </is>
      </c>
      <c r="E45" t="n">
        <v>2026</v>
      </c>
      <c r="F45" t="n">
        <v>1</v>
      </c>
      <c r="G45" t="inlineStr">
        <is>
          <t>MANDARINA</t>
        </is>
      </c>
      <c r="H45" t="inlineStr">
        <is>
          <t>NADORCOTT</t>
        </is>
      </c>
      <c r="I45" t="n">
        <v>612</v>
      </c>
      <c r="J45" t="n">
        <v>12028</v>
      </c>
      <c r="K45" t="n">
        <v>5739</v>
      </c>
      <c r="L45" t="n">
        <v>5739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1443</v>
      </c>
      <c r="B46" t="inlineStr">
        <is>
          <t>TOMENO SUAREZ,ALBERTO</t>
        </is>
      </c>
      <c r="E46" t="n">
        <v>2026</v>
      </c>
      <c r="F46" t="n">
        <v>1</v>
      </c>
      <c r="G46" t="inlineStr">
        <is>
          <t>MANDARINA</t>
        </is>
      </c>
      <c r="H46" t="inlineStr">
        <is>
          <t>NADORCOTT</t>
        </is>
      </c>
      <c r="I46" t="n">
        <v>612</v>
      </c>
      <c r="J46" t="n">
        <v>5365</v>
      </c>
      <c r="K46" t="n">
        <v>0</v>
      </c>
      <c r="L46" t="n">
        <v>5365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1443</v>
      </c>
      <c r="B47" t="inlineStr">
        <is>
          <t>TOMENO SUAREZ,ALBERTO</t>
        </is>
      </c>
      <c r="E47" t="n">
        <v>2026</v>
      </c>
      <c r="F47" t="n">
        <v>1</v>
      </c>
      <c r="G47" t="inlineStr">
        <is>
          <t>MANDARINA</t>
        </is>
      </c>
      <c r="H47" t="inlineStr">
        <is>
          <t>NADORCOTT</t>
        </is>
      </c>
      <c r="I47" t="n">
        <v>612</v>
      </c>
      <c r="J47" t="n">
        <v>10248</v>
      </c>
      <c r="K47" t="n">
        <v>3064</v>
      </c>
      <c r="L47" t="n">
        <v>3064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1443</v>
      </c>
      <c r="B48" t="inlineStr">
        <is>
          <t>TOMENO SUAREZ,ALBERTO</t>
        </is>
      </c>
      <c r="E48" t="n">
        <v>2026</v>
      </c>
      <c r="F48" t="n">
        <v>1</v>
      </c>
      <c r="G48" t="inlineStr">
        <is>
          <t>MANDARINA</t>
        </is>
      </c>
      <c r="H48" t="inlineStr">
        <is>
          <t>NADORCOTT</t>
        </is>
      </c>
      <c r="I48" t="n">
        <v>612</v>
      </c>
      <c r="J48" t="n">
        <v>9720</v>
      </c>
      <c r="K48" t="n">
        <v>6128</v>
      </c>
      <c r="L48" t="n">
        <v>6128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1443</v>
      </c>
      <c r="B49" t="inlineStr">
        <is>
          <t>TOMENO SUAREZ,ALBERTO</t>
        </is>
      </c>
      <c r="E49" t="n">
        <v>2026</v>
      </c>
      <c r="F49" t="n">
        <v>1</v>
      </c>
      <c r="G49" t="inlineStr">
        <is>
          <t>MANDARINA</t>
        </is>
      </c>
      <c r="H49" t="inlineStr">
        <is>
          <t>NADORCOTT</t>
        </is>
      </c>
      <c r="I49" t="n">
        <v>612</v>
      </c>
      <c r="J49" t="n">
        <v>19192</v>
      </c>
      <c r="K49" t="n">
        <v>0</v>
      </c>
      <c r="L49" t="n">
        <v>19192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1443</v>
      </c>
      <c r="B50" t="inlineStr">
        <is>
          <t>TOMENO SUAREZ,ALBERTO</t>
        </is>
      </c>
      <c r="E50" t="n">
        <v>2026</v>
      </c>
      <c r="F50" t="n">
        <v>1</v>
      </c>
      <c r="G50" t="inlineStr">
        <is>
          <t>MANDARINA</t>
        </is>
      </c>
      <c r="H50" t="inlineStr">
        <is>
          <t>NADORCOTT</t>
        </is>
      </c>
      <c r="I50" t="n">
        <v>612</v>
      </c>
      <c r="J50" t="n">
        <v>11744</v>
      </c>
      <c r="K50" t="n">
        <v>0</v>
      </c>
      <c r="L50" t="n">
        <v>11744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1443</v>
      </c>
      <c r="B51" t="inlineStr">
        <is>
          <t>TOMENO SUAREZ,ALBERTO</t>
        </is>
      </c>
      <c r="E51" t="n">
        <v>2026</v>
      </c>
      <c r="F51" t="n">
        <v>1</v>
      </c>
      <c r="G51" t="inlineStr">
        <is>
          <t>MANDARINA</t>
        </is>
      </c>
      <c r="H51" t="inlineStr">
        <is>
          <t>TANGO</t>
        </is>
      </c>
      <c r="I51" t="n">
        <v>611</v>
      </c>
      <c r="J51" t="n">
        <v>17520</v>
      </c>
      <c r="K51" t="n">
        <v>0</v>
      </c>
      <c r="L51" t="n">
        <v>17520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1443</v>
      </c>
      <c r="B52" t="inlineStr">
        <is>
          <t>TOMENO SUAREZ,ALBERTO</t>
        </is>
      </c>
      <c r="E52" t="n">
        <v>2026</v>
      </c>
      <c r="F52" t="n">
        <v>1</v>
      </c>
      <c r="G52" t="inlineStr">
        <is>
          <t>MANDARINA</t>
        </is>
      </c>
      <c r="H52" t="inlineStr">
        <is>
          <t>NADORCOTT</t>
        </is>
      </c>
      <c r="I52" t="n">
        <v>612</v>
      </c>
      <c r="J52" t="n">
        <v>12980</v>
      </c>
      <c r="K52" t="n">
        <v>4211</v>
      </c>
      <c r="L52" t="n">
        <v>4211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1443</v>
      </c>
      <c r="B53" t="inlineStr">
        <is>
          <t>TOMENO SUAREZ,ALBERTO</t>
        </is>
      </c>
      <c r="E53" t="n">
        <v>2026</v>
      </c>
      <c r="F53" t="n">
        <v>1</v>
      </c>
      <c r="G53" t="inlineStr">
        <is>
          <t>MANDARINA</t>
        </is>
      </c>
      <c r="H53" t="inlineStr">
        <is>
          <t>TANGO</t>
        </is>
      </c>
      <c r="I53" t="n">
        <v>611</v>
      </c>
      <c r="J53" t="n">
        <v>20160</v>
      </c>
      <c r="K53" t="n">
        <v>0</v>
      </c>
      <c r="L53" t="n">
        <v>20160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1443</v>
      </c>
      <c r="B54" t="inlineStr">
        <is>
          <t>TOMENO SUAREZ,ALBERTO</t>
        </is>
      </c>
      <c r="E54" t="n">
        <v>2026</v>
      </c>
      <c r="F54" t="n">
        <v>1</v>
      </c>
      <c r="G54" t="inlineStr">
        <is>
          <t>MANDARINA</t>
        </is>
      </c>
      <c r="H54" t="inlineStr">
        <is>
          <t>TANGO</t>
        </is>
      </c>
      <c r="I54" t="n">
        <v>611</v>
      </c>
      <c r="J54" t="n">
        <v>19656</v>
      </c>
      <c r="K54" t="n">
        <v>0</v>
      </c>
      <c r="L54" t="n">
        <v>19656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1443</v>
      </c>
      <c r="B55" t="inlineStr">
        <is>
          <t>TOMENO SUAREZ,ALBERTO</t>
        </is>
      </c>
      <c r="E55" t="n">
        <v>2026</v>
      </c>
      <c r="F55" t="n">
        <v>1</v>
      </c>
      <c r="G55" t="inlineStr">
        <is>
          <t>MANDARINA</t>
        </is>
      </c>
      <c r="H55" t="inlineStr">
        <is>
          <t>NADORCOTT</t>
        </is>
      </c>
      <c r="I55" t="n">
        <v>612</v>
      </c>
      <c r="J55" t="n">
        <v>19462</v>
      </c>
      <c r="K55" t="n">
        <v>0</v>
      </c>
      <c r="L55" t="n">
        <v>19462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1443</v>
      </c>
      <c r="B56" t="inlineStr">
        <is>
          <t>TOMENO SUAREZ,ALBERTO</t>
        </is>
      </c>
      <c r="E56" t="n">
        <v>2026</v>
      </c>
      <c r="F56" t="n">
        <v>1</v>
      </c>
      <c r="G56" t="inlineStr">
        <is>
          <t>MANDARINA</t>
        </is>
      </c>
      <c r="H56" t="inlineStr">
        <is>
          <t>NADORCOTT</t>
        </is>
      </c>
      <c r="I56" t="n">
        <v>612</v>
      </c>
      <c r="J56" t="n">
        <v>17956</v>
      </c>
      <c r="K56" t="n">
        <v>0</v>
      </c>
      <c r="L56" t="n">
        <v>17956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1443</v>
      </c>
      <c r="B57" t="inlineStr">
        <is>
          <t>TOMENO SUAREZ,ALBERTO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TANGO</t>
        </is>
      </c>
      <c r="I57" t="n">
        <v>611</v>
      </c>
      <c r="J57" t="n">
        <v>19970</v>
      </c>
      <c r="K57" t="n">
        <v>0</v>
      </c>
      <c r="L57" t="n">
        <v>19970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1443</v>
      </c>
      <c r="B58" t="inlineStr">
        <is>
          <t>TOMENO SUAREZ,ALBERTO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TANGO</t>
        </is>
      </c>
      <c r="I58" t="n">
        <v>611</v>
      </c>
      <c r="J58" t="n">
        <v>19810</v>
      </c>
      <c r="K58" t="n">
        <v>0</v>
      </c>
      <c r="L58" t="n">
        <v>19810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1443</v>
      </c>
      <c r="B59" t="inlineStr">
        <is>
          <t>TOMENO SUAREZ,ALBERTO</t>
        </is>
      </c>
      <c r="E59" t="n">
        <v>2026</v>
      </c>
      <c r="F59" t="n">
        <v>1</v>
      </c>
      <c r="G59" t="inlineStr">
        <is>
          <t>MANDARINA</t>
        </is>
      </c>
      <c r="H59" t="inlineStr">
        <is>
          <t>NADORCOTT</t>
        </is>
      </c>
      <c r="I59" t="n">
        <v>612</v>
      </c>
      <c r="J59" t="n">
        <v>12452</v>
      </c>
      <c r="K59" t="n">
        <v>7581</v>
      </c>
      <c r="L59" t="n">
        <v>7581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1443</v>
      </c>
      <c r="B60" t="inlineStr">
        <is>
          <t>TOMENO SUAREZ,ALBERTO</t>
        </is>
      </c>
      <c r="E60" t="n">
        <v>2026</v>
      </c>
      <c r="F60" t="n">
        <v>1</v>
      </c>
      <c r="G60" t="inlineStr">
        <is>
          <t>MANDARINA</t>
        </is>
      </c>
      <c r="H60" t="inlineStr">
        <is>
          <t>TANGO</t>
        </is>
      </c>
      <c r="I60" t="n">
        <v>611</v>
      </c>
      <c r="J60" t="n">
        <v>20220</v>
      </c>
      <c r="K60" t="n">
        <v>0</v>
      </c>
      <c r="L60" t="n">
        <v>20220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1443</v>
      </c>
      <c r="B61" t="inlineStr">
        <is>
          <t>TOMENO SUAREZ,ALBERTO</t>
        </is>
      </c>
      <c r="E61" t="n">
        <v>2026</v>
      </c>
      <c r="F61" t="n">
        <v>1</v>
      </c>
      <c r="G61" t="inlineStr">
        <is>
          <t>MANDARINA</t>
        </is>
      </c>
      <c r="H61" t="inlineStr">
        <is>
          <t>TANGO</t>
        </is>
      </c>
      <c r="I61" t="n">
        <v>611</v>
      </c>
      <c r="J61" t="n">
        <v>18664</v>
      </c>
      <c r="K61" t="n">
        <v>0</v>
      </c>
      <c r="L61" t="n">
        <v>18664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1443</v>
      </c>
      <c r="B62" t="inlineStr">
        <is>
          <t>TOMENO SUAREZ,ALBERTO</t>
        </is>
      </c>
      <c r="E62" t="n">
        <v>2026</v>
      </c>
      <c r="F62" t="n">
        <v>1</v>
      </c>
      <c r="G62" t="inlineStr">
        <is>
          <t>MANDARINA</t>
        </is>
      </c>
      <c r="H62" t="inlineStr">
        <is>
          <t>NADORCOTT</t>
        </is>
      </c>
      <c r="I62" t="n">
        <v>612</v>
      </c>
      <c r="J62" t="n">
        <v>21576</v>
      </c>
      <c r="K62" t="n">
        <v>0</v>
      </c>
      <c r="L62" t="n">
        <v>21576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1443</v>
      </c>
      <c r="B63" t="inlineStr">
        <is>
          <t>TOMENO SUAREZ,ALBERTO</t>
        </is>
      </c>
      <c r="E63" t="n">
        <v>2026</v>
      </c>
      <c r="F63" t="n">
        <v>1</v>
      </c>
      <c r="G63" t="inlineStr">
        <is>
          <t>MANDARINA</t>
        </is>
      </c>
      <c r="H63" t="inlineStr">
        <is>
          <t>NADORCOTT</t>
        </is>
      </c>
      <c r="I63" t="n">
        <v>612</v>
      </c>
      <c r="J63" t="n">
        <v>17769</v>
      </c>
      <c r="K63" t="n">
        <v>0</v>
      </c>
      <c r="L63" t="n">
        <v>17769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1443</v>
      </c>
      <c r="B64" t="inlineStr">
        <is>
          <t>TOMENO SUAREZ,ALBERTO</t>
        </is>
      </c>
      <c r="E64" t="n">
        <v>2026</v>
      </c>
      <c r="F64" t="n">
        <v>1</v>
      </c>
      <c r="G64" t="inlineStr">
        <is>
          <t>MANDARINA</t>
        </is>
      </c>
      <c r="H64" t="inlineStr">
        <is>
          <t>NADORCOTT</t>
        </is>
      </c>
      <c r="I64" t="n">
        <v>612</v>
      </c>
      <c r="J64" t="n">
        <v>11132</v>
      </c>
      <c r="K64" t="n">
        <v>0</v>
      </c>
      <c r="L64" t="n">
        <v>11132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1443</v>
      </c>
      <c r="B65" t="inlineStr">
        <is>
          <t>TOMENO SUAREZ,ALBERTO</t>
        </is>
      </c>
      <c r="E65" t="n">
        <v>2026</v>
      </c>
      <c r="F65" t="n">
        <v>1</v>
      </c>
      <c r="G65" t="inlineStr">
        <is>
          <t>MANDARINA</t>
        </is>
      </c>
      <c r="H65" t="inlineStr">
        <is>
          <t>NADORCOTT</t>
        </is>
      </c>
      <c r="I65" t="n">
        <v>612</v>
      </c>
      <c r="J65" t="n">
        <v>374</v>
      </c>
      <c r="K65" t="n">
        <v>0</v>
      </c>
      <c r="L65" t="n">
        <v>374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1443</v>
      </c>
      <c r="B66" t="inlineStr">
        <is>
          <t>TOMENO SUAREZ,ALBERTO</t>
        </is>
      </c>
      <c r="E66" t="n">
        <v>2026</v>
      </c>
      <c r="F66" t="n">
        <v>1</v>
      </c>
      <c r="G66" t="inlineStr">
        <is>
          <t>MANDARINA</t>
        </is>
      </c>
      <c r="H66" t="inlineStr">
        <is>
          <t>NADORCOTT</t>
        </is>
      </c>
      <c r="I66" t="n">
        <v>612</v>
      </c>
      <c r="J66" t="n">
        <v>8070</v>
      </c>
      <c r="K66" t="n">
        <v>0</v>
      </c>
      <c r="L66" t="n">
        <v>8070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1443</v>
      </c>
      <c r="B67" t="inlineStr">
        <is>
          <t>TOMENO SUAREZ,ALBERTO</t>
        </is>
      </c>
      <c r="E67" t="n">
        <v>2026</v>
      </c>
      <c r="F67" t="n">
        <v>1</v>
      </c>
      <c r="G67" t="inlineStr">
        <is>
          <t>MANDARINA</t>
        </is>
      </c>
      <c r="H67" t="inlineStr">
        <is>
          <t>NADORCOTT</t>
        </is>
      </c>
      <c r="I67" t="n">
        <v>612</v>
      </c>
      <c r="J67" t="n">
        <v>2998</v>
      </c>
      <c r="K67" t="n">
        <v>0</v>
      </c>
      <c r="L67" t="n">
        <v>2998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1443</v>
      </c>
      <c r="B68" t="inlineStr">
        <is>
          <t>TOMENO SUAREZ,ALBERTO</t>
        </is>
      </c>
      <c r="E68" t="n">
        <v>2026</v>
      </c>
      <c r="F68" t="n">
        <v>1</v>
      </c>
      <c r="G68" t="inlineStr">
        <is>
          <t>MANDARINA</t>
        </is>
      </c>
      <c r="H68" t="inlineStr">
        <is>
          <t>NADORCOTT</t>
        </is>
      </c>
      <c r="I68" t="n">
        <v>612</v>
      </c>
      <c r="J68" t="n">
        <v>14214</v>
      </c>
      <c r="K68" t="n">
        <v>0</v>
      </c>
      <c r="L68" t="n">
        <v>14214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1443</v>
      </c>
      <c r="B69" t="inlineStr">
        <is>
          <t>TOMENO SUAREZ,ALBERTO</t>
        </is>
      </c>
      <c r="E69" t="n">
        <v>2026</v>
      </c>
      <c r="F69" t="n">
        <v>1</v>
      </c>
      <c r="G69" t="inlineStr">
        <is>
          <t>MANDARINA</t>
        </is>
      </c>
      <c r="H69" t="inlineStr">
        <is>
          <t>TANGO</t>
        </is>
      </c>
      <c r="I69" t="n">
        <v>611</v>
      </c>
      <c r="J69" t="n">
        <v>20180</v>
      </c>
      <c r="K69" t="n">
        <v>0</v>
      </c>
      <c r="L69" t="n">
        <v>20180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1443</v>
      </c>
      <c r="B70" t="inlineStr">
        <is>
          <t>TOMENO SUAREZ,ALBERTO</t>
        </is>
      </c>
      <c r="E70" t="n">
        <v>2026</v>
      </c>
      <c r="F70" t="n">
        <v>1</v>
      </c>
      <c r="G70" t="inlineStr">
        <is>
          <t>MANDARINA</t>
        </is>
      </c>
      <c r="H70" t="inlineStr">
        <is>
          <t>TANGO</t>
        </is>
      </c>
      <c r="I70" t="n">
        <v>611</v>
      </c>
      <c r="J70" t="n">
        <v>21096</v>
      </c>
      <c r="K70" t="n">
        <v>0</v>
      </c>
      <c r="L70" t="n">
        <v>21096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1443</v>
      </c>
      <c r="B71" t="inlineStr">
        <is>
          <t>TOMENO SUAREZ,ALBERTO</t>
        </is>
      </c>
      <c r="E71" t="n">
        <v>2026</v>
      </c>
      <c r="F71" t="n">
        <v>1</v>
      </c>
      <c r="G71" t="inlineStr">
        <is>
          <t>MANDARINA</t>
        </is>
      </c>
      <c r="H71" t="inlineStr">
        <is>
          <t>TANGO</t>
        </is>
      </c>
      <c r="I71" t="n">
        <v>611</v>
      </c>
      <c r="J71" t="n">
        <v>4738</v>
      </c>
      <c r="K71" t="n">
        <v>0</v>
      </c>
      <c r="L71" t="n">
        <v>4738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1491</v>
      </c>
      <c r="B72" t="inlineStr">
        <is>
          <t>JIMENEZ LORENTE,SONIA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NAVELINA</t>
        </is>
      </c>
      <c r="I72" t="n">
        <v>370</v>
      </c>
      <c r="J72" t="n">
        <v>22695</v>
      </c>
      <c r="K72" t="n">
        <v>21640</v>
      </c>
      <c r="L72" t="n">
        <v>21640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1491</v>
      </c>
      <c r="B73" t="inlineStr">
        <is>
          <t>JIMENEZ LORENTE,SONIA</t>
        </is>
      </c>
      <c r="E73" t="n">
        <v>2026</v>
      </c>
      <c r="F73" t="n">
        <v>1</v>
      </c>
      <c r="G73" t="inlineStr">
        <is>
          <t>CITRICOS</t>
        </is>
      </c>
      <c r="H73" t="inlineStr">
        <is>
          <t>NAVELINA</t>
        </is>
      </c>
      <c r="I73" t="n">
        <v>370</v>
      </c>
      <c r="J73" t="n">
        <v>24045</v>
      </c>
      <c r="K73" t="n">
        <v>9861</v>
      </c>
      <c r="L73" t="n">
        <v>9861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1491</v>
      </c>
      <c r="B74" t="inlineStr">
        <is>
          <t>JIMENEZ LORENTE,SONIA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NAVELINA</t>
        </is>
      </c>
      <c r="I74" t="n">
        <v>370</v>
      </c>
      <c r="J74" t="n">
        <v>9530</v>
      </c>
      <c r="K74" t="n">
        <v>0</v>
      </c>
      <c r="L74" t="n">
        <v>9530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1491</v>
      </c>
      <c r="B75" t="inlineStr">
        <is>
          <t>JIMENEZ LORENTE,SONIA</t>
        </is>
      </c>
      <c r="E75" t="n">
        <v>2026</v>
      </c>
      <c r="F75" t="n">
        <v>1</v>
      </c>
      <c r="G75" t="inlineStr">
        <is>
          <t>CITRICOS</t>
        </is>
      </c>
      <c r="H75" t="inlineStr">
        <is>
          <t>NAVELINA</t>
        </is>
      </c>
      <c r="I75" t="n">
        <v>370</v>
      </c>
      <c r="J75" t="n">
        <v>23730</v>
      </c>
      <c r="K75" t="n">
        <v>12819</v>
      </c>
      <c r="L75" t="n">
        <v>12819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1491</v>
      </c>
      <c r="B76" t="inlineStr">
        <is>
          <t>JIMENEZ LORENTE,SONIA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VALENCIA DELTA</t>
        </is>
      </c>
      <c r="I76" t="n">
        <v>563</v>
      </c>
      <c r="J76" t="n">
        <v>14220</v>
      </c>
      <c r="K76" t="n">
        <v>0</v>
      </c>
      <c r="L76" t="n">
        <v>14220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1491</v>
      </c>
      <c r="B77" t="inlineStr">
        <is>
          <t>JIMENEZ LORENTE,SONIA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VALENCIA DELTA</t>
        </is>
      </c>
      <c r="I77" t="n">
        <v>563</v>
      </c>
      <c r="J77" t="n">
        <v>14305</v>
      </c>
      <c r="K77" t="n">
        <v>12533</v>
      </c>
      <c r="L77" t="n">
        <v>12533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1491</v>
      </c>
      <c r="B78" t="inlineStr">
        <is>
          <t>JIMENEZ LORENTE,SONIA</t>
        </is>
      </c>
      <c r="E78" t="n">
        <v>2026</v>
      </c>
      <c r="F78" t="n">
        <v>1</v>
      </c>
      <c r="G78" t="inlineStr">
        <is>
          <t>CITRICOS</t>
        </is>
      </c>
      <c r="H78" t="inlineStr">
        <is>
          <t>VALENCIA DELTA</t>
        </is>
      </c>
      <c r="I78" t="n">
        <v>563</v>
      </c>
      <c r="J78" t="n">
        <v>3470</v>
      </c>
      <c r="K78" t="n">
        <v>0</v>
      </c>
      <c r="L78" t="n">
        <v>3470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1491</v>
      </c>
      <c r="B79" t="inlineStr">
        <is>
          <t>JIMENEZ LORENTE,SONIA</t>
        </is>
      </c>
      <c r="E79" t="n">
        <v>2026</v>
      </c>
      <c r="F79" t="n">
        <v>1</v>
      </c>
      <c r="G79" t="inlineStr">
        <is>
          <t>CITRICOS</t>
        </is>
      </c>
      <c r="H79" t="inlineStr">
        <is>
          <t>LANE LATE</t>
        </is>
      </c>
      <c r="I79" t="n">
        <v>569</v>
      </c>
      <c r="J79" t="n">
        <v>2192</v>
      </c>
      <c r="K79" t="n">
        <v>0</v>
      </c>
      <c r="L79" t="n">
        <v>2192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1491</v>
      </c>
      <c r="B80" t="inlineStr">
        <is>
          <t>JIMENEZ LORENTE,SONIA</t>
        </is>
      </c>
      <c r="E80" t="n">
        <v>2026</v>
      </c>
      <c r="F80" t="n">
        <v>1</v>
      </c>
      <c r="G80" t="inlineStr">
        <is>
          <t>CITRICOS</t>
        </is>
      </c>
      <c r="H80" t="inlineStr">
        <is>
          <t>LANE LATE</t>
        </is>
      </c>
      <c r="I80" t="n">
        <v>569</v>
      </c>
      <c r="J80" t="n">
        <v>14280</v>
      </c>
      <c r="K80" t="n">
        <v>0</v>
      </c>
      <c r="L80" t="n">
        <v>14280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1491</v>
      </c>
      <c r="B81" t="inlineStr">
        <is>
          <t>JIMENEZ LORENTE,SONIA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LANE LATE</t>
        </is>
      </c>
      <c r="I81" t="n">
        <v>569</v>
      </c>
      <c r="J81" t="n">
        <v>14510</v>
      </c>
      <c r="K81" t="n">
        <v>0</v>
      </c>
      <c r="L81" t="n">
        <v>14510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1491</v>
      </c>
      <c r="B82" t="inlineStr">
        <is>
          <t>JIMENEZ LORENTE,SONIA</t>
        </is>
      </c>
      <c r="E82" t="n">
        <v>2026</v>
      </c>
      <c r="F82" t="n">
        <v>1</v>
      </c>
      <c r="G82" t="inlineStr">
        <is>
          <t>CITRICOS</t>
        </is>
      </c>
      <c r="H82" t="inlineStr">
        <is>
          <t>LANE LATE</t>
        </is>
      </c>
      <c r="I82" t="n">
        <v>569</v>
      </c>
      <c r="J82" t="n">
        <v>3240</v>
      </c>
      <c r="K82" t="n">
        <v>0</v>
      </c>
      <c r="L82" t="n">
        <v>3240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1491</v>
      </c>
      <c r="B83" t="inlineStr">
        <is>
          <t>JIMENEZ LORENTE,SONIA</t>
        </is>
      </c>
      <c r="E83" t="n">
        <v>2026</v>
      </c>
      <c r="F83" t="n">
        <v>1</v>
      </c>
      <c r="G83" t="inlineStr">
        <is>
          <t>INDUSTRIA</t>
        </is>
      </c>
      <c r="H83" t="inlineStr">
        <is>
          <t>NAVELINA</t>
        </is>
      </c>
      <c r="I83" t="n">
        <v>370</v>
      </c>
      <c r="J83" t="n">
        <v>22100</v>
      </c>
      <c r="K83" t="n">
        <v>915</v>
      </c>
      <c r="L83" t="n">
        <v>915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1491</v>
      </c>
      <c r="B84" t="inlineStr">
        <is>
          <t>JIMENEZ LORENTE,SONIA</t>
        </is>
      </c>
      <c r="E84" t="n">
        <v>2026</v>
      </c>
      <c r="F84" t="n">
        <v>1</v>
      </c>
      <c r="G84" t="inlineStr">
        <is>
          <t>INDUSTRIA</t>
        </is>
      </c>
      <c r="H84" t="inlineStr">
        <is>
          <t>VALENCIA DELTA</t>
        </is>
      </c>
      <c r="I84" t="n">
        <v>563</v>
      </c>
      <c r="J84" t="n">
        <v>15425</v>
      </c>
      <c r="K84" t="n">
        <v>1597</v>
      </c>
      <c r="L84" t="n">
        <v>1597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1491</v>
      </c>
      <c r="B85" t="inlineStr">
        <is>
          <t>JIMENEZ LORENTE,SONIA</t>
        </is>
      </c>
      <c r="E85" t="n">
        <v>2026</v>
      </c>
      <c r="F85" t="n">
        <v>1</v>
      </c>
      <c r="G85" t="inlineStr">
        <is>
          <t>MANDARINA</t>
        </is>
      </c>
      <c r="H85" t="inlineStr">
        <is>
          <t>NADORCOTT</t>
        </is>
      </c>
      <c r="I85" t="n">
        <v>619</v>
      </c>
      <c r="J85" t="n">
        <v>13588</v>
      </c>
      <c r="K85" t="n">
        <v>5371</v>
      </c>
      <c r="L85" t="n">
        <v>5371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1491</v>
      </c>
      <c r="B86" t="inlineStr">
        <is>
          <t>JIMENEZ LORENTE,SONIA</t>
        </is>
      </c>
      <c r="E86" t="n">
        <v>2026</v>
      </c>
      <c r="F86" t="n">
        <v>1</v>
      </c>
      <c r="G86" t="inlineStr">
        <is>
          <t>MANDARINA</t>
        </is>
      </c>
      <c r="H86" t="inlineStr">
        <is>
          <t>NADORCOTT</t>
        </is>
      </c>
      <c r="I86" t="n">
        <v>619</v>
      </c>
      <c r="J86" t="n">
        <v>12985</v>
      </c>
      <c r="K86" t="n">
        <v>7612</v>
      </c>
      <c r="L86" t="n">
        <v>7612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1491</v>
      </c>
      <c r="B87" t="inlineStr">
        <is>
          <t>JIMENEZ LORENTE,SONIA</t>
        </is>
      </c>
      <c r="E87" t="n">
        <v>2026</v>
      </c>
      <c r="F87" t="n">
        <v>1</v>
      </c>
      <c r="G87" t="inlineStr">
        <is>
          <t>MANDARINA</t>
        </is>
      </c>
      <c r="H87" t="inlineStr">
        <is>
          <t>NADORCOTT</t>
        </is>
      </c>
      <c r="I87" t="n">
        <v>619</v>
      </c>
      <c r="J87" t="n">
        <v>13324</v>
      </c>
      <c r="K87" t="n">
        <v>7161</v>
      </c>
      <c r="L87" t="n">
        <v>7161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1491</v>
      </c>
      <c r="B88" t="inlineStr">
        <is>
          <t>JIMENEZ LORENTE,SONIA</t>
        </is>
      </c>
      <c r="E88" t="n">
        <v>2026</v>
      </c>
      <c r="F88" t="n">
        <v>1</v>
      </c>
      <c r="G88" t="inlineStr">
        <is>
          <t>MANDARINA</t>
        </is>
      </c>
      <c r="H88" t="inlineStr">
        <is>
          <t>NADORCOTT</t>
        </is>
      </c>
      <c r="I88" t="n">
        <v>619</v>
      </c>
      <c r="J88" t="n">
        <v>13405</v>
      </c>
      <c r="K88" t="n">
        <v>4610</v>
      </c>
      <c r="L88" t="n">
        <v>4610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1491</v>
      </c>
      <c r="B89" t="inlineStr">
        <is>
          <t>JIMENEZ LORENTE,SONIA</t>
        </is>
      </c>
      <c r="E89" t="n">
        <v>2026</v>
      </c>
      <c r="F89" t="n">
        <v>1</v>
      </c>
      <c r="G89" t="inlineStr">
        <is>
          <t>MANDARINA</t>
        </is>
      </c>
      <c r="H89" t="inlineStr">
        <is>
          <t>NADORCOTT</t>
        </is>
      </c>
      <c r="I89" t="n">
        <v>619</v>
      </c>
      <c r="J89" t="n">
        <v>13816</v>
      </c>
      <c r="K89" t="n">
        <v>2649</v>
      </c>
      <c r="L89" t="n">
        <v>2649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1491</v>
      </c>
      <c r="B90" t="inlineStr">
        <is>
          <t>JIMENEZ LORENTE,SONIA</t>
        </is>
      </c>
      <c r="E90" t="n">
        <v>2026</v>
      </c>
      <c r="F90" t="n">
        <v>1</v>
      </c>
      <c r="G90" t="inlineStr">
        <is>
          <t>MANDARINA</t>
        </is>
      </c>
      <c r="H90" t="inlineStr">
        <is>
          <t>NADORCOTT</t>
        </is>
      </c>
      <c r="I90" t="n">
        <v>619</v>
      </c>
      <c r="J90" t="n">
        <v>12552</v>
      </c>
      <c r="K90" t="n">
        <v>0</v>
      </c>
      <c r="L90" t="n">
        <v>12552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1491</v>
      </c>
      <c r="B91" t="inlineStr">
        <is>
          <t>JIMENEZ LORENTE,SONIA</t>
        </is>
      </c>
      <c r="E91" t="n">
        <v>2026</v>
      </c>
      <c r="F91" t="n">
        <v>1</v>
      </c>
      <c r="G91" t="inlineStr">
        <is>
          <t>MANDARINA</t>
        </is>
      </c>
      <c r="H91" t="inlineStr">
        <is>
          <t>NADORCOTT</t>
        </is>
      </c>
      <c r="I91" t="n">
        <v>619</v>
      </c>
      <c r="J91" t="n">
        <v>12760</v>
      </c>
      <c r="K91" t="n">
        <v>9715</v>
      </c>
      <c r="L91" t="n">
        <v>9715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1491</v>
      </c>
      <c r="B92" t="inlineStr">
        <is>
          <t>JIMENEZ LORENTE,SONIA</t>
        </is>
      </c>
      <c r="E92" t="n">
        <v>2026</v>
      </c>
      <c r="F92" t="n">
        <v>1</v>
      </c>
      <c r="G92" t="inlineStr">
        <is>
          <t>MANDARINA</t>
        </is>
      </c>
      <c r="H92" t="inlineStr">
        <is>
          <t>NADORCOTT</t>
        </is>
      </c>
      <c r="I92" t="n">
        <v>619</v>
      </c>
      <c r="J92" t="n">
        <v>12422</v>
      </c>
      <c r="K92" t="n">
        <v>0</v>
      </c>
      <c r="L92" t="n">
        <v>12422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1491</v>
      </c>
      <c r="B93" t="inlineStr">
        <is>
          <t>JIMENEZ LORENTE,SONIA</t>
        </is>
      </c>
      <c r="E93" t="n">
        <v>2026</v>
      </c>
      <c r="F93" t="n">
        <v>1</v>
      </c>
      <c r="G93" t="inlineStr">
        <is>
          <t>MANDARINA</t>
        </is>
      </c>
      <c r="H93" t="inlineStr">
        <is>
          <t>NADORCOTT</t>
        </is>
      </c>
      <c r="I93" t="n">
        <v>619</v>
      </c>
      <c r="J93" t="n">
        <v>12737</v>
      </c>
      <c r="K93" t="n">
        <v>11450</v>
      </c>
      <c r="L93" t="n">
        <v>11450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1491</v>
      </c>
      <c r="B94" t="inlineStr">
        <is>
          <t>JIMENEZ LORENTE,SONIA</t>
        </is>
      </c>
      <c r="E94" t="n">
        <v>2026</v>
      </c>
      <c r="F94" t="n">
        <v>1</v>
      </c>
      <c r="G94" t="inlineStr">
        <is>
          <t>MANDARINA</t>
        </is>
      </c>
      <c r="H94" t="inlineStr">
        <is>
          <t>NADORCOTT</t>
        </is>
      </c>
      <c r="I94" t="n">
        <v>619</v>
      </c>
      <c r="J94" t="n">
        <v>14255</v>
      </c>
      <c r="K94" t="n">
        <v>1122</v>
      </c>
      <c r="L94" t="n">
        <v>1122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1491</v>
      </c>
      <c r="B95" t="inlineStr">
        <is>
          <t>JIMENEZ LORENTE,SONIA</t>
        </is>
      </c>
      <c r="E95" t="n">
        <v>2026</v>
      </c>
      <c r="F95" t="n">
        <v>1</v>
      </c>
      <c r="G95" t="inlineStr">
        <is>
          <t>MANDARINA</t>
        </is>
      </c>
      <c r="H95" t="inlineStr">
        <is>
          <t>NADORCOTT</t>
        </is>
      </c>
      <c r="I95" t="n">
        <v>619</v>
      </c>
      <c r="J95" t="n">
        <v>10304</v>
      </c>
      <c r="K95" t="n">
        <v>0</v>
      </c>
      <c r="L95" t="n">
        <v>10304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1491</v>
      </c>
      <c r="B96" t="inlineStr">
        <is>
          <t>JIMENEZ LORENTE,SONIA</t>
        </is>
      </c>
      <c r="E96" t="n">
        <v>2026</v>
      </c>
      <c r="F96" t="n">
        <v>1</v>
      </c>
      <c r="G96" t="inlineStr">
        <is>
          <t>MANDARINA</t>
        </is>
      </c>
      <c r="H96" t="inlineStr">
        <is>
          <t>NADORCOTT</t>
        </is>
      </c>
      <c r="I96" t="n">
        <v>619</v>
      </c>
      <c r="J96" t="n">
        <v>13192</v>
      </c>
      <c r="K96" t="n">
        <v>8056</v>
      </c>
      <c r="L96" t="n">
        <v>8056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1491</v>
      </c>
      <c r="B97" t="inlineStr">
        <is>
          <t>JIMENEZ LORENTE,SONIA</t>
        </is>
      </c>
      <c r="E97" t="n">
        <v>2026</v>
      </c>
      <c r="F97" t="n">
        <v>1</v>
      </c>
      <c r="G97" t="inlineStr">
        <is>
          <t>MANDARINA</t>
        </is>
      </c>
      <c r="H97" t="inlineStr">
        <is>
          <t>NADORCOTT</t>
        </is>
      </c>
      <c r="I97" t="n">
        <v>619</v>
      </c>
      <c r="J97" t="n">
        <v>13720</v>
      </c>
      <c r="K97" t="n">
        <v>4476</v>
      </c>
      <c r="L97" t="n">
        <v>4476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1491</v>
      </c>
      <c r="B98" t="inlineStr">
        <is>
          <t>JIMENEZ LORENTE,SONIA</t>
        </is>
      </c>
      <c r="E98" t="n">
        <v>2026</v>
      </c>
      <c r="F98" t="n">
        <v>1</v>
      </c>
      <c r="G98" t="inlineStr">
        <is>
          <t>MANDARINA</t>
        </is>
      </c>
      <c r="H98" t="inlineStr">
        <is>
          <t>NADORCOTT</t>
        </is>
      </c>
      <c r="I98" t="n">
        <v>619</v>
      </c>
      <c r="J98" t="n">
        <v>12542</v>
      </c>
      <c r="K98" t="n">
        <v>0</v>
      </c>
      <c r="L98" t="n">
        <v>12542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1491</v>
      </c>
      <c r="B99" t="inlineStr">
        <is>
          <t>JIMENEZ LORENTE,SONIA</t>
        </is>
      </c>
      <c r="E99" t="n">
        <v>2026</v>
      </c>
      <c r="F99" t="n">
        <v>1</v>
      </c>
      <c r="G99" t="inlineStr">
        <is>
          <t>MANDARINA</t>
        </is>
      </c>
      <c r="H99" t="inlineStr">
        <is>
          <t>NADORCOTT</t>
        </is>
      </c>
      <c r="I99" t="n">
        <v>619</v>
      </c>
      <c r="J99" t="n">
        <v>12992</v>
      </c>
      <c r="K99" t="n">
        <v>7989</v>
      </c>
      <c r="L99" t="n">
        <v>7989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1491</v>
      </c>
      <c r="B100" t="inlineStr">
        <is>
          <t>JIMENEZ LORENTE,SONIA</t>
        </is>
      </c>
      <c r="E100" t="n">
        <v>2026</v>
      </c>
      <c r="F100" t="n">
        <v>1</v>
      </c>
      <c r="G100" t="inlineStr">
        <is>
          <t>MANDARINA</t>
        </is>
      </c>
      <c r="H100" t="inlineStr">
        <is>
          <t>NADORCOTT</t>
        </is>
      </c>
      <c r="I100" t="n">
        <v>619</v>
      </c>
      <c r="J100" t="n">
        <v>13850</v>
      </c>
      <c r="K100" t="n">
        <v>2219</v>
      </c>
      <c r="L100" t="n">
        <v>2219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1514</v>
      </c>
      <c r="B101" t="inlineStr">
        <is>
          <t>PRIETO ROMERO, JAVIER</t>
        </is>
      </c>
      <c r="E101" t="n">
        <v>2026</v>
      </c>
      <c r="F101" t="n">
        <v>1</v>
      </c>
      <c r="G101" t="inlineStr">
        <is>
          <t>INDUSTRIA</t>
        </is>
      </c>
      <c r="H101" t="inlineStr">
        <is>
          <t>SALUSTIANA</t>
        </is>
      </c>
      <c r="I101" t="n">
        <v>331</v>
      </c>
      <c r="J101" t="n">
        <v>5056</v>
      </c>
      <c r="K101" t="n">
        <v>0</v>
      </c>
      <c r="L101" t="n">
        <v>5056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1514</v>
      </c>
      <c r="B102" t="inlineStr">
        <is>
          <t>PRIETO ROMERO, JAVIER</t>
        </is>
      </c>
      <c r="E102" t="n">
        <v>2026</v>
      </c>
      <c r="F102" t="n">
        <v>1</v>
      </c>
      <c r="G102" t="inlineStr">
        <is>
          <t>MANDARINA</t>
        </is>
      </c>
      <c r="H102" t="inlineStr">
        <is>
          <t>NADORCOTT</t>
        </is>
      </c>
      <c r="I102" t="n">
        <v>610</v>
      </c>
      <c r="J102" t="n">
        <v>22076</v>
      </c>
      <c r="K102" t="n">
        <v>0</v>
      </c>
      <c r="L102" t="n">
        <v>22076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1514</v>
      </c>
      <c r="B103" t="inlineStr">
        <is>
          <t>PRIETO ROMERO, JAVIER</t>
        </is>
      </c>
      <c r="E103" t="n">
        <v>2026</v>
      </c>
      <c r="F103" t="n">
        <v>1</v>
      </c>
      <c r="G103" t="inlineStr">
        <is>
          <t>MANDARINA</t>
        </is>
      </c>
      <c r="H103" t="inlineStr">
        <is>
          <t>NADORCOTT</t>
        </is>
      </c>
      <c r="I103" t="n">
        <v>610</v>
      </c>
      <c r="J103" t="n">
        <v>13054</v>
      </c>
      <c r="K103" t="n">
        <v>6534</v>
      </c>
      <c r="L103" t="n">
        <v>6534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1514</v>
      </c>
      <c r="B104" t="inlineStr">
        <is>
          <t>PRIETO ROMERO, JAVIER</t>
        </is>
      </c>
      <c r="E104" t="n">
        <v>2026</v>
      </c>
      <c r="F104" t="n">
        <v>1</v>
      </c>
      <c r="G104" t="inlineStr">
        <is>
          <t>MANDARINA</t>
        </is>
      </c>
      <c r="H104" t="inlineStr">
        <is>
          <t>NADORCOTT</t>
        </is>
      </c>
      <c r="I104" t="n">
        <v>610</v>
      </c>
      <c r="J104" t="n">
        <v>14023</v>
      </c>
      <c r="K104" t="n">
        <v>6842</v>
      </c>
      <c r="L104" t="n">
        <v>6842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1514</v>
      </c>
      <c r="B105" t="inlineStr">
        <is>
          <t>PRIETO ROMERO, JAVIER</t>
        </is>
      </c>
      <c r="E105" t="n">
        <v>2026</v>
      </c>
      <c r="F105" t="n">
        <v>1</v>
      </c>
      <c r="G105" t="inlineStr">
        <is>
          <t>MANDARINA</t>
        </is>
      </c>
      <c r="H105" t="inlineStr">
        <is>
          <t>NADORCOTT</t>
        </is>
      </c>
      <c r="I105" t="n">
        <v>610</v>
      </c>
      <c r="J105" t="n">
        <v>13186</v>
      </c>
      <c r="K105" t="n">
        <v>5662</v>
      </c>
      <c r="L105" t="n">
        <v>5662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Hectáreas</t>
        </is>
      </c>
      <c r="E2" t="n">
        <v>10.97</v>
      </c>
      <c r="I2" t="inlineStr"/>
    </row>
    <row r="3">
      <c r="A3" t="n">
        <v>1214</v>
      </c>
      <c r="B3" t="inlineStr">
        <is>
          <t>CALZADA GAMIZ,JOSE ANTONIO</t>
        </is>
      </c>
      <c r="C3" t="inlineStr">
        <is>
          <t>NADORCOTT</t>
        </is>
      </c>
      <c r="D3" t="inlineStr">
        <is>
          <t>Cuota teórica</t>
        </is>
      </c>
      <c r="E3" t="n">
        <v>2139.15</v>
      </c>
      <c r="I3" t="inlineStr"/>
    </row>
    <row r="4">
      <c r="A4" t="n">
        <v>1214</v>
      </c>
      <c r="B4" t="inlineStr">
        <is>
          <t>CALZADA GAMIZ,JOSE ANTONIO</t>
        </is>
      </c>
      <c r="C4" t="inlineStr">
        <is>
          <t>NADORCOTT</t>
        </is>
      </c>
      <c r="D4" t="inlineStr">
        <is>
          <t>Kg campaña</t>
        </is>
      </c>
      <c r="E4" t="n">
        <v>235605</v>
      </c>
      <c r="I4" t="inlineStr"/>
    </row>
    <row r="5">
      <c r="A5" t="n">
        <v>1214</v>
      </c>
      <c r="B5" t="inlineStr">
        <is>
          <t>CALZADA GAMIZ,JOSE ANTONIO</t>
        </is>
      </c>
      <c r="C5" t="inlineStr">
        <is>
          <t>NADORCOTT</t>
        </is>
      </c>
      <c r="D5" t="inlineStr">
        <is>
          <t>Índice</t>
        </is>
      </c>
      <c r="E5" t="n">
        <v>0.009079391354173299</v>
      </c>
      <c r="I5" t="inlineStr"/>
    </row>
    <row r="6">
      <c r="A6" t="n">
        <v>1214</v>
      </c>
      <c r="B6" t="inlineStr">
        <is>
          <t>CALZADA GAMIZ,JOSE ANTONIO</t>
        </is>
      </c>
      <c r="C6" t="inlineStr">
        <is>
          <t>NADORCOTT</t>
        </is>
      </c>
      <c r="D6" t="inlineStr">
        <is>
          <t>Kg remesa</t>
        </is>
      </c>
      <c r="E6" t="n">
        <v>66628</v>
      </c>
      <c r="I6" t="inlineStr"/>
    </row>
    <row r="7">
      <c r="A7" t="n">
        <v>1214</v>
      </c>
      <c r="B7" t="inlineStr">
        <is>
          <t>CALZADA GAMIZ,JOSE ANTONIO</t>
        </is>
      </c>
      <c r="C7" t="inlineStr">
        <is>
          <t>NADORCOTT</t>
        </is>
      </c>
      <c r="D7" t="inlineStr">
        <is>
          <t>Cuota parcial</t>
        </is>
      </c>
      <c r="E7" t="n">
        <v>604.9400000000001</v>
      </c>
      <c r="I7" t="inlineStr"/>
    </row>
    <row r="8">
      <c r="A8" t="n">
        <v>1214</v>
      </c>
      <c r="B8" t="inlineStr">
        <is>
          <t>CALZADA GAMIZ,JOSE ANTONIO</t>
        </is>
      </c>
      <c r="C8" t="inlineStr">
        <is>
          <t>NADORCOTT</t>
        </is>
      </c>
      <c r="D8" t="inlineStr">
        <is>
          <t>Importe bruto</t>
        </is>
      </c>
      <c r="E8" t="n">
        <v>46205.91</v>
      </c>
      <c r="I8" t="inlineStr"/>
    </row>
    <row r="9">
      <c r="A9" t="n">
        <v>1214</v>
      </c>
      <c r="B9" t="inlineStr">
        <is>
          <t>CALZADA GAMIZ,JOSE ANTONIO</t>
        </is>
      </c>
      <c r="C9" t="inlineStr">
        <is>
          <t>NADORCOTT</t>
        </is>
      </c>
      <c r="D9" t="inlineStr">
        <is>
          <t>Recolección</t>
        </is>
      </c>
      <c r="E9" t="n">
        <v>8328.5</v>
      </c>
      <c r="I9" t="inlineStr"/>
    </row>
    <row r="10">
      <c r="A10" t="n">
        <v>1214</v>
      </c>
      <c r="B10" t="inlineStr">
        <is>
          <t>CALZADA GAMIZ,JOSE ANTONIO</t>
        </is>
      </c>
      <c r="C10" t="inlineStr">
        <is>
          <t>NADORCOTT</t>
        </is>
      </c>
      <c r="D10" t="inlineStr">
        <is>
          <t>Transporte</t>
        </is>
      </c>
      <c r="E10" t="n">
        <v>0</v>
      </c>
      <c r="I10" t="inlineStr"/>
    </row>
    <row r="11">
      <c r="A11" t="n">
        <v>1214</v>
      </c>
      <c r="B11" t="inlineStr">
        <is>
          <t>CALZADA GAMIZ,JOSE ANTONIO</t>
        </is>
      </c>
      <c r="C11" t="inlineStr">
        <is>
          <t>NADORCOTT</t>
        </is>
      </c>
      <c r="D11" t="inlineStr">
        <is>
          <t>Calidad</t>
        </is>
      </c>
      <c r="E11" t="n">
        <v>0</v>
      </c>
      <c r="I11" t="inlineStr"/>
    </row>
    <row r="12">
      <c r="A12" t="n">
        <v>1214</v>
      </c>
      <c r="B12" t="inlineStr">
        <is>
          <t>CALZADA GAMIZ,JOSE ANTONIO</t>
        </is>
      </c>
      <c r="C12" t="inlineStr">
        <is>
          <t>NADORCOTT</t>
        </is>
      </c>
      <c r="D12" t="inlineStr">
        <is>
          <t>GlobalGAP</t>
        </is>
      </c>
      <c r="E12" t="n">
        <v>1134.82</v>
      </c>
      <c r="I12" t="inlineStr"/>
    </row>
    <row r="13">
      <c r="A13" t="n">
        <v>1214</v>
      </c>
      <c r="B13" t="inlineStr">
        <is>
          <t>CALZADA GAMIZ,JOSE ANTONIO</t>
        </is>
      </c>
      <c r="C13" t="inlineStr">
        <is>
          <t>NADORCOTT</t>
        </is>
      </c>
      <c r="D13" t="inlineStr">
        <is>
          <t>Base imponible</t>
        </is>
      </c>
      <c r="E13" t="n">
        <v>38407.29</v>
      </c>
      <c r="I13" t="inlineStr"/>
    </row>
    <row r="14">
      <c r="A14" t="n">
        <v>1214</v>
      </c>
      <c r="B14" t="inlineStr">
        <is>
          <t>CALZADA GAMIZ,JOSE ANTONIO</t>
        </is>
      </c>
      <c r="C14" t="inlineStr">
        <is>
          <t>NADORCOTT</t>
        </is>
      </c>
      <c r="D14" t="inlineStr">
        <is>
          <t>IVA</t>
        </is>
      </c>
      <c r="E14" t="n">
        <v>4608.87</v>
      </c>
      <c r="I14" t="inlineStr"/>
    </row>
    <row r="15">
      <c r="A15" t="n">
        <v>1214</v>
      </c>
      <c r="B15" t="inlineStr">
        <is>
          <t>CALZADA GAMIZ,JOSE ANTONIO</t>
        </is>
      </c>
      <c r="C15" t="inlineStr">
        <is>
          <t>NADORCOTT</t>
        </is>
      </c>
      <c r="D15" t="inlineStr">
        <is>
          <t>Retención</t>
        </is>
      </c>
      <c r="E15" t="n">
        <v>860.3200000000001</v>
      </c>
      <c r="I15" t="inlineStr"/>
    </row>
    <row r="16">
      <c r="A16" t="n">
        <v>1214</v>
      </c>
      <c r="B16" t="inlineStr">
        <is>
          <t>CALZADA GAMIZ,JOSE ANTONIO</t>
        </is>
      </c>
      <c r="C16" t="inlineStr">
        <is>
          <t>NADORCOTT</t>
        </is>
      </c>
      <c r="D16" t="inlineStr">
        <is>
          <t>Total</t>
        </is>
      </c>
      <c r="E16" t="n">
        <v>42155.84</v>
      </c>
      <c r="I16" t="inlineStr"/>
    </row>
    <row r="17">
      <c r="A17" t="n">
        <v>1443</v>
      </c>
      <c r="B17" t="inlineStr">
        <is>
          <t>TOMENO SUAREZ,ALBERTO</t>
        </is>
      </c>
      <c r="C17" t="inlineStr">
        <is>
          <t>NADORCOTT</t>
        </is>
      </c>
      <c r="D17" t="inlineStr">
        <is>
          <t>Hectáreas</t>
        </is>
      </c>
      <c r="E17" t="n">
        <v>17.08</v>
      </c>
      <c r="I17" t="inlineStr"/>
    </row>
    <row r="18">
      <c r="A18" t="n">
        <v>1443</v>
      </c>
      <c r="B18" t="inlineStr">
        <is>
          <t>TOMENO SUAREZ,ALBERTO</t>
        </is>
      </c>
      <c r="C18" t="inlineStr">
        <is>
          <t>NADORCOTT</t>
        </is>
      </c>
      <c r="D18" t="inlineStr">
        <is>
          <t>Cuota teórica</t>
        </is>
      </c>
      <c r="E18" t="n">
        <v>3330.6</v>
      </c>
      <c r="I18" t="inlineStr"/>
    </row>
    <row r="19">
      <c r="A19" t="n">
        <v>1443</v>
      </c>
      <c r="B19" t="inlineStr">
        <is>
          <t>TOMENO SUAREZ,ALBERTO</t>
        </is>
      </c>
      <c r="C19" t="inlineStr">
        <is>
          <t>NADORCOTT</t>
        </is>
      </c>
      <c r="D19" t="inlineStr">
        <is>
          <t>Kg campaña</t>
        </is>
      </c>
      <c r="E19" t="n">
        <v>538619</v>
      </c>
      <c r="I19" t="inlineStr"/>
    </row>
    <row r="20">
      <c r="A20" t="n">
        <v>1443</v>
      </c>
      <c r="B20" t="inlineStr">
        <is>
          <t>TOMENO SUAREZ,ALBERTO</t>
        </is>
      </c>
      <c r="C20" t="inlineStr">
        <is>
          <t>NADORCOTT</t>
        </is>
      </c>
      <c r="D20" t="inlineStr">
        <is>
          <t>Índice</t>
        </is>
      </c>
      <c r="E20" t="n">
        <v>0.006183591741100852</v>
      </c>
      <c r="I20" t="inlineStr"/>
    </row>
    <row r="21">
      <c r="A21" t="n">
        <v>1443</v>
      </c>
      <c r="B21" t="inlineStr">
        <is>
          <t>TOMENO SUAREZ,ALBERTO</t>
        </is>
      </c>
      <c r="C21" t="inlineStr">
        <is>
          <t>NADORCOTT</t>
        </is>
      </c>
      <c r="D21" t="inlineStr">
        <is>
          <t>Kg remesa</t>
        </is>
      </c>
      <c r="E21" t="n">
        <v>48467</v>
      </c>
      <c r="I21" t="inlineStr"/>
    </row>
    <row r="22">
      <c r="A22" t="n">
        <v>1443</v>
      </c>
      <c r="B22" t="inlineStr">
        <is>
          <t>TOMENO SUAREZ,ALBERTO</t>
        </is>
      </c>
      <c r="C22" t="inlineStr">
        <is>
          <t>NADORCOTT</t>
        </is>
      </c>
      <c r="D22" t="inlineStr">
        <is>
          <t>Cuota parcial</t>
        </is>
      </c>
      <c r="E22" t="n">
        <v>299.7</v>
      </c>
      <c r="I22" t="inlineStr"/>
    </row>
    <row r="23">
      <c r="A23" t="n">
        <v>1443</v>
      </c>
      <c r="B23" t="inlineStr">
        <is>
          <t>TOMENO SUAREZ,ALBERTO</t>
        </is>
      </c>
      <c r="C23" t="inlineStr">
        <is>
          <t>NADORCOTT</t>
        </is>
      </c>
      <c r="D23" t="inlineStr">
        <is>
          <t>Importe bruto</t>
        </is>
      </c>
      <c r="E23" t="n">
        <v>34887.49</v>
      </c>
      <c r="I23" t="inlineStr"/>
    </row>
    <row r="24">
      <c r="A24" t="n">
        <v>1443</v>
      </c>
      <c r="B24" t="inlineStr">
        <is>
          <t>TOMENO SUAREZ,ALBERTO</t>
        </is>
      </c>
      <c r="C24" t="inlineStr">
        <is>
          <t>NADORCOTT</t>
        </is>
      </c>
      <c r="D24" t="inlineStr">
        <is>
          <t>Recolección</t>
        </is>
      </c>
      <c r="E24" t="n">
        <v>0</v>
      </c>
      <c r="I24" t="inlineStr"/>
    </row>
    <row r="25">
      <c r="A25" t="n">
        <v>1443</v>
      </c>
      <c r="B25" t="inlineStr">
        <is>
          <t>TOMENO SUAREZ,ALBERTO</t>
        </is>
      </c>
      <c r="C25" t="inlineStr">
        <is>
          <t>NADORCOTT</t>
        </is>
      </c>
      <c r="D25" t="inlineStr">
        <is>
          <t>Transporte</t>
        </is>
      </c>
      <c r="E25" t="n">
        <v>430.34</v>
      </c>
      <c r="I25" t="inlineStr"/>
    </row>
    <row r="26">
      <c r="A26" t="n">
        <v>1443</v>
      </c>
      <c r="B26" t="inlineStr">
        <is>
          <t>TOMENO SUAREZ,ALBERTO</t>
        </is>
      </c>
      <c r="C26" t="inlineStr">
        <is>
          <t>NADORCOTT</t>
        </is>
      </c>
      <c r="D26" t="inlineStr">
        <is>
          <t>Calidad</t>
        </is>
      </c>
      <c r="E26" t="n">
        <v>0</v>
      </c>
      <c r="I26" t="inlineStr"/>
    </row>
    <row r="27">
      <c r="A27" t="n">
        <v>1443</v>
      </c>
      <c r="B27" t="inlineStr">
        <is>
          <t>TOMENO SUAREZ,ALBERTO</t>
        </is>
      </c>
      <c r="C27" t="inlineStr">
        <is>
          <t>NADORCOTT</t>
        </is>
      </c>
      <c r="D27" t="inlineStr">
        <is>
          <t>GlobalGAP</t>
        </is>
      </c>
      <c r="E27" t="n">
        <v>784.88</v>
      </c>
      <c r="I27" t="inlineStr"/>
    </row>
    <row r="28">
      <c r="A28" t="n">
        <v>1443</v>
      </c>
      <c r="B28" t="inlineStr">
        <is>
          <t>TOMENO SUAREZ,ALBERTO</t>
        </is>
      </c>
      <c r="C28" t="inlineStr">
        <is>
          <t>NADORCOTT</t>
        </is>
      </c>
      <c r="D28" t="inlineStr">
        <is>
          <t>Base imponible</t>
        </is>
      </c>
      <c r="E28" t="n">
        <v>35803.01</v>
      </c>
      <c r="I28" t="inlineStr"/>
    </row>
    <row r="29">
      <c r="A29" t="n">
        <v>1443</v>
      </c>
      <c r="B29" t="inlineStr">
        <is>
          <t>TOMENO SUAREZ,ALBERTO</t>
        </is>
      </c>
      <c r="C29" t="inlineStr">
        <is>
          <t>NADORCOTT</t>
        </is>
      </c>
      <c r="D29" t="inlineStr">
        <is>
          <t>IVA</t>
        </is>
      </c>
      <c r="E29" t="n">
        <v>4296.36</v>
      </c>
      <c r="I29" t="inlineStr"/>
    </row>
    <row r="30">
      <c r="A30" t="n">
        <v>1443</v>
      </c>
      <c r="B30" t="inlineStr">
        <is>
          <t>TOMENO SUAREZ,ALBERTO</t>
        </is>
      </c>
      <c r="C30" t="inlineStr">
        <is>
          <t>NADORCOTT</t>
        </is>
      </c>
      <c r="D30" t="inlineStr">
        <is>
          <t>Retención</t>
        </is>
      </c>
      <c r="E30" t="n">
        <v>801.99</v>
      </c>
      <c r="I30" t="inlineStr"/>
    </row>
    <row r="31">
      <c r="A31" t="n">
        <v>1443</v>
      </c>
      <c r="B31" t="inlineStr">
        <is>
          <t>TOMENO SUAREZ,ALBERTO</t>
        </is>
      </c>
      <c r="C31" t="inlineStr">
        <is>
          <t>NADORCOTT</t>
        </is>
      </c>
      <c r="D31" t="inlineStr">
        <is>
          <t>Total</t>
        </is>
      </c>
      <c r="E31" t="n">
        <v>39297.38</v>
      </c>
      <c r="I31" t="inlineStr"/>
    </row>
    <row r="32">
      <c r="A32" t="n">
        <v>1491</v>
      </c>
      <c r="B32" t="inlineStr">
        <is>
          <t>JIMENEZ LORENTE,SONIA</t>
        </is>
      </c>
      <c r="C32" t="inlineStr">
        <is>
          <t>NADORCOTT</t>
        </is>
      </c>
      <c r="D32" t="inlineStr">
        <is>
          <t>Hectáreas</t>
        </is>
      </c>
      <c r="E32" t="n">
        <v>7.94</v>
      </c>
      <c r="I32" t="inlineStr"/>
    </row>
    <row r="33">
      <c r="A33" t="n">
        <v>1491</v>
      </c>
      <c r="B33" t="inlineStr">
        <is>
          <t>JIMENEZ LORENTE,SONIA</t>
        </is>
      </c>
      <c r="C33" t="inlineStr">
        <is>
          <t>NADORCOTT</t>
        </is>
      </c>
      <c r="D33" t="inlineStr">
        <is>
          <t>Cuota teórica</t>
        </is>
      </c>
      <c r="E33" t="n">
        <v>1548.3</v>
      </c>
      <c r="I33" t="inlineStr"/>
    </row>
    <row r="34">
      <c r="A34" t="n">
        <v>1491</v>
      </c>
      <c r="B34" t="inlineStr">
        <is>
          <t>JIMENEZ LORENTE,SONIA</t>
        </is>
      </c>
      <c r="C34" t="inlineStr">
        <is>
          <t>NADORCOTT</t>
        </is>
      </c>
      <c r="D34" t="inlineStr">
        <is>
          <t>Kg campaña</t>
        </is>
      </c>
      <c r="E34" t="n">
        <v>241057</v>
      </c>
      <c r="I34" t="inlineStr"/>
    </row>
    <row r="35">
      <c r="A35" t="n">
        <v>1491</v>
      </c>
      <c r="B35" t="inlineStr">
        <is>
          <t>JIMENEZ LORENTE,SONIA</t>
        </is>
      </c>
      <c r="C35" t="inlineStr">
        <is>
          <t>NADORCOTT</t>
        </is>
      </c>
      <c r="D35" t="inlineStr">
        <is>
          <t>Índice</t>
        </is>
      </c>
      <c r="E35" t="n">
        <v>0.006422962203960059</v>
      </c>
      <c r="I35" t="inlineStr"/>
    </row>
    <row r="36">
      <c r="A36" t="n">
        <v>1491</v>
      </c>
      <c r="B36" t="inlineStr">
        <is>
          <t>JIMENEZ LORENTE,SONIA</t>
        </is>
      </c>
      <c r="C36" t="inlineStr">
        <is>
          <t>NADORCOTT</t>
        </is>
      </c>
      <c r="D36" t="inlineStr">
        <is>
          <t>Kg remesa</t>
        </is>
      </c>
      <c r="E36" t="n">
        <v>49910</v>
      </c>
      <c r="I36" t="inlineStr"/>
    </row>
    <row r="37">
      <c r="A37" t="n">
        <v>1491</v>
      </c>
      <c r="B37" t="inlineStr">
        <is>
          <t>JIMENEZ LORENTE,SONIA</t>
        </is>
      </c>
      <c r="C37" t="inlineStr">
        <is>
          <t>NADORCOTT</t>
        </is>
      </c>
      <c r="D37" t="inlineStr">
        <is>
          <t>Cuota parcial</t>
        </is>
      </c>
      <c r="E37" t="n">
        <v>320.57</v>
      </c>
      <c r="I37" t="inlineStr"/>
    </row>
    <row r="38">
      <c r="A38" t="n">
        <v>1491</v>
      </c>
      <c r="B38" t="inlineStr">
        <is>
          <t>JIMENEZ LORENTE,SONIA</t>
        </is>
      </c>
      <c r="C38" t="inlineStr">
        <is>
          <t>NADORCOTT</t>
        </is>
      </c>
      <c r="D38" t="inlineStr">
        <is>
          <t>Importe bruto</t>
        </is>
      </c>
      <c r="E38" t="n">
        <v>39264.46</v>
      </c>
      <c r="I38" t="inlineStr"/>
    </row>
    <row r="39">
      <c r="A39" t="n">
        <v>1491</v>
      </c>
      <c r="B39" t="inlineStr">
        <is>
          <t>JIMENEZ LORENTE,SONIA</t>
        </is>
      </c>
      <c r="C39" t="inlineStr">
        <is>
          <t>NADORCOTT</t>
        </is>
      </c>
      <c r="D39" t="inlineStr">
        <is>
          <t>Recolección</t>
        </is>
      </c>
      <c r="E39" t="n">
        <v>6238.75</v>
      </c>
      <c r="I39" t="inlineStr"/>
    </row>
    <row r="40">
      <c r="A40" t="n">
        <v>1491</v>
      </c>
      <c r="B40" t="inlineStr">
        <is>
          <t>JIMENEZ LORENTE,SONIA</t>
        </is>
      </c>
      <c r="C40" t="inlineStr">
        <is>
          <t>NADORCOTT</t>
        </is>
      </c>
      <c r="D40" t="inlineStr">
        <is>
          <t>Transporte</t>
        </is>
      </c>
      <c r="E40" t="n">
        <v>0</v>
      </c>
      <c r="I40" t="inlineStr"/>
    </row>
    <row r="41">
      <c r="A41" t="n">
        <v>1491</v>
      </c>
      <c r="B41" t="inlineStr">
        <is>
          <t>JIMENEZ LORENTE,SONIA</t>
        </is>
      </c>
      <c r="C41" t="inlineStr">
        <is>
          <t>NADORCOTT</t>
        </is>
      </c>
      <c r="D41" t="inlineStr">
        <is>
          <t>Calidad</t>
        </is>
      </c>
      <c r="E41" t="n">
        <v>0</v>
      </c>
      <c r="I41" t="inlineStr"/>
    </row>
    <row r="42">
      <c r="A42" t="n">
        <v>1491</v>
      </c>
      <c r="B42" t="inlineStr">
        <is>
          <t>JIMENEZ LORENTE,SONIA</t>
        </is>
      </c>
      <c r="C42" t="inlineStr">
        <is>
          <t>NADORCOTT</t>
        </is>
      </c>
      <c r="D42" t="inlineStr">
        <is>
          <t>GlobalGAP</t>
        </is>
      </c>
      <c r="E42" t="n">
        <v>812.51</v>
      </c>
      <c r="I42" t="inlineStr"/>
    </row>
    <row r="43">
      <c r="A43" t="n">
        <v>1491</v>
      </c>
      <c r="B43" t="inlineStr">
        <is>
          <t>JIMENEZ LORENTE,SONIA</t>
        </is>
      </c>
      <c r="C43" t="inlineStr">
        <is>
          <t>NADORCOTT</t>
        </is>
      </c>
      <c r="D43" t="inlineStr">
        <is>
          <t>Base imponible</t>
        </is>
      </c>
      <c r="E43" t="n">
        <v>33517.65</v>
      </c>
      <c r="I43" t="inlineStr"/>
    </row>
    <row r="44">
      <c r="A44" t="n">
        <v>1491</v>
      </c>
      <c r="B44" t="inlineStr">
        <is>
          <t>JIMENEZ LORENTE,SONIA</t>
        </is>
      </c>
      <c r="C44" t="inlineStr">
        <is>
          <t>NADORCOTT</t>
        </is>
      </c>
      <c r="D44" t="inlineStr">
        <is>
          <t>IVA</t>
        </is>
      </c>
      <c r="E44" t="n">
        <v>4022.12</v>
      </c>
      <c r="I44" t="inlineStr"/>
    </row>
    <row r="45">
      <c r="A45" t="n">
        <v>1491</v>
      </c>
      <c r="B45" t="inlineStr">
        <is>
          <t>JIMENEZ LORENTE,SONIA</t>
        </is>
      </c>
      <c r="C45" t="inlineStr">
        <is>
          <t>NADORCOTT</t>
        </is>
      </c>
      <c r="D45" t="inlineStr">
        <is>
          <t>Retención</t>
        </is>
      </c>
      <c r="E45" t="n">
        <v>750.8</v>
      </c>
      <c r="I45" t="inlineStr"/>
    </row>
    <row r="46">
      <c r="A46" t="n">
        <v>1491</v>
      </c>
      <c r="B46" t="inlineStr">
        <is>
          <t>JIMENEZ LORENTE,SONIA</t>
        </is>
      </c>
      <c r="C46" t="inlineStr">
        <is>
          <t>NADORCOTT</t>
        </is>
      </c>
      <c r="D46" t="inlineStr">
        <is>
          <t>Total</t>
        </is>
      </c>
      <c r="E46" t="n">
        <v>36788.97</v>
      </c>
      <c r="I46" t="inlineStr"/>
    </row>
    <row r="47">
      <c r="A47" t="n">
        <v>1514</v>
      </c>
      <c r="B47" t="inlineStr">
        <is>
          <t>PRIETO ROMERO, JAVIER</t>
        </is>
      </c>
      <c r="C47" t="inlineStr">
        <is>
          <t>NADORCOTT</t>
        </is>
      </c>
      <c r="D47" t="inlineStr">
        <is>
          <t>Hectáreas</t>
        </is>
      </c>
      <c r="E47" t="n">
        <v>5.24</v>
      </c>
      <c r="I47" t="inlineStr"/>
    </row>
    <row r="48">
      <c r="A48" t="n">
        <v>1514</v>
      </c>
      <c r="B48" t="inlineStr">
        <is>
          <t>PRIETO ROMERO, JAVIER</t>
        </is>
      </c>
      <c r="C48" t="inlineStr">
        <is>
          <t>NADORCOTT</t>
        </is>
      </c>
      <c r="D48" t="inlineStr">
        <is>
          <t>Cuota teórica</t>
        </is>
      </c>
      <c r="E48" t="n">
        <v>1021.8</v>
      </c>
      <c r="I48" t="inlineStr"/>
    </row>
    <row r="49">
      <c r="A49" t="n">
        <v>1514</v>
      </c>
      <c r="B49" t="inlineStr">
        <is>
          <t>PRIETO ROMERO, JAVIER</t>
        </is>
      </c>
      <c r="C49" t="inlineStr">
        <is>
          <t>NADORCOTT</t>
        </is>
      </c>
      <c r="D49" t="inlineStr">
        <is>
          <t>Kg campaña</t>
        </is>
      </c>
      <c r="E49" t="n">
        <v>46170</v>
      </c>
      <c r="I49" t="inlineStr"/>
    </row>
    <row r="50">
      <c r="A50" t="n">
        <v>1514</v>
      </c>
      <c r="B50" t="inlineStr">
        <is>
          <t>PRIETO ROMERO, JAVIER</t>
        </is>
      </c>
      <c r="C50" t="inlineStr">
        <is>
          <t>NADORCOTT</t>
        </is>
      </c>
      <c r="D50" t="inlineStr">
        <is>
          <t>Índice</t>
        </is>
      </c>
      <c r="E50" t="n">
        <v>0.02213125406107862</v>
      </c>
      <c r="I50" t="inlineStr"/>
    </row>
    <row r="51">
      <c r="A51" t="n">
        <v>1514</v>
      </c>
      <c r="B51" t="inlineStr">
        <is>
          <t>PRIETO ROMERO, JAVIER</t>
        </is>
      </c>
      <c r="C51" t="inlineStr">
        <is>
          <t>NADORCOTT</t>
        </is>
      </c>
      <c r="D51" t="inlineStr">
        <is>
          <t>Kg remesa</t>
        </is>
      </c>
      <c r="E51" t="n">
        <v>19038</v>
      </c>
      <c r="I51" t="inlineStr"/>
    </row>
    <row r="52">
      <c r="A52" t="n">
        <v>1514</v>
      </c>
      <c r="B52" t="inlineStr">
        <is>
          <t>PRIETO ROMERO, JAVIER</t>
        </is>
      </c>
      <c r="C52" t="inlineStr">
        <is>
          <t>NADORCOTT</t>
        </is>
      </c>
      <c r="D52" t="inlineStr">
        <is>
          <t>Cuota parcial</t>
        </is>
      </c>
      <c r="E52" t="n">
        <v>421.33</v>
      </c>
      <c r="I52" t="inlineStr"/>
    </row>
    <row r="53">
      <c r="A53" t="n">
        <v>1514</v>
      </c>
      <c r="B53" t="inlineStr">
        <is>
          <t>PRIETO ROMERO, JAVIER</t>
        </is>
      </c>
      <c r="C53" t="inlineStr">
        <is>
          <t>NADORCOTT</t>
        </is>
      </c>
      <c r="D53" t="inlineStr">
        <is>
          <t>Importe bruto</t>
        </is>
      </c>
      <c r="E53" t="n">
        <v>13150.07</v>
      </c>
      <c r="I53" t="inlineStr"/>
    </row>
    <row r="54">
      <c r="A54" t="n">
        <v>1514</v>
      </c>
      <c r="B54" t="inlineStr">
        <is>
          <t>PRIETO ROMERO, JAVIER</t>
        </is>
      </c>
      <c r="C54" t="inlineStr">
        <is>
          <t>NADORCOTT</t>
        </is>
      </c>
      <c r="D54" t="inlineStr">
        <is>
          <t>Recolección</t>
        </is>
      </c>
      <c r="E54" t="n">
        <v>2379.75</v>
      </c>
      <c r="I54" t="inlineStr"/>
    </row>
    <row r="55">
      <c r="A55" t="n">
        <v>1514</v>
      </c>
      <c r="B55" t="inlineStr">
        <is>
          <t>PRIETO ROMERO, JAVIER</t>
        </is>
      </c>
      <c r="C55" t="inlineStr">
        <is>
          <t>NADORCOTT</t>
        </is>
      </c>
      <c r="D55" t="inlineStr">
        <is>
          <t>Transporte</t>
        </is>
      </c>
      <c r="E55" t="n">
        <v>0</v>
      </c>
      <c r="I55" t="inlineStr"/>
    </row>
    <row r="56">
      <c r="A56" t="n">
        <v>1514</v>
      </c>
      <c r="B56" t="inlineStr">
        <is>
          <t>PRIETO ROMERO, JAVIER</t>
        </is>
      </c>
      <c r="C56" t="inlineStr">
        <is>
          <t>NADORCOTT</t>
        </is>
      </c>
      <c r="D56" t="inlineStr">
        <is>
          <t>Calidad</t>
        </is>
      </c>
      <c r="E56" t="n">
        <v>0</v>
      </c>
      <c r="I56" t="inlineStr"/>
    </row>
    <row r="57">
      <c r="A57" t="n">
        <v>1514</v>
      </c>
      <c r="B57" t="inlineStr">
        <is>
          <t>PRIETO ROMERO, JAVIER</t>
        </is>
      </c>
      <c r="C57" t="inlineStr">
        <is>
          <t>NADORCOTT</t>
        </is>
      </c>
      <c r="D57" t="inlineStr">
        <is>
          <t>GlobalGAP</t>
        </is>
      </c>
      <c r="E57" t="n">
        <v>292.05</v>
      </c>
      <c r="I57" t="inlineStr"/>
    </row>
    <row r="58">
      <c r="A58" t="n">
        <v>1514</v>
      </c>
      <c r="B58" t="inlineStr">
        <is>
          <t>PRIETO ROMERO, JAVIER</t>
        </is>
      </c>
      <c r="C58" t="inlineStr">
        <is>
          <t>NADORCOTT</t>
        </is>
      </c>
      <c r="D58" t="inlineStr">
        <is>
          <t>Base imponible</t>
        </is>
      </c>
      <c r="E58" t="n">
        <v>10641.04</v>
      </c>
      <c r="I58" t="inlineStr"/>
    </row>
    <row r="59">
      <c r="A59" t="n">
        <v>1514</v>
      </c>
      <c r="B59" t="inlineStr">
        <is>
          <t>PRIETO ROMERO, JAVIER</t>
        </is>
      </c>
      <c r="C59" t="inlineStr">
        <is>
          <t>NADORCOTT</t>
        </is>
      </c>
      <c r="D59" t="inlineStr">
        <is>
          <t>IVA</t>
        </is>
      </c>
      <c r="E59" t="n">
        <v>1276.92</v>
      </c>
      <c r="I59" t="inlineStr"/>
    </row>
    <row r="60">
      <c r="A60" t="n">
        <v>1514</v>
      </c>
      <c r="B60" t="inlineStr">
        <is>
          <t>PRIETO ROMERO, JAVIER</t>
        </is>
      </c>
      <c r="C60" t="inlineStr">
        <is>
          <t>NADORCOTT</t>
        </is>
      </c>
      <c r="D60" t="inlineStr">
        <is>
          <t>Retención</t>
        </is>
      </c>
      <c r="E60" t="n">
        <v>238.36</v>
      </c>
      <c r="I60" t="inlineStr"/>
    </row>
    <row r="61">
      <c r="A61" t="n">
        <v>1514</v>
      </c>
      <c r="B61" t="inlineStr">
        <is>
          <t>PRIETO ROMERO, JAVIER</t>
        </is>
      </c>
      <c r="C61" t="inlineStr">
        <is>
          <t>NADORCOTT</t>
        </is>
      </c>
      <c r="D61" t="inlineStr">
        <is>
          <t>Total</t>
        </is>
      </c>
      <c r="E61" t="n">
        <v>11679.61</v>
      </c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2026-07-28T15:54:46Z</dcterms:created>
  <dcterms:modified xmlns:dcterms="http://purl.org/dc/terms/" xmlns:xsi="http://www.w3.org/2001/XMLSchema-instance" xsi:type="dcterms:W3CDTF">2026-07-28T15:54:46Z</dcterms:modified>
</cp:coreProperties>
</file>