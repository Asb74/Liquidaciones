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1214</v>
      </c>
      <c r="B2" s="3" t="inlineStr">
        <is>
          <t>CALZADA GAMIZ,JOSE ANTONIO</t>
        </is>
      </c>
      <c r="C2" s="3" t="inlineStr">
        <is>
          <t>NADORCOTT</t>
        </is>
      </c>
      <c r="D2" s="2" t="n">
        <v>79393</v>
      </c>
      <c r="E2" s="4" t="n">
        <v>62462.6</v>
      </c>
      <c r="F2" s="5" t="n">
        <v>0.7867519806532062</v>
      </c>
      <c r="G2" s="4" t="n">
        <v>9924.129999999999</v>
      </c>
      <c r="H2" s="4" t="n">
        <v>720.84</v>
      </c>
      <c r="I2" s="4" t="n">
        <v>0</v>
      </c>
      <c r="J2" s="4" t="n">
        <v>0</v>
      </c>
      <c r="K2" s="4" t="n">
        <v>1335.76</v>
      </c>
      <c r="L2" s="4" t="n">
        <v>53153.39</v>
      </c>
      <c r="M2" s="5" t="n">
        <v>0.73484</v>
      </c>
      <c r="N2" s="6" t="n">
        <v>12</v>
      </c>
      <c r="O2" s="6" t="n">
        <v>2</v>
      </c>
      <c r="P2" s="4" t="n">
        <v>58341.16</v>
      </c>
      <c r="Q2" s="3" t="inlineStr">
        <is>
          <t>Nadorcott Semana 2 NORMAL</t>
        </is>
      </c>
      <c r="R2" s="3" t="inlineStr">
        <is>
          <t>MANDARINA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1514</v>
      </c>
      <c r="B3" s="3" t="inlineStr">
        <is>
          <t>PRIETO ROMERO, JAVIER</t>
        </is>
      </c>
      <c r="C3" s="3" t="inlineStr">
        <is>
          <t>NADORCOTT</t>
        </is>
      </c>
      <c r="D3" s="2" t="n">
        <v>22076</v>
      </c>
      <c r="E3" s="4" t="n">
        <v>15743.38</v>
      </c>
      <c r="F3" s="5" t="n">
        <v>0.7131445914114876</v>
      </c>
      <c r="G3" s="4" t="n">
        <v>2759.5</v>
      </c>
      <c r="H3" s="4" t="n">
        <v>488.57</v>
      </c>
      <c r="I3" s="4" t="n">
        <v>0</v>
      </c>
      <c r="J3" s="4" t="n">
        <v>0</v>
      </c>
      <c r="K3" s="4" t="n">
        <v>352.63</v>
      </c>
      <c r="L3" s="4" t="n">
        <v>12847.94</v>
      </c>
      <c r="M3" s="5" t="n">
        <v>0.63879</v>
      </c>
      <c r="N3" s="6" t="n">
        <v>12</v>
      </c>
      <c r="O3" s="6" t="n">
        <v>2</v>
      </c>
      <c r="P3" s="4" t="n">
        <v>14101.9</v>
      </c>
      <c r="Q3" s="3" t="inlineStr">
        <is>
          <t>Nadorcott Semana 2 NORMAL</t>
        </is>
      </c>
      <c r="R3" s="3" t="inlineStr">
        <is>
          <t>MANDARINA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2" t="n">
        <v>1550</v>
      </c>
      <c r="B4" s="3" t="inlineStr">
        <is>
          <t>CADORTAN S.L.</t>
        </is>
      </c>
      <c r="C4" s="3" t="inlineStr">
        <is>
          <t>NADORCOTT</t>
        </is>
      </c>
      <c r="D4" s="2" t="n">
        <v>34624</v>
      </c>
      <c r="E4" s="4" t="n">
        <v>26673.22</v>
      </c>
      <c r="F4" s="5" t="n">
        <v>0.7703679528650647</v>
      </c>
      <c r="G4" s="4" t="n">
        <v>4328</v>
      </c>
      <c r="H4" s="4" t="n">
        <v>306.34</v>
      </c>
      <c r="I4" s="4" t="n">
        <v>0</v>
      </c>
      <c r="J4" s="4" t="n">
        <v>0</v>
      </c>
      <c r="K4" s="4" t="n">
        <v>561.79</v>
      </c>
      <c r="L4" s="4" t="n">
        <v>22600.67</v>
      </c>
      <c r="M4" s="5" t="n">
        <v>0.67886</v>
      </c>
      <c r="N4" s="6" t="n">
        <v>4</v>
      </c>
      <c r="O4" s="6" t="n">
        <v>0</v>
      </c>
      <c r="P4" s="4" t="n">
        <v>23504.7</v>
      </c>
      <c r="Q4" s="3" t="inlineStr">
        <is>
          <t>Nadorcott Semana 2 NORMAL</t>
        </is>
      </c>
      <c r="R4" s="3" t="inlineStr">
        <is>
          <t>MANDARINA</t>
        </is>
      </c>
      <c r="S4" s="7">
        <f>IFERROR(166.386*G4/D4,0)</f>
        <v/>
      </c>
      <c r="T4" s="7">
        <f>IFERROR(166.386*K4/D4,0)</f>
        <v/>
      </c>
      <c r="U4" s="7">
        <f>IFERROR(166.386*J4/D4,0)</f>
        <v/>
      </c>
    </row>
    <row r="5">
      <c r="A5" s="8" t="n"/>
      <c r="B5" s="9" t="inlineStr">
        <is>
          <t>TOTAL</t>
        </is>
      </c>
      <c r="C5" s="9" t="n"/>
      <c r="D5" s="8">
        <f>SUM(D2:D4)</f>
        <v/>
      </c>
      <c r="E5" s="10">
        <f>SUM(E2:E4)</f>
        <v/>
      </c>
      <c r="F5" s="11" t="n"/>
      <c r="G5" s="10">
        <f>SUM(G2:G4)</f>
        <v/>
      </c>
      <c r="H5" s="10">
        <f>SUM(H2:H4)</f>
        <v/>
      </c>
      <c r="I5" s="10">
        <f>SUM(I2:I4)</f>
        <v/>
      </c>
      <c r="J5" s="10">
        <f>SUM(J2:J4)</f>
        <v/>
      </c>
      <c r="K5" s="10">
        <f>SUM(K2:K4)</f>
        <v/>
      </c>
      <c r="L5" s="10">
        <f>SUM(L2:L4)</f>
        <v/>
      </c>
      <c r="M5" s="11">
        <f>IFERROR(P5/D5,0)</f>
        <v/>
      </c>
      <c r="N5" s="12" t="n"/>
      <c r="O5" s="12" t="n"/>
      <c r="P5" s="10">
        <f>SUM(P2:P4)</f>
        <v/>
      </c>
      <c r="Q5" s="9" t="n"/>
      <c r="R5" s="9" t="n"/>
      <c r="S5" s="13" t="n"/>
      <c r="T5" s="13" t="n"/>
      <c r="U5" s="13" t="n"/>
    </row>
  </sheetData>
  <autoFilter ref="A1:U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n">
        <v>0</v>
      </c>
      <c r="E2" t="inlineStr">
        <is>
          <t>not_found</t>
        </is>
      </c>
      <c r="F2" t="n">
        <v>10.97</v>
      </c>
      <c r="G2" t="n">
        <v>195</v>
      </c>
      <c r="H2" t="n">
        <v>2139.15</v>
      </c>
      <c r="I2" t="n">
        <v>235605</v>
      </c>
      <c r="J2" t="n">
        <v>0.009079391354173299</v>
      </c>
      <c r="K2" t="n">
        <v>720.84</v>
      </c>
      <c r="L2" t="n">
        <v>0</v>
      </c>
    </row>
    <row r="3">
      <c r="A3" t="n">
        <v>1514</v>
      </c>
      <c r="B3" t="inlineStr">
        <is>
          <t>PRIETO ROMERO, JAVIER</t>
        </is>
      </c>
      <c r="C3" t="inlineStr">
        <is>
          <t>NADORCOTT</t>
        </is>
      </c>
      <c r="D3" t="n">
        <v>0</v>
      </c>
      <c r="E3" t="inlineStr">
        <is>
          <t>not_found</t>
        </is>
      </c>
      <c r="F3" t="n">
        <v>5.24</v>
      </c>
      <c r="G3" t="n">
        <v>195</v>
      </c>
      <c r="H3" t="n">
        <v>1021.8</v>
      </c>
      <c r="I3" t="n">
        <v>46170</v>
      </c>
      <c r="J3" t="n">
        <v>0.02213125406107862</v>
      </c>
      <c r="K3" t="n">
        <v>488.57</v>
      </c>
      <c r="L3" t="n">
        <v>0</v>
      </c>
    </row>
    <row r="4">
      <c r="A4" t="n">
        <v>1550</v>
      </c>
      <c r="B4" t="inlineStr">
        <is>
          <t>CADORTAN S.L.</t>
        </is>
      </c>
      <c r="C4" t="inlineStr">
        <is>
          <t>NADORCOTT</t>
        </is>
      </c>
      <c r="D4" t="n">
        <v>0</v>
      </c>
      <c r="E4" t="inlineStr">
        <is>
          <t>not_found</t>
        </is>
      </c>
      <c r="F4" t="n">
        <v>15.48</v>
      </c>
      <c r="G4" t="n">
        <v>195</v>
      </c>
      <c r="H4" t="n">
        <v>3018.6</v>
      </c>
      <c r="I4" t="n">
        <v>341181</v>
      </c>
      <c r="J4" t="n">
        <v>0.008847503231422617</v>
      </c>
      <c r="K4" t="n">
        <v>306.34</v>
      </c>
      <c r="L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1214</v>
      </c>
      <c r="B2" t="inlineStr">
        <is>
          <t>CALZADA GAMIZ,JOSE ANTONIO</t>
        </is>
      </c>
      <c r="C2" t="n">
        <v>613</v>
      </c>
      <c r="D2" t="inlineStr">
        <is>
          <t>MANDARINA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613</v>
      </c>
      <c r="K2" t="n">
        <v>2026</v>
      </c>
      <c r="L2" t="inlineStr">
        <is>
          <t>1</t>
        </is>
      </c>
      <c r="M2" t="inlineStr">
        <is>
          <t>MANDARINA</t>
        </is>
      </c>
      <c r="N2" t="inlineStr">
        <is>
          <t>41055</t>
        </is>
      </c>
      <c r="O2" t="inlineStr">
        <is>
          <t>20</t>
        </is>
      </c>
      <c r="P2" t="inlineStr">
        <is>
          <t>9</t>
        </is>
      </c>
      <c r="Q2" t="inlineStr">
        <is>
          <t>1</t>
        </is>
      </c>
      <c r="R2" t="n">
        <v>4.98</v>
      </c>
      <c r="S2" t="n">
        <v>0</v>
      </c>
      <c r="T2" t="n">
        <v>4.98</v>
      </c>
      <c r="V2" t="inlineStr">
        <is>
          <t>Sí</t>
        </is>
      </c>
      <c r="W2" t="inlineStr"/>
    </row>
    <row r="3">
      <c r="A3" t="n">
        <v>1214</v>
      </c>
      <c r="B3" t="inlineStr">
        <is>
          <t>CALZADA GAMIZ,JOSE ANTONIO</t>
        </is>
      </c>
      <c r="C3" t="n">
        <v>621</v>
      </c>
      <c r="D3" t="inlineStr">
        <is>
          <t>MANDARINA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621</v>
      </c>
      <c r="K3" t="n">
        <v>2026</v>
      </c>
      <c r="L3" t="inlineStr">
        <is>
          <t>1</t>
        </is>
      </c>
      <c r="M3" t="inlineStr">
        <is>
          <t>MANDARINA</t>
        </is>
      </c>
      <c r="N3" t="inlineStr">
        <is>
          <t>41055</t>
        </is>
      </c>
      <c r="O3" t="inlineStr">
        <is>
          <t>19</t>
        </is>
      </c>
      <c r="P3" t="inlineStr">
        <is>
          <t>10</t>
        </is>
      </c>
      <c r="Q3" t="inlineStr">
        <is>
          <t>5</t>
        </is>
      </c>
      <c r="R3" t="n">
        <v>5.99</v>
      </c>
      <c r="S3" t="n">
        <v>0</v>
      </c>
      <c r="T3" t="n">
        <v>5.65</v>
      </c>
      <c r="V3" t="inlineStr">
        <is>
          <t>Sí</t>
        </is>
      </c>
      <c r="W3" t="inlineStr"/>
    </row>
    <row r="4">
      <c r="A4" t="n">
        <v>1514</v>
      </c>
      <c r="B4" t="inlineStr">
        <is>
          <t>PRIETO ROMERO, JAVIER</t>
        </is>
      </c>
      <c r="C4" t="n">
        <v>691</v>
      </c>
      <c r="D4" t="inlineStr">
        <is>
          <t>CITRICOS</t>
        </is>
      </c>
      <c r="E4" t="n">
        <v>2026</v>
      </c>
      <c r="F4" t="n">
        <v>1</v>
      </c>
      <c r="G4" t="n">
        <v>0</v>
      </c>
      <c r="H4" t="inlineStr">
        <is>
          <t>No</t>
        </is>
      </c>
      <c r="V4" t="inlineStr">
        <is>
          <t>No</t>
        </is>
      </c>
      <c r="W4" t="inlineStr">
        <is>
          <t>CHA_NO_SELECCIONADO; CHA_NO_ACTIVO</t>
        </is>
      </c>
    </row>
    <row r="5">
      <c r="A5" t="n">
        <v>1514</v>
      </c>
      <c r="B5" t="inlineStr">
        <is>
          <t>PRIETO ROMERO, JAVIER</t>
        </is>
      </c>
      <c r="C5" t="n">
        <v>331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331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12</t>
        </is>
      </c>
      <c r="P5" t="inlineStr">
        <is>
          <t>11</t>
        </is>
      </c>
      <c r="Q5" t="inlineStr">
        <is>
          <t>2</t>
        </is>
      </c>
      <c r="R5" t="n">
        <v>2.04</v>
      </c>
      <c r="S5" t="n">
        <v>2.0418</v>
      </c>
      <c r="T5" t="n">
        <v>2.09</v>
      </c>
      <c r="V5" t="inlineStr">
        <is>
          <t>Sí</t>
        </is>
      </c>
      <c r="W5" t="inlineStr"/>
    </row>
    <row r="6">
      <c r="A6" t="n">
        <v>1514</v>
      </c>
      <c r="B6" t="inlineStr">
        <is>
          <t>PRIETO ROMERO, JAVIER</t>
        </is>
      </c>
      <c r="C6" t="n">
        <v>610</v>
      </c>
      <c r="D6" t="inlineStr">
        <is>
          <t>MANDARINA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610</v>
      </c>
      <c r="K6" t="n">
        <v>2026</v>
      </c>
      <c r="L6" t="inlineStr">
        <is>
          <t>1</t>
        </is>
      </c>
      <c r="M6" t="inlineStr">
        <is>
          <t>MANDARINA</t>
        </is>
      </c>
      <c r="N6" t="inlineStr">
        <is>
          <t>41055</t>
        </is>
      </c>
      <c r="O6" t="inlineStr">
        <is>
          <t>11</t>
        </is>
      </c>
      <c r="P6" t="inlineStr">
        <is>
          <t>120</t>
        </is>
      </c>
      <c r="Q6" t="inlineStr">
        <is>
          <t>4</t>
        </is>
      </c>
      <c r="R6" t="n">
        <v>2.4</v>
      </c>
      <c r="S6" t="n">
        <v>0</v>
      </c>
      <c r="T6" t="n">
        <v>2.4</v>
      </c>
      <c r="V6" t="inlineStr">
        <is>
          <t>Sí</t>
        </is>
      </c>
      <c r="W6" t="inlineStr"/>
    </row>
    <row r="7">
      <c r="A7" t="n">
        <v>1514</v>
      </c>
      <c r="B7" t="inlineStr">
        <is>
          <t>PRIETO ROMERO, JAVIER</t>
        </is>
      </c>
      <c r="C7" t="n">
        <v>610</v>
      </c>
      <c r="D7" t="inlineStr">
        <is>
          <t>MANDARINA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610</v>
      </c>
      <c r="K7" t="n">
        <v>2026</v>
      </c>
      <c r="L7" t="inlineStr">
        <is>
          <t>1</t>
        </is>
      </c>
      <c r="M7" t="inlineStr">
        <is>
          <t>MANDARINA</t>
        </is>
      </c>
      <c r="N7" t="inlineStr">
        <is>
          <t>41055</t>
        </is>
      </c>
      <c r="O7" t="inlineStr">
        <is>
          <t>11</t>
        </is>
      </c>
      <c r="P7" t="inlineStr">
        <is>
          <t>120</t>
        </is>
      </c>
      <c r="Q7" t="inlineStr">
        <is>
          <t>3</t>
        </is>
      </c>
      <c r="R7" t="n">
        <v>0.8</v>
      </c>
      <c r="S7" t="n">
        <v>0</v>
      </c>
      <c r="T7" t="n">
        <v>0.8</v>
      </c>
      <c r="V7" t="inlineStr">
        <is>
          <t>Sí</t>
        </is>
      </c>
      <c r="W7" t="inlineStr"/>
    </row>
    <row r="8">
      <c r="A8" t="n">
        <v>1550</v>
      </c>
      <c r="B8" t="inlineStr">
        <is>
          <t>CADORTAN S.L.</t>
        </is>
      </c>
      <c r="C8" t="n">
        <v>437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437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12</t>
        </is>
      </c>
      <c r="P8" t="inlineStr">
        <is>
          <t>103</t>
        </is>
      </c>
      <c r="Q8" t="inlineStr">
        <is>
          <t>3</t>
        </is>
      </c>
      <c r="R8" t="n">
        <v>3.47</v>
      </c>
      <c r="S8" t="n">
        <v>3.314118</v>
      </c>
      <c r="T8" t="n">
        <v>3.31</v>
      </c>
      <c r="V8" t="inlineStr">
        <is>
          <t>Sí</t>
        </is>
      </c>
      <c r="W8" t="inlineStr"/>
    </row>
    <row r="9">
      <c r="A9" t="n">
        <v>1550</v>
      </c>
      <c r="B9" t="inlineStr">
        <is>
          <t>CADORTAN S.L.</t>
        </is>
      </c>
      <c r="C9" t="n">
        <v>437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437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41055</t>
        </is>
      </c>
      <c r="O9" t="inlineStr">
        <is>
          <t>12</t>
        </is>
      </c>
      <c r="P9" t="inlineStr">
        <is>
          <t>135</t>
        </is>
      </c>
      <c r="Q9" t="inlineStr">
        <is>
          <t>1</t>
        </is>
      </c>
      <c r="R9" t="n">
        <v>3.1</v>
      </c>
      <c r="S9" t="n">
        <v>3.1979</v>
      </c>
      <c r="T9" t="n">
        <v>3.2</v>
      </c>
      <c r="V9" t="inlineStr">
        <is>
          <t>Sí</t>
        </is>
      </c>
      <c r="W9" t="inlineStr"/>
    </row>
    <row r="10">
      <c r="A10" t="n">
        <v>1550</v>
      </c>
      <c r="B10" t="inlineStr">
        <is>
          <t>CADORTAN S.L.</t>
        </is>
      </c>
      <c r="C10" t="n">
        <v>521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521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41055</t>
        </is>
      </c>
      <c r="O10" t="inlineStr">
        <is>
          <t>11</t>
        </is>
      </c>
      <c r="P10" t="inlineStr">
        <is>
          <t>63</t>
        </is>
      </c>
      <c r="Q10" t="inlineStr">
        <is>
          <t>9</t>
        </is>
      </c>
      <c r="R10" t="n">
        <v>2.46</v>
      </c>
      <c r="S10" t="n">
        <v>2.455514</v>
      </c>
      <c r="T10" t="n">
        <v>2.46</v>
      </c>
      <c r="V10" t="inlineStr">
        <is>
          <t>Sí</t>
        </is>
      </c>
      <c r="W10" t="inlineStr"/>
    </row>
    <row r="11">
      <c r="A11" t="n">
        <v>1550</v>
      </c>
      <c r="B11" t="inlineStr">
        <is>
          <t>CADORTAN S.L.</t>
        </is>
      </c>
      <c r="C11" t="n">
        <v>521</v>
      </c>
      <c r="D11" t="inlineStr">
        <is>
          <t>CITRICOS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521</v>
      </c>
      <c r="K11" t="n">
        <v>2026</v>
      </c>
      <c r="L11" t="inlineStr">
        <is>
          <t>1</t>
        </is>
      </c>
      <c r="M11" t="inlineStr">
        <is>
          <t>CITRICOS</t>
        </is>
      </c>
      <c r="N11" t="inlineStr">
        <is>
          <t>41055</t>
        </is>
      </c>
      <c r="O11" t="inlineStr">
        <is>
          <t>11</t>
        </is>
      </c>
      <c r="P11" t="inlineStr">
        <is>
          <t>63</t>
        </is>
      </c>
      <c r="Q11" t="inlineStr">
        <is>
          <t>3</t>
        </is>
      </c>
      <c r="R11" t="n">
        <v>0.53</v>
      </c>
      <c r="S11" t="n">
        <v>0.515671</v>
      </c>
      <c r="T11" t="n">
        <v>0.52</v>
      </c>
      <c r="V11" t="inlineStr">
        <is>
          <t>Sí</t>
        </is>
      </c>
      <c r="W11" t="inlineStr"/>
    </row>
    <row r="12">
      <c r="A12" t="n">
        <v>1550</v>
      </c>
      <c r="B12" t="inlineStr">
        <is>
          <t>CADORTAN S.L.</t>
        </is>
      </c>
      <c r="C12" t="n">
        <v>603</v>
      </c>
      <c r="D12" t="inlineStr">
        <is>
          <t>MANDARINA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603</v>
      </c>
      <c r="K12" t="n">
        <v>2026</v>
      </c>
      <c r="L12" t="inlineStr">
        <is>
          <t>1</t>
        </is>
      </c>
      <c r="M12" t="inlineStr">
        <is>
          <t>MANDARINA</t>
        </is>
      </c>
      <c r="N12" t="inlineStr">
        <is>
          <t>41055</t>
        </is>
      </c>
      <c r="O12" t="inlineStr">
        <is>
          <t>11</t>
        </is>
      </c>
      <c r="P12" t="inlineStr">
        <is>
          <t>63</t>
        </is>
      </c>
      <c r="Q12" t="inlineStr">
        <is>
          <t>1</t>
        </is>
      </c>
      <c r="R12" t="n">
        <v>3.64</v>
      </c>
      <c r="S12" t="n">
        <v>3.6971</v>
      </c>
      <c r="T12" t="n">
        <v>3.55</v>
      </c>
      <c r="V12" t="inlineStr">
        <is>
          <t>Sí</t>
        </is>
      </c>
      <c r="W12" t="inlineStr"/>
    </row>
    <row r="13">
      <c r="A13" t="n">
        <v>1550</v>
      </c>
      <c r="B13" t="inlineStr">
        <is>
          <t>CADORTAN S.L.</t>
        </is>
      </c>
      <c r="C13" t="n">
        <v>628</v>
      </c>
      <c r="D13" t="inlineStr">
        <is>
          <t>MANDARINA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628</v>
      </c>
      <c r="K13" t="n">
        <v>2026</v>
      </c>
      <c r="L13" t="inlineStr">
        <is>
          <t>1</t>
        </is>
      </c>
      <c r="M13" t="inlineStr">
        <is>
          <t>MANDARINA</t>
        </is>
      </c>
      <c r="N13" t="inlineStr">
        <is>
          <t>41055</t>
        </is>
      </c>
      <c r="O13" t="inlineStr">
        <is>
          <t>11</t>
        </is>
      </c>
      <c r="P13" t="inlineStr">
        <is>
          <t>63</t>
        </is>
      </c>
      <c r="Q13" t="inlineStr">
        <is>
          <t>14</t>
        </is>
      </c>
      <c r="R13" t="n">
        <v>2.28</v>
      </c>
      <c r="S13" t="n">
        <v>0</v>
      </c>
      <c r="T13" t="n">
        <v>2.3</v>
      </c>
      <c r="V13" t="inlineStr">
        <is>
          <t>Sí</t>
        </is>
      </c>
      <c r="W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inlineStr">
        <is>
          <t>calculated</t>
        </is>
      </c>
      <c r="E2" t="n">
        <v>10.97</v>
      </c>
      <c r="F2" t="n">
        <v>2139.15</v>
      </c>
      <c r="G2" t="n">
        <v>235605</v>
      </c>
      <c r="H2" t="n">
        <v>0.009079391354173299</v>
      </c>
      <c r="I2" t="n">
        <v>79393</v>
      </c>
      <c r="J2" t="n">
        <v>720.84</v>
      </c>
      <c r="K2" t="inlineStr">
        <is>
          <t>No existe tarifa BonCalidad para socio=1214 campaña=2026 empresa=1 cultivo=MANDARINA.; No existe fuente acumulada disponible; saldo informativo calculado con cuota ya aplicada = 0.</t>
        </is>
      </c>
    </row>
    <row r="3">
      <c r="A3" t="n">
        <v>1514</v>
      </c>
      <c r="B3" t="inlineStr">
        <is>
          <t>PRIETO ROMERO, JAVIER</t>
        </is>
      </c>
      <c r="C3" t="inlineStr">
        <is>
          <t>NADORCOTT</t>
        </is>
      </c>
      <c r="D3" t="inlineStr">
        <is>
          <t>calculated</t>
        </is>
      </c>
      <c r="E3" t="n">
        <v>5.24</v>
      </c>
      <c r="F3" t="n">
        <v>1021.8</v>
      </c>
      <c r="G3" t="n">
        <v>46170</v>
      </c>
      <c r="H3" t="n">
        <v>0.02213125406107862</v>
      </c>
      <c r="I3" t="n">
        <v>22076</v>
      </c>
      <c r="J3" t="n">
        <v>488.57</v>
      </c>
      <c r="K3" t="inlineStr">
        <is>
          <t>No existe tarifa BonCalidad para socio=1514 campaña=2026 empresa=1 cultivo=MANDARINA.; No existe fuente acumulada disponible; saldo informativo calculado con cuota ya aplicada = 0.</t>
        </is>
      </c>
    </row>
    <row r="4">
      <c r="A4" t="n">
        <v>1550</v>
      </c>
      <c r="B4" t="inlineStr">
        <is>
          <t>CADORTAN S.L.</t>
        </is>
      </c>
      <c r="C4" t="inlineStr">
        <is>
          <t>NADORCOTT</t>
        </is>
      </c>
      <c r="D4" t="inlineStr">
        <is>
          <t>calculated</t>
        </is>
      </c>
      <c r="E4" t="n">
        <v>15.48</v>
      </c>
      <c r="F4" t="n">
        <v>3018.6</v>
      </c>
      <c r="G4" t="n">
        <v>341181</v>
      </c>
      <c r="H4" t="n">
        <v>0.008847503231422617</v>
      </c>
      <c r="I4" t="n">
        <v>34624</v>
      </c>
      <c r="J4" t="n">
        <v>306.34</v>
      </c>
      <c r="K4" t="inlineStr">
        <is>
          <t>No existe tarifa BonCalidad para socio=1550 campaña=2026 empresa=1 cultivo=MANDARINA.; El socio 1550 figura certificado GlobalGAP en CITRICOS, MANDARINA pero no en CITRICOS, MANDARINA. Se ha aplicado la certificación global del socio. Revise DEEPP.;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inlineStr">
        <is>
          <t>2026</t>
        </is>
      </c>
      <c r="E2" t="inlineStr">
        <is>
          <t>1</t>
        </is>
      </c>
      <c r="F2" t="inlineStr">
        <is>
          <t>MANDARINA</t>
        </is>
      </c>
      <c r="G2" t="inlineStr">
        <is>
          <t>SÍ</t>
        </is>
      </c>
      <c r="H2" t="inlineStr">
        <is>
          <t>SÍ</t>
        </is>
      </c>
      <c r="I2" t="inlineStr">
        <is>
          <t>NO</t>
        </is>
      </c>
      <c r="J2" t="inlineStr">
        <is>
          <t>MANDARINA</t>
        </is>
      </c>
      <c r="K2" t="inlineStr"/>
      <c r="L2" t="inlineStr">
        <is>
          <t>ORO</t>
        </is>
      </c>
      <c r="M2" t="n">
        <v>1</v>
      </c>
      <c r="N2" t="n">
        <v>0.01803</v>
      </c>
      <c r="O2" t="n">
        <v>0</v>
      </c>
      <c r="P2" t="inlineStr">
        <is>
          <t>neto_comercial</t>
        </is>
      </c>
      <c r="Q2" t="n">
        <v>79393</v>
      </c>
      <c r="R2" t="n">
        <v>74085.53242800001</v>
      </c>
      <c r="S2" t="n">
        <v>74085.53242800001</v>
      </c>
      <c r="T2" t="n">
        <v>1335.76</v>
      </c>
      <c r="U2" t="n">
        <v>1335.76</v>
      </c>
      <c r="V2" t="n">
        <v>1335.76</v>
      </c>
      <c r="W2" t="n">
        <v>1335.76</v>
      </c>
      <c r="X2" t="inlineStr">
        <is>
          <t>calculated</t>
        </is>
      </c>
      <c r="Y2" t="inlineStr"/>
      <c r="Z2" t="inlineStr">
        <is>
          <t>SÍ</t>
        </is>
      </c>
    </row>
    <row r="3">
      <c r="A3" t="n">
        <v>1514</v>
      </c>
      <c r="B3" t="inlineStr">
        <is>
          <t>PRIETO ROMERO, JAVIER</t>
        </is>
      </c>
      <c r="C3" t="inlineStr">
        <is>
          <t>NADORCOTT</t>
        </is>
      </c>
      <c r="D3" t="inlineStr">
        <is>
          <t>2026</t>
        </is>
      </c>
      <c r="E3" t="inlineStr">
        <is>
          <t>1</t>
        </is>
      </c>
      <c r="F3" t="inlineStr">
        <is>
          <t>MANDARINA</t>
        </is>
      </c>
      <c r="G3" t="inlineStr">
        <is>
          <t>SÍ</t>
        </is>
      </c>
      <c r="H3" t="inlineStr">
        <is>
          <t>SÍ</t>
        </is>
      </c>
      <c r="I3" t="inlineStr">
        <is>
          <t>NO</t>
        </is>
      </c>
      <c r="J3" t="inlineStr">
        <is>
          <t>CITRICOS, MANDARINA, SANDIA</t>
        </is>
      </c>
      <c r="K3" t="inlineStr"/>
      <c r="L3" t="inlineStr">
        <is>
          <t>ORO</t>
        </is>
      </c>
      <c r="M3" t="n">
        <v>1</v>
      </c>
      <c r="N3" t="n">
        <v>0.01803</v>
      </c>
      <c r="O3" t="n">
        <v>0</v>
      </c>
      <c r="P3" t="inlineStr">
        <is>
          <t>neto_comercial</t>
        </is>
      </c>
      <c r="Q3" t="n">
        <v>22076</v>
      </c>
      <c r="R3" t="n">
        <v>19558.0078</v>
      </c>
      <c r="S3" t="n">
        <v>19558.0078</v>
      </c>
      <c r="T3" t="n">
        <v>352.63</v>
      </c>
      <c r="U3" t="n">
        <v>352.63</v>
      </c>
      <c r="V3" t="n">
        <v>352.63</v>
      </c>
      <c r="W3" t="n">
        <v>352.63</v>
      </c>
      <c r="X3" t="inlineStr">
        <is>
          <t>calculated</t>
        </is>
      </c>
      <c r="Y3" t="inlineStr"/>
      <c r="Z3" t="inlineStr">
        <is>
          <t>SÍ</t>
        </is>
      </c>
    </row>
    <row r="4">
      <c r="A4" t="n">
        <v>1550</v>
      </c>
      <c r="B4" t="inlineStr">
        <is>
          <t>CADORTAN S.L.</t>
        </is>
      </c>
      <c r="C4" t="inlineStr">
        <is>
          <t>NADORCOTT</t>
        </is>
      </c>
      <c r="D4" t="inlineStr">
        <is>
          <t>2026</t>
        </is>
      </c>
      <c r="E4" t="inlineStr">
        <is>
          <t>1</t>
        </is>
      </c>
      <c r="F4" t="inlineStr">
        <is>
          <t>MANDARINA</t>
        </is>
      </c>
      <c r="G4" t="inlineStr">
        <is>
          <t>SÍ</t>
        </is>
      </c>
      <c r="H4" t="inlineStr">
        <is>
          <t>SÍ</t>
        </is>
      </c>
      <c r="I4" t="inlineStr">
        <is>
          <t>SÍ</t>
        </is>
      </c>
      <c r="J4" t="inlineStr">
        <is>
          <t>CITRICOS, MANDARINA</t>
        </is>
      </c>
      <c r="K4" t="inlineStr">
        <is>
          <t>CITRICOS, MANDARINA</t>
        </is>
      </c>
      <c r="L4" t="inlineStr">
        <is>
          <t>ORO</t>
        </is>
      </c>
      <c r="M4" t="n">
        <v>1</v>
      </c>
      <c r="N4" t="n">
        <v>0.01803</v>
      </c>
      <c r="O4" t="n">
        <v>0</v>
      </c>
      <c r="P4" t="inlineStr">
        <is>
          <t>neto_comercial</t>
        </is>
      </c>
      <c r="Q4" t="n">
        <v>34624</v>
      </c>
      <c r="R4" t="n">
        <v>31158.7181</v>
      </c>
      <c r="S4" t="n">
        <v>31158.7181</v>
      </c>
      <c r="T4" t="n">
        <v>561.79</v>
      </c>
      <c r="U4" t="n">
        <v>561.79</v>
      </c>
      <c r="V4" t="n">
        <v>561.79</v>
      </c>
      <c r="W4" t="n">
        <v>561.79</v>
      </c>
      <c r="X4" t="inlineStr">
        <is>
          <t>calculated</t>
        </is>
      </c>
      <c r="Y4" t="inlineStr">
        <is>
          <t>El socio 1550 figura certificado GlobalGAP en CITRICOS, MANDARINA pero no en CITRICOS, MANDARINA. Se ha aplicado la certificación global del socio. Revise DEEPP.</t>
        </is>
      </c>
      <c r="Z4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MANDARINA</t>
        </is>
      </c>
      <c r="D2" t="inlineStr">
        <is>
          <t>Nadorcott Semana 2 NORMAL</t>
        </is>
      </c>
      <c r="E2" t="inlineStr">
        <is>
          <t>NADORCOTT</t>
        </is>
      </c>
      <c r="F2" t="inlineStr">
        <is>
          <t>VARIETY</t>
        </is>
      </c>
      <c r="G2" t="inlineStr"/>
      <c r="H2" t="inlineStr"/>
      <c r="I2" t="inlineStr">
        <is>
          <t>NADORCOTT</t>
        </is>
      </c>
      <c r="J2" t="n">
        <v>1</v>
      </c>
      <c r="K2" t="inlineStr">
        <is>
          <t>VARIETY</t>
        </is>
      </c>
      <c r="L2" t="inlineStr"/>
      <c r="M2" t="inlineStr">
        <is>
          <t>NADORCOTT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n">
        <v>62462.6</v>
      </c>
      <c r="E2" t="n">
        <v>62462.6</v>
      </c>
      <c r="F2" t="n">
        <v>9924.129999999999</v>
      </c>
      <c r="G2" t="n">
        <v>720.84</v>
      </c>
      <c r="H2" t="n">
        <v>0</v>
      </c>
      <c r="I2" t="n">
        <v>0</v>
      </c>
      <c r="J2" t="n">
        <v>1335.76</v>
      </c>
      <c r="K2" t="n">
        <v>53153.39</v>
      </c>
      <c r="L2" t="n">
        <v>53153.39</v>
      </c>
      <c r="M2" t="n">
        <v>53153.39</v>
      </c>
      <c r="N2" t="n">
        <v>0</v>
      </c>
      <c r="O2" t="n">
        <v>0.6695</v>
      </c>
      <c r="P2" t="n">
        <v>0.73484</v>
      </c>
      <c r="Q2" t="inlineStr">
        <is>
          <t>SÍ</t>
        </is>
      </c>
      <c r="R2" t="inlineStr"/>
    </row>
    <row r="3">
      <c r="A3" t="n">
        <v>1514</v>
      </c>
      <c r="B3" t="inlineStr">
        <is>
          <t>PRIETO ROMERO, JAVIER</t>
        </is>
      </c>
      <c r="C3" t="inlineStr">
        <is>
          <t>NADORCOTT</t>
        </is>
      </c>
      <c r="D3" t="n">
        <v>15743.38</v>
      </c>
      <c r="E3" t="n">
        <v>15743.38</v>
      </c>
      <c r="F3" t="n">
        <v>2759.5</v>
      </c>
      <c r="G3" t="n">
        <v>488.57</v>
      </c>
      <c r="H3" t="n">
        <v>0</v>
      </c>
      <c r="I3" t="n">
        <v>0</v>
      </c>
      <c r="J3" t="n">
        <v>352.63</v>
      </c>
      <c r="K3" t="n">
        <v>12847.94</v>
      </c>
      <c r="L3" t="n">
        <v>12847.94</v>
      </c>
      <c r="M3" t="n">
        <v>12847.94</v>
      </c>
      <c r="N3" t="n">
        <v>0</v>
      </c>
      <c r="O3" t="n">
        <v>0.58199</v>
      </c>
      <c r="P3" t="n">
        <v>0.63879</v>
      </c>
      <c r="Q3" t="inlineStr">
        <is>
          <t>SÍ</t>
        </is>
      </c>
      <c r="R3" t="inlineStr"/>
    </row>
    <row r="4">
      <c r="A4" t="n">
        <v>1550</v>
      </c>
      <c r="B4" t="inlineStr">
        <is>
          <t>CADORTAN S.L.</t>
        </is>
      </c>
      <c r="C4" t="inlineStr">
        <is>
          <t>NADORCOTT</t>
        </is>
      </c>
      <c r="D4" t="n">
        <v>26673.22</v>
      </c>
      <c r="E4" t="n">
        <v>26673.22</v>
      </c>
      <c r="F4" t="n">
        <v>4328</v>
      </c>
      <c r="G4" t="n">
        <v>306.34</v>
      </c>
      <c r="H4" t="n">
        <v>0</v>
      </c>
      <c r="I4" t="n">
        <v>0</v>
      </c>
      <c r="J4" t="n">
        <v>561.79</v>
      </c>
      <c r="K4" t="n">
        <v>22600.67</v>
      </c>
      <c r="L4" t="n">
        <v>22600.67</v>
      </c>
      <c r="M4" t="n">
        <v>22600.67</v>
      </c>
      <c r="N4" t="n">
        <v>0</v>
      </c>
      <c r="O4" t="n">
        <v>0.6527500000000001</v>
      </c>
      <c r="P4" t="n">
        <v>0.67886</v>
      </c>
      <c r="Q4" t="inlineStr">
        <is>
          <t>SÍ</t>
        </is>
      </c>
      <c r="R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n">
        <v>53153.39</v>
      </c>
      <c r="E2" t="n">
        <v>12</v>
      </c>
      <c r="F2" t="n">
        <v>1.12</v>
      </c>
      <c r="G2" t="n">
        <v>6378.41</v>
      </c>
      <c r="H2" t="n">
        <v>59531.8</v>
      </c>
      <c r="I2" t="n">
        <v>2</v>
      </c>
      <c r="J2" t="n">
        <v>0.98</v>
      </c>
      <c r="K2" t="n">
        <v>1190.64</v>
      </c>
      <c r="L2" t="n">
        <v>58341.16</v>
      </c>
      <c r="M2" t="n">
        <v>58341.16</v>
      </c>
      <c r="N2" t="n">
        <v>58341.16</v>
      </c>
      <c r="O2" t="n">
        <v>79393</v>
      </c>
      <c r="P2" t="n">
        <v>0.73484</v>
      </c>
      <c r="Q2" t="n">
        <v>0.73484</v>
      </c>
      <c r="R2" t="n">
        <v>0.73484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1514</v>
      </c>
      <c r="B3" t="inlineStr">
        <is>
          <t>PRIETO ROMERO, JAVIER</t>
        </is>
      </c>
      <c r="C3" t="inlineStr">
        <is>
          <t>NADORCOTT</t>
        </is>
      </c>
      <c r="D3" t="n">
        <v>12847.94</v>
      </c>
      <c r="E3" t="n">
        <v>12</v>
      </c>
      <c r="F3" t="n">
        <v>1.12</v>
      </c>
      <c r="G3" t="n">
        <v>1541.75</v>
      </c>
      <c r="H3" t="n">
        <v>14389.69</v>
      </c>
      <c r="I3" t="n">
        <v>2</v>
      </c>
      <c r="J3" t="n">
        <v>0.98</v>
      </c>
      <c r="K3" t="n">
        <v>287.79</v>
      </c>
      <c r="L3" t="n">
        <v>14101.9</v>
      </c>
      <c r="M3" t="n">
        <v>14101.9</v>
      </c>
      <c r="N3" t="n">
        <v>14101.9</v>
      </c>
      <c r="O3" t="n">
        <v>22076</v>
      </c>
      <c r="P3" t="n">
        <v>0.63879</v>
      </c>
      <c r="Q3" t="n">
        <v>0.63879</v>
      </c>
      <c r="R3" t="n">
        <v>0.63879</v>
      </c>
      <c r="S3" t="n">
        <v>0</v>
      </c>
      <c r="T3" t="n">
        <v>0</v>
      </c>
      <c r="U3" t="inlineStr">
        <is>
          <t>SÍ</t>
        </is>
      </c>
      <c r="V3" t="inlineStr"/>
    </row>
    <row r="4">
      <c r="A4" t="n">
        <v>1550</v>
      </c>
      <c r="B4" t="inlineStr">
        <is>
          <t>CADORTAN S.L.</t>
        </is>
      </c>
      <c r="C4" t="inlineStr">
        <is>
          <t>NADORCOTT</t>
        </is>
      </c>
      <c r="D4" t="n">
        <v>22600.67</v>
      </c>
      <c r="E4" t="n">
        <v>4</v>
      </c>
      <c r="F4" t="n">
        <v>1.04</v>
      </c>
      <c r="G4" t="n">
        <v>904.03</v>
      </c>
      <c r="H4" t="n">
        <v>23504.7</v>
      </c>
      <c r="I4" t="n">
        <v>0</v>
      </c>
      <c r="J4" t="n">
        <v>1</v>
      </c>
      <c r="K4" t="n">
        <v>0</v>
      </c>
      <c r="L4" t="n">
        <v>23504.7</v>
      </c>
      <c r="M4" t="n">
        <v>23504.7</v>
      </c>
      <c r="N4" t="n">
        <v>23504.7</v>
      </c>
      <c r="O4" t="n">
        <v>34624</v>
      </c>
      <c r="P4" t="n">
        <v>0.67886</v>
      </c>
      <c r="Q4" t="n">
        <v>0.67886</v>
      </c>
      <c r="R4" t="n">
        <v>0.67886</v>
      </c>
      <c r="S4" t="n">
        <v>0</v>
      </c>
      <c r="T4" t="n">
        <v>0</v>
      </c>
      <c r="U4" t="inlineStr">
        <is>
          <t>SÍ</t>
        </is>
      </c>
      <c r="V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2</v>
      </c>
      <c r="J2" t="n">
        <v>0</v>
      </c>
      <c r="K2" t="n">
        <v>0</v>
      </c>
      <c r="L2" t="n">
        <v>10.97</v>
      </c>
      <c r="M2" t="n">
        <v>195</v>
      </c>
      <c r="N2" t="n">
        <v>2139.15</v>
      </c>
      <c r="O2" t="n">
        <v>235605</v>
      </c>
      <c r="P2" t="n">
        <v>0.009079391354173299</v>
      </c>
      <c r="Q2" t="n">
        <v>79393</v>
      </c>
      <c r="R2" t="n">
        <v>720.84</v>
      </c>
      <c r="S2" t="n">
        <v>0</v>
      </c>
      <c r="T2" t="n">
        <v>720.84</v>
      </c>
      <c r="U2" t="n">
        <v>1418.31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socio=1214 campaña=2026 empresa=1 cultivo=MANDARINA.; No existe fuente acumulada disponible; saldo informativo calculado con cuota ya aplicada = 0.</t>
        </is>
      </c>
      <c r="Y2" t="inlineStr">
        <is>
          <t>SÍ</t>
        </is>
      </c>
    </row>
    <row r="3">
      <c r="A3" t="n">
        <v>1514</v>
      </c>
      <c r="B3" t="inlineStr">
        <is>
          <t>PRIETO ROMERO, JAVIER</t>
        </is>
      </c>
      <c r="C3" t="inlineStr">
        <is>
          <t>NADORCOTT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3</v>
      </c>
      <c r="H3" t="n">
        <v>2</v>
      </c>
      <c r="I3" t="n">
        <v>3</v>
      </c>
      <c r="J3" t="n">
        <v>0</v>
      </c>
      <c r="K3" t="n">
        <v>0</v>
      </c>
      <c r="L3" t="n">
        <v>5.24</v>
      </c>
      <c r="M3" t="n">
        <v>195</v>
      </c>
      <c r="N3" t="n">
        <v>1021.8</v>
      </c>
      <c r="O3" t="n">
        <v>46170</v>
      </c>
      <c r="P3" t="n">
        <v>0.02213125406107862</v>
      </c>
      <c r="Q3" t="n">
        <v>22076</v>
      </c>
      <c r="R3" t="n">
        <v>488.57</v>
      </c>
      <c r="S3" t="n">
        <v>0</v>
      </c>
      <c r="T3" t="n">
        <v>488.57</v>
      </c>
      <c r="U3" t="n">
        <v>533.23</v>
      </c>
      <c r="V3" t="inlineStr">
        <is>
          <t>OPEN</t>
        </is>
      </c>
      <c r="W3" t="inlineStr">
        <is>
          <t>calculated</t>
        </is>
      </c>
      <c r="X3" t="inlineStr">
        <is>
          <t>No existe tarifa BonCalidad para socio=1514 campaña=2026 empresa=1 cultivo=MANDARINA.; No existe fuente acumulada disponible; saldo informativo calculado con cuota ya aplicada = 0.</t>
        </is>
      </c>
      <c r="Y3" t="inlineStr">
        <is>
          <t>SÍ</t>
        </is>
      </c>
    </row>
    <row r="4">
      <c r="A4" t="n">
        <v>1550</v>
      </c>
      <c r="B4" t="inlineStr">
        <is>
          <t>CADORTAN S.L.</t>
        </is>
      </c>
      <c r="C4" t="inlineStr">
        <is>
          <t>NADORCOTT</t>
        </is>
      </c>
      <c r="D4" t="inlineStr">
        <is>
          <t>2026</t>
        </is>
      </c>
      <c r="E4" t="inlineStr">
        <is>
          <t>1</t>
        </is>
      </c>
      <c r="F4" t="inlineStr">
        <is>
          <t>DIRECTOCHF, DIRECTO, MANDARINA, INDUSTRIA, CITRICOS</t>
        </is>
      </c>
      <c r="G4" t="n">
        <v>4</v>
      </c>
      <c r="H4" t="n">
        <v>4</v>
      </c>
      <c r="I4" t="n">
        <v>6</v>
      </c>
      <c r="J4" t="n">
        <v>0</v>
      </c>
      <c r="K4" t="n">
        <v>0</v>
      </c>
      <c r="L4" t="n">
        <v>15.48</v>
      </c>
      <c r="M4" t="n">
        <v>195</v>
      </c>
      <c r="N4" t="n">
        <v>3018.6</v>
      </c>
      <c r="O4" t="n">
        <v>341181</v>
      </c>
      <c r="P4" t="n">
        <v>0.008847503231422617</v>
      </c>
      <c r="Q4" t="n">
        <v>34624</v>
      </c>
      <c r="R4" t="n">
        <v>306.34</v>
      </c>
      <c r="S4" t="n">
        <v>0</v>
      </c>
      <c r="T4" t="n">
        <v>306.34</v>
      </c>
      <c r="U4" t="n">
        <v>2712.26</v>
      </c>
      <c r="V4" t="inlineStr">
        <is>
          <t>OPEN</t>
        </is>
      </c>
      <c r="W4" t="inlineStr">
        <is>
          <t>calculated</t>
        </is>
      </c>
      <c r="X4" t="inlineStr">
        <is>
          <t>No existe tarifa BonCalidad para socio=1550 campaña=2026 empresa=1 cultivo=MANDARINA.; El socio 1550 figura certificado GlobalGAP en CITRICOS, MANDARINA pero no en CITRICOS, MANDARINA. Se ha aplicado la certificación global del socio. Revise DEEPP.; No existe fuente acumulada disponible; saldo informativo calculado con cuota ya aplicada = 0.</t>
        </is>
      </c>
      <c r="Y4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1214</v>
      </c>
      <c r="B2" t="inlineStr">
        <is>
          <t>CALZADA GAMIZ,JOSE ANTONIO</t>
        </is>
      </c>
      <c r="C2" t="n">
        <v>613</v>
      </c>
      <c r="D2" t="inlineStr">
        <is>
          <t>6455</t>
        </is>
      </c>
      <c r="E2" t="inlineStr">
        <is>
          <t>20</t>
        </is>
      </c>
      <c r="F2" t="inlineStr">
        <is>
          <t>9</t>
        </is>
      </c>
      <c r="G2" t="inlineStr">
        <is>
          <t>1</t>
        </is>
      </c>
      <c r="H2" t="n">
        <v>2016</v>
      </c>
      <c r="I2" t="n">
        <v>4.98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10.97</v>
      </c>
      <c r="P2" t="n">
        <v>2139.15</v>
      </c>
      <c r="Q2" t="n">
        <v>235605</v>
      </c>
      <c r="R2" t="n">
        <v>0.009079391354173299</v>
      </c>
      <c r="S2" t="n">
        <v>79393</v>
      </c>
      <c r="T2" t="n">
        <v>720.84</v>
      </c>
    </row>
    <row r="3">
      <c r="A3" t="n">
        <v>1214</v>
      </c>
      <c r="B3" t="inlineStr">
        <is>
          <t>CALZADA GAMIZ,JOSE ANTONIO</t>
        </is>
      </c>
      <c r="C3" t="n">
        <v>621</v>
      </c>
      <c r="D3" t="inlineStr">
        <is>
          <t>6456</t>
        </is>
      </c>
      <c r="E3" t="inlineStr">
        <is>
          <t>19</t>
        </is>
      </c>
      <c r="F3" t="inlineStr">
        <is>
          <t>10</t>
        </is>
      </c>
      <c r="G3" t="inlineStr">
        <is>
          <t>5</t>
        </is>
      </c>
      <c r="H3" t="n">
        <v>2019</v>
      </c>
      <c r="I3" t="n">
        <v>5.99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10.97</v>
      </c>
      <c r="P3" t="n">
        <v>2139.15</v>
      </c>
      <c r="Q3" t="n">
        <v>235605</v>
      </c>
      <c r="R3" t="n">
        <v>0.009079391354173299</v>
      </c>
      <c r="S3" t="n">
        <v>79393</v>
      </c>
      <c r="T3" t="n">
        <v>720.84</v>
      </c>
    </row>
    <row r="4">
      <c r="A4" t="n">
        <v>1514</v>
      </c>
      <c r="B4" t="inlineStr">
        <is>
          <t>PRIETO ROMERO, JAVIER</t>
        </is>
      </c>
      <c r="C4" t="n">
        <v>691</v>
      </c>
      <c r="I4" t="n">
        <v>3.16</v>
      </c>
      <c r="J4" t="n">
        <v>0</v>
      </c>
      <c r="M4" t="inlineStr">
        <is>
          <t>No</t>
        </is>
      </c>
      <c r="N4" t="inlineStr">
        <is>
          <t>CHA_NO_SELECCIONADO; CHA_NO_ACTIVO</t>
        </is>
      </c>
      <c r="O4" t="n">
        <v>5.24</v>
      </c>
      <c r="P4" t="n">
        <v>1021.8</v>
      </c>
      <c r="Q4" t="n">
        <v>46170</v>
      </c>
      <c r="R4" t="n">
        <v>0.02213125406107862</v>
      </c>
      <c r="S4" t="n">
        <v>22076</v>
      </c>
      <c r="T4" t="n">
        <v>488.57</v>
      </c>
    </row>
    <row r="5">
      <c r="A5" t="n">
        <v>1514</v>
      </c>
      <c r="B5" t="inlineStr">
        <is>
          <t>PRIETO ROMERO, JAVIER</t>
        </is>
      </c>
      <c r="C5" t="n">
        <v>331</v>
      </c>
      <c r="D5" t="inlineStr">
        <is>
          <t>9071</t>
        </is>
      </c>
      <c r="E5" t="inlineStr">
        <is>
          <t>12</t>
        </is>
      </c>
      <c r="F5" t="inlineStr">
        <is>
          <t>11</t>
        </is>
      </c>
      <c r="G5" t="inlineStr">
        <is>
          <t>2</t>
        </is>
      </c>
      <c r="H5" t="n">
        <v>1993</v>
      </c>
      <c r="I5" t="n">
        <v>2.04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5.24</v>
      </c>
      <c r="P5" t="n">
        <v>1021.8</v>
      </c>
      <c r="Q5" t="n">
        <v>46170</v>
      </c>
      <c r="R5" t="n">
        <v>0.02213125406107862</v>
      </c>
      <c r="S5" t="n">
        <v>22076</v>
      </c>
      <c r="T5" t="n">
        <v>488.57</v>
      </c>
    </row>
    <row r="6">
      <c r="A6" t="n">
        <v>1514</v>
      </c>
      <c r="B6" t="inlineStr">
        <is>
          <t>PRIETO ROMERO, JAVIER</t>
        </is>
      </c>
      <c r="C6" t="n">
        <v>610</v>
      </c>
      <c r="D6" t="inlineStr">
        <is>
          <t>9587</t>
        </is>
      </c>
      <c r="E6" t="inlineStr">
        <is>
          <t>11</t>
        </is>
      </c>
      <c r="F6" t="inlineStr">
        <is>
          <t>120</t>
        </is>
      </c>
      <c r="G6" t="inlineStr">
        <is>
          <t>4</t>
        </is>
      </c>
      <c r="H6" t="n">
        <v>2016</v>
      </c>
      <c r="I6" t="n">
        <v>2.4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5.24</v>
      </c>
      <c r="P6" t="n">
        <v>1021.8</v>
      </c>
      <c r="Q6" t="n">
        <v>46170</v>
      </c>
      <c r="R6" t="n">
        <v>0.02213125406107862</v>
      </c>
      <c r="S6" t="n">
        <v>22076</v>
      </c>
      <c r="T6" t="n">
        <v>488.57</v>
      </c>
    </row>
    <row r="7">
      <c r="A7" t="n">
        <v>1514</v>
      </c>
      <c r="B7" t="inlineStr">
        <is>
          <t>PRIETO ROMERO, JAVIER</t>
        </is>
      </c>
      <c r="C7" t="n">
        <v>610</v>
      </c>
      <c r="D7" t="inlineStr">
        <is>
          <t>9588</t>
        </is>
      </c>
      <c r="E7" t="inlineStr">
        <is>
          <t>11</t>
        </is>
      </c>
      <c r="F7" t="inlineStr">
        <is>
          <t>120</t>
        </is>
      </c>
      <c r="G7" t="inlineStr">
        <is>
          <t>3</t>
        </is>
      </c>
      <c r="H7" t="n">
        <v>2016</v>
      </c>
      <c r="I7" t="n">
        <v>0.8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5.24</v>
      </c>
      <c r="P7" t="n">
        <v>1021.8</v>
      </c>
      <c r="Q7" t="n">
        <v>46170</v>
      </c>
      <c r="R7" t="n">
        <v>0.02213125406107862</v>
      </c>
      <c r="S7" t="n">
        <v>22076</v>
      </c>
      <c r="T7" t="n">
        <v>488.57</v>
      </c>
    </row>
    <row r="8">
      <c r="A8" t="n">
        <v>1550</v>
      </c>
      <c r="B8" t="inlineStr">
        <is>
          <t>CADORTAN S.L.</t>
        </is>
      </c>
      <c r="C8" t="n">
        <v>437</v>
      </c>
      <c r="D8" t="inlineStr">
        <is>
          <t>9135</t>
        </is>
      </c>
      <c r="E8" t="inlineStr">
        <is>
          <t>12</t>
        </is>
      </c>
      <c r="F8" t="inlineStr">
        <is>
          <t>103</t>
        </is>
      </c>
      <c r="G8" t="inlineStr">
        <is>
          <t>3</t>
        </is>
      </c>
      <c r="H8" t="n">
        <v>2006</v>
      </c>
      <c r="I8" t="n">
        <v>3.47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15.48</v>
      </c>
      <c r="P8" t="n">
        <v>3018.6</v>
      </c>
      <c r="Q8" t="n">
        <v>341181</v>
      </c>
      <c r="R8" t="n">
        <v>0.008847503231422617</v>
      </c>
      <c r="S8" t="n">
        <v>34624</v>
      </c>
      <c r="T8" t="n">
        <v>306.34</v>
      </c>
    </row>
    <row r="9">
      <c r="A9" t="n">
        <v>1550</v>
      </c>
      <c r="B9" t="inlineStr">
        <is>
          <t>CADORTAN S.L.</t>
        </is>
      </c>
      <c r="C9" t="n">
        <v>437</v>
      </c>
      <c r="D9" t="inlineStr">
        <is>
          <t>9136</t>
        </is>
      </c>
      <c r="E9" t="inlineStr">
        <is>
          <t>12</t>
        </is>
      </c>
      <c r="F9" t="inlineStr">
        <is>
          <t>135</t>
        </is>
      </c>
      <c r="G9" t="inlineStr">
        <is>
          <t>1</t>
        </is>
      </c>
      <c r="H9" t="n">
        <v>2006</v>
      </c>
      <c r="I9" t="n">
        <v>3.1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15.48</v>
      </c>
      <c r="P9" t="n">
        <v>3018.6</v>
      </c>
      <c r="Q9" t="n">
        <v>341181</v>
      </c>
      <c r="R9" t="n">
        <v>0.008847503231422617</v>
      </c>
      <c r="S9" t="n">
        <v>34624</v>
      </c>
      <c r="T9" t="n">
        <v>306.34</v>
      </c>
    </row>
    <row r="10">
      <c r="A10" t="n">
        <v>1550</v>
      </c>
      <c r="B10" t="inlineStr">
        <is>
          <t>CADORTAN S.L.</t>
        </is>
      </c>
      <c r="C10" t="n">
        <v>521</v>
      </c>
      <c r="D10" t="inlineStr">
        <is>
          <t>9137</t>
        </is>
      </c>
      <c r="E10" t="inlineStr">
        <is>
          <t>11</t>
        </is>
      </c>
      <c r="F10" t="inlineStr">
        <is>
          <t>63</t>
        </is>
      </c>
      <c r="G10" t="inlineStr">
        <is>
          <t>9</t>
        </is>
      </c>
      <c r="H10" t="n">
        <v>2005</v>
      </c>
      <c r="I10" t="n">
        <v>2.46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15.48</v>
      </c>
      <c r="P10" t="n">
        <v>3018.6</v>
      </c>
      <c r="Q10" t="n">
        <v>341181</v>
      </c>
      <c r="R10" t="n">
        <v>0.008847503231422617</v>
      </c>
      <c r="S10" t="n">
        <v>34624</v>
      </c>
      <c r="T10" t="n">
        <v>306.34</v>
      </c>
    </row>
    <row r="11">
      <c r="A11" t="n">
        <v>1550</v>
      </c>
      <c r="B11" t="inlineStr">
        <is>
          <t>CADORTAN S.L.</t>
        </is>
      </c>
      <c r="C11" t="n">
        <v>521</v>
      </c>
      <c r="D11" t="inlineStr">
        <is>
          <t>9138</t>
        </is>
      </c>
      <c r="E11" t="inlineStr">
        <is>
          <t>11</t>
        </is>
      </c>
      <c r="F11" t="inlineStr">
        <is>
          <t>63</t>
        </is>
      </c>
      <c r="G11" t="inlineStr">
        <is>
          <t>3</t>
        </is>
      </c>
      <c r="H11" t="n">
        <v>2005</v>
      </c>
      <c r="I11" t="n">
        <v>0.53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15.48</v>
      </c>
      <c r="P11" t="n">
        <v>3018.6</v>
      </c>
      <c r="Q11" t="n">
        <v>341181</v>
      </c>
      <c r="R11" t="n">
        <v>0.008847503231422617</v>
      </c>
      <c r="S11" t="n">
        <v>34624</v>
      </c>
      <c r="T11" t="n">
        <v>306.34</v>
      </c>
    </row>
    <row r="12">
      <c r="A12" t="n">
        <v>1550</v>
      </c>
      <c r="B12" t="inlineStr">
        <is>
          <t>CADORTAN S.L.</t>
        </is>
      </c>
      <c r="C12" t="n">
        <v>603</v>
      </c>
      <c r="D12" t="inlineStr">
        <is>
          <t>9591</t>
        </is>
      </c>
      <c r="E12" t="inlineStr">
        <is>
          <t>11</t>
        </is>
      </c>
      <c r="F12" t="inlineStr">
        <is>
          <t>63</t>
        </is>
      </c>
      <c r="G12" t="inlineStr">
        <is>
          <t>1</t>
        </is>
      </c>
      <c r="H12" t="n">
        <v>2015</v>
      </c>
      <c r="I12" t="n">
        <v>3.64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15.48</v>
      </c>
      <c r="P12" t="n">
        <v>3018.6</v>
      </c>
      <c r="Q12" t="n">
        <v>341181</v>
      </c>
      <c r="R12" t="n">
        <v>0.008847503231422617</v>
      </c>
      <c r="S12" t="n">
        <v>34624</v>
      </c>
      <c r="T12" t="n">
        <v>306.34</v>
      </c>
    </row>
    <row r="13">
      <c r="A13" t="n">
        <v>1550</v>
      </c>
      <c r="B13" t="inlineStr">
        <is>
          <t>CADORTAN S.L.</t>
        </is>
      </c>
      <c r="C13" t="n">
        <v>628</v>
      </c>
      <c r="D13" t="inlineStr">
        <is>
          <t>9592</t>
        </is>
      </c>
      <c r="E13" t="inlineStr">
        <is>
          <t>11</t>
        </is>
      </c>
      <c r="F13" t="inlineStr">
        <is>
          <t>63</t>
        </is>
      </c>
      <c r="G13" t="inlineStr">
        <is>
          <t>14</t>
        </is>
      </c>
      <c r="H13" t="n">
        <v>2019</v>
      </c>
      <c r="I13" t="n">
        <v>2.28</v>
      </c>
      <c r="J13" t="n">
        <v>1</v>
      </c>
      <c r="L13" t="inlineStr">
        <is>
          <t>Sí</t>
        </is>
      </c>
      <c r="M13" t="inlineStr">
        <is>
          <t>Sí</t>
        </is>
      </c>
      <c r="N13" t="inlineStr">
        <is>
          <t>VALIDA</t>
        </is>
      </c>
      <c r="O13" t="n">
        <v>15.48</v>
      </c>
      <c r="P13" t="n">
        <v>3018.6</v>
      </c>
      <c r="Q13" t="n">
        <v>341181</v>
      </c>
      <c r="R13" t="n">
        <v>0.008847503231422617</v>
      </c>
      <c r="S13" t="n">
        <v>34624</v>
      </c>
      <c r="T13" t="n">
        <v>306.34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1214</v>
      </c>
      <c r="B2" t="inlineStr">
        <is>
          <t>CALZADA GAMIZ,JOSE ANTONIO</t>
        </is>
      </c>
      <c r="E2" t="n">
        <v>2026</v>
      </c>
      <c r="F2" t="n">
        <v>1</v>
      </c>
      <c r="G2" t="inlineStr">
        <is>
          <t>MANDARINA</t>
        </is>
      </c>
      <c r="H2" t="inlineStr">
        <is>
          <t>NADORCOTT</t>
        </is>
      </c>
      <c r="I2" t="n">
        <v>613</v>
      </c>
      <c r="J2" t="n">
        <v>11804</v>
      </c>
      <c r="K2" t="n">
        <v>0</v>
      </c>
      <c r="L2" t="n">
        <v>11804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1214</v>
      </c>
      <c r="B3" t="inlineStr">
        <is>
          <t>CALZADA GAMIZ,JOSE ANTONIO</t>
        </is>
      </c>
      <c r="E3" t="n">
        <v>2026</v>
      </c>
      <c r="F3" t="n">
        <v>1</v>
      </c>
      <c r="G3" t="inlineStr">
        <is>
          <t>MANDARINA</t>
        </is>
      </c>
      <c r="H3" t="inlineStr">
        <is>
          <t>NADORCOTT</t>
        </is>
      </c>
      <c r="I3" t="n">
        <v>613</v>
      </c>
      <c r="J3" t="n">
        <v>12044</v>
      </c>
      <c r="K3" t="n">
        <v>10930</v>
      </c>
      <c r="L3" t="n">
        <v>10930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1214</v>
      </c>
      <c r="B4" t="inlineStr">
        <is>
          <t>CALZADA GAMIZ,JOSE ANTONIO</t>
        </is>
      </c>
      <c r="E4" t="n">
        <v>2026</v>
      </c>
      <c r="F4" t="n">
        <v>1</v>
      </c>
      <c r="G4" t="inlineStr">
        <is>
          <t>MANDARINA</t>
        </is>
      </c>
      <c r="H4" t="inlineStr">
        <is>
          <t>NADORCOTT</t>
        </is>
      </c>
      <c r="I4" t="n">
        <v>613</v>
      </c>
      <c r="J4" t="n">
        <v>1009</v>
      </c>
      <c r="K4" t="n">
        <v>0</v>
      </c>
      <c r="L4" t="n">
        <v>1009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1214</v>
      </c>
      <c r="B5" t="inlineStr">
        <is>
          <t>CALZADA GAMIZ,JOSE ANTONIO</t>
        </is>
      </c>
      <c r="E5" t="n">
        <v>2026</v>
      </c>
      <c r="F5" t="n">
        <v>1</v>
      </c>
      <c r="G5" t="inlineStr">
        <is>
          <t>MANDARINA</t>
        </is>
      </c>
      <c r="H5" t="inlineStr">
        <is>
          <t>NADORCOTT</t>
        </is>
      </c>
      <c r="I5" t="n">
        <v>613</v>
      </c>
      <c r="J5" t="n">
        <v>11932</v>
      </c>
      <c r="K5" t="n">
        <v>0</v>
      </c>
      <c r="L5" t="n">
        <v>11932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1214</v>
      </c>
      <c r="B6" t="inlineStr">
        <is>
          <t>CALZADA GAMIZ,JOSE ANTONIO</t>
        </is>
      </c>
      <c r="E6" t="n">
        <v>2026</v>
      </c>
      <c r="F6" t="n">
        <v>1</v>
      </c>
      <c r="G6" t="inlineStr">
        <is>
          <t>MANDARINA</t>
        </is>
      </c>
      <c r="H6" t="inlineStr">
        <is>
          <t>NADORCOTT</t>
        </is>
      </c>
      <c r="I6" t="n">
        <v>613</v>
      </c>
      <c r="J6" t="n">
        <v>12848</v>
      </c>
      <c r="K6" t="n">
        <v>5962</v>
      </c>
      <c r="L6" t="n">
        <v>5962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1214</v>
      </c>
      <c r="B7" t="inlineStr">
        <is>
          <t>CALZADA GAMIZ,JOSE ANTONIO</t>
        </is>
      </c>
      <c r="E7" t="n">
        <v>2026</v>
      </c>
      <c r="F7" t="n">
        <v>1</v>
      </c>
      <c r="G7" t="inlineStr">
        <is>
          <t>MANDARINA</t>
        </is>
      </c>
      <c r="H7" t="inlineStr">
        <is>
          <t>NADORCOTT</t>
        </is>
      </c>
      <c r="I7" t="n">
        <v>613</v>
      </c>
      <c r="J7" t="n">
        <v>18944</v>
      </c>
      <c r="K7" t="n">
        <v>0</v>
      </c>
      <c r="L7" t="n">
        <v>18944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1214</v>
      </c>
      <c r="B8" t="inlineStr">
        <is>
          <t>CALZADA GAMIZ,JOSE ANTONIO</t>
        </is>
      </c>
      <c r="E8" t="n">
        <v>2026</v>
      </c>
      <c r="F8" t="n">
        <v>1</v>
      </c>
      <c r="G8" t="inlineStr">
        <is>
          <t>MANDARINA</t>
        </is>
      </c>
      <c r="H8" t="inlineStr">
        <is>
          <t>NADORCOTT</t>
        </is>
      </c>
      <c r="I8" t="n">
        <v>613</v>
      </c>
      <c r="J8" t="n">
        <v>1824</v>
      </c>
      <c r="K8" t="n">
        <v>0</v>
      </c>
      <c r="L8" t="n">
        <v>1824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1214</v>
      </c>
      <c r="B9" t="inlineStr">
        <is>
          <t>CALZADA GAMIZ,JOSE ANTONIO</t>
        </is>
      </c>
      <c r="E9" t="n">
        <v>2026</v>
      </c>
      <c r="F9" t="n">
        <v>1</v>
      </c>
      <c r="G9" t="inlineStr">
        <is>
          <t>MANDARINA</t>
        </is>
      </c>
      <c r="H9" t="inlineStr">
        <is>
          <t>NADORCOTT</t>
        </is>
      </c>
      <c r="I9" t="n">
        <v>613</v>
      </c>
      <c r="J9" t="n">
        <v>11983</v>
      </c>
      <c r="K9" t="n">
        <v>4877</v>
      </c>
      <c r="L9" t="n">
        <v>4877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1214</v>
      </c>
      <c r="B10" t="inlineStr">
        <is>
          <t>CALZADA GAMIZ,JOSE ANTONIO</t>
        </is>
      </c>
      <c r="E10" t="n">
        <v>2026</v>
      </c>
      <c r="F10" t="n">
        <v>1</v>
      </c>
      <c r="G10" t="inlineStr">
        <is>
          <t>MANDARINA</t>
        </is>
      </c>
      <c r="H10" t="inlineStr">
        <is>
          <t>NADORCOTT</t>
        </is>
      </c>
      <c r="I10" t="n">
        <v>613</v>
      </c>
      <c r="J10" t="n">
        <v>20502</v>
      </c>
      <c r="K10" t="n">
        <v>0</v>
      </c>
      <c r="L10" t="n">
        <v>20502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1214</v>
      </c>
      <c r="B11" t="inlineStr">
        <is>
          <t>CALZADA GAMIZ,JOSE ANTONIO</t>
        </is>
      </c>
      <c r="E11" t="n">
        <v>2026</v>
      </c>
      <c r="F11" t="n">
        <v>1</v>
      </c>
      <c r="G11" t="inlineStr">
        <is>
          <t>MANDARINA</t>
        </is>
      </c>
      <c r="H11" t="inlineStr">
        <is>
          <t>NADORCOTT</t>
        </is>
      </c>
      <c r="I11" t="n">
        <v>613</v>
      </c>
      <c r="J11" t="n">
        <v>20060</v>
      </c>
      <c r="K11" t="n">
        <v>0</v>
      </c>
      <c r="L11" t="n">
        <v>20060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1214</v>
      </c>
      <c r="B12" t="inlineStr">
        <is>
          <t>CALZADA GAMIZ,JOSE ANTONIO</t>
        </is>
      </c>
      <c r="E12" t="n">
        <v>2026</v>
      </c>
      <c r="F12" t="n">
        <v>1</v>
      </c>
      <c r="G12" t="inlineStr">
        <is>
          <t>MANDARINA</t>
        </is>
      </c>
      <c r="H12" t="inlineStr">
        <is>
          <t>NADORCOTT</t>
        </is>
      </c>
      <c r="I12" t="n">
        <v>613</v>
      </c>
      <c r="J12" t="n">
        <v>11785</v>
      </c>
      <c r="K12" t="n">
        <v>6149</v>
      </c>
      <c r="L12" t="n">
        <v>6149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1214</v>
      </c>
      <c r="B13" t="inlineStr">
        <is>
          <t>CALZADA GAMIZ,JOSE ANTONIO</t>
        </is>
      </c>
      <c r="E13" t="n">
        <v>2026</v>
      </c>
      <c r="F13" t="n">
        <v>1</v>
      </c>
      <c r="G13" t="inlineStr">
        <is>
          <t>MANDARINA</t>
        </is>
      </c>
      <c r="H13" t="inlineStr">
        <is>
          <t>NADORCOTT</t>
        </is>
      </c>
      <c r="I13" t="n">
        <v>613</v>
      </c>
      <c r="J13" t="n">
        <v>10476</v>
      </c>
      <c r="K13" t="n">
        <v>5926</v>
      </c>
      <c r="L13" t="n">
        <v>5926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1214</v>
      </c>
      <c r="B14" t="inlineStr">
        <is>
          <t>CALZADA GAMIZ,JOSE ANTONIO</t>
        </is>
      </c>
      <c r="E14" t="n">
        <v>2026</v>
      </c>
      <c r="F14" t="n">
        <v>1</v>
      </c>
      <c r="G14" t="inlineStr">
        <is>
          <t>MANDARINA</t>
        </is>
      </c>
      <c r="H14" t="inlineStr">
        <is>
          <t>NADORCOTT</t>
        </is>
      </c>
      <c r="I14" t="n">
        <v>613</v>
      </c>
      <c r="J14" t="n">
        <v>3890</v>
      </c>
      <c r="K14" t="n">
        <v>0</v>
      </c>
      <c r="L14" t="n">
        <v>3890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1214</v>
      </c>
      <c r="B15" t="inlineStr">
        <is>
          <t>CALZADA GAMIZ,JOSE ANTONIO</t>
        </is>
      </c>
      <c r="E15" t="n">
        <v>2026</v>
      </c>
      <c r="F15" t="n">
        <v>1</v>
      </c>
      <c r="G15" t="inlineStr">
        <is>
          <t>MANDARINA</t>
        </is>
      </c>
      <c r="H15" t="inlineStr">
        <is>
          <t>NADORCOTT</t>
        </is>
      </c>
      <c r="I15" t="n">
        <v>613</v>
      </c>
      <c r="J15" t="n">
        <v>9676</v>
      </c>
      <c r="K15" t="n">
        <v>0</v>
      </c>
      <c r="L15" t="n">
        <v>9676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1214</v>
      </c>
      <c r="B16" t="inlineStr">
        <is>
          <t>CALZADA GAMIZ,JOSE ANTONIO</t>
        </is>
      </c>
      <c r="E16" t="n">
        <v>2026</v>
      </c>
      <c r="F16" t="n">
        <v>1</v>
      </c>
      <c r="G16" t="inlineStr">
        <is>
          <t>MANDARINA</t>
        </is>
      </c>
      <c r="H16" t="inlineStr">
        <is>
          <t>NADORCOTT</t>
        </is>
      </c>
      <c r="I16" t="n">
        <v>613</v>
      </c>
      <c r="J16" t="n">
        <v>20140</v>
      </c>
      <c r="K16" t="n">
        <v>0</v>
      </c>
      <c r="L16" t="n">
        <v>20140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1214</v>
      </c>
      <c r="B17" t="inlineStr">
        <is>
          <t>CALZADA GAMIZ,JOSE ANTONIO</t>
        </is>
      </c>
      <c r="E17" t="n">
        <v>2026</v>
      </c>
      <c r="F17" t="n">
        <v>1</v>
      </c>
      <c r="G17" t="inlineStr">
        <is>
          <t>MANDARINA</t>
        </is>
      </c>
      <c r="H17" t="inlineStr">
        <is>
          <t>TANGO</t>
        </is>
      </c>
      <c r="I17" t="n">
        <v>621</v>
      </c>
      <c r="J17" t="n">
        <v>18104</v>
      </c>
      <c r="K17" t="n">
        <v>0</v>
      </c>
      <c r="L17" t="n">
        <v>18104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1214</v>
      </c>
      <c r="B18" t="inlineStr">
        <is>
          <t>CALZADA GAMIZ,JOSE ANTONIO</t>
        </is>
      </c>
      <c r="E18" t="n">
        <v>2026</v>
      </c>
      <c r="F18" t="n">
        <v>1</v>
      </c>
      <c r="G18" t="inlineStr">
        <is>
          <t>MANDARINA</t>
        </is>
      </c>
      <c r="H18" t="inlineStr">
        <is>
          <t>TANGO</t>
        </is>
      </c>
      <c r="I18" t="n">
        <v>621</v>
      </c>
      <c r="J18" t="n">
        <v>18936</v>
      </c>
      <c r="K18" t="n">
        <v>0</v>
      </c>
      <c r="L18" t="n">
        <v>18936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1214</v>
      </c>
      <c r="B19" t="inlineStr">
        <is>
          <t>CALZADA GAMIZ,JOSE ANTONIO</t>
        </is>
      </c>
      <c r="E19" t="n">
        <v>2026</v>
      </c>
      <c r="F19" t="n">
        <v>1</v>
      </c>
      <c r="G19" t="inlineStr">
        <is>
          <t>MANDARINA</t>
        </is>
      </c>
      <c r="H19" t="inlineStr">
        <is>
          <t>NADORCOTT</t>
        </is>
      </c>
      <c r="I19" t="n">
        <v>613</v>
      </c>
      <c r="J19" t="n">
        <v>11044</v>
      </c>
      <c r="K19" t="n">
        <v>0</v>
      </c>
      <c r="L19" t="n">
        <v>11044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1214</v>
      </c>
      <c r="B20" t="inlineStr">
        <is>
          <t>CALZADA GAMIZ,JOSE ANTONIO</t>
        </is>
      </c>
      <c r="E20" t="n">
        <v>2026</v>
      </c>
      <c r="F20" t="n">
        <v>1</v>
      </c>
      <c r="G20" t="inlineStr">
        <is>
          <t>MANDARINA</t>
        </is>
      </c>
      <c r="H20" t="inlineStr">
        <is>
          <t>NADORCOTT</t>
        </is>
      </c>
      <c r="I20" t="n">
        <v>613</v>
      </c>
      <c r="J20" t="n">
        <v>8812</v>
      </c>
      <c r="K20" t="n">
        <v>6121</v>
      </c>
      <c r="L20" t="n">
        <v>6121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1214</v>
      </c>
      <c r="B21" t="inlineStr">
        <is>
          <t>CALZADA GAMIZ,JOSE ANTONIO</t>
        </is>
      </c>
      <c r="E21" t="n">
        <v>2026</v>
      </c>
      <c r="F21" t="n">
        <v>1</v>
      </c>
      <c r="G21" t="inlineStr">
        <is>
          <t>MANDARINA</t>
        </is>
      </c>
      <c r="H21" t="inlineStr">
        <is>
          <t>NADORCOTT</t>
        </is>
      </c>
      <c r="I21" t="n">
        <v>613</v>
      </c>
      <c r="J21" t="n">
        <v>9472</v>
      </c>
      <c r="K21" t="n">
        <v>2295</v>
      </c>
      <c r="L21" t="n">
        <v>2295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1214</v>
      </c>
      <c r="B22" t="inlineStr">
        <is>
          <t>CALZADA GAMIZ,JOSE ANTONIO</t>
        </is>
      </c>
      <c r="E22" t="n">
        <v>2026</v>
      </c>
      <c r="F22" t="n">
        <v>1</v>
      </c>
      <c r="G22" t="inlineStr">
        <is>
          <t>MANDARINA</t>
        </is>
      </c>
      <c r="H22" t="inlineStr">
        <is>
          <t>TANGO</t>
        </is>
      </c>
      <c r="I22" t="n">
        <v>621</v>
      </c>
      <c r="J22" t="n">
        <v>18436</v>
      </c>
      <c r="K22" t="n">
        <v>0</v>
      </c>
      <c r="L22" t="n">
        <v>18436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1214</v>
      </c>
      <c r="B23" t="inlineStr">
        <is>
          <t>CALZADA GAMIZ,JOSE ANTONIO</t>
        </is>
      </c>
      <c r="E23" t="n">
        <v>2026</v>
      </c>
      <c r="F23" t="n">
        <v>1</v>
      </c>
      <c r="G23" t="inlineStr">
        <is>
          <t>MANDARINA</t>
        </is>
      </c>
      <c r="H23" t="inlineStr">
        <is>
          <t>TANGO</t>
        </is>
      </c>
      <c r="I23" t="n">
        <v>621</v>
      </c>
      <c r="J23" t="n">
        <v>1082</v>
      </c>
      <c r="K23" t="n">
        <v>0</v>
      </c>
      <c r="L23" t="n">
        <v>1082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1514</v>
      </c>
      <c r="B24" t="inlineStr">
        <is>
          <t>PRIETO ROMERO, JAVIER</t>
        </is>
      </c>
      <c r="E24" t="n">
        <v>2026</v>
      </c>
      <c r="F24" t="n">
        <v>1</v>
      </c>
      <c r="G24" t="inlineStr">
        <is>
          <t>INDUSTRIA</t>
        </is>
      </c>
      <c r="H24" t="inlineStr">
        <is>
          <t>SALUSTIANA</t>
        </is>
      </c>
      <c r="I24" t="n">
        <v>331</v>
      </c>
      <c r="J24" t="n">
        <v>5056</v>
      </c>
      <c r="K24" t="n">
        <v>0</v>
      </c>
      <c r="L24" t="n">
        <v>5056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1514</v>
      </c>
      <c r="B25" t="inlineStr">
        <is>
          <t>PRIETO ROMERO, JAVIER</t>
        </is>
      </c>
      <c r="E25" t="n">
        <v>2026</v>
      </c>
      <c r="F25" t="n">
        <v>1</v>
      </c>
      <c r="G25" t="inlineStr">
        <is>
          <t>MANDARINA</t>
        </is>
      </c>
      <c r="H25" t="inlineStr">
        <is>
          <t>NADORCOTT</t>
        </is>
      </c>
      <c r="I25" t="n">
        <v>610</v>
      </c>
      <c r="J25" t="n">
        <v>22076</v>
      </c>
      <c r="K25" t="n">
        <v>0</v>
      </c>
      <c r="L25" t="n">
        <v>22076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1514</v>
      </c>
      <c r="B26" t="inlineStr">
        <is>
          <t>PRIETO ROMERO, JAVIER</t>
        </is>
      </c>
      <c r="E26" t="n">
        <v>2026</v>
      </c>
      <c r="F26" t="n">
        <v>1</v>
      </c>
      <c r="G26" t="inlineStr">
        <is>
          <t>MANDARINA</t>
        </is>
      </c>
      <c r="H26" t="inlineStr">
        <is>
          <t>NADORCOTT</t>
        </is>
      </c>
      <c r="I26" t="n">
        <v>610</v>
      </c>
      <c r="J26" t="n">
        <v>13054</v>
      </c>
      <c r="K26" t="n">
        <v>6534</v>
      </c>
      <c r="L26" t="n">
        <v>6534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1514</v>
      </c>
      <c r="B27" t="inlineStr">
        <is>
          <t>PRIETO ROMERO, JAVIER</t>
        </is>
      </c>
      <c r="E27" t="n">
        <v>2026</v>
      </c>
      <c r="F27" t="n">
        <v>1</v>
      </c>
      <c r="G27" t="inlineStr">
        <is>
          <t>MANDARINA</t>
        </is>
      </c>
      <c r="H27" t="inlineStr">
        <is>
          <t>NADORCOTT</t>
        </is>
      </c>
      <c r="I27" t="n">
        <v>610</v>
      </c>
      <c r="J27" t="n">
        <v>14023</v>
      </c>
      <c r="K27" t="n">
        <v>6842</v>
      </c>
      <c r="L27" t="n">
        <v>6842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1514</v>
      </c>
      <c r="B28" t="inlineStr">
        <is>
          <t>PRIETO ROMERO, JAVIER</t>
        </is>
      </c>
      <c r="E28" t="n">
        <v>2026</v>
      </c>
      <c r="F28" t="n">
        <v>1</v>
      </c>
      <c r="G28" t="inlineStr">
        <is>
          <t>MANDARINA</t>
        </is>
      </c>
      <c r="H28" t="inlineStr">
        <is>
          <t>NADORCOTT</t>
        </is>
      </c>
      <c r="I28" t="n">
        <v>610</v>
      </c>
      <c r="J28" t="n">
        <v>13186</v>
      </c>
      <c r="K28" t="n">
        <v>5662</v>
      </c>
      <c r="L28" t="n">
        <v>5662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1550</v>
      </c>
      <c r="B29" t="inlineStr">
        <is>
          <t>CADORTAN S.L.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LANE LATE</t>
        </is>
      </c>
      <c r="I29" t="n">
        <v>437</v>
      </c>
      <c r="J29" t="n">
        <v>760</v>
      </c>
      <c r="K29" t="n">
        <v>0</v>
      </c>
      <c r="L29" t="n">
        <v>760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1550</v>
      </c>
      <c r="B30" t="inlineStr">
        <is>
          <t>CADORTAN S.L.</t>
        </is>
      </c>
      <c r="E30" t="n">
        <v>2026</v>
      </c>
      <c r="F30" t="n">
        <v>1</v>
      </c>
      <c r="G30" t="inlineStr">
        <is>
          <t>DIRECTO</t>
        </is>
      </c>
      <c r="H30" t="inlineStr">
        <is>
          <t>LANE LATE</t>
        </is>
      </c>
      <c r="I30" t="n">
        <v>437</v>
      </c>
      <c r="J30" t="n">
        <v>16808</v>
      </c>
      <c r="K30" t="n">
        <v>0</v>
      </c>
      <c r="L30" t="n">
        <v>16808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1550</v>
      </c>
      <c r="B31" t="inlineStr">
        <is>
          <t>CADORTAN S.L.</t>
        </is>
      </c>
      <c r="E31" t="n">
        <v>2026</v>
      </c>
      <c r="F31" t="n">
        <v>1</v>
      </c>
      <c r="G31" t="inlineStr">
        <is>
          <t>DIRECTO</t>
        </is>
      </c>
      <c r="H31" t="inlineStr">
        <is>
          <t>LANE LATE</t>
        </is>
      </c>
      <c r="I31" t="n">
        <v>437</v>
      </c>
      <c r="J31" t="n">
        <v>17775</v>
      </c>
      <c r="K31" t="n">
        <v>0</v>
      </c>
      <c r="L31" t="n">
        <v>17775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1550</v>
      </c>
      <c r="B32" t="inlineStr">
        <is>
          <t>CADORTAN S.L.</t>
        </is>
      </c>
      <c r="E32" t="n">
        <v>2026</v>
      </c>
      <c r="F32" t="n">
        <v>1</v>
      </c>
      <c r="G32" t="inlineStr">
        <is>
          <t>DIRECTO</t>
        </is>
      </c>
      <c r="H32" t="inlineStr">
        <is>
          <t>LANE LATE</t>
        </is>
      </c>
      <c r="I32" t="n">
        <v>437</v>
      </c>
      <c r="J32" t="n">
        <v>21310</v>
      </c>
      <c r="K32" t="n">
        <v>0</v>
      </c>
      <c r="L32" t="n">
        <v>21310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1550</v>
      </c>
      <c r="B33" t="inlineStr">
        <is>
          <t>CADORTAN S.L.</t>
        </is>
      </c>
      <c r="E33" t="n">
        <v>2026</v>
      </c>
      <c r="F33" t="n">
        <v>1</v>
      </c>
      <c r="G33" t="inlineStr">
        <is>
          <t>DIRECTO</t>
        </is>
      </c>
      <c r="H33" t="inlineStr">
        <is>
          <t>LANE LATE</t>
        </is>
      </c>
      <c r="I33" t="n">
        <v>437</v>
      </c>
      <c r="J33" t="n">
        <v>23980</v>
      </c>
      <c r="K33" t="n">
        <v>0</v>
      </c>
      <c r="L33" t="n">
        <v>23980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1550</v>
      </c>
      <c r="B34" t="inlineStr">
        <is>
          <t>CADORTAN S.L.</t>
        </is>
      </c>
      <c r="E34" t="n">
        <v>2026</v>
      </c>
      <c r="F34" t="n">
        <v>1</v>
      </c>
      <c r="G34" t="inlineStr">
        <is>
          <t>DIRECTO</t>
        </is>
      </c>
      <c r="H34" t="inlineStr">
        <is>
          <t>LANE LATE</t>
        </is>
      </c>
      <c r="I34" t="n">
        <v>437</v>
      </c>
      <c r="J34" t="n">
        <v>2552</v>
      </c>
      <c r="K34" t="n">
        <v>0</v>
      </c>
      <c r="L34" t="n">
        <v>2552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1550</v>
      </c>
      <c r="B35" t="inlineStr">
        <is>
          <t>CADORTAN S.L.</t>
        </is>
      </c>
      <c r="E35" t="n">
        <v>2026</v>
      </c>
      <c r="F35" t="n">
        <v>1</v>
      </c>
      <c r="G35" t="inlineStr">
        <is>
          <t>DIRECTO</t>
        </is>
      </c>
      <c r="H35" t="inlineStr">
        <is>
          <t>LANE LATE</t>
        </is>
      </c>
      <c r="I35" t="n">
        <v>437</v>
      </c>
      <c r="J35" t="n">
        <v>22285</v>
      </c>
      <c r="K35" t="n">
        <v>0</v>
      </c>
      <c r="L35" t="n">
        <v>22285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1550</v>
      </c>
      <c r="B36" t="inlineStr">
        <is>
          <t>CADORTAN S.L.</t>
        </is>
      </c>
      <c r="E36" t="n">
        <v>2026</v>
      </c>
      <c r="F36" t="n">
        <v>1</v>
      </c>
      <c r="G36" t="inlineStr">
        <is>
          <t>DIRECTO</t>
        </is>
      </c>
      <c r="H36" t="inlineStr">
        <is>
          <t>LANE LATE</t>
        </is>
      </c>
      <c r="I36" t="n">
        <v>437</v>
      </c>
      <c r="J36" t="n">
        <v>22575</v>
      </c>
      <c r="K36" t="n">
        <v>0</v>
      </c>
      <c r="L36" t="n">
        <v>22575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1550</v>
      </c>
      <c r="B37" t="inlineStr">
        <is>
          <t>CADORTAN S.L.</t>
        </is>
      </c>
      <c r="E37" t="n">
        <v>2026</v>
      </c>
      <c r="F37" t="n">
        <v>1</v>
      </c>
      <c r="G37" t="inlineStr">
        <is>
          <t>DIRECTO</t>
        </is>
      </c>
      <c r="H37" t="inlineStr">
        <is>
          <t>LANE LATE</t>
        </is>
      </c>
      <c r="I37" t="n">
        <v>437</v>
      </c>
      <c r="J37" t="n">
        <v>13355</v>
      </c>
      <c r="K37" t="n">
        <v>15156</v>
      </c>
      <c r="L37" t="n">
        <v>15156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1550</v>
      </c>
      <c r="B38" t="inlineStr">
        <is>
          <t>CADORTAN S.L.</t>
        </is>
      </c>
      <c r="E38" t="n">
        <v>2026</v>
      </c>
      <c r="F38" t="n">
        <v>1</v>
      </c>
      <c r="G38" t="inlineStr">
        <is>
          <t>DIRECTO</t>
        </is>
      </c>
      <c r="H38" t="inlineStr">
        <is>
          <t>LANE LATE</t>
        </is>
      </c>
      <c r="I38" t="n">
        <v>437</v>
      </c>
      <c r="J38" t="n">
        <v>22810</v>
      </c>
      <c r="K38" t="n">
        <v>0</v>
      </c>
      <c r="L38" t="n">
        <v>22810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1550</v>
      </c>
      <c r="B39" t="inlineStr">
        <is>
          <t>CADORTAN S.L.</t>
        </is>
      </c>
      <c r="E39" t="n">
        <v>2026</v>
      </c>
      <c r="F39" t="n">
        <v>1</v>
      </c>
      <c r="G39" t="inlineStr">
        <is>
          <t>DIRECTO</t>
        </is>
      </c>
      <c r="H39" t="inlineStr">
        <is>
          <t>LANE LATE</t>
        </is>
      </c>
      <c r="I39" t="n">
        <v>437</v>
      </c>
      <c r="J39" t="n">
        <v>22538</v>
      </c>
      <c r="K39" t="n">
        <v>0</v>
      </c>
      <c r="L39" t="n">
        <v>22538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1550</v>
      </c>
      <c r="B40" t="inlineStr">
        <is>
          <t>CADORTAN S.L.</t>
        </is>
      </c>
      <c r="E40" t="n">
        <v>2026</v>
      </c>
      <c r="F40" t="n">
        <v>1</v>
      </c>
      <c r="G40" t="inlineStr">
        <is>
          <t>INDUSTRIA</t>
        </is>
      </c>
      <c r="H40" t="inlineStr">
        <is>
          <t>NAVELINA</t>
        </is>
      </c>
      <c r="I40" t="n">
        <v>521</v>
      </c>
      <c r="J40" t="n">
        <v>4236</v>
      </c>
      <c r="K40" t="n">
        <v>4036</v>
      </c>
      <c r="L40" t="n">
        <v>4036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1550</v>
      </c>
      <c r="B41" t="inlineStr">
        <is>
          <t>CADORTAN S.L.</t>
        </is>
      </c>
      <c r="E41" t="n">
        <v>2026</v>
      </c>
      <c r="F41" t="n">
        <v>1</v>
      </c>
      <c r="G41" t="inlineStr">
        <is>
          <t>MANDARINA</t>
        </is>
      </c>
      <c r="H41" t="inlineStr">
        <is>
          <t>NADORCOTT</t>
        </is>
      </c>
      <c r="I41" t="n">
        <v>603</v>
      </c>
      <c r="J41" t="n">
        <v>10112</v>
      </c>
      <c r="K41" t="n">
        <v>0</v>
      </c>
      <c r="L41" t="n">
        <v>10112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1550</v>
      </c>
      <c r="B42" t="inlineStr">
        <is>
          <t>CADORTAN S.L.</t>
        </is>
      </c>
      <c r="E42" t="n">
        <v>2026</v>
      </c>
      <c r="F42" t="n">
        <v>1</v>
      </c>
      <c r="G42" t="inlineStr">
        <is>
          <t>MANDARINA</t>
        </is>
      </c>
      <c r="H42" t="inlineStr">
        <is>
          <t>NADORCOTT</t>
        </is>
      </c>
      <c r="I42" t="n">
        <v>603</v>
      </c>
      <c r="J42" t="n">
        <v>10132</v>
      </c>
      <c r="K42" t="n">
        <v>0</v>
      </c>
      <c r="L42" t="n">
        <v>10132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1550</v>
      </c>
      <c r="B43" t="inlineStr">
        <is>
          <t>CADORTAN S.L.</t>
        </is>
      </c>
      <c r="E43" t="n">
        <v>2026</v>
      </c>
      <c r="F43" t="n">
        <v>1</v>
      </c>
      <c r="G43" t="inlineStr">
        <is>
          <t>MANDARINA</t>
        </is>
      </c>
      <c r="H43" t="inlineStr">
        <is>
          <t>NADORCOTT</t>
        </is>
      </c>
      <c r="I43" t="n">
        <v>603</v>
      </c>
      <c r="J43" t="n">
        <v>10008</v>
      </c>
      <c r="K43" t="n">
        <v>0</v>
      </c>
      <c r="L43" t="n">
        <v>10008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1550</v>
      </c>
      <c r="B44" t="inlineStr">
        <is>
          <t>CADORTAN S.L.</t>
        </is>
      </c>
      <c r="E44" t="n">
        <v>2026</v>
      </c>
      <c r="F44" t="n">
        <v>1</v>
      </c>
      <c r="G44" t="inlineStr">
        <is>
          <t>MANDARINA</t>
        </is>
      </c>
      <c r="H44" t="inlineStr">
        <is>
          <t>NADORCOTT</t>
        </is>
      </c>
      <c r="I44" t="n">
        <v>603</v>
      </c>
      <c r="J44" t="n">
        <v>13228</v>
      </c>
      <c r="K44" t="n">
        <v>1663</v>
      </c>
      <c r="L44" t="n">
        <v>1663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1550</v>
      </c>
      <c r="B45" t="inlineStr">
        <is>
          <t>CADORTAN S.L.</t>
        </is>
      </c>
      <c r="E45" t="n">
        <v>2026</v>
      </c>
      <c r="F45" t="n">
        <v>1</v>
      </c>
      <c r="G45" t="inlineStr">
        <is>
          <t>MANDARINA</t>
        </is>
      </c>
      <c r="H45" t="inlineStr">
        <is>
          <t>NADORCOTT</t>
        </is>
      </c>
      <c r="I45" t="n">
        <v>603</v>
      </c>
      <c r="J45" t="n">
        <v>13260</v>
      </c>
      <c r="K45" t="n">
        <v>825</v>
      </c>
      <c r="L45" t="n">
        <v>825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1550</v>
      </c>
      <c r="B46" t="inlineStr">
        <is>
          <t>CADORTAN S.L.</t>
        </is>
      </c>
      <c r="E46" t="n">
        <v>2026</v>
      </c>
      <c r="F46" t="n">
        <v>1</v>
      </c>
      <c r="G46" t="inlineStr">
        <is>
          <t>MANDARINA</t>
        </is>
      </c>
      <c r="H46" t="inlineStr">
        <is>
          <t>NADORCOTT</t>
        </is>
      </c>
      <c r="I46" t="n">
        <v>603</v>
      </c>
      <c r="J46" t="n">
        <v>11908</v>
      </c>
      <c r="K46" t="n">
        <v>9981</v>
      </c>
      <c r="L46" t="n">
        <v>9981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1550</v>
      </c>
      <c r="B47" t="inlineStr">
        <is>
          <t>CADORTAN S.L.</t>
        </is>
      </c>
      <c r="E47" t="n">
        <v>2026</v>
      </c>
      <c r="F47" t="n">
        <v>1</v>
      </c>
      <c r="G47" t="inlineStr">
        <is>
          <t>MANDARINA</t>
        </is>
      </c>
      <c r="H47" t="inlineStr">
        <is>
          <t>NADORCOTT</t>
        </is>
      </c>
      <c r="I47" t="n">
        <v>603</v>
      </c>
      <c r="J47" t="n">
        <v>11676</v>
      </c>
      <c r="K47" t="n">
        <v>10719</v>
      </c>
      <c r="L47" t="n">
        <v>10719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1550</v>
      </c>
      <c r="B48" t="inlineStr">
        <is>
          <t>CADORTAN S.L.</t>
        </is>
      </c>
      <c r="E48" t="n">
        <v>2026</v>
      </c>
      <c r="F48" t="n">
        <v>1</v>
      </c>
      <c r="G48" t="inlineStr">
        <is>
          <t>MANDARINA</t>
        </is>
      </c>
      <c r="H48" t="inlineStr">
        <is>
          <t>NADORCOTT</t>
        </is>
      </c>
      <c r="I48" t="n">
        <v>603</v>
      </c>
      <c r="J48" t="n">
        <v>11868</v>
      </c>
      <c r="K48" t="n">
        <v>0</v>
      </c>
      <c r="L48" t="n">
        <v>11868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1550</v>
      </c>
      <c r="B49" t="inlineStr">
        <is>
          <t>CADORTAN S.L.</t>
        </is>
      </c>
      <c r="E49" t="n">
        <v>2026</v>
      </c>
      <c r="F49" t="n">
        <v>1</v>
      </c>
      <c r="G49" t="inlineStr">
        <is>
          <t>MANDARINA</t>
        </is>
      </c>
      <c r="H49" t="inlineStr">
        <is>
          <t>NADORCOTT</t>
        </is>
      </c>
      <c r="I49" t="n">
        <v>603</v>
      </c>
      <c r="J49" t="n">
        <v>12212</v>
      </c>
      <c r="K49" t="n">
        <v>0</v>
      </c>
      <c r="L49" t="n">
        <v>12212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1550</v>
      </c>
      <c r="B50" t="inlineStr">
        <is>
          <t>CADORTAN S.L.</t>
        </is>
      </c>
      <c r="E50" t="n">
        <v>2026</v>
      </c>
      <c r="F50" t="n">
        <v>1</v>
      </c>
      <c r="G50" t="inlineStr">
        <is>
          <t>MANDARINA</t>
        </is>
      </c>
      <c r="H50" t="inlineStr">
        <is>
          <t>NADORCOTT</t>
        </is>
      </c>
      <c r="I50" t="n">
        <v>603</v>
      </c>
      <c r="J50" t="n">
        <v>8420</v>
      </c>
      <c r="K50" t="n">
        <v>0</v>
      </c>
      <c r="L50" t="n">
        <v>8420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1550</v>
      </c>
      <c r="B51" t="inlineStr">
        <is>
          <t>CADORTAN S.L.</t>
        </is>
      </c>
      <c r="E51" t="n">
        <v>2026</v>
      </c>
      <c r="F51" t="n">
        <v>1</v>
      </c>
      <c r="G51" t="inlineStr">
        <is>
          <t>MANDARINA</t>
        </is>
      </c>
      <c r="H51" t="inlineStr">
        <is>
          <t>NADORCOTT</t>
        </is>
      </c>
      <c r="I51" t="n">
        <v>603</v>
      </c>
      <c r="J51" t="n">
        <v>12084</v>
      </c>
      <c r="K51" t="n">
        <v>0</v>
      </c>
      <c r="L51" t="n">
        <v>12084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1550</v>
      </c>
      <c r="B52" t="inlineStr">
        <is>
          <t>CADORTAN S.L.</t>
        </is>
      </c>
      <c r="E52" t="n">
        <v>2026</v>
      </c>
      <c r="F52" t="n">
        <v>1</v>
      </c>
      <c r="G52" t="inlineStr">
        <is>
          <t>MANDARINA</t>
        </is>
      </c>
      <c r="H52" t="inlineStr">
        <is>
          <t>NADORCOTT</t>
        </is>
      </c>
      <c r="I52" t="n">
        <v>603</v>
      </c>
      <c r="J52" t="n">
        <v>13048</v>
      </c>
      <c r="K52" t="n">
        <v>6062</v>
      </c>
      <c r="L52" t="n">
        <v>6062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1550</v>
      </c>
      <c r="B53" t="inlineStr">
        <is>
          <t>CADORTAN S.L.</t>
        </is>
      </c>
      <c r="E53" t="n">
        <v>2026</v>
      </c>
      <c r="F53" t="n">
        <v>1</v>
      </c>
      <c r="G53" t="inlineStr">
        <is>
          <t>MANDARINA</t>
        </is>
      </c>
      <c r="H53" t="inlineStr">
        <is>
          <t>NADORCOTT</t>
        </is>
      </c>
      <c r="I53" t="n">
        <v>603</v>
      </c>
      <c r="J53" t="n">
        <v>10416</v>
      </c>
      <c r="K53" t="n">
        <v>0</v>
      </c>
      <c r="L53" t="n">
        <v>10416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1550</v>
      </c>
      <c r="B54" t="inlineStr">
        <is>
          <t>CADORTAN S.L.</t>
        </is>
      </c>
      <c r="E54" t="n">
        <v>2026</v>
      </c>
      <c r="F54" t="n">
        <v>1</v>
      </c>
      <c r="G54" t="inlineStr">
        <is>
          <t>MANDARINA</t>
        </is>
      </c>
      <c r="H54" t="inlineStr">
        <is>
          <t>NADORCOTT</t>
        </is>
      </c>
      <c r="I54" t="n">
        <v>603</v>
      </c>
      <c r="J54" t="n">
        <v>10952</v>
      </c>
      <c r="K54" t="n">
        <v>0</v>
      </c>
      <c r="L54" t="n">
        <v>10952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1550</v>
      </c>
      <c r="B55" t="inlineStr">
        <is>
          <t>CADORTAN S.L.</t>
        </is>
      </c>
      <c r="E55" t="n">
        <v>2026</v>
      </c>
      <c r="F55" t="n">
        <v>1</v>
      </c>
      <c r="G55" t="inlineStr">
        <is>
          <t>MANDARINA</t>
        </is>
      </c>
      <c r="H55" t="inlineStr">
        <is>
          <t>NADORCOTT</t>
        </is>
      </c>
      <c r="I55" t="n">
        <v>603</v>
      </c>
      <c r="J55" t="n">
        <v>7693</v>
      </c>
      <c r="K55" t="n">
        <v>1555</v>
      </c>
      <c r="L55" t="n">
        <v>1555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1550</v>
      </c>
      <c r="B56" t="inlineStr">
        <is>
          <t>CADORTAN S.L.</t>
        </is>
      </c>
      <c r="E56" t="n">
        <v>2026</v>
      </c>
      <c r="F56" t="n">
        <v>1</v>
      </c>
      <c r="G56" t="inlineStr">
        <is>
          <t>MANDARINA</t>
        </is>
      </c>
      <c r="H56" t="inlineStr">
        <is>
          <t>NADORCOTT</t>
        </is>
      </c>
      <c r="I56" t="n">
        <v>603</v>
      </c>
      <c r="J56" t="n">
        <v>7066</v>
      </c>
      <c r="K56" t="n">
        <v>5247</v>
      </c>
      <c r="L56" t="n">
        <v>5247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1550</v>
      </c>
      <c r="B57" t="inlineStr">
        <is>
          <t>CADORTAN S.L.</t>
        </is>
      </c>
      <c r="E57" t="n">
        <v>2026</v>
      </c>
      <c r="F57" t="n">
        <v>1</v>
      </c>
      <c r="G57" t="inlineStr">
        <is>
          <t>MANDARINA</t>
        </is>
      </c>
      <c r="H57" t="inlineStr">
        <is>
          <t>TANGO</t>
        </is>
      </c>
      <c r="I57" t="n">
        <v>628</v>
      </c>
      <c r="J57" t="n">
        <v>9196</v>
      </c>
      <c r="K57" t="n">
        <v>0</v>
      </c>
      <c r="L57" t="n">
        <v>9196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1550</v>
      </c>
      <c r="B58" t="inlineStr">
        <is>
          <t>CADORTAN S.L.</t>
        </is>
      </c>
      <c r="E58" t="n">
        <v>2026</v>
      </c>
      <c r="F58" t="n">
        <v>1</v>
      </c>
      <c r="G58" t="inlineStr">
        <is>
          <t>MANDARINA</t>
        </is>
      </c>
      <c r="H58" t="inlineStr">
        <is>
          <t>TANGO</t>
        </is>
      </c>
      <c r="I58" t="n">
        <v>628</v>
      </c>
      <c r="J58" t="n">
        <v>1082</v>
      </c>
      <c r="K58" t="n">
        <v>0</v>
      </c>
      <c r="L58" t="n">
        <v>1082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NADORCOTT</t>
        </is>
      </c>
      <c r="D2" t="inlineStr">
        <is>
          <t>Hectáreas</t>
        </is>
      </c>
      <c r="E2" t="n">
        <v>10.97</v>
      </c>
      <c r="I2" t="inlineStr"/>
    </row>
    <row r="3">
      <c r="A3" t="n">
        <v>1214</v>
      </c>
      <c r="B3" t="inlineStr">
        <is>
          <t>CALZADA GAMIZ,JOSE ANTONIO</t>
        </is>
      </c>
      <c r="C3" t="inlineStr">
        <is>
          <t>NADORCOTT</t>
        </is>
      </c>
      <c r="D3" t="inlineStr">
        <is>
          <t>Cuota teórica</t>
        </is>
      </c>
      <c r="E3" t="n">
        <v>2139.15</v>
      </c>
      <c r="I3" t="inlineStr"/>
    </row>
    <row r="4">
      <c r="A4" t="n">
        <v>1214</v>
      </c>
      <c r="B4" t="inlineStr">
        <is>
          <t>CALZADA GAMIZ,JOSE ANTONIO</t>
        </is>
      </c>
      <c r="C4" t="inlineStr">
        <is>
          <t>NADORCOTT</t>
        </is>
      </c>
      <c r="D4" t="inlineStr">
        <is>
          <t>Kg campaña</t>
        </is>
      </c>
      <c r="E4" t="n">
        <v>235605</v>
      </c>
      <c r="I4" t="inlineStr"/>
    </row>
    <row r="5">
      <c r="A5" t="n">
        <v>1214</v>
      </c>
      <c r="B5" t="inlineStr">
        <is>
          <t>CALZADA GAMIZ,JOSE ANTONIO</t>
        </is>
      </c>
      <c r="C5" t="inlineStr">
        <is>
          <t>NADORCOTT</t>
        </is>
      </c>
      <c r="D5" t="inlineStr">
        <is>
          <t>Índice</t>
        </is>
      </c>
      <c r="E5" t="n">
        <v>0.009079391354173299</v>
      </c>
      <c r="I5" t="inlineStr"/>
    </row>
    <row r="6">
      <c r="A6" t="n">
        <v>1214</v>
      </c>
      <c r="B6" t="inlineStr">
        <is>
          <t>CALZADA GAMIZ,JOSE ANTONIO</t>
        </is>
      </c>
      <c r="C6" t="inlineStr">
        <is>
          <t>NADORCOTT</t>
        </is>
      </c>
      <c r="D6" t="inlineStr">
        <is>
          <t>Kg remesa</t>
        </is>
      </c>
      <c r="E6" t="n">
        <v>79393</v>
      </c>
      <c r="I6" t="inlineStr"/>
    </row>
    <row r="7">
      <c r="A7" t="n">
        <v>1214</v>
      </c>
      <c r="B7" t="inlineStr">
        <is>
          <t>CALZADA GAMIZ,JOSE ANTONIO</t>
        </is>
      </c>
      <c r="C7" t="inlineStr">
        <is>
          <t>NADORCOTT</t>
        </is>
      </c>
      <c r="D7" t="inlineStr">
        <is>
          <t>Cuota parcial</t>
        </is>
      </c>
      <c r="E7" t="n">
        <v>720.84</v>
      </c>
      <c r="I7" t="inlineStr"/>
    </row>
    <row r="8">
      <c r="A8" t="n">
        <v>1214</v>
      </c>
      <c r="B8" t="inlineStr">
        <is>
          <t>CALZADA GAMIZ,JOSE ANTONIO</t>
        </is>
      </c>
      <c r="C8" t="inlineStr">
        <is>
          <t>NADORCOTT</t>
        </is>
      </c>
      <c r="D8" t="inlineStr">
        <is>
          <t>Importe bruto</t>
        </is>
      </c>
      <c r="E8" t="n">
        <v>62462.6</v>
      </c>
      <c r="I8" t="inlineStr"/>
    </row>
    <row r="9">
      <c r="A9" t="n">
        <v>1214</v>
      </c>
      <c r="B9" t="inlineStr">
        <is>
          <t>CALZADA GAMIZ,JOSE ANTONIO</t>
        </is>
      </c>
      <c r="C9" t="inlineStr">
        <is>
          <t>NADORCOTT</t>
        </is>
      </c>
      <c r="D9" t="inlineStr">
        <is>
          <t>Recolección</t>
        </is>
      </c>
      <c r="E9" t="n">
        <v>9924.129999999999</v>
      </c>
      <c r="I9" t="inlineStr"/>
    </row>
    <row r="10">
      <c r="A10" t="n">
        <v>1214</v>
      </c>
      <c r="B10" t="inlineStr">
        <is>
          <t>CALZADA GAMIZ,JOSE ANTONIO</t>
        </is>
      </c>
      <c r="C10" t="inlineStr">
        <is>
          <t>NADORCOTT</t>
        </is>
      </c>
      <c r="D10" t="inlineStr">
        <is>
          <t>Transporte</t>
        </is>
      </c>
      <c r="E10" t="n">
        <v>0</v>
      </c>
      <c r="I10" t="inlineStr"/>
    </row>
    <row r="11">
      <c r="A11" t="n">
        <v>1214</v>
      </c>
      <c r="B11" t="inlineStr">
        <is>
          <t>CALZADA GAMIZ,JOSE ANTONIO</t>
        </is>
      </c>
      <c r="C11" t="inlineStr">
        <is>
          <t>NADORCOTT</t>
        </is>
      </c>
      <c r="D11" t="inlineStr">
        <is>
          <t>Calidad</t>
        </is>
      </c>
      <c r="E11" t="n">
        <v>0</v>
      </c>
      <c r="I11" t="inlineStr"/>
    </row>
    <row r="12">
      <c r="A12" t="n">
        <v>1214</v>
      </c>
      <c r="B12" t="inlineStr">
        <is>
          <t>CALZADA GAMIZ,JOSE ANTONIO</t>
        </is>
      </c>
      <c r="C12" t="inlineStr">
        <is>
          <t>NADORCOTT</t>
        </is>
      </c>
      <c r="D12" t="inlineStr">
        <is>
          <t>GlobalGAP</t>
        </is>
      </c>
      <c r="E12" t="n">
        <v>1335.76</v>
      </c>
      <c r="I12" t="inlineStr"/>
    </row>
    <row r="13">
      <c r="A13" t="n">
        <v>1214</v>
      </c>
      <c r="B13" t="inlineStr">
        <is>
          <t>CALZADA GAMIZ,JOSE ANTONIO</t>
        </is>
      </c>
      <c r="C13" t="inlineStr">
        <is>
          <t>NADORCOTT</t>
        </is>
      </c>
      <c r="D13" t="inlineStr">
        <is>
          <t>Base imponible</t>
        </is>
      </c>
      <c r="E13" t="n">
        <v>53153.39</v>
      </c>
      <c r="I13" t="inlineStr"/>
    </row>
    <row r="14">
      <c r="A14" t="n">
        <v>1214</v>
      </c>
      <c r="B14" t="inlineStr">
        <is>
          <t>CALZADA GAMIZ,JOSE ANTONIO</t>
        </is>
      </c>
      <c r="C14" t="inlineStr">
        <is>
          <t>NADORCOTT</t>
        </is>
      </c>
      <c r="D14" t="inlineStr">
        <is>
          <t>IVA</t>
        </is>
      </c>
      <c r="E14" t="n">
        <v>6378.41</v>
      </c>
      <c r="I14" t="inlineStr"/>
    </row>
    <row r="15">
      <c r="A15" t="n">
        <v>1214</v>
      </c>
      <c r="B15" t="inlineStr">
        <is>
          <t>CALZADA GAMIZ,JOSE ANTONIO</t>
        </is>
      </c>
      <c r="C15" t="inlineStr">
        <is>
          <t>NADORCOTT</t>
        </is>
      </c>
      <c r="D15" t="inlineStr">
        <is>
          <t>Retención</t>
        </is>
      </c>
      <c r="E15" t="n">
        <v>1190.64</v>
      </c>
      <c r="I15" t="inlineStr"/>
    </row>
    <row r="16">
      <c r="A16" t="n">
        <v>1214</v>
      </c>
      <c r="B16" t="inlineStr">
        <is>
          <t>CALZADA GAMIZ,JOSE ANTONIO</t>
        </is>
      </c>
      <c r="C16" t="inlineStr">
        <is>
          <t>NADORCOTT</t>
        </is>
      </c>
      <c r="D16" t="inlineStr">
        <is>
          <t>Total</t>
        </is>
      </c>
      <c r="E16" t="n">
        <v>58341.16</v>
      </c>
      <c r="I16" t="inlineStr"/>
    </row>
    <row r="17">
      <c r="A17" t="n">
        <v>1514</v>
      </c>
      <c r="B17" t="inlineStr">
        <is>
          <t>PRIETO ROMERO, JAVIER</t>
        </is>
      </c>
      <c r="C17" t="inlineStr">
        <is>
          <t>NADORCOTT</t>
        </is>
      </c>
      <c r="D17" t="inlineStr">
        <is>
          <t>Hectáreas</t>
        </is>
      </c>
      <c r="E17" t="n">
        <v>5.24</v>
      </c>
      <c r="I17" t="inlineStr"/>
    </row>
    <row r="18">
      <c r="A18" t="n">
        <v>1514</v>
      </c>
      <c r="B18" t="inlineStr">
        <is>
          <t>PRIETO ROMERO, JAVIER</t>
        </is>
      </c>
      <c r="C18" t="inlineStr">
        <is>
          <t>NADORCOTT</t>
        </is>
      </c>
      <c r="D18" t="inlineStr">
        <is>
          <t>Cuota teórica</t>
        </is>
      </c>
      <c r="E18" t="n">
        <v>1021.8</v>
      </c>
      <c r="I18" t="inlineStr"/>
    </row>
    <row r="19">
      <c r="A19" t="n">
        <v>1514</v>
      </c>
      <c r="B19" t="inlineStr">
        <is>
          <t>PRIETO ROMERO, JAVIER</t>
        </is>
      </c>
      <c r="C19" t="inlineStr">
        <is>
          <t>NADORCOTT</t>
        </is>
      </c>
      <c r="D19" t="inlineStr">
        <is>
          <t>Kg campaña</t>
        </is>
      </c>
      <c r="E19" t="n">
        <v>46170</v>
      </c>
      <c r="I19" t="inlineStr"/>
    </row>
    <row r="20">
      <c r="A20" t="n">
        <v>1514</v>
      </c>
      <c r="B20" t="inlineStr">
        <is>
          <t>PRIETO ROMERO, JAVIER</t>
        </is>
      </c>
      <c r="C20" t="inlineStr">
        <is>
          <t>NADORCOTT</t>
        </is>
      </c>
      <c r="D20" t="inlineStr">
        <is>
          <t>Índice</t>
        </is>
      </c>
      <c r="E20" t="n">
        <v>0.02213125406107862</v>
      </c>
      <c r="I20" t="inlineStr"/>
    </row>
    <row r="21">
      <c r="A21" t="n">
        <v>1514</v>
      </c>
      <c r="B21" t="inlineStr">
        <is>
          <t>PRIETO ROMERO, JAVIER</t>
        </is>
      </c>
      <c r="C21" t="inlineStr">
        <is>
          <t>NADORCOTT</t>
        </is>
      </c>
      <c r="D21" t="inlineStr">
        <is>
          <t>Kg remesa</t>
        </is>
      </c>
      <c r="E21" t="n">
        <v>22076</v>
      </c>
      <c r="I21" t="inlineStr"/>
    </row>
    <row r="22">
      <c r="A22" t="n">
        <v>1514</v>
      </c>
      <c r="B22" t="inlineStr">
        <is>
          <t>PRIETO ROMERO, JAVIER</t>
        </is>
      </c>
      <c r="C22" t="inlineStr">
        <is>
          <t>NADORCOTT</t>
        </is>
      </c>
      <c r="D22" t="inlineStr">
        <is>
          <t>Cuota parcial</t>
        </is>
      </c>
      <c r="E22" t="n">
        <v>488.57</v>
      </c>
      <c r="I22" t="inlineStr"/>
    </row>
    <row r="23">
      <c r="A23" t="n">
        <v>1514</v>
      </c>
      <c r="B23" t="inlineStr">
        <is>
          <t>PRIETO ROMERO, JAVIER</t>
        </is>
      </c>
      <c r="C23" t="inlineStr">
        <is>
          <t>NADORCOTT</t>
        </is>
      </c>
      <c r="D23" t="inlineStr">
        <is>
          <t>Importe bruto</t>
        </is>
      </c>
      <c r="E23" t="n">
        <v>15743.38</v>
      </c>
      <c r="I23" t="inlineStr"/>
    </row>
    <row r="24">
      <c r="A24" t="n">
        <v>1514</v>
      </c>
      <c r="B24" t="inlineStr">
        <is>
          <t>PRIETO ROMERO, JAVIER</t>
        </is>
      </c>
      <c r="C24" t="inlineStr">
        <is>
          <t>NADORCOTT</t>
        </is>
      </c>
      <c r="D24" t="inlineStr">
        <is>
          <t>Recolección</t>
        </is>
      </c>
      <c r="E24" t="n">
        <v>2759.5</v>
      </c>
      <c r="I24" t="inlineStr"/>
    </row>
    <row r="25">
      <c r="A25" t="n">
        <v>1514</v>
      </c>
      <c r="B25" t="inlineStr">
        <is>
          <t>PRIETO ROMERO, JAVIER</t>
        </is>
      </c>
      <c r="C25" t="inlineStr">
        <is>
          <t>NADORCOTT</t>
        </is>
      </c>
      <c r="D25" t="inlineStr">
        <is>
          <t>Transporte</t>
        </is>
      </c>
      <c r="E25" t="n">
        <v>0</v>
      </c>
      <c r="I25" t="inlineStr"/>
    </row>
    <row r="26">
      <c r="A26" t="n">
        <v>1514</v>
      </c>
      <c r="B26" t="inlineStr">
        <is>
          <t>PRIETO ROMERO, JAVIER</t>
        </is>
      </c>
      <c r="C26" t="inlineStr">
        <is>
          <t>NADORCOTT</t>
        </is>
      </c>
      <c r="D26" t="inlineStr">
        <is>
          <t>Calidad</t>
        </is>
      </c>
      <c r="E26" t="n">
        <v>0</v>
      </c>
      <c r="I26" t="inlineStr"/>
    </row>
    <row r="27">
      <c r="A27" t="n">
        <v>1514</v>
      </c>
      <c r="B27" t="inlineStr">
        <is>
          <t>PRIETO ROMERO, JAVIER</t>
        </is>
      </c>
      <c r="C27" t="inlineStr">
        <is>
          <t>NADORCOTT</t>
        </is>
      </c>
      <c r="D27" t="inlineStr">
        <is>
          <t>GlobalGAP</t>
        </is>
      </c>
      <c r="E27" t="n">
        <v>352.63</v>
      </c>
      <c r="I27" t="inlineStr"/>
    </row>
    <row r="28">
      <c r="A28" t="n">
        <v>1514</v>
      </c>
      <c r="B28" t="inlineStr">
        <is>
          <t>PRIETO ROMERO, JAVIER</t>
        </is>
      </c>
      <c r="C28" t="inlineStr">
        <is>
          <t>NADORCOTT</t>
        </is>
      </c>
      <c r="D28" t="inlineStr">
        <is>
          <t>Base imponible</t>
        </is>
      </c>
      <c r="E28" t="n">
        <v>12847.94</v>
      </c>
      <c r="I28" t="inlineStr"/>
    </row>
    <row r="29">
      <c r="A29" t="n">
        <v>1514</v>
      </c>
      <c r="B29" t="inlineStr">
        <is>
          <t>PRIETO ROMERO, JAVIER</t>
        </is>
      </c>
      <c r="C29" t="inlineStr">
        <is>
          <t>NADORCOTT</t>
        </is>
      </c>
      <c r="D29" t="inlineStr">
        <is>
          <t>IVA</t>
        </is>
      </c>
      <c r="E29" t="n">
        <v>1541.75</v>
      </c>
      <c r="I29" t="inlineStr"/>
    </row>
    <row r="30">
      <c r="A30" t="n">
        <v>1514</v>
      </c>
      <c r="B30" t="inlineStr">
        <is>
          <t>PRIETO ROMERO, JAVIER</t>
        </is>
      </c>
      <c r="C30" t="inlineStr">
        <is>
          <t>NADORCOTT</t>
        </is>
      </c>
      <c r="D30" t="inlineStr">
        <is>
          <t>Retención</t>
        </is>
      </c>
      <c r="E30" t="n">
        <v>287.79</v>
      </c>
      <c r="I30" t="inlineStr"/>
    </row>
    <row r="31">
      <c r="A31" t="n">
        <v>1514</v>
      </c>
      <c r="B31" t="inlineStr">
        <is>
          <t>PRIETO ROMERO, JAVIER</t>
        </is>
      </c>
      <c r="C31" t="inlineStr">
        <is>
          <t>NADORCOTT</t>
        </is>
      </c>
      <c r="D31" t="inlineStr">
        <is>
          <t>Total</t>
        </is>
      </c>
      <c r="E31" t="n">
        <v>14101.9</v>
      </c>
      <c r="I31" t="inlineStr"/>
    </row>
    <row r="32">
      <c r="A32" t="n">
        <v>1550</v>
      </c>
      <c r="B32" t="inlineStr">
        <is>
          <t>CADORTAN S.L.</t>
        </is>
      </c>
      <c r="C32" t="inlineStr">
        <is>
          <t>NADORCOTT</t>
        </is>
      </c>
      <c r="D32" t="inlineStr">
        <is>
          <t>Hectáreas</t>
        </is>
      </c>
      <c r="E32" t="n">
        <v>15.48</v>
      </c>
      <c r="I32" t="inlineStr"/>
    </row>
    <row r="33">
      <c r="A33" t="n">
        <v>1550</v>
      </c>
      <c r="B33" t="inlineStr">
        <is>
          <t>CADORTAN S.L.</t>
        </is>
      </c>
      <c r="C33" t="inlineStr">
        <is>
          <t>NADORCOTT</t>
        </is>
      </c>
      <c r="D33" t="inlineStr">
        <is>
          <t>Cuota teórica</t>
        </is>
      </c>
      <c r="E33" t="n">
        <v>3018.6</v>
      </c>
      <c r="I33" t="inlineStr"/>
    </row>
    <row r="34">
      <c r="A34" t="n">
        <v>1550</v>
      </c>
      <c r="B34" t="inlineStr">
        <is>
          <t>CADORTAN S.L.</t>
        </is>
      </c>
      <c r="C34" t="inlineStr">
        <is>
          <t>NADORCOTT</t>
        </is>
      </c>
      <c r="D34" t="inlineStr">
        <is>
          <t>Kg campaña</t>
        </is>
      </c>
      <c r="E34" t="n">
        <v>341181</v>
      </c>
      <c r="I34" t="inlineStr"/>
    </row>
    <row r="35">
      <c r="A35" t="n">
        <v>1550</v>
      </c>
      <c r="B35" t="inlineStr">
        <is>
          <t>CADORTAN S.L.</t>
        </is>
      </c>
      <c r="C35" t="inlineStr">
        <is>
          <t>NADORCOTT</t>
        </is>
      </c>
      <c r="D35" t="inlineStr">
        <is>
          <t>Índice</t>
        </is>
      </c>
      <c r="E35" t="n">
        <v>0.008847503231422617</v>
      </c>
      <c r="I35" t="inlineStr"/>
    </row>
    <row r="36">
      <c r="A36" t="n">
        <v>1550</v>
      </c>
      <c r="B36" t="inlineStr">
        <is>
          <t>CADORTAN S.L.</t>
        </is>
      </c>
      <c r="C36" t="inlineStr">
        <is>
          <t>NADORCOTT</t>
        </is>
      </c>
      <c r="D36" t="inlineStr">
        <is>
          <t>Kg remesa</t>
        </is>
      </c>
      <c r="E36" t="n">
        <v>34624</v>
      </c>
      <c r="I36" t="inlineStr"/>
    </row>
    <row r="37">
      <c r="A37" t="n">
        <v>1550</v>
      </c>
      <c r="B37" t="inlineStr">
        <is>
          <t>CADORTAN S.L.</t>
        </is>
      </c>
      <c r="C37" t="inlineStr">
        <is>
          <t>NADORCOTT</t>
        </is>
      </c>
      <c r="D37" t="inlineStr">
        <is>
          <t>Cuota parcial</t>
        </is>
      </c>
      <c r="E37" t="n">
        <v>306.34</v>
      </c>
      <c r="I37" t="inlineStr"/>
    </row>
    <row r="38">
      <c r="A38" t="n">
        <v>1550</v>
      </c>
      <c r="B38" t="inlineStr">
        <is>
          <t>CADORTAN S.L.</t>
        </is>
      </c>
      <c r="C38" t="inlineStr">
        <is>
          <t>NADORCOTT</t>
        </is>
      </c>
      <c r="D38" t="inlineStr">
        <is>
          <t>Importe bruto</t>
        </is>
      </c>
      <c r="E38" t="n">
        <v>26673.22</v>
      </c>
      <c r="I38" t="inlineStr"/>
    </row>
    <row r="39">
      <c r="A39" t="n">
        <v>1550</v>
      </c>
      <c r="B39" t="inlineStr">
        <is>
          <t>CADORTAN S.L.</t>
        </is>
      </c>
      <c r="C39" t="inlineStr">
        <is>
          <t>NADORCOTT</t>
        </is>
      </c>
      <c r="D39" t="inlineStr">
        <is>
          <t>Recolección</t>
        </is>
      </c>
      <c r="E39" t="n">
        <v>4328</v>
      </c>
      <c r="I39" t="inlineStr"/>
    </row>
    <row r="40">
      <c r="A40" t="n">
        <v>1550</v>
      </c>
      <c r="B40" t="inlineStr">
        <is>
          <t>CADORTAN S.L.</t>
        </is>
      </c>
      <c r="C40" t="inlineStr">
        <is>
          <t>NADORCOTT</t>
        </is>
      </c>
      <c r="D40" t="inlineStr">
        <is>
          <t>Transporte</t>
        </is>
      </c>
      <c r="E40" t="n">
        <v>0</v>
      </c>
      <c r="I40" t="inlineStr"/>
    </row>
    <row r="41">
      <c r="A41" t="n">
        <v>1550</v>
      </c>
      <c r="B41" t="inlineStr">
        <is>
          <t>CADORTAN S.L.</t>
        </is>
      </c>
      <c r="C41" t="inlineStr">
        <is>
          <t>NADORCOTT</t>
        </is>
      </c>
      <c r="D41" t="inlineStr">
        <is>
          <t>Calidad</t>
        </is>
      </c>
      <c r="E41" t="n">
        <v>0</v>
      </c>
      <c r="I41" t="inlineStr"/>
    </row>
    <row r="42">
      <c r="A42" t="n">
        <v>1550</v>
      </c>
      <c r="B42" t="inlineStr">
        <is>
          <t>CADORTAN S.L.</t>
        </is>
      </c>
      <c r="C42" t="inlineStr">
        <is>
          <t>NADORCOTT</t>
        </is>
      </c>
      <c r="D42" t="inlineStr">
        <is>
          <t>GlobalGAP</t>
        </is>
      </c>
      <c r="E42" t="n">
        <v>561.79</v>
      </c>
      <c r="I42" t="inlineStr"/>
    </row>
    <row r="43">
      <c r="A43" t="n">
        <v>1550</v>
      </c>
      <c r="B43" t="inlineStr">
        <is>
          <t>CADORTAN S.L.</t>
        </is>
      </c>
      <c r="C43" t="inlineStr">
        <is>
          <t>NADORCOTT</t>
        </is>
      </c>
      <c r="D43" t="inlineStr">
        <is>
          <t>Base imponible</t>
        </is>
      </c>
      <c r="E43" t="n">
        <v>22600.67</v>
      </c>
      <c r="I43" t="inlineStr"/>
    </row>
    <row r="44">
      <c r="A44" t="n">
        <v>1550</v>
      </c>
      <c r="B44" t="inlineStr">
        <is>
          <t>CADORTAN S.L.</t>
        </is>
      </c>
      <c r="C44" t="inlineStr">
        <is>
          <t>NADORCOTT</t>
        </is>
      </c>
      <c r="D44" t="inlineStr">
        <is>
          <t>IVA</t>
        </is>
      </c>
      <c r="E44" t="n">
        <v>904.03</v>
      </c>
      <c r="I44" t="inlineStr"/>
    </row>
    <row r="45">
      <c r="A45" t="n">
        <v>1550</v>
      </c>
      <c r="B45" t="inlineStr">
        <is>
          <t>CADORTAN S.L.</t>
        </is>
      </c>
      <c r="C45" t="inlineStr">
        <is>
          <t>NADORCOTT</t>
        </is>
      </c>
      <c r="D45" t="inlineStr">
        <is>
          <t>Retención</t>
        </is>
      </c>
      <c r="E45" t="n">
        <v>0</v>
      </c>
      <c r="I45" t="inlineStr"/>
    </row>
    <row r="46">
      <c r="A46" t="n">
        <v>1550</v>
      </c>
      <c r="B46" t="inlineStr">
        <is>
          <t>CADORTAN S.L.</t>
        </is>
      </c>
      <c r="C46" t="inlineStr">
        <is>
          <t>NADORCOTT</t>
        </is>
      </c>
      <c r="D46" t="inlineStr">
        <is>
          <t>Total</t>
        </is>
      </c>
      <c r="E46" t="n">
        <v>23504.7</v>
      </c>
      <c r="I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2026-07-28T15:54:44Z</dcterms:created>
  <dcterms:modified xmlns:dcterms="http://purl.org/dc/terms/" xmlns:xsi="http://www.w3.org/2001/XMLSchema-instance" xsi:type="dcterms:W3CDTF">2026-07-28T15:54:44Z</dcterms:modified>
</cp:coreProperties>
</file>