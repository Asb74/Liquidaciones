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remesa" sheetId="1" state="visible" r:id="rId1"/>
    <sheet xmlns:r="http://schemas.openxmlformats.org/officeDocument/2006/relationships" name="Detalle acumulado" sheetId="2" state="visible" r:id="rId2"/>
    <sheet xmlns:r="http://schemas.openxmlformats.org/officeDocument/2006/relationships" name="Incidencias" sheetId="3" state="visible" r:id="rId3"/>
    <sheet xmlns:r="http://schemas.openxmlformats.org/officeDocument/2006/relationships" name="Parámetros" sheetId="4" state="visible" r:id="rId4"/>
  </sheets>
  <definedNames>
    <definedName name="_xlnm._FilterDatabase" localSheetId="0" hidden="1">'Resumen por remesa'!$A$1:$W$24</definedName>
    <definedName name="_xlnm._FilterDatabase" localSheetId="1" hidden="1">'Detalle acumulado'!$A$1:$W$63</definedName>
    <definedName name="_xlnm._FilterDatabase" localSheetId="2" hidden="1">'Incidencias'!$A$1:$G$99</definedName>
    <definedName name="_xlnm._FilterDatabase" localSheetId="3" hidden="1">'Parámetros'!$A$1:$B$15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#,##0;-#,##0;-"/>
    <numFmt numFmtId="167" formatCode="#,##0.00;-#,##0.00;-"/>
    <numFmt numFmtId="168" formatCode="0.00000000;-0.00000000;-"/>
    <numFmt numFmtId="169" formatCode="0&quot;%&quot;"/>
    <numFmt numFmtId="170" formatCode="0.00;-0.00;-"/>
    <numFmt numFmtId="171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165" fontId="1" fillId="3" borderId="1" applyAlignment="1" pivotButton="0" quotePrefix="0" xfId="0">
      <alignment vertical="top" wrapText="1"/>
    </xf>
    <xf numFmtId="166" fontId="1" fillId="3" borderId="1" applyAlignment="1" pivotButton="0" quotePrefix="0" xfId="0">
      <alignment vertical="top" wrapText="1"/>
    </xf>
    <xf numFmtId="167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5" fontId="1" fillId="2" borderId="1" applyAlignment="1" pivotButton="0" quotePrefix="0" xfId="0">
      <alignment vertical="top" wrapText="1"/>
    </xf>
    <xf numFmtId="166" fontId="1" fillId="2" borderId="1" applyAlignment="1" pivotButton="0" quotePrefix="0" xfId="0">
      <alignment vertical="top" wrapText="1"/>
    </xf>
    <xf numFmtId="167" fontId="1" fillId="2" borderId="1" applyAlignment="1" pivotButton="0" quotePrefix="0" xfId="0">
      <alignment vertical="top" wrapText="1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166" fontId="1" fillId="2" borderId="2" applyAlignment="1" pivotButton="0" quotePrefix="0" xfId="0">
      <alignment vertical="center"/>
    </xf>
    <xf numFmtId="167" fontId="1" fillId="2" borderId="2" applyAlignment="1" pivotButton="0" quotePrefix="0" xfId="0">
      <alignment vertical="center"/>
    </xf>
    <xf numFmtId="168" fontId="1" fillId="2" borderId="2" applyAlignment="1" pivotButton="0" quotePrefix="0" xfId="0">
      <alignment vertical="center"/>
    </xf>
    <xf numFmtId="169" fontId="1" fillId="2" borderId="2" applyAlignment="1" pivotButton="0" quotePrefix="0" xfId="0">
      <alignment vertical="center"/>
    </xf>
    <xf numFmtId="170" fontId="1" fillId="2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2" customWidth="1" min="6" max="6"/>
    <col width="18" customWidth="1" min="7" max="7"/>
    <col width="13" customWidth="1" min="8" max="8"/>
    <col width="12" customWidth="1" min="9" max="9"/>
    <col width="15" customWidth="1" min="10" max="10"/>
    <col width="13" customWidth="1" min="11" max="11"/>
    <col width="19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  <col width="13" customWidth="1" min="19" max="19"/>
    <col width="19" customWidth="1" min="20" max="20"/>
    <col width="15" customWidth="1" min="21" max="21"/>
    <col width="12" customWidth="1" min="22" max="22"/>
    <col width="45" customWidth="1" min="23" max="23"/>
  </cols>
  <sheetData>
    <row r="1">
      <c r="A1" s="1" t="inlineStr">
        <is>
          <t>Id Remesa</t>
        </is>
      </c>
      <c r="B1" s="1" t="inlineStr">
        <is>
          <t>Remesa</t>
        </is>
      </c>
      <c r="C1" s="2" t="inlineStr">
        <is>
          <t>Fecha de pago</t>
        </is>
      </c>
      <c r="D1" s="2" t="inlineStr">
        <is>
          <t>Periodo desde</t>
        </is>
      </c>
      <c r="E1" s="2" t="inlineStr">
        <is>
          <t>Periodo hasta</t>
        </is>
      </c>
      <c r="F1" s="1" t="inlineStr">
        <is>
          <t>Categoría</t>
        </is>
      </c>
      <c r="G1" s="1" t="inlineStr">
        <is>
          <t>Tipo liquidación</t>
        </is>
      </c>
      <c r="H1" s="3" t="inlineStr">
        <is>
          <t>Nº entregas</t>
        </is>
      </c>
      <c r="I1" s="3" t="inlineStr">
        <is>
          <t>Nº socios</t>
        </is>
      </c>
      <c r="J1" s="3" t="inlineStr">
        <is>
          <t>Nº variedades</t>
        </is>
      </c>
      <c r="K1" s="3" t="inlineStr">
        <is>
          <t>Kilos netos</t>
        </is>
      </c>
      <c r="L1" s="4" t="inlineStr">
        <is>
          <t>Importe comercial</t>
        </is>
      </c>
      <c r="M1" s="4" t="inlineStr">
        <is>
          <t>Recolección</t>
        </is>
      </c>
      <c r="N1" s="4" t="inlineStr">
        <is>
          <t>Calidad</t>
        </is>
      </c>
      <c r="O1" s="4" t="inlineStr">
        <is>
          <t>Transporte</t>
        </is>
      </c>
      <c r="P1" s="4" t="inlineStr">
        <is>
          <t>GlobalGAP</t>
        </is>
      </c>
      <c r="Q1" s="4" t="inlineStr">
        <is>
          <t>Cuota Ha</t>
        </is>
      </c>
      <c r="R1" s="4" t="inlineStr">
        <is>
          <t>Base imponible</t>
        </is>
      </c>
      <c r="S1" s="4" t="inlineStr">
        <is>
          <t>Importe IVA</t>
        </is>
      </c>
      <c r="T1" s="4" t="inlineStr">
        <is>
          <t>Importe retención</t>
        </is>
      </c>
      <c r="U1" s="4" t="inlineStr">
        <is>
          <t>Importe total</t>
        </is>
      </c>
      <c r="V1" s="1" t="inlineStr">
        <is>
          <t>Estado</t>
        </is>
      </c>
      <c r="W1" s="1" t="inlineStr">
        <is>
          <t>Carpeta de salida</t>
        </is>
      </c>
    </row>
    <row r="2">
      <c r="A2" s="5" t="n">
        <v>2148</v>
      </c>
      <c r="B2" s="5" t="inlineStr">
        <is>
          <t>Nadorcott Semana 5 NORMAL</t>
        </is>
      </c>
      <c r="C2" s="6" t="n">
        <v>46239</v>
      </c>
      <c r="D2" s="6" t="n">
        <v>46048</v>
      </c>
      <c r="E2" s="6" t="n">
        <v>46054</v>
      </c>
      <c r="F2" s="5" t="inlineStr">
        <is>
          <t>NORMAL</t>
        </is>
      </c>
      <c r="G2" s="5" t="inlineStr">
        <is>
          <t>Final</t>
        </is>
      </c>
      <c r="H2" s="7" t="n">
        <v>14</v>
      </c>
      <c r="I2" s="7" t="n">
        <v>4</v>
      </c>
      <c r="J2" s="7" t="n">
        <v>1</v>
      </c>
      <c r="K2" s="7" t="n">
        <v>117324</v>
      </c>
      <c r="L2" s="8" t="n">
        <v>87085.11</v>
      </c>
      <c r="M2" s="8" t="n">
        <v>6925.63</v>
      </c>
      <c r="N2" s="8" t="n">
        <v>0</v>
      </c>
      <c r="O2" s="8" t="n">
        <v>810.61</v>
      </c>
      <c r="P2" s="8" t="n">
        <v>1834.85</v>
      </c>
      <c r="Q2" s="8" t="n">
        <v>760.34</v>
      </c>
      <c r="R2" s="8" t="n">
        <v>82978.45</v>
      </c>
      <c r="S2" s="8" t="n">
        <v>9841.35</v>
      </c>
      <c r="T2" s="8" t="n">
        <v>1826.22</v>
      </c>
      <c r="U2" s="8" t="n">
        <v>90993.58</v>
      </c>
      <c r="V2" s="5" t="inlineStr">
        <is>
          <t>SUCCESS</t>
        </is>
      </c>
      <c r="W2" s="5" t="inlineStr">
        <is>
          <t>C:\Liquidaciones\salidas\remesas\2026\MANDARINA\Nadorcott_Semana_5_NORMAL</t>
        </is>
      </c>
    </row>
    <row r="3">
      <c r="A3" s="5" t="n">
        <v>2149</v>
      </c>
      <c r="B3" s="5" t="inlineStr">
        <is>
          <t>Nadorcott Semana 7 NORMAL</t>
        </is>
      </c>
      <c r="C3" s="6" t="n">
        <v>46239</v>
      </c>
      <c r="D3" s="6" t="n">
        <v>46062</v>
      </c>
      <c r="E3" s="6" t="n">
        <v>46068</v>
      </c>
      <c r="F3" s="5" t="inlineStr">
        <is>
          <t>NORMAL</t>
        </is>
      </c>
      <c r="G3" s="5" t="inlineStr">
        <is>
          <t>Final</t>
        </is>
      </c>
      <c r="H3" s="7" t="n">
        <v>3</v>
      </c>
      <c r="I3" s="7" t="n">
        <v>1</v>
      </c>
      <c r="J3" s="7" t="n">
        <v>1</v>
      </c>
      <c r="K3" s="7" t="n">
        <v>22750</v>
      </c>
      <c r="L3" s="8" t="n">
        <v>17609.69</v>
      </c>
      <c r="M3" s="8" t="n">
        <v>2843.75</v>
      </c>
      <c r="N3" s="8" t="n">
        <v>0</v>
      </c>
      <c r="O3" s="8" t="n">
        <v>0</v>
      </c>
      <c r="P3" s="8" t="n">
        <v>341.89</v>
      </c>
      <c r="Q3" s="8" t="n">
        <v>146.12</v>
      </c>
      <c r="R3" s="8" t="n">
        <v>15189.07</v>
      </c>
      <c r="S3" s="8" t="n">
        <v>1822.69</v>
      </c>
      <c r="T3" s="8" t="n">
        <v>340.24</v>
      </c>
      <c r="U3" s="8" t="n">
        <v>16671.52</v>
      </c>
      <c r="V3" s="5" t="inlineStr">
        <is>
          <t>SUCCESS</t>
        </is>
      </c>
      <c r="W3" s="5" t="inlineStr">
        <is>
          <t>C:\Liquidaciones\salidas\remesas\2026\MANDARINA\Nadorcott_Semana_7_NORMAL</t>
        </is>
      </c>
    </row>
    <row r="4">
      <c r="A4" s="5" t="n">
        <v>2150</v>
      </c>
      <c r="B4" s="5" t="inlineStr">
        <is>
          <t>Tango Semana 1 CON HOJAS</t>
        </is>
      </c>
      <c r="C4" s="6" t="n">
        <v>46239</v>
      </c>
      <c r="D4" s="6" t="n">
        <v>46020</v>
      </c>
      <c r="E4" s="6" t="n">
        <v>46026</v>
      </c>
      <c r="F4" s="5" t="inlineStr">
        <is>
          <t>CON HOJAS</t>
        </is>
      </c>
      <c r="G4" s="5" t="inlineStr">
        <is>
          <t>Final</t>
        </is>
      </c>
      <c r="H4" s="7" t="n">
        <v>1</v>
      </c>
      <c r="I4" s="7" t="n">
        <v>1</v>
      </c>
      <c r="J4" s="7" t="n">
        <v>1</v>
      </c>
      <c r="K4" s="7" t="n">
        <v>2283</v>
      </c>
      <c r="L4" s="8" t="n">
        <v>1875.74</v>
      </c>
      <c r="M4" s="8" t="n">
        <v>285.38</v>
      </c>
      <c r="N4" s="8" t="n">
        <v>0</v>
      </c>
      <c r="O4" s="8" t="n">
        <v>0</v>
      </c>
      <c r="P4" s="8" t="n">
        <v>37.08</v>
      </c>
      <c r="Q4" s="8" t="n">
        <v>0</v>
      </c>
      <c r="R4" s="8" t="n">
        <v>1640.39</v>
      </c>
      <c r="S4" s="8" t="n">
        <v>196.85</v>
      </c>
      <c r="T4" s="8" t="n">
        <v>36.74</v>
      </c>
      <c r="U4" s="8" t="n">
        <v>1800.49</v>
      </c>
      <c r="V4" s="5" t="inlineStr">
        <is>
          <t>SUCCESS</t>
        </is>
      </c>
      <c r="W4" s="5" t="inlineStr">
        <is>
          <t>C:\Liquidaciones\salidas\remesas\2026\MANDARINA\Tango_Semana_1_CON_HOJAS</t>
        </is>
      </c>
    </row>
    <row r="5">
      <c r="A5" s="5" t="n">
        <v>2151</v>
      </c>
      <c r="B5" s="5" t="inlineStr">
        <is>
          <t>Tango Semana 1 NORMAL</t>
        </is>
      </c>
      <c r="C5" s="6" t="n">
        <v>46239</v>
      </c>
      <c r="D5" s="6" t="n">
        <v>46020</v>
      </c>
      <c r="E5" s="6" t="n">
        <v>46026</v>
      </c>
      <c r="F5" s="5" t="inlineStr">
        <is>
          <t>NORMAL</t>
        </is>
      </c>
      <c r="G5" s="5" t="inlineStr">
        <is>
          <t>Final</t>
        </is>
      </c>
      <c r="H5" s="7" t="n">
        <v>4</v>
      </c>
      <c r="I5" s="7" t="n">
        <v>2</v>
      </c>
      <c r="J5" s="7" t="n">
        <v>1</v>
      </c>
      <c r="K5" s="7" t="n">
        <v>59085</v>
      </c>
      <c r="L5" s="8" t="n">
        <v>46525.39</v>
      </c>
      <c r="M5" s="8" t="n">
        <v>7391.63</v>
      </c>
      <c r="N5" s="8" t="n">
        <v>0</v>
      </c>
      <c r="O5" s="8" t="n">
        <v>105.5</v>
      </c>
      <c r="P5" s="8" t="n">
        <v>1008.31</v>
      </c>
      <c r="Q5" s="8" t="n">
        <v>130.72</v>
      </c>
      <c r="R5" s="8" t="n">
        <v>40297.75</v>
      </c>
      <c r="S5" s="8" t="n">
        <v>4835.73</v>
      </c>
      <c r="T5" s="8" t="n">
        <v>902.67</v>
      </c>
      <c r="U5" s="8" t="n">
        <v>44230.81</v>
      </c>
      <c r="V5" s="5" t="inlineStr">
        <is>
          <t>SUCCESS</t>
        </is>
      </c>
      <c r="W5" s="5" t="inlineStr">
        <is>
          <t>C:\Liquidaciones\salidas\remesas\2026\MANDARINA\Tango_Semana_1_NORMAL</t>
        </is>
      </c>
    </row>
    <row r="6">
      <c r="A6" s="5" t="n">
        <v>2152</v>
      </c>
      <c r="B6" s="5" t="inlineStr">
        <is>
          <t>Tango Semana 2 NORMAL</t>
        </is>
      </c>
      <c r="C6" s="6" t="n">
        <v>46239</v>
      </c>
      <c r="D6" s="6" t="n">
        <v>46027</v>
      </c>
      <c r="E6" s="6" t="n">
        <v>46033</v>
      </c>
      <c r="F6" s="5" t="inlineStr">
        <is>
          <t>NORMAL</t>
        </is>
      </c>
      <c r="G6" s="5" t="inlineStr">
        <is>
          <t>Final</t>
        </is>
      </c>
      <c r="H6" s="7" t="n">
        <v>8</v>
      </c>
      <c r="I6" s="7" t="n">
        <v>5</v>
      </c>
      <c r="J6" s="7" t="n">
        <v>1</v>
      </c>
      <c r="K6" s="7" t="n">
        <v>148610</v>
      </c>
      <c r="L6" s="8" t="n">
        <v>114802.33</v>
      </c>
      <c r="M6" s="8" t="n">
        <v>10233.25</v>
      </c>
      <c r="N6" s="8" t="n">
        <v>0</v>
      </c>
      <c r="O6" s="8" t="n">
        <v>1347.47</v>
      </c>
      <c r="P6" s="8" t="n">
        <v>1850.71</v>
      </c>
      <c r="Q6" s="8" t="n">
        <v>926.3200000000001</v>
      </c>
      <c r="R6" s="8" t="n">
        <v>107250.78</v>
      </c>
      <c r="S6" s="8" t="n">
        <v>12870.09</v>
      </c>
      <c r="T6" s="8" t="n">
        <v>2402.42</v>
      </c>
      <c r="U6" s="8" t="n">
        <v>117718.44</v>
      </c>
      <c r="V6" s="5" t="inlineStr">
        <is>
          <t>SUCCESS</t>
        </is>
      </c>
      <c r="W6" s="5" t="inlineStr">
        <is>
          <t>C:\Liquidaciones\salidas\remesas\2026\MANDARINA\Tango_Semana_2_NORMAL</t>
        </is>
      </c>
    </row>
    <row r="7">
      <c r="A7" s="5" t="n">
        <v>2153</v>
      </c>
      <c r="B7" s="5" t="inlineStr">
        <is>
          <t>Tango Semana 3 NORMAL</t>
        </is>
      </c>
      <c r="C7" s="6" t="n">
        <v>46239</v>
      </c>
      <c r="D7" s="6" t="n">
        <v>46034</v>
      </c>
      <c r="E7" s="6" t="n">
        <v>46040</v>
      </c>
      <c r="F7" s="5" t="inlineStr">
        <is>
          <t>NORMAL</t>
        </is>
      </c>
      <c r="G7" s="5" t="inlineStr">
        <is>
          <t>Final</t>
        </is>
      </c>
      <c r="H7" s="7" t="n">
        <v>15</v>
      </c>
      <c r="I7" s="7" t="n">
        <v>7</v>
      </c>
      <c r="J7" s="7" t="n">
        <v>1</v>
      </c>
      <c r="K7" s="7" t="n">
        <v>276602</v>
      </c>
      <c r="L7" s="8" t="n">
        <v>222295.44</v>
      </c>
      <c r="M7" s="8" t="n">
        <v>19539.01</v>
      </c>
      <c r="N7" s="8" t="n">
        <v>0</v>
      </c>
      <c r="O7" s="8" t="n">
        <v>0</v>
      </c>
      <c r="P7" s="8" t="n">
        <v>4728.83</v>
      </c>
      <c r="Q7" s="8" t="n">
        <v>1870.2</v>
      </c>
      <c r="R7" s="8" t="n">
        <v>206434.95</v>
      </c>
      <c r="S7" s="8" t="n">
        <v>23835.94</v>
      </c>
      <c r="T7" s="8" t="n">
        <v>4361.99</v>
      </c>
      <c r="U7" s="8" t="n">
        <v>225908.9</v>
      </c>
      <c r="V7" s="5" t="inlineStr">
        <is>
          <t>SUCCESS</t>
        </is>
      </c>
      <c r="W7" s="5" t="inlineStr">
        <is>
          <t>C:\Liquidaciones\salidas\remesas\2026\MANDARINA\Tango_Semana_3_NORMAL</t>
        </is>
      </c>
    </row>
    <row r="8">
      <c r="A8" s="5" t="n">
        <v>2154</v>
      </c>
      <c r="B8" s="5" t="inlineStr">
        <is>
          <t>Tango Semana 4 CON HOJAS</t>
        </is>
      </c>
      <c r="C8" s="6" t="n">
        <v>46239</v>
      </c>
      <c r="D8" s="6" t="n">
        <v>46041</v>
      </c>
      <c r="E8" s="6" t="n">
        <v>46047</v>
      </c>
      <c r="F8" s="5" t="inlineStr">
        <is>
          <t>CON HOJAS</t>
        </is>
      </c>
      <c r="G8" s="5" t="inlineStr">
        <is>
          <t>Final</t>
        </is>
      </c>
      <c r="H8" s="7" t="n">
        <v>3</v>
      </c>
      <c r="I8" s="7" t="n">
        <v>1</v>
      </c>
      <c r="J8" s="7" t="n">
        <v>1</v>
      </c>
      <c r="K8" s="7" t="n">
        <v>38454</v>
      </c>
      <c r="L8" s="8" t="n">
        <v>29698.67</v>
      </c>
      <c r="M8" s="8" t="n">
        <v>4806.75</v>
      </c>
      <c r="N8" s="8" t="n">
        <v>0</v>
      </c>
      <c r="O8" s="8" t="n">
        <v>15.91</v>
      </c>
      <c r="P8" s="8" t="n">
        <v>645.27</v>
      </c>
      <c r="Q8" s="8" t="n">
        <v>349.14</v>
      </c>
      <c r="R8" s="8" t="n">
        <v>25356.51</v>
      </c>
      <c r="S8" s="8" t="n">
        <v>3042.78</v>
      </c>
      <c r="T8" s="8" t="n">
        <v>567.99</v>
      </c>
      <c r="U8" s="8" t="n">
        <v>27831.31</v>
      </c>
      <c r="V8" s="5" t="inlineStr">
        <is>
          <t>SUCCESS</t>
        </is>
      </c>
      <c r="W8" s="5" t="inlineStr">
        <is>
          <t>C:\Liquidaciones\salidas\remesas\2026\MANDARINA\Tango_Semana_4_CON_HOJAS</t>
        </is>
      </c>
    </row>
    <row r="9">
      <c r="A9" s="5" t="n">
        <v>2155</v>
      </c>
      <c r="B9" s="5" t="inlineStr">
        <is>
          <t>Tango Semana 9 NORMAL</t>
        </is>
      </c>
      <c r="C9" s="6" t="n">
        <v>46239</v>
      </c>
      <c r="D9" s="6" t="n">
        <v>46076</v>
      </c>
      <c r="E9" s="6" t="n">
        <v>46082</v>
      </c>
      <c r="F9" s="5" t="inlineStr">
        <is>
          <t>NORMAL</t>
        </is>
      </c>
      <c r="G9" s="5" t="inlineStr">
        <is>
          <t>Final</t>
        </is>
      </c>
      <c r="H9" s="7" t="n">
        <v>1</v>
      </c>
      <c r="I9" s="7" t="n">
        <v>1</v>
      </c>
      <c r="J9" s="7" t="n">
        <v>1</v>
      </c>
      <c r="K9" s="7" t="n">
        <v>17023</v>
      </c>
      <c r="L9" s="8" t="n">
        <v>11131.45</v>
      </c>
      <c r="M9" s="8" t="n">
        <v>1063.94</v>
      </c>
      <c r="N9" s="8" t="n">
        <v>0</v>
      </c>
      <c r="O9" s="8" t="n">
        <v>0</v>
      </c>
      <c r="P9" s="8" t="n">
        <v>0</v>
      </c>
      <c r="Q9" s="8" t="n">
        <v>161.72</v>
      </c>
      <c r="R9" s="8" t="n">
        <v>10143.29</v>
      </c>
      <c r="S9" s="8" t="n">
        <v>1217.19</v>
      </c>
      <c r="T9" s="8" t="n">
        <v>227.21</v>
      </c>
      <c r="U9" s="8" t="n">
        <v>11133.28</v>
      </c>
      <c r="V9" s="5" t="inlineStr">
        <is>
          <t>SUCCESS</t>
        </is>
      </c>
      <c r="W9" s="5" t="inlineStr">
        <is>
          <t>C:\Liquidaciones\salidas\remesas\2026\MANDARINA\Tango_Semana_9_NORMAL</t>
        </is>
      </c>
    </row>
    <row r="10">
      <c r="A10" s="5" t="n">
        <v>2156</v>
      </c>
      <c r="B10" s="5" t="inlineStr">
        <is>
          <t>Tango Semana 5 NORMAL</t>
        </is>
      </c>
      <c r="C10" s="6" t="n">
        <v>46239</v>
      </c>
      <c r="D10" s="6" t="n">
        <v>46048</v>
      </c>
      <c r="E10" s="6" t="n">
        <v>46054</v>
      </c>
      <c r="F10" s="5" t="inlineStr">
        <is>
          <t>NORMAL</t>
        </is>
      </c>
      <c r="G10" s="5" t="inlineStr">
        <is>
          <t>Final</t>
        </is>
      </c>
      <c r="H10" s="7" t="n">
        <v>3</v>
      </c>
      <c r="I10" s="7" t="n">
        <v>1</v>
      </c>
      <c r="J10" s="7" t="n">
        <v>1</v>
      </c>
      <c r="K10" s="7" t="n">
        <v>62684</v>
      </c>
      <c r="L10" s="8" t="n">
        <v>46130.93</v>
      </c>
      <c r="M10" s="8" t="n">
        <v>7834</v>
      </c>
      <c r="N10" s="8" t="n">
        <v>0</v>
      </c>
      <c r="O10" s="8" t="n">
        <v>0</v>
      </c>
      <c r="P10" s="8" t="n">
        <v>999.4</v>
      </c>
      <c r="Q10" s="8" t="n">
        <v>246.36</v>
      </c>
      <c r="R10" s="8" t="n">
        <v>39465.13</v>
      </c>
      <c r="S10" s="8" t="n">
        <v>4735.82</v>
      </c>
      <c r="T10" s="8" t="n">
        <v>884.02</v>
      </c>
      <c r="U10" s="8" t="n">
        <v>43316.93</v>
      </c>
      <c r="V10" s="5" t="inlineStr">
        <is>
          <t>SUCCESS</t>
        </is>
      </c>
      <c r="W10" s="5" t="inlineStr">
        <is>
          <t>C:\Liquidaciones\salidas\remesas\2026\MANDARINA\Tango_Semana_5_NORMAL</t>
        </is>
      </c>
    </row>
    <row r="11">
      <c r="A11" s="5" t="n">
        <v>2157</v>
      </c>
      <c r="B11" s="5" t="inlineStr">
        <is>
          <t>Tango Semana 4 NORMAL</t>
        </is>
      </c>
      <c r="C11" s="6" t="n">
        <v>46239</v>
      </c>
      <c r="D11" s="6" t="n">
        <v>46041</v>
      </c>
      <c r="E11" s="6" t="n">
        <v>46047</v>
      </c>
      <c r="F11" s="5" t="inlineStr">
        <is>
          <t>NORMAL</t>
        </is>
      </c>
      <c r="G11" s="5" t="inlineStr">
        <is>
          <t>Final</t>
        </is>
      </c>
      <c r="H11" s="7" t="n">
        <v>15</v>
      </c>
      <c r="I11" s="7" t="n">
        <v>7</v>
      </c>
      <c r="J11" s="7" t="n">
        <v>1</v>
      </c>
      <c r="K11" s="7" t="n">
        <v>269012</v>
      </c>
      <c r="L11" s="8" t="n">
        <v>210028.61</v>
      </c>
      <c r="M11" s="8" t="n">
        <v>21336.5</v>
      </c>
      <c r="N11" s="8" t="n">
        <v>0</v>
      </c>
      <c r="O11" s="8" t="n">
        <v>0</v>
      </c>
      <c r="P11" s="8" t="n">
        <v>4145.19</v>
      </c>
      <c r="Q11" s="8" t="n">
        <v>2375.14</v>
      </c>
      <c r="R11" s="8" t="n">
        <v>191530.09</v>
      </c>
      <c r="S11" s="8" t="n">
        <v>20449.12</v>
      </c>
      <c r="T11" s="8" t="n">
        <v>3580.62</v>
      </c>
      <c r="U11" s="8" t="n">
        <v>208398.59</v>
      </c>
      <c r="V11" s="5" t="inlineStr">
        <is>
          <t>SUCCESS</t>
        </is>
      </c>
      <c r="W11" s="5" t="inlineStr">
        <is>
          <t>C:\Liquidaciones\salidas\remesas\2026\MANDARINA\Tango_Semana_4_NORMAL</t>
        </is>
      </c>
    </row>
    <row r="12">
      <c r="A12" s="5" t="n">
        <v>2158</v>
      </c>
      <c r="B12" s="5" t="inlineStr">
        <is>
          <t>Tango Semana 7 NORMAL</t>
        </is>
      </c>
      <c r="C12" s="6" t="n">
        <v>46239</v>
      </c>
      <c r="D12" s="6" t="n">
        <v>46062</v>
      </c>
      <c r="E12" s="6" t="n">
        <v>46068</v>
      </c>
      <c r="F12" s="5" t="inlineStr">
        <is>
          <t>NORMAL</t>
        </is>
      </c>
      <c r="G12" s="5" t="inlineStr">
        <is>
          <t>Final</t>
        </is>
      </c>
      <c r="H12" s="7" t="n">
        <v>8</v>
      </c>
      <c r="I12" s="7" t="n">
        <v>3</v>
      </c>
      <c r="J12" s="7" t="n">
        <v>1</v>
      </c>
      <c r="K12" s="7" t="n">
        <v>137885</v>
      </c>
      <c r="L12" s="8" t="n">
        <v>84557.83</v>
      </c>
      <c r="M12" s="8" t="n">
        <v>2186</v>
      </c>
      <c r="N12" s="8" t="n">
        <v>0</v>
      </c>
      <c r="O12" s="8" t="n">
        <v>0</v>
      </c>
      <c r="P12" s="8" t="n">
        <v>2054.99</v>
      </c>
      <c r="Q12" s="8" t="n">
        <v>997.34</v>
      </c>
      <c r="R12" s="8" t="n">
        <v>84797.71000000001</v>
      </c>
      <c r="S12" s="8" t="n">
        <v>10175.72</v>
      </c>
      <c r="T12" s="8" t="n">
        <v>1899.47</v>
      </c>
      <c r="U12" s="8" t="n">
        <v>93073.96000000001</v>
      </c>
      <c r="V12" s="5" t="inlineStr">
        <is>
          <t>SUCCESS</t>
        </is>
      </c>
      <c r="W12" s="5" t="inlineStr">
        <is>
          <t>C:\Liquidaciones\salidas\remesas\2026\MANDARINA\Tango_Semana_7_NORMAL</t>
        </is>
      </c>
    </row>
    <row r="13">
      <c r="A13" s="5" t="n">
        <v>2159</v>
      </c>
      <c r="B13" s="5" t="inlineStr">
        <is>
          <t>Tango Semana 8 NORMAL</t>
        </is>
      </c>
      <c r="C13" s="6" t="n">
        <v>46239</v>
      </c>
      <c r="D13" s="6" t="n">
        <v>46069</v>
      </c>
      <c r="E13" s="6" t="n">
        <v>46075</v>
      </c>
      <c r="F13" s="5" t="inlineStr">
        <is>
          <t>NORMAL</t>
        </is>
      </c>
      <c r="G13" s="5" t="inlineStr">
        <is>
          <t>Final</t>
        </is>
      </c>
      <c r="H13" s="7" t="n">
        <v>2</v>
      </c>
      <c r="I13" s="7" t="n">
        <v>2</v>
      </c>
      <c r="J13" s="7" t="n">
        <v>1</v>
      </c>
      <c r="K13" s="7" t="n">
        <v>8186</v>
      </c>
      <c r="L13" s="8" t="n">
        <v>5877.02</v>
      </c>
      <c r="M13" s="8" t="n">
        <v>107.75</v>
      </c>
      <c r="N13" s="8" t="n">
        <v>0</v>
      </c>
      <c r="O13" s="8" t="n">
        <v>107.66</v>
      </c>
      <c r="P13" s="8" t="n">
        <v>131.7</v>
      </c>
      <c r="Q13" s="8" t="n">
        <v>80.69</v>
      </c>
      <c r="R13" s="8" t="n">
        <v>5978.38</v>
      </c>
      <c r="S13" s="8" t="n">
        <v>683.08</v>
      </c>
      <c r="T13" s="8" t="n">
        <v>124.3</v>
      </c>
      <c r="U13" s="8" t="n">
        <v>6537.15</v>
      </c>
      <c r="V13" s="5" t="inlineStr">
        <is>
          <t>SUCCESS</t>
        </is>
      </c>
      <c r="W13" s="5" t="inlineStr">
        <is>
          <t>C:\Liquidaciones\salidas\remesas\2026\MANDARINA\Tango_Semana_8_NORMAL</t>
        </is>
      </c>
    </row>
    <row r="14">
      <c r="A14" s="5" t="n">
        <v>2187</v>
      </c>
      <c r="B14" s="5" t="inlineStr">
        <is>
          <t>Tango Semana 52 NORMAL</t>
        </is>
      </c>
      <c r="C14" s="6" t="n">
        <v>46239</v>
      </c>
      <c r="D14" s="6" t="n">
        <v>46013</v>
      </c>
      <c r="E14" s="6" t="n">
        <v>46019</v>
      </c>
      <c r="F14" s="5" t="inlineStr">
        <is>
          <t>NORMAL</t>
        </is>
      </c>
      <c r="G14" s="5" t="inlineStr">
        <is>
          <t>Final</t>
        </is>
      </c>
      <c r="H14" s="7" t="n">
        <v>2</v>
      </c>
      <c r="I14" s="7" t="n">
        <v>1</v>
      </c>
      <c r="J14" s="7" t="n">
        <v>1</v>
      </c>
      <c r="K14" s="7" t="n">
        <v>42552</v>
      </c>
      <c r="L14" s="8" t="n">
        <v>37996.14</v>
      </c>
      <c r="M14" s="8" t="n">
        <v>5319</v>
      </c>
      <c r="N14" s="8" t="n">
        <v>0</v>
      </c>
      <c r="O14" s="8" t="n">
        <v>0</v>
      </c>
      <c r="P14" s="8" t="n">
        <v>726.55</v>
      </c>
      <c r="Q14" s="8" t="n">
        <v>523.96</v>
      </c>
      <c r="R14" s="8" t="n">
        <v>33008.8</v>
      </c>
      <c r="S14" s="8" t="n">
        <v>3961.06</v>
      </c>
      <c r="T14" s="8" t="n">
        <v>739.4</v>
      </c>
      <c r="U14" s="8" t="n">
        <v>36230.46</v>
      </c>
      <c r="V14" s="5" t="inlineStr">
        <is>
          <t>SUCCESS</t>
        </is>
      </c>
      <c r="W14" s="5" t="inlineStr">
        <is>
          <t>C:\Liquidaciones\salidas\remesas\2026\MANDARINA\Tango_Semana_52_NORMAL</t>
        </is>
      </c>
    </row>
    <row r="15">
      <c r="A15" s="5" t="n">
        <v>2188</v>
      </c>
      <c r="B15" s="5" t="inlineStr">
        <is>
          <t>Tango Semana 6 NORMAL</t>
        </is>
      </c>
      <c r="C15" s="6" t="n">
        <v>46239</v>
      </c>
      <c r="D15" s="6" t="n">
        <v>46055</v>
      </c>
      <c r="E15" s="6" t="n">
        <v>46061</v>
      </c>
      <c r="F15" s="5" t="inlineStr">
        <is>
          <t>NORMAL</t>
        </is>
      </c>
      <c r="G15" s="5" t="inlineStr">
        <is>
          <t>Final</t>
        </is>
      </c>
      <c r="H15" s="7" t="n">
        <v>2</v>
      </c>
      <c r="I15" s="7" t="n">
        <v>2</v>
      </c>
      <c r="J15" s="7" t="n">
        <v>1</v>
      </c>
      <c r="K15" s="7" t="n">
        <v>40828</v>
      </c>
      <c r="L15" s="8" t="n">
        <v>26931.91</v>
      </c>
      <c r="M15" s="8" t="n">
        <v>2581</v>
      </c>
      <c r="N15" s="8" t="n">
        <v>0</v>
      </c>
      <c r="O15" s="8" t="n">
        <v>0</v>
      </c>
      <c r="P15" s="8" t="n">
        <v>611.97</v>
      </c>
      <c r="Q15" s="8" t="n">
        <v>205.93</v>
      </c>
      <c r="R15" s="8" t="n">
        <v>25151.03</v>
      </c>
      <c r="S15" s="8" t="n">
        <v>3018.13</v>
      </c>
      <c r="T15" s="8" t="n">
        <v>563.38</v>
      </c>
      <c r="U15" s="8" t="n">
        <v>27605.77</v>
      </c>
      <c r="V15" s="5" t="inlineStr">
        <is>
          <t>SUCCESS</t>
        </is>
      </c>
      <c r="W15" s="5" t="inlineStr">
        <is>
          <t>C:\Liquidaciones\salidas\remesas\2026\MANDARINA\Tango_Semana_6_NORMAL</t>
        </is>
      </c>
    </row>
    <row r="16">
      <c r="A16" s="5" t="n">
        <v>2189</v>
      </c>
      <c r="B16" s="5" t="inlineStr">
        <is>
          <t>Nadorcott Semana 2 NORMAL</t>
        </is>
      </c>
      <c r="C16" s="6" t="n">
        <v>46239</v>
      </c>
      <c r="D16" s="6" t="n">
        <v>46027</v>
      </c>
      <c r="E16" s="6" t="n">
        <v>46033</v>
      </c>
      <c r="F16" s="5" t="inlineStr">
        <is>
          <t>NORMAL</t>
        </is>
      </c>
      <c r="G16" s="5" t="inlineStr">
        <is>
          <t>Final</t>
        </is>
      </c>
      <c r="H16" s="7" t="n">
        <v>15</v>
      </c>
      <c r="I16" s="7" t="n">
        <v>3</v>
      </c>
      <c r="J16" s="7" t="n">
        <v>1</v>
      </c>
      <c r="K16" s="7" t="n">
        <v>136093</v>
      </c>
      <c r="L16" s="8" t="n">
        <v>104201.5</v>
      </c>
      <c r="M16" s="8" t="n">
        <v>17011.63</v>
      </c>
      <c r="N16" s="8" t="n">
        <v>0</v>
      </c>
      <c r="O16" s="8" t="n">
        <v>0</v>
      </c>
      <c r="P16" s="8" t="n">
        <v>2250.18</v>
      </c>
      <c r="Q16" s="8" t="n">
        <v>1515.75</v>
      </c>
      <c r="R16" s="8" t="n">
        <v>88602</v>
      </c>
      <c r="S16" s="8" t="n">
        <v>8824.190000000001</v>
      </c>
      <c r="T16" s="8" t="n">
        <v>1478.43</v>
      </c>
      <c r="U16" s="8" t="n">
        <v>95947.75999999999</v>
      </c>
      <c r="V16" s="5" t="inlineStr">
        <is>
          <t>SUCCESS</t>
        </is>
      </c>
      <c r="W16" s="5" t="inlineStr">
        <is>
          <t>C:\Liquidaciones\salidas\remesas\2026\MANDARINA\Nadorcott_Semana_2_NORMAL</t>
        </is>
      </c>
    </row>
    <row r="17">
      <c r="A17" s="5" t="n">
        <v>2190</v>
      </c>
      <c r="B17" s="5" t="inlineStr">
        <is>
          <t>Nadorcott Semana 1 NORMAL</t>
        </is>
      </c>
      <c r="C17" s="6" t="n">
        <v>46239</v>
      </c>
      <c r="D17" s="6" t="n">
        <v>46020</v>
      </c>
      <c r="E17" s="6" t="n">
        <v>46026</v>
      </c>
      <c r="F17" s="5" t="inlineStr">
        <is>
          <t>NORMAL</t>
        </is>
      </c>
      <c r="G17" s="5" t="inlineStr">
        <is>
          <t>Final</t>
        </is>
      </c>
      <c r="H17" s="7" t="n">
        <v>16</v>
      </c>
      <c r="I17" s="7" t="n">
        <v>4</v>
      </c>
      <c r="J17" s="7" t="n">
        <v>1</v>
      </c>
      <c r="K17" s="7" t="n">
        <v>137120</v>
      </c>
      <c r="L17" s="8" t="n">
        <v>120957.4</v>
      </c>
      <c r="M17" s="8" t="n">
        <v>11433.25</v>
      </c>
      <c r="N17" s="8" t="n">
        <v>0</v>
      </c>
      <c r="O17" s="8" t="n">
        <v>999.63</v>
      </c>
      <c r="P17" s="8" t="n">
        <v>2384</v>
      </c>
      <c r="Q17" s="8" t="n">
        <v>902.89</v>
      </c>
      <c r="R17" s="8" t="n">
        <v>112298.79</v>
      </c>
      <c r="S17" s="8" t="n">
        <v>11483.63</v>
      </c>
      <c r="T17" s="8" t="n">
        <v>1957.66</v>
      </c>
      <c r="U17" s="8" t="n">
        <v>121824.76</v>
      </c>
      <c r="V17" s="5" t="inlineStr">
        <is>
          <t>SUCCESS</t>
        </is>
      </c>
      <c r="W17" s="5" t="inlineStr">
        <is>
          <t>C:\Liquidaciones\salidas\remesas\2026\MANDARINA\Nadorcott_Semana_1_NORMAL</t>
        </is>
      </c>
    </row>
    <row r="18">
      <c r="A18" s="5" t="n">
        <v>2191</v>
      </c>
      <c r="B18" s="5" t="inlineStr">
        <is>
          <t>Nadorcott Semana 3 CON HOJAS</t>
        </is>
      </c>
      <c r="C18" s="6" t="n">
        <v>46239</v>
      </c>
      <c r="D18" s="6" t="n">
        <v>46034</v>
      </c>
      <c r="E18" s="6" t="n">
        <v>46040</v>
      </c>
      <c r="F18" s="5" t="inlineStr">
        <is>
          <t>CON HOJAS</t>
        </is>
      </c>
      <c r="G18" s="5" t="inlineStr">
        <is>
          <t>Final</t>
        </is>
      </c>
      <c r="H18" s="7" t="n">
        <v>8</v>
      </c>
      <c r="I18" s="7" t="n">
        <v>3</v>
      </c>
      <c r="J18" s="7" t="n">
        <v>1</v>
      </c>
      <c r="K18" s="7" t="n">
        <v>45877</v>
      </c>
      <c r="L18" s="8" t="n">
        <v>36721.58</v>
      </c>
      <c r="M18" s="8" t="n">
        <v>3915</v>
      </c>
      <c r="N18" s="8" t="n">
        <v>0</v>
      </c>
      <c r="O18" s="8" t="n">
        <v>213.99</v>
      </c>
      <c r="P18" s="8" t="n">
        <v>793.13</v>
      </c>
      <c r="Q18" s="8" t="n">
        <v>370.26</v>
      </c>
      <c r="R18" s="8" t="n">
        <v>33556.74</v>
      </c>
      <c r="S18" s="8" t="n">
        <v>3092.55</v>
      </c>
      <c r="T18" s="8" t="n">
        <v>490.08</v>
      </c>
      <c r="U18" s="8" t="n">
        <v>36159.21</v>
      </c>
      <c r="V18" s="5" t="inlineStr">
        <is>
          <t>SUCCESS</t>
        </is>
      </c>
      <c r="W18" s="5" t="inlineStr">
        <is>
          <t>C:\Liquidaciones\salidas\remesas\2026\MANDARINA\Nadorcott_Semana_3_CON_HOJAS</t>
        </is>
      </c>
    </row>
    <row r="19">
      <c r="A19" s="5" t="n">
        <v>2192</v>
      </c>
      <c r="B19" s="5" t="inlineStr">
        <is>
          <t>Nadorcott Semana 3 NORMAL</t>
        </is>
      </c>
      <c r="C19" s="6" t="n">
        <v>46239</v>
      </c>
      <c r="D19" s="6" t="n">
        <v>46034</v>
      </c>
      <c r="E19" s="6" t="n">
        <v>46040</v>
      </c>
      <c r="F19" s="5" t="inlineStr">
        <is>
          <t>NORMAL</t>
        </is>
      </c>
      <c r="G19" s="5" t="inlineStr">
        <is>
          <t>Final</t>
        </is>
      </c>
      <c r="H19" s="7" t="n">
        <v>18</v>
      </c>
      <c r="I19" s="7" t="n">
        <v>4</v>
      </c>
      <c r="J19" s="7" t="n">
        <v>1</v>
      </c>
      <c r="K19" s="7" t="n">
        <v>184043</v>
      </c>
      <c r="L19" s="8" t="n">
        <v>132529.06</v>
      </c>
      <c r="M19" s="8" t="n">
        <v>16947</v>
      </c>
      <c r="N19" s="8" t="n">
        <v>0</v>
      </c>
      <c r="O19" s="8" t="n">
        <v>430.34</v>
      </c>
      <c r="P19" s="8" t="n">
        <v>3024.26</v>
      </c>
      <c r="Q19" s="8" t="n">
        <v>1646.54</v>
      </c>
      <c r="R19" s="8" t="n">
        <v>118368.99</v>
      </c>
      <c r="S19" s="8" t="n">
        <v>14204.27</v>
      </c>
      <c r="T19" s="8" t="n">
        <v>2651.47</v>
      </c>
      <c r="U19" s="8" t="n">
        <v>129921.8</v>
      </c>
      <c r="V19" s="5" t="inlineStr">
        <is>
          <t>SUCCESS</t>
        </is>
      </c>
      <c r="W19" s="5" t="inlineStr">
        <is>
          <t>C:\Liquidaciones\salidas\remesas\2026\MANDARINA\Nadorcott_Semana_3_NORMAL</t>
        </is>
      </c>
    </row>
    <row r="20">
      <c r="A20" s="5" t="n">
        <v>2193</v>
      </c>
      <c r="B20" s="5" t="inlineStr">
        <is>
          <t>Nadorcott Semana 6 NORMAL</t>
        </is>
      </c>
      <c r="C20" s="6" t="n">
        <v>46239</v>
      </c>
      <c r="D20" s="6" t="n">
        <v>46055</v>
      </c>
      <c r="E20" s="6" t="n">
        <v>46061</v>
      </c>
      <c r="F20" s="5" t="inlineStr">
        <is>
          <t>NORMAL</t>
        </is>
      </c>
      <c r="G20" s="5" t="inlineStr">
        <is>
          <t>Final</t>
        </is>
      </c>
      <c r="H20" s="7" t="n">
        <v>4</v>
      </c>
      <c r="I20" s="7" t="n">
        <v>1</v>
      </c>
      <c r="J20" s="7" t="n">
        <v>1</v>
      </c>
      <c r="K20" s="7" t="n">
        <v>35685</v>
      </c>
      <c r="L20" s="8" t="n">
        <v>21618.21</v>
      </c>
      <c r="M20" s="8" t="n">
        <v>4460.63</v>
      </c>
      <c r="N20" s="8" t="n">
        <v>0</v>
      </c>
      <c r="O20" s="8" t="n">
        <v>524.5700000000001</v>
      </c>
      <c r="P20" s="8" t="n">
        <v>508.43</v>
      </c>
      <c r="Q20" s="8" t="n">
        <v>875.3200000000001</v>
      </c>
      <c r="R20" s="8" t="n">
        <v>17764.6</v>
      </c>
      <c r="S20" s="8" t="n">
        <v>710.58</v>
      </c>
      <c r="T20" s="8" t="n">
        <v>0</v>
      </c>
      <c r="U20" s="8" t="n">
        <v>18475.18</v>
      </c>
      <c r="V20" s="5" t="inlineStr">
        <is>
          <t>SUCCESS</t>
        </is>
      </c>
      <c r="W20" s="5" t="inlineStr">
        <is>
          <t>C:\Liquidaciones\salidas\remesas\2026\MANDARINA\Nadorcott_Semana_6_NORMAL</t>
        </is>
      </c>
    </row>
    <row r="21">
      <c r="A21" s="5" t="n">
        <v>2194</v>
      </c>
      <c r="B21" s="5" t="inlineStr">
        <is>
          <t>Nadorcott Semana 4 NORMAL</t>
        </is>
      </c>
      <c r="C21" s="6" t="n">
        <v>46239</v>
      </c>
      <c r="D21" s="6" t="n">
        <v>46041</v>
      </c>
      <c r="E21" s="6" t="n">
        <v>46047</v>
      </c>
      <c r="F21" s="5" t="inlineStr">
        <is>
          <t>NORMAL</t>
        </is>
      </c>
      <c r="G21" s="5" t="inlineStr">
        <is>
          <t>Final</t>
        </is>
      </c>
      <c r="H21" s="7" t="n">
        <v>10</v>
      </c>
      <c r="I21" s="7" t="n">
        <v>4</v>
      </c>
      <c r="J21" s="7" t="n">
        <v>1</v>
      </c>
      <c r="K21" s="7" t="n">
        <v>100730</v>
      </c>
      <c r="L21" s="8" t="n">
        <v>74968.46000000001</v>
      </c>
      <c r="M21" s="8" t="n">
        <v>6137.25</v>
      </c>
      <c r="N21" s="8" t="n">
        <v>0</v>
      </c>
      <c r="O21" s="8" t="n">
        <v>0</v>
      </c>
      <c r="P21" s="8" t="n">
        <v>1396.47</v>
      </c>
      <c r="Q21" s="8" t="n">
        <v>907.4</v>
      </c>
      <c r="R21" s="8" t="n">
        <v>69698.66</v>
      </c>
      <c r="S21" s="8" t="n">
        <v>7806.59</v>
      </c>
      <c r="T21" s="8" t="n">
        <v>1405.21</v>
      </c>
      <c r="U21" s="8" t="n">
        <v>76100.03</v>
      </c>
      <c r="V21" s="5" t="inlineStr">
        <is>
          <t>SUCCESS</t>
        </is>
      </c>
      <c r="W21" s="5" t="inlineStr">
        <is>
          <t>C:\Liquidaciones\salidas\remesas\2026\MANDARINA\Nadorcott_Semana_4_NORMAL</t>
        </is>
      </c>
    </row>
    <row r="22">
      <c r="A22" s="5" t="n">
        <v>2195</v>
      </c>
      <c r="B22" s="5" t="inlineStr">
        <is>
          <t>Nadorcott Semana 8 NORMAL</t>
        </is>
      </c>
      <c r="C22" s="6" t="n">
        <v>46239</v>
      </c>
      <c r="D22" s="6" t="n">
        <v>46069</v>
      </c>
      <c r="E22" s="6" t="n">
        <v>46075</v>
      </c>
      <c r="F22" s="5" t="inlineStr">
        <is>
          <t>NORMAL</t>
        </is>
      </c>
      <c r="G22" s="5" t="inlineStr">
        <is>
          <t>Final</t>
        </is>
      </c>
      <c r="H22" s="7" t="n">
        <v>1</v>
      </c>
      <c r="I22" s="7" t="n">
        <v>1</v>
      </c>
      <c r="J22" s="7" t="n">
        <v>1</v>
      </c>
      <c r="K22" s="7" t="n">
        <v>11720</v>
      </c>
      <c r="L22" s="8" t="n">
        <v>5983.62</v>
      </c>
      <c r="M22" s="8" t="n">
        <v>1465</v>
      </c>
      <c r="N22" s="8" t="n">
        <v>0</v>
      </c>
      <c r="O22" s="8" t="n">
        <v>172.28</v>
      </c>
      <c r="P22" s="8" t="n">
        <v>164.79</v>
      </c>
      <c r="Q22" s="8" t="n">
        <v>287.48</v>
      </c>
      <c r="R22" s="8" t="n">
        <v>4723.08</v>
      </c>
      <c r="S22" s="8" t="n">
        <v>188.92</v>
      </c>
      <c r="T22" s="8" t="n">
        <v>0</v>
      </c>
      <c r="U22" s="8" t="n">
        <v>4912</v>
      </c>
      <c r="V22" s="5" t="inlineStr">
        <is>
          <t>SUCCESS</t>
        </is>
      </c>
      <c r="W22" s="5" t="inlineStr">
        <is>
          <t>C:\Liquidaciones\salidas\remesas\2026\MANDARINA\Nadorcott_Semana_8_NORMAL</t>
        </is>
      </c>
    </row>
    <row r="23">
      <c r="A23" s="5" t="n">
        <v>2196</v>
      </c>
      <c r="B23" s="5" t="inlineStr">
        <is>
          <t>Nadorcott Semana 52 NORMAL</t>
        </is>
      </c>
      <c r="C23" s="6" t="n">
        <v>46239</v>
      </c>
      <c r="D23" s="6" t="n">
        <v>46013</v>
      </c>
      <c r="E23" s="6" t="n">
        <v>46019</v>
      </c>
      <c r="F23" s="5" t="inlineStr">
        <is>
          <t>NORMAL</t>
        </is>
      </c>
      <c r="G23" s="5" t="inlineStr">
        <is>
          <t>Final</t>
        </is>
      </c>
      <c r="H23" s="7" t="n">
        <v>11</v>
      </c>
      <c r="I23" s="7" t="n">
        <v>3</v>
      </c>
      <c r="J23" s="7" t="n">
        <v>1</v>
      </c>
      <c r="K23" s="7" t="n">
        <v>97334</v>
      </c>
      <c r="L23" s="8" t="n">
        <v>87276.69</v>
      </c>
      <c r="M23" s="8" t="n">
        <v>9336.75</v>
      </c>
      <c r="N23" s="8" t="n">
        <v>0</v>
      </c>
      <c r="O23" s="8" t="n">
        <v>328.05</v>
      </c>
      <c r="P23" s="8" t="n">
        <v>1714.37</v>
      </c>
      <c r="Q23" s="8" t="n">
        <v>910.9400000000001</v>
      </c>
      <c r="R23" s="8" t="n">
        <v>79206.44</v>
      </c>
      <c r="S23" s="8" t="n">
        <v>6124.1</v>
      </c>
      <c r="T23" s="8" t="n">
        <v>827.63</v>
      </c>
      <c r="U23" s="8" t="n">
        <v>84502.91</v>
      </c>
      <c r="V23" s="5" t="inlineStr">
        <is>
          <t>SUCCESS</t>
        </is>
      </c>
      <c r="W23" s="5" t="inlineStr">
        <is>
          <t>C:\Liquidaciones\salidas\remesas\2026\MANDARINA\Nadorcott_Semana_52_NORMAL</t>
        </is>
      </c>
    </row>
    <row r="24">
      <c r="A24" s="9" t="inlineStr">
        <is>
          <t>TOTAL GENERAL</t>
        </is>
      </c>
      <c r="B24" s="9" t="inlineStr"/>
      <c r="C24" s="10" t="inlineStr"/>
      <c r="D24" s="10" t="inlineStr"/>
      <c r="E24" s="10" t="inlineStr"/>
      <c r="F24" s="9" t="inlineStr"/>
      <c r="G24" s="9" t="inlineStr"/>
      <c r="H24" s="11" t="n">
        <v>164</v>
      </c>
      <c r="I24" s="11" t="n">
        <v>61</v>
      </c>
      <c r="J24" s="11" t="inlineStr"/>
      <c r="K24" s="11" t="n">
        <v>1991880</v>
      </c>
      <c r="L24" s="12" t="n">
        <v>1526802.78</v>
      </c>
      <c r="M24" s="12" t="n">
        <v>163160.1</v>
      </c>
      <c r="N24" s="12" t="n">
        <v>0</v>
      </c>
      <c r="O24" s="12" t="n">
        <v>5056.01</v>
      </c>
      <c r="P24" s="12" t="n">
        <v>31352.37</v>
      </c>
      <c r="Q24" s="12" t="n">
        <v>16190.56</v>
      </c>
      <c r="R24" s="12" t="n">
        <v>1393441.63</v>
      </c>
      <c r="S24" s="12" t="n">
        <v>153120.38</v>
      </c>
      <c r="T24" s="12" t="n">
        <v>27267.15</v>
      </c>
      <c r="U24" s="12" t="n">
        <v>1519294.84</v>
      </c>
      <c r="V24" s="9" t="inlineStr"/>
      <c r="W24" s="9" t="inlineStr"/>
    </row>
  </sheetData>
  <autoFilter ref="A1:W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35" customWidth="1" min="4" max="4"/>
    <col width="18" customWidth="1" min="5" max="5"/>
    <col width="14" customWidth="1" min="6" max="6"/>
    <col width="15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7" customWidth="1" min="14" max="14"/>
    <col width="12" customWidth="1" min="15" max="15"/>
    <col width="10" customWidth="1" min="16" max="16"/>
    <col width="10" customWidth="1" min="17" max="17"/>
    <col width="17" customWidth="1" min="18" max="18"/>
    <col width="32" customWidth="1" min="19" max="19"/>
    <col width="16" customWidth="1" min="20" max="20"/>
    <col width="24" customWidth="1" min="21" max="21"/>
    <col width="23" customWidth="1" min="22" max="22"/>
    <col width="24" customWidth="1" min="23" max="23"/>
  </cols>
  <sheetData>
    <row r="1">
      <c r="A1" s="13" t="inlineStr">
        <is>
          <t>Id Remesa</t>
        </is>
      </c>
      <c r="B1" s="13" t="inlineStr">
        <is>
          <t>Remesa</t>
        </is>
      </c>
      <c r="C1" s="13" t="inlineStr">
        <is>
          <t>Nº Socio</t>
        </is>
      </c>
      <c r="D1" s="13" t="inlineStr">
        <is>
          <t>Socio</t>
        </is>
      </c>
      <c r="E1" s="13" t="inlineStr">
        <is>
          <t>Variedad</t>
        </is>
      </c>
      <c r="F1" s="13" t="inlineStr">
        <is>
          <t>Neto</t>
        </is>
      </c>
      <c r="G1" s="13" t="inlineStr">
        <is>
          <t>I. Bruto</t>
        </is>
      </c>
      <c r="H1" s="13" t="inlineStr">
        <is>
          <t>P. Comer.</t>
        </is>
      </c>
      <c r="I1" s="13" t="inlineStr">
        <is>
          <t>Recolec.</t>
        </is>
      </c>
      <c r="J1" s="13" t="inlineStr">
        <is>
          <t>C. Has.</t>
        </is>
      </c>
      <c r="K1" s="13" t="inlineStr">
        <is>
          <t>B/P Cal.</t>
        </is>
      </c>
      <c r="L1" s="13" t="inlineStr">
        <is>
          <t>B. Trans.</t>
        </is>
      </c>
      <c r="M1" s="13" t="inlineStr">
        <is>
          <t>B. Glob.</t>
        </is>
      </c>
      <c r="N1" s="13" t="inlineStr">
        <is>
          <t>Base Imponible</t>
        </is>
      </c>
      <c r="O1" s="13" t="inlineStr">
        <is>
          <t>P.Medio</t>
        </is>
      </c>
      <c r="P1" s="13" t="inlineStr">
        <is>
          <t>I.V.A</t>
        </is>
      </c>
      <c r="Q1" s="13" t="inlineStr">
        <is>
          <t>Ret.</t>
        </is>
      </c>
      <c r="R1" s="13" t="inlineStr">
        <is>
          <t>Importe Total.</t>
        </is>
      </c>
      <c r="S1" s="13" t="inlineStr">
        <is>
          <t>Concepto Liquidación</t>
        </is>
      </c>
      <c r="T1" s="13" t="inlineStr">
        <is>
          <t>Cultivo</t>
        </is>
      </c>
      <c r="U1" s="13" t="inlineStr">
        <is>
          <t>Com. Recol. (Pts/kg)(&lt;11,65)</t>
        </is>
      </c>
      <c r="V1" s="13" t="inlineStr">
        <is>
          <t>Com. Global (Pts/kg)(&lt;2)</t>
        </is>
      </c>
      <c r="W1" s="13" t="inlineStr">
        <is>
          <t>Com. Trans. (Pts/kg) (&lt;1,7)</t>
        </is>
      </c>
    </row>
    <row r="2">
      <c r="A2" s="14" t="n">
        <v>2148</v>
      </c>
      <c r="B2" s="14" t="inlineStr">
        <is>
          <t>Nadorcott Semana 5 NORMAL</t>
        </is>
      </c>
      <c r="C2" s="15" t="n">
        <v>886</v>
      </c>
      <c r="D2" s="14" t="inlineStr">
        <is>
          <t>IGEÑO LUQUE S.C.</t>
        </is>
      </c>
      <c r="E2" s="14" t="inlineStr">
        <is>
          <t>NADORCOTT</t>
        </is>
      </c>
      <c r="F2" s="15" t="n">
        <v>29231</v>
      </c>
      <c r="G2" s="16" t="n">
        <v>24653.35</v>
      </c>
      <c r="H2" s="17" t="n">
        <v>0.8433974205466799</v>
      </c>
      <c r="I2" s="16" t="n">
        <v>3653.88</v>
      </c>
      <c r="J2" s="16" t="n">
        <v>148.91</v>
      </c>
      <c r="K2" s="16" t="n">
        <v>0</v>
      </c>
      <c r="L2" s="16" t="n">
        <v>429.7</v>
      </c>
      <c r="M2" s="16" t="n">
        <v>499.54</v>
      </c>
      <c r="N2" s="16" t="n">
        <v>21779.8</v>
      </c>
      <c r="O2" s="17" t="n">
        <v>0.81781</v>
      </c>
      <c r="P2" s="18" t="n">
        <v>12</v>
      </c>
      <c r="Q2" s="18" t="n">
        <v>2</v>
      </c>
      <c r="R2" s="16" t="n">
        <v>23905.51</v>
      </c>
      <c r="S2" s="14" t="inlineStr">
        <is>
          <t>Nadorcott Semana 5 NORMAL</t>
        </is>
      </c>
      <c r="T2" s="14" t="inlineStr">
        <is>
          <t>MANDARINA</t>
        </is>
      </c>
      <c r="U2" s="19">
        <f>IFERROR(166.386*I2/F2,0)</f>
        <v/>
      </c>
      <c r="V2" s="19">
        <f>IFERROR(166.386*M2/F2,0)</f>
        <v/>
      </c>
      <c r="W2" s="19">
        <f>IFERROR(166.386*L2/F2,0)</f>
        <v/>
      </c>
    </row>
    <row r="3">
      <c r="A3" s="14" t="n">
        <v>2148</v>
      </c>
      <c r="B3" s="14" t="inlineStr">
        <is>
          <t>Nadorcott Semana 5 NORMAL</t>
        </is>
      </c>
      <c r="C3" s="15" t="n">
        <v>1443</v>
      </c>
      <c r="D3" s="14" t="inlineStr">
        <is>
          <t>TOMENO SUAREZ,ALBERTO</t>
        </is>
      </c>
      <c r="E3" s="14" t="inlineStr">
        <is>
          <t>NADORCOTT</t>
        </is>
      </c>
      <c r="F3" s="15" t="n">
        <v>61919</v>
      </c>
      <c r="G3" s="16" t="n">
        <v>42738.98</v>
      </c>
      <c r="H3" s="17" t="n">
        <v>0.6902401524572426</v>
      </c>
      <c r="I3" s="16" t="n">
        <v>0</v>
      </c>
      <c r="J3" s="16" t="n">
        <v>382.88</v>
      </c>
      <c r="K3" s="16" t="n">
        <v>0</v>
      </c>
      <c r="L3" s="16" t="n">
        <v>331.84</v>
      </c>
      <c r="M3" s="16" t="n">
        <v>933.37</v>
      </c>
      <c r="N3" s="16" t="n">
        <v>43621.31</v>
      </c>
      <c r="O3" s="17" t="n">
        <v>0.77325</v>
      </c>
      <c r="P3" s="18" t="n">
        <v>12</v>
      </c>
      <c r="Q3" s="18" t="n">
        <v>2</v>
      </c>
      <c r="R3" s="16" t="n">
        <v>47878.75</v>
      </c>
      <c r="S3" s="14" t="inlineStr">
        <is>
          <t>Nadorcott Semana 5 NORMAL</t>
        </is>
      </c>
      <c r="T3" s="14" t="inlineStr">
        <is>
          <t>MANDARINA</t>
        </is>
      </c>
      <c r="U3" s="19">
        <f>IFERROR(166.386*I3/F3,0)</f>
        <v/>
      </c>
      <c r="V3" s="19">
        <f>IFERROR(166.386*M3/F3,0)</f>
        <v/>
      </c>
      <c r="W3" s="19">
        <f>IFERROR(166.386*L3/F3,0)</f>
        <v/>
      </c>
    </row>
    <row r="4">
      <c r="A4" s="14" t="n">
        <v>2148</v>
      </c>
      <c r="B4" s="14" t="inlineStr">
        <is>
          <t>Nadorcott Semana 5 NORMAL</t>
        </is>
      </c>
      <c r="C4" s="15" t="n">
        <v>1478</v>
      </c>
      <c r="D4" s="14" t="inlineStr">
        <is>
          <t>AGROSERVICIOS LA CATRIA S.L.</t>
        </is>
      </c>
      <c r="E4" s="14" t="inlineStr">
        <is>
          <t>NADORCOTT</t>
        </is>
      </c>
      <c r="F4" s="15" t="n">
        <v>3338</v>
      </c>
      <c r="G4" s="16" t="n">
        <v>1863.9</v>
      </c>
      <c r="H4" s="17" t="n">
        <v>0.5583882564409827</v>
      </c>
      <c r="I4" s="16" t="n">
        <v>417.25</v>
      </c>
      <c r="J4" s="16" t="n">
        <v>81.88</v>
      </c>
      <c r="K4" s="16" t="n">
        <v>0</v>
      </c>
      <c r="L4" s="16" t="n">
        <v>49.07</v>
      </c>
      <c r="M4" s="16" t="n">
        <v>36.96</v>
      </c>
      <c r="N4" s="16" t="n">
        <v>1450.8</v>
      </c>
      <c r="O4" s="17" t="n">
        <v>0.45202</v>
      </c>
      <c r="P4" s="18" t="n">
        <v>4</v>
      </c>
      <c r="Q4" s="18" t="n">
        <v>0</v>
      </c>
      <c r="R4" s="16" t="n">
        <v>1508.83</v>
      </c>
      <c r="S4" s="14" t="inlineStr">
        <is>
          <t>Nadorcott Semana 5 NORMAL</t>
        </is>
      </c>
      <c r="T4" s="14" t="inlineStr">
        <is>
          <t>MANDARINA</t>
        </is>
      </c>
      <c r="U4" s="19">
        <f>IFERROR(166.386*I4/F4,0)</f>
        <v/>
      </c>
      <c r="V4" s="19">
        <f>IFERROR(166.386*M4/F4,0)</f>
        <v/>
      </c>
      <c r="W4" s="19">
        <f>IFERROR(166.386*L4/F4,0)</f>
        <v/>
      </c>
    </row>
    <row r="5">
      <c r="A5" s="14" t="n">
        <v>2148</v>
      </c>
      <c r="B5" s="14" t="inlineStr">
        <is>
          <t>Nadorcott Semana 5 NORMAL</t>
        </is>
      </c>
      <c r="C5" s="15" t="n">
        <v>1491</v>
      </c>
      <c r="D5" s="14" t="inlineStr">
        <is>
          <t>JIMENEZ LORENTE,SONIA</t>
        </is>
      </c>
      <c r="E5" s="14" t="inlineStr">
        <is>
          <t>NADORCOTT</t>
        </is>
      </c>
      <c r="F5" s="15" t="n">
        <v>22836</v>
      </c>
      <c r="G5" s="16" t="n">
        <v>18762.73</v>
      </c>
      <c r="H5" s="17" t="n">
        <v>0.8216294447363811</v>
      </c>
      <c r="I5" s="16" t="n">
        <v>2854.5</v>
      </c>
      <c r="J5" s="16" t="n">
        <v>146.67</v>
      </c>
      <c r="K5" s="16" t="n">
        <v>0</v>
      </c>
      <c r="L5" s="16" t="n">
        <v>0</v>
      </c>
      <c r="M5" s="16" t="n">
        <v>364.98</v>
      </c>
      <c r="N5" s="16" t="n">
        <v>16126.54</v>
      </c>
      <c r="O5" s="17" t="n">
        <v>0.77511</v>
      </c>
      <c r="P5" s="18" t="n">
        <v>12</v>
      </c>
      <c r="Q5" s="18" t="n">
        <v>2</v>
      </c>
      <c r="R5" s="16" t="n">
        <v>17700.49</v>
      </c>
      <c r="S5" s="14" t="inlineStr">
        <is>
          <t>Nadorcott Semana 5 NORMAL</t>
        </is>
      </c>
      <c r="T5" s="14" t="inlineStr">
        <is>
          <t>MANDARINA</t>
        </is>
      </c>
      <c r="U5" s="19">
        <f>IFERROR(166.386*I5/F5,0)</f>
        <v/>
      </c>
      <c r="V5" s="19">
        <f>IFERROR(166.386*M5/F5,0)</f>
        <v/>
      </c>
      <c r="W5" s="19">
        <f>IFERROR(166.386*L5/F5,0)</f>
        <v/>
      </c>
    </row>
    <row r="6">
      <c r="A6" s="14" t="n">
        <v>2149</v>
      </c>
      <c r="B6" s="14" t="inlineStr">
        <is>
          <t>Nadorcott Semana 7 NORMAL</t>
        </is>
      </c>
      <c r="C6" s="15" t="n">
        <v>1491</v>
      </c>
      <c r="D6" s="14" t="inlineStr">
        <is>
          <t>JIMENEZ LORENTE,SONIA</t>
        </is>
      </c>
      <c r="E6" s="14" t="inlineStr">
        <is>
          <t>NADORCOTT</t>
        </is>
      </c>
      <c r="F6" s="15" t="n">
        <v>22750</v>
      </c>
      <c r="G6" s="16" t="n">
        <v>17837.05</v>
      </c>
      <c r="H6" s="17" t="n">
        <v>0.7840461538461538</v>
      </c>
      <c r="I6" s="16" t="n">
        <v>2843.75</v>
      </c>
      <c r="J6" s="16" t="n">
        <v>146.12</v>
      </c>
      <c r="K6" s="16" t="n">
        <v>0</v>
      </c>
      <c r="L6" s="16" t="n">
        <v>0</v>
      </c>
      <c r="M6" s="16" t="n">
        <v>341.89</v>
      </c>
      <c r="N6" s="16" t="n">
        <v>15189.07</v>
      </c>
      <c r="O6" s="17" t="n">
        <v>0.73281</v>
      </c>
      <c r="P6" s="18" t="n">
        <v>12</v>
      </c>
      <c r="Q6" s="18" t="n">
        <v>2</v>
      </c>
      <c r="R6" s="16" t="n">
        <v>16671.52</v>
      </c>
      <c r="S6" s="14" t="inlineStr">
        <is>
          <t>Nadorcott Semana 7 NORMAL</t>
        </is>
      </c>
      <c r="T6" s="14" t="inlineStr">
        <is>
          <t>MANDARINA</t>
        </is>
      </c>
      <c r="U6" s="19">
        <f>IFERROR(166.386*I6/F6,0)</f>
        <v/>
      </c>
      <c r="V6" s="19">
        <f>IFERROR(166.386*M6/F6,0)</f>
        <v/>
      </c>
      <c r="W6" s="19">
        <f>IFERROR(166.386*L6/F6,0)</f>
        <v/>
      </c>
    </row>
    <row r="7">
      <c r="A7" s="14" t="n">
        <v>2150</v>
      </c>
      <c r="B7" s="14" t="inlineStr">
        <is>
          <t>Tango Semana 1 CON HOJAS</t>
        </is>
      </c>
      <c r="C7" s="15" t="n">
        <v>1566</v>
      </c>
      <c r="D7" s="14" t="inlineStr">
        <is>
          <t>GODOY MARTIN, FRANCISCO</t>
        </is>
      </c>
      <c r="E7" s="14" t="inlineStr">
        <is>
          <t>TANGO</t>
        </is>
      </c>
      <c r="F7" s="15" t="n">
        <v>2283</v>
      </c>
      <c r="G7" s="16" t="n">
        <v>1888.69</v>
      </c>
      <c r="H7" s="17" t="n">
        <v>0.8272842750766535</v>
      </c>
      <c r="I7" s="16" t="n">
        <v>285.38</v>
      </c>
      <c r="J7" s="16" t="n">
        <v>0</v>
      </c>
      <c r="K7" s="16" t="n">
        <v>0</v>
      </c>
      <c r="L7" s="16" t="n">
        <v>0</v>
      </c>
      <c r="M7" s="16" t="n">
        <v>37.08</v>
      </c>
      <c r="N7" s="16" t="n">
        <v>1640.39</v>
      </c>
      <c r="O7" s="17" t="n">
        <v>0.78865</v>
      </c>
      <c r="P7" s="18" t="n">
        <v>12</v>
      </c>
      <c r="Q7" s="18" t="n">
        <v>2</v>
      </c>
      <c r="R7" s="16" t="n">
        <v>1800.49</v>
      </c>
      <c r="S7" s="14" t="inlineStr">
        <is>
          <t>Tango Semana 1 CON HOJAS</t>
        </is>
      </c>
      <c r="T7" s="14" t="inlineStr">
        <is>
          <t>MANDARINA</t>
        </is>
      </c>
      <c r="U7" s="19">
        <f>IFERROR(166.386*I7/F7,0)</f>
        <v/>
      </c>
      <c r="V7" s="19">
        <f>IFERROR(166.386*M7/F7,0)</f>
        <v/>
      </c>
      <c r="W7" s="19">
        <f>IFERROR(166.386*L7/F7,0)</f>
        <v/>
      </c>
    </row>
    <row r="8">
      <c r="A8" s="14" t="n">
        <v>2151</v>
      </c>
      <c r="B8" s="14" t="inlineStr">
        <is>
          <t>Tango Semana 1 NORMAL</t>
        </is>
      </c>
      <c r="C8" s="15" t="n">
        <v>1178</v>
      </c>
      <c r="D8" s="14" t="inlineStr">
        <is>
          <t>CALZADO GARCIA,FRANCISCO JAVIER</t>
        </is>
      </c>
      <c r="E8" s="14" t="inlineStr">
        <is>
          <t>TANGO</t>
        </is>
      </c>
      <c r="F8" s="15" t="n">
        <v>10616</v>
      </c>
      <c r="G8" s="16" t="n">
        <v>8323.65</v>
      </c>
      <c r="H8" s="17" t="n">
        <v>0.7840665033911077</v>
      </c>
      <c r="I8" s="16" t="n">
        <v>1333</v>
      </c>
      <c r="J8" s="16" t="n">
        <v>130.72</v>
      </c>
      <c r="K8" s="16" t="n">
        <v>0</v>
      </c>
      <c r="L8" s="16" t="n">
        <v>0</v>
      </c>
      <c r="M8" s="16" t="n">
        <v>181.53</v>
      </c>
      <c r="N8" s="16" t="n">
        <v>7041.46</v>
      </c>
      <c r="O8" s="17" t="n">
        <v>0.72802</v>
      </c>
      <c r="P8" s="18" t="n">
        <v>12</v>
      </c>
      <c r="Q8" s="18" t="n">
        <v>2</v>
      </c>
      <c r="R8" s="16" t="n">
        <v>7728.71</v>
      </c>
      <c r="S8" s="14" t="inlineStr">
        <is>
          <t>Tango Semana 1 NORMAL</t>
        </is>
      </c>
      <c r="T8" s="14" t="inlineStr">
        <is>
          <t>MANDARINA</t>
        </is>
      </c>
      <c r="U8" s="19">
        <f>IFERROR(166.386*I8/F8,0)</f>
        <v/>
      </c>
      <c r="V8" s="19">
        <f>IFERROR(166.386*M8/F8,0)</f>
        <v/>
      </c>
      <c r="W8" s="19">
        <f>IFERROR(166.386*L8/F8,0)</f>
        <v/>
      </c>
    </row>
    <row r="9">
      <c r="A9" s="14" t="n">
        <v>2151</v>
      </c>
      <c r="B9" s="14" t="inlineStr">
        <is>
          <t>Tango Semana 1 NORMAL</t>
        </is>
      </c>
      <c r="C9" s="15" t="n">
        <v>1566</v>
      </c>
      <c r="D9" s="14" t="inlineStr">
        <is>
          <t>GODOY MARTIN, FRANCISCO</t>
        </is>
      </c>
      <c r="E9" s="14" t="inlineStr">
        <is>
          <t>TANGO</t>
        </is>
      </c>
      <c r="F9" s="15" t="n">
        <v>48469</v>
      </c>
      <c r="G9" s="16" t="n">
        <v>38382.64</v>
      </c>
      <c r="H9" s="17" t="n">
        <v>0.7919008025748416</v>
      </c>
      <c r="I9" s="16" t="n">
        <v>6058.63</v>
      </c>
      <c r="J9" s="16" t="n">
        <v>0</v>
      </c>
      <c r="K9" s="16" t="n">
        <v>0</v>
      </c>
      <c r="L9" s="16" t="n">
        <v>105.5</v>
      </c>
      <c r="M9" s="16" t="n">
        <v>826.78</v>
      </c>
      <c r="N9" s="16" t="n">
        <v>33256.29</v>
      </c>
      <c r="O9" s="17" t="n">
        <v>0.7531</v>
      </c>
      <c r="P9" s="18" t="n">
        <v>12</v>
      </c>
      <c r="Q9" s="18" t="n">
        <v>2</v>
      </c>
      <c r="R9" s="16" t="n">
        <v>36502.1</v>
      </c>
      <c r="S9" s="14" t="inlineStr">
        <is>
          <t>Tango Semana 1 NORMAL</t>
        </is>
      </c>
      <c r="T9" s="14" t="inlineStr">
        <is>
          <t>MANDARINA</t>
        </is>
      </c>
      <c r="U9" s="19">
        <f>IFERROR(166.386*I9/F9,0)</f>
        <v/>
      </c>
      <c r="V9" s="19">
        <f>IFERROR(166.386*M9/F9,0)</f>
        <v/>
      </c>
      <c r="W9" s="19">
        <f>IFERROR(166.386*L9/F9,0)</f>
        <v/>
      </c>
    </row>
    <row r="10">
      <c r="A10" s="14" t="n">
        <v>2152</v>
      </c>
      <c r="B10" s="14" t="inlineStr">
        <is>
          <t>Tango Semana 2 NORMAL</t>
        </is>
      </c>
      <c r="C10" s="15" t="n">
        <v>1133</v>
      </c>
      <c r="D10" s="14" t="inlineStr">
        <is>
          <t>MAYFE S.C.</t>
        </is>
      </c>
      <c r="E10" s="14" t="inlineStr">
        <is>
          <t>TANGO</t>
        </is>
      </c>
      <c r="F10" s="15" t="n">
        <v>41356</v>
      </c>
      <c r="G10" s="16" t="n">
        <v>32279.78</v>
      </c>
      <c r="H10" s="17" t="n">
        <v>0.7805343843698617</v>
      </c>
      <c r="I10" s="16" t="n">
        <v>5169.5</v>
      </c>
      <c r="J10" s="16" t="n">
        <v>392.9</v>
      </c>
      <c r="K10" s="16" t="n">
        <v>0</v>
      </c>
      <c r="L10" s="16" t="n">
        <v>309.82</v>
      </c>
      <c r="M10" s="16" t="n">
        <v>0</v>
      </c>
      <c r="N10" s="16" t="n">
        <v>27027.2</v>
      </c>
      <c r="O10" s="17" t="n">
        <v>0.71731</v>
      </c>
      <c r="P10" s="18" t="n">
        <v>12</v>
      </c>
      <c r="Q10" s="18" t="n">
        <v>2</v>
      </c>
      <c r="R10" s="16" t="n">
        <v>29665.05</v>
      </c>
      <c r="S10" s="14" t="inlineStr">
        <is>
          <t>Tango Semana 2 NORMAL</t>
        </is>
      </c>
      <c r="T10" s="14" t="inlineStr">
        <is>
          <t>MANDARINA</t>
        </is>
      </c>
      <c r="U10" s="19">
        <f>IFERROR(166.386*I10/F10,0)</f>
        <v/>
      </c>
      <c r="V10" s="19">
        <f>IFERROR(166.386*M10/F10,0)</f>
        <v/>
      </c>
      <c r="W10" s="19">
        <f>IFERROR(166.386*L10/F10,0)</f>
        <v/>
      </c>
    </row>
    <row r="11">
      <c r="A11" s="14" t="n">
        <v>2152</v>
      </c>
      <c r="B11" s="14" t="inlineStr">
        <is>
          <t>Tango Semana 2 NORMAL</t>
        </is>
      </c>
      <c r="C11" s="15" t="n">
        <v>1324</v>
      </c>
      <c r="D11" s="14" t="inlineStr">
        <is>
          <t>CANO MANZANARES,LUIS</t>
        </is>
      </c>
      <c r="E11" s="14" t="inlineStr">
        <is>
          <t>TANGO</t>
        </is>
      </c>
      <c r="F11" s="15" t="n">
        <v>19650</v>
      </c>
      <c r="G11" s="16" t="n">
        <v>15053.86</v>
      </c>
      <c r="H11" s="17" t="n">
        <v>0.7660997455470738</v>
      </c>
      <c r="I11" s="16" t="n">
        <v>2456.25</v>
      </c>
      <c r="J11" s="16" t="n">
        <v>68.12</v>
      </c>
      <c r="K11" s="16" t="n">
        <v>0</v>
      </c>
      <c r="L11" s="16" t="n">
        <v>288.86</v>
      </c>
      <c r="M11" s="16" t="n">
        <v>341.49</v>
      </c>
      <c r="N11" s="16" t="n">
        <v>13159.84</v>
      </c>
      <c r="O11" s="17" t="n">
        <v>0.73508</v>
      </c>
      <c r="P11" s="18" t="n">
        <v>12</v>
      </c>
      <c r="Q11" s="18" t="n">
        <v>2</v>
      </c>
      <c r="R11" s="16" t="n">
        <v>14444.24</v>
      </c>
      <c r="S11" s="14" t="inlineStr">
        <is>
          <t>Tango Semana 2 NORMAL</t>
        </is>
      </c>
      <c r="T11" s="14" t="inlineStr">
        <is>
          <t>MANDARINA</t>
        </is>
      </c>
      <c r="U11" s="19">
        <f>IFERROR(166.386*I11/F11,0)</f>
        <v/>
      </c>
      <c r="V11" s="19">
        <f>IFERROR(166.386*M11/F11,0)</f>
        <v/>
      </c>
      <c r="W11" s="19">
        <f>IFERROR(166.386*L11/F11,0)</f>
        <v/>
      </c>
    </row>
    <row r="12">
      <c r="A12" s="14" t="n">
        <v>2152</v>
      </c>
      <c r="B12" s="14" t="inlineStr">
        <is>
          <t>Tango Semana 2 NORMAL</t>
        </is>
      </c>
      <c r="C12" s="15" t="n">
        <v>1415</v>
      </c>
      <c r="D12" s="14" t="inlineStr">
        <is>
          <t>TOMENO SUAREZ,FERNANDO</t>
        </is>
      </c>
      <c r="E12" s="14" t="inlineStr">
        <is>
          <t>TANGO</t>
        </is>
      </c>
      <c r="F12" s="15" t="n">
        <v>16796</v>
      </c>
      <c r="G12" s="16" t="n">
        <v>12934.97</v>
      </c>
      <c r="H12" s="17" t="n">
        <v>0.7701220528697309</v>
      </c>
      <c r="I12" s="16" t="n">
        <v>0</v>
      </c>
      <c r="J12" s="16" t="n">
        <v>59.19</v>
      </c>
      <c r="K12" s="16" t="n">
        <v>0</v>
      </c>
      <c r="L12" s="16" t="n">
        <v>0</v>
      </c>
      <c r="M12" s="16" t="n">
        <v>280.82</v>
      </c>
      <c r="N12" s="16" t="n">
        <v>13156.6</v>
      </c>
      <c r="O12" s="17" t="n">
        <v>0.85977</v>
      </c>
      <c r="P12" s="18" t="n">
        <v>12</v>
      </c>
      <c r="Q12" s="18" t="n">
        <v>2</v>
      </c>
      <c r="R12" s="16" t="n">
        <v>14440.68</v>
      </c>
      <c r="S12" s="14" t="inlineStr">
        <is>
          <t>Tango Semana 2 NORMAL</t>
        </is>
      </c>
      <c r="T12" s="14" t="inlineStr">
        <is>
          <t>MANDARINA</t>
        </is>
      </c>
      <c r="U12" s="19">
        <f>IFERROR(166.386*I12/F12,0)</f>
        <v/>
      </c>
      <c r="V12" s="19">
        <f>IFERROR(166.386*M12/F12,0)</f>
        <v/>
      </c>
      <c r="W12" s="19">
        <f>IFERROR(166.386*L12/F12,0)</f>
        <v/>
      </c>
    </row>
    <row r="13">
      <c r="A13" s="14" t="n">
        <v>2152</v>
      </c>
      <c r="B13" s="14" t="inlineStr">
        <is>
          <t>Tango Semana 2 NORMAL</t>
        </is>
      </c>
      <c r="C13" s="15" t="n">
        <v>1561</v>
      </c>
      <c r="D13" s="14" t="inlineStr">
        <is>
          <t>SUAREZ SANCHEZ, Mª DEL PILAR</t>
        </is>
      </c>
      <c r="E13" s="14" t="inlineStr">
        <is>
          <t>TANGO</t>
        </is>
      </c>
      <c r="F13" s="15" t="n">
        <v>49948</v>
      </c>
      <c r="G13" s="16" t="n">
        <v>38715.7</v>
      </c>
      <c r="H13" s="17" t="n">
        <v>0.7751201249299271</v>
      </c>
      <c r="I13" s="16" t="n">
        <v>0</v>
      </c>
      <c r="J13" s="16" t="n">
        <v>406.11</v>
      </c>
      <c r="K13" s="16" t="n">
        <v>0</v>
      </c>
      <c r="L13" s="16" t="n">
        <v>442.15</v>
      </c>
      <c r="M13" s="16" t="n">
        <v>868.59</v>
      </c>
      <c r="N13" s="16" t="n">
        <v>39620.33</v>
      </c>
      <c r="O13" s="17" t="n">
        <v>0.87065</v>
      </c>
      <c r="P13" s="18" t="n">
        <v>12</v>
      </c>
      <c r="Q13" s="18" t="n">
        <v>2</v>
      </c>
      <c r="R13" s="16" t="n">
        <v>43487.27</v>
      </c>
      <c r="S13" s="14" t="inlineStr">
        <is>
          <t>Tango Semana 2 NORMAL</t>
        </is>
      </c>
      <c r="T13" s="14" t="inlineStr">
        <is>
          <t>MANDARINA</t>
        </is>
      </c>
      <c r="U13" s="19">
        <f>IFERROR(166.386*I13/F13,0)</f>
        <v/>
      </c>
      <c r="V13" s="19">
        <f>IFERROR(166.386*M13/F13,0)</f>
        <v/>
      </c>
      <c r="W13" s="19">
        <f>IFERROR(166.386*L13/F13,0)</f>
        <v/>
      </c>
    </row>
    <row r="14">
      <c r="A14" s="14" t="n">
        <v>2152</v>
      </c>
      <c r="B14" s="14" t="inlineStr">
        <is>
          <t>Tango Semana 2 NORMAL</t>
        </is>
      </c>
      <c r="C14" s="15" t="n">
        <v>1566</v>
      </c>
      <c r="D14" s="14" t="inlineStr">
        <is>
          <t>GODOY MARTIN, FRANCISCO</t>
        </is>
      </c>
      <c r="E14" s="14" t="inlineStr">
        <is>
          <t>TANGO</t>
        </is>
      </c>
      <c r="F14" s="15" t="n">
        <v>20860</v>
      </c>
      <c r="G14" s="16" t="n">
        <v>16227.86</v>
      </c>
      <c r="H14" s="17" t="n">
        <v>0.777941514860978</v>
      </c>
      <c r="I14" s="16" t="n">
        <v>2607.5</v>
      </c>
      <c r="J14" s="16" t="n">
        <v>0</v>
      </c>
      <c r="K14" s="16" t="n">
        <v>0</v>
      </c>
      <c r="L14" s="16" t="n">
        <v>306.64</v>
      </c>
      <c r="M14" s="16" t="n">
        <v>359.81</v>
      </c>
      <c r="N14" s="16" t="n">
        <v>14286.81</v>
      </c>
      <c r="O14" s="17" t="n">
        <v>0.75174</v>
      </c>
      <c r="P14" s="18" t="n">
        <v>12</v>
      </c>
      <c r="Q14" s="18" t="n">
        <v>2</v>
      </c>
      <c r="R14" s="16" t="n">
        <v>15681.2</v>
      </c>
      <c r="S14" s="14" t="inlineStr">
        <is>
          <t>Tango Semana 2 NORMAL</t>
        </is>
      </c>
      <c r="T14" s="14" t="inlineStr">
        <is>
          <t>MANDARINA</t>
        </is>
      </c>
      <c r="U14" s="19">
        <f>IFERROR(166.386*I14/F14,0)</f>
        <v/>
      </c>
      <c r="V14" s="19">
        <f>IFERROR(166.386*M14/F14,0)</f>
        <v/>
      </c>
      <c r="W14" s="19">
        <f>IFERROR(166.386*L14/F14,0)</f>
        <v/>
      </c>
    </row>
    <row r="15">
      <c r="A15" s="14" t="n">
        <v>2153</v>
      </c>
      <c r="B15" s="14" t="inlineStr">
        <is>
          <t>Tango Semana 3 NORMAL</t>
        </is>
      </c>
      <c r="C15" s="15" t="n">
        <v>1214</v>
      </c>
      <c r="D15" s="14" t="inlineStr">
        <is>
          <t>CALZADA GAMIZ,JOSE ANTONIO</t>
        </is>
      </c>
      <c r="E15" s="14" t="inlineStr">
        <is>
          <t>TANGO</t>
        </is>
      </c>
      <c r="F15" s="15" t="n">
        <v>18104</v>
      </c>
      <c r="G15" s="16" t="n">
        <v>14207.77</v>
      </c>
      <c r="H15" s="17" t="n">
        <v>0.7847862350861688</v>
      </c>
      <c r="I15" s="16" t="n">
        <v>2263</v>
      </c>
      <c r="J15" s="16" t="n">
        <v>164.37</v>
      </c>
      <c r="K15" s="16" t="n">
        <v>0</v>
      </c>
      <c r="L15" s="16" t="n">
        <v>0</v>
      </c>
      <c r="M15" s="16" t="n">
        <v>309.7</v>
      </c>
      <c r="N15" s="16" t="n">
        <v>12090.1</v>
      </c>
      <c r="O15" s="17" t="n">
        <v>0.73299</v>
      </c>
      <c r="P15" s="18" t="n">
        <v>12</v>
      </c>
      <c r="Q15" s="18" t="n">
        <v>2</v>
      </c>
      <c r="R15" s="16" t="n">
        <v>13270.09</v>
      </c>
      <c r="S15" s="14" t="inlineStr">
        <is>
          <t>Tango Semana 3 NORMAL</t>
        </is>
      </c>
      <c r="T15" s="14" t="inlineStr">
        <is>
          <t>MANDARINA</t>
        </is>
      </c>
      <c r="U15" s="19">
        <f>IFERROR(166.386*I15/F15,0)</f>
        <v/>
      </c>
      <c r="V15" s="19">
        <f>IFERROR(166.386*M15/F15,0)</f>
        <v/>
      </c>
      <c r="W15" s="19">
        <f>IFERROR(166.386*L15/F15,0)</f>
        <v/>
      </c>
    </row>
    <row r="16">
      <c r="A16" s="14" t="n">
        <v>2153</v>
      </c>
      <c r="B16" s="14" t="inlineStr">
        <is>
          <t>Tango Semana 3 NORMAL</t>
        </is>
      </c>
      <c r="C16" s="15" t="n">
        <v>1324</v>
      </c>
      <c r="D16" s="14" t="inlineStr">
        <is>
          <t>CANO MANZANARES,LUIS</t>
        </is>
      </c>
      <c r="E16" s="14" t="inlineStr">
        <is>
          <t>TANGO</t>
        </is>
      </c>
      <c r="F16" s="15" t="n">
        <v>99440</v>
      </c>
      <c r="G16" s="16" t="n">
        <v>80750.06</v>
      </c>
      <c r="H16" s="17" t="n">
        <v>0.8120480691874498</v>
      </c>
      <c r="I16" s="16" t="n">
        <v>12430.01</v>
      </c>
      <c r="J16" s="16" t="n">
        <v>344.75</v>
      </c>
      <c r="K16" s="16" t="n">
        <v>0</v>
      </c>
      <c r="L16" s="16" t="n">
        <v>0</v>
      </c>
      <c r="M16" s="16" t="n">
        <v>1705.2</v>
      </c>
      <c r="N16" s="16" t="n">
        <v>69680.5</v>
      </c>
      <c r="O16" s="17" t="n">
        <v>0.76912</v>
      </c>
      <c r="P16" s="18" t="n">
        <v>12</v>
      </c>
      <c r="Q16" s="18" t="n">
        <v>2</v>
      </c>
      <c r="R16" s="16" t="n">
        <v>76481.32000000001</v>
      </c>
      <c r="S16" s="14" t="inlineStr">
        <is>
          <t>Tango Semana 3 NORMAL</t>
        </is>
      </c>
      <c r="T16" s="14" t="inlineStr">
        <is>
          <t>MANDARINA</t>
        </is>
      </c>
      <c r="U16" s="19">
        <f>IFERROR(166.386*I16/F16,0)</f>
        <v/>
      </c>
      <c r="V16" s="19">
        <f>IFERROR(166.386*M16/F16,0)</f>
        <v/>
      </c>
      <c r="W16" s="19">
        <f>IFERROR(166.386*L16/F16,0)</f>
        <v/>
      </c>
    </row>
    <row r="17">
      <c r="A17" s="14" t="n">
        <v>2153</v>
      </c>
      <c r="B17" s="14" t="inlineStr">
        <is>
          <t>Tango Semana 3 NORMAL</t>
        </is>
      </c>
      <c r="C17" s="15" t="n">
        <v>1415</v>
      </c>
      <c r="D17" s="14" t="inlineStr">
        <is>
          <t>TOMENO SUAREZ,FERNANDO</t>
        </is>
      </c>
      <c r="E17" s="14" t="inlineStr">
        <is>
          <t>TANGO</t>
        </is>
      </c>
      <c r="F17" s="15" t="n">
        <v>24726</v>
      </c>
      <c r="G17" s="16" t="n">
        <v>20038.48</v>
      </c>
      <c r="H17" s="17" t="n">
        <v>0.8104214187494945</v>
      </c>
      <c r="I17" s="16" t="n">
        <v>0</v>
      </c>
      <c r="J17" s="16" t="n">
        <v>87.13</v>
      </c>
      <c r="K17" s="16" t="n">
        <v>0</v>
      </c>
      <c r="L17" s="16" t="n">
        <v>0</v>
      </c>
      <c r="M17" s="16" t="n">
        <v>426.05</v>
      </c>
      <c r="N17" s="16" t="n">
        <v>20377.4</v>
      </c>
      <c r="O17" s="17" t="n">
        <v>0.90456</v>
      </c>
      <c r="P17" s="18" t="n">
        <v>12</v>
      </c>
      <c r="Q17" s="18" t="n">
        <v>2</v>
      </c>
      <c r="R17" s="16" t="n">
        <v>22366.23</v>
      </c>
      <c r="S17" s="14" t="inlineStr">
        <is>
          <t>Tango Semana 3 NORMAL</t>
        </is>
      </c>
      <c r="T17" s="14" t="inlineStr">
        <is>
          <t>MANDARINA</t>
        </is>
      </c>
      <c r="U17" s="19">
        <f>IFERROR(166.386*I17/F17,0)</f>
        <v/>
      </c>
      <c r="V17" s="19">
        <f>IFERROR(166.386*M17/F17,0)</f>
        <v/>
      </c>
      <c r="W17" s="19">
        <f>IFERROR(166.386*L17/F17,0)</f>
        <v/>
      </c>
    </row>
    <row r="18">
      <c r="A18" s="14" t="n">
        <v>2153</v>
      </c>
      <c r="B18" s="14" t="inlineStr">
        <is>
          <t>Tango Semana 3 NORMAL</t>
        </is>
      </c>
      <c r="C18" s="15" t="n">
        <v>1443</v>
      </c>
      <c r="D18" s="14" t="inlineStr">
        <is>
          <t>TOMENO SUAREZ,ALBERTO</t>
        </is>
      </c>
      <c r="E18" s="14" t="inlineStr">
        <is>
          <t>TANGO</t>
        </is>
      </c>
      <c r="F18" s="15" t="n">
        <v>58340</v>
      </c>
      <c r="G18" s="16" t="n">
        <v>46782.33</v>
      </c>
      <c r="H18" s="17" t="n">
        <v>0.8018911552965375</v>
      </c>
      <c r="I18" s="16" t="n">
        <v>0</v>
      </c>
      <c r="J18" s="16" t="n">
        <v>360.75</v>
      </c>
      <c r="K18" s="16" t="n">
        <v>0</v>
      </c>
      <c r="L18" s="16" t="n">
        <v>0</v>
      </c>
      <c r="M18" s="16" t="n">
        <v>999.9299999999999</v>
      </c>
      <c r="N18" s="16" t="n">
        <v>47421.51</v>
      </c>
      <c r="O18" s="17" t="n">
        <v>0.89218</v>
      </c>
      <c r="P18" s="18" t="n">
        <v>12</v>
      </c>
      <c r="Q18" s="18" t="n">
        <v>2</v>
      </c>
      <c r="R18" s="16" t="n">
        <v>52049.85</v>
      </c>
      <c r="S18" s="14" t="inlineStr">
        <is>
          <t>Tango Semana 3 NORMAL</t>
        </is>
      </c>
      <c r="T18" s="14" t="inlineStr">
        <is>
          <t>MANDARINA</t>
        </is>
      </c>
      <c r="U18" s="19">
        <f>IFERROR(166.386*I18/F18,0)</f>
        <v/>
      </c>
      <c r="V18" s="19">
        <f>IFERROR(166.386*M18/F18,0)</f>
        <v/>
      </c>
      <c r="W18" s="19">
        <f>IFERROR(166.386*L18/F18,0)</f>
        <v/>
      </c>
    </row>
    <row r="19">
      <c r="A19" s="14" t="n">
        <v>2153</v>
      </c>
      <c r="B19" s="14" t="inlineStr">
        <is>
          <t>Tango Semana 3 NORMAL</t>
        </is>
      </c>
      <c r="C19" s="15" t="n">
        <v>1478</v>
      </c>
      <c r="D19" s="14" t="inlineStr">
        <is>
          <t>AGROSERVICIOS LA CATRIA S.L.</t>
        </is>
      </c>
      <c r="E19" s="14" t="inlineStr">
        <is>
          <t>TANGO</t>
        </is>
      </c>
      <c r="F19" s="15" t="n">
        <v>19050</v>
      </c>
      <c r="G19" s="16" t="n">
        <v>14248.28</v>
      </c>
      <c r="H19" s="17" t="n">
        <v>0.7479412073490813</v>
      </c>
      <c r="I19" s="16" t="n">
        <v>2381.25</v>
      </c>
      <c r="J19" s="16" t="n">
        <v>467.28</v>
      </c>
      <c r="K19" s="16" t="n">
        <v>0</v>
      </c>
      <c r="L19" s="16" t="n">
        <v>0</v>
      </c>
      <c r="M19" s="16" t="n">
        <v>303.3</v>
      </c>
      <c r="N19" s="16" t="n">
        <v>11703.05</v>
      </c>
      <c r="O19" s="17" t="n">
        <v>0.63891</v>
      </c>
      <c r="P19" s="18" t="n">
        <v>4</v>
      </c>
      <c r="Q19" s="18" t="n">
        <v>0</v>
      </c>
      <c r="R19" s="16" t="n">
        <v>12171.17</v>
      </c>
      <c r="S19" s="14" t="inlineStr">
        <is>
          <t>Tango Semana 3 NORMAL</t>
        </is>
      </c>
      <c r="T19" s="14" t="inlineStr">
        <is>
          <t>MANDARINA</t>
        </is>
      </c>
      <c r="U19" s="19">
        <f>IFERROR(166.386*I19/F19,0)</f>
        <v/>
      </c>
      <c r="V19" s="19">
        <f>IFERROR(166.386*M19/F19,0)</f>
        <v/>
      </c>
      <c r="W19" s="19">
        <f>IFERROR(166.386*L19/F19,0)</f>
        <v/>
      </c>
    </row>
    <row r="20">
      <c r="A20" s="14" t="n">
        <v>2153</v>
      </c>
      <c r="B20" s="14" t="inlineStr">
        <is>
          <t>Tango Semana 3 NORMAL</t>
        </is>
      </c>
      <c r="C20" s="15" t="n">
        <v>1523</v>
      </c>
      <c r="D20" s="14" t="inlineStr">
        <is>
          <t>RODRIGUEZ MEJÍAS, JOSE ANTONIO</t>
        </is>
      </c>
      <c r="E20" s="14" t="inlineStr">
        <is>
          <t>TANGO</t>
        </is>
      </c>
      <c r="F20" s="15" t="n">
        <v>19718</v>
      </c>
      <c r="G20" s="16" t="n">
        <v>15852.83</v>
      </c>
      <c r="H20" s="17" t="n">
        <v>0.8039775839334619</v>
      </c>
      <c r="I20" s="16" t="n">
        <v>2464.75</v>
      </c>
      <c r="J20" s="16" t="n">
        <v>143.26</v>
      </c>
      <c r="K20" s="16" t="n">
        <v>0</v>
      </c>
      <c r="L20" s="16" t="n">
        <v>0</v>
      </c>
      <c r="M20" s="16" t="n">
        <v>337.7</v>
      </c>
      <c r="N20" s="16" t="n">
        <v>13582.52</v>
      </c>
      <c r="O20" s="17" t="n">
        <v>0.75607</v>
      </c>
      <c r="P20" s="18" t="n">
        <v>12</v>
      </c>
      <c r="Q20" s="18" t="n">
        <v>2</v>
      </c>
      <c r="R20" s="16" t="n">
        <v>14908.17</v>
      </c>
      <c r="S20" s="14" t="inlineStr">
        <is>
          <t>Tango Semana 3 NORMAL</t>
        </is>
      </c>
      <c r="T20" s="14" t="inlineStr">
        <is>
          <t>MANDARINA</t>
        </is>
      </c>
      <c r="U20" s="19">
        <f>IFERROR(166.386*I20/F20,0)</f>
        <v/>
      </c>
      <c r="V20" s="19">
        <f>IFERROR(166.386*M20/F20,0)</f>
        <v/>
      </c>
      <c r="W20" s="19">
        <f>IFERROR(166.386*L20/F20,0)</f>
        <v/>
      </c>
    </row>
    <row r="21">
      <c r="A21" s="14" t="n">
        <v>2153</v>
      </c>
      <c r="B21" s="14" t="inlineStr">
        <is>
          <t>Tango Semana 3 NORMAL</t>
        </is>
      </c>
      <c r="C21" s="15" t="n">
        <v>1561</v>
      </c>
      <c r="D21" s="14" t="inlineStr">
        <is>
          <t>SUAREZ SANCHEZ, Mª DEL PILAR</t>
        </is>
      </c>
      <c r="E21" s="14" t="inlineStr">
        <is>
          <t>TANGO</t>
        </is>
      </c>
      <c r="F21" s="15" t="n">
        <v>37224</v>
      </c>
      <c r="G21" s="16" t="n">
        <v>31235.58</v>
      </c>
      <c r="H21" s="17" t="n">
        <v>0.8391247582205029</v>
      </c>
      <c r="I21" s="16" t="n">
        <v>0</v>
      </c>
      <c r="J21" s="16" t="n">
        <v>302.66</v>
      </c>
      <c r="K21" s="16" t="n">
        <v>0</v>
      </c>
      <c r="L21" s="16" t="n">
        <v>0</v>
      </c>
      <c r="M21" s="16" t="n">
        <v>646.95</v>
      </c>
      <c r="N21" s="16" t="n">
        <v>31579.87</v>
      </c>
      <c r="O21" s="17" t="n">
        <v>0.93118</v>
      </c>
      <c r="P21" s="18" t="n">
        <v>12</v>
      </c>
      <c r="Q21" s="18" t="n">
        <v>2</v>
      </c>
      <c r="R21" s="16" t="n">
        <v>34662.07</v>
      </c>
      <c r="S21" s="14" t="inlineStr">
        <is>
          <t>Tango Semana 3 NORMAL</t>
        </is>
      </c>
      <c r="T21" s="14" t="inlineStr">
        <is>
          <t>MANDARINA</t>
        </is>
      </c>
      <c r="U21" s="19">
        <f>IFERROR(166.386*I21/F21,0)</f>
        <v/>
      </c>
      <c r="V21" s="19">
        <f>IFERROR(166.386*M21/F21,0)</f>
        <v/>
      </c>
      <c r="W21" s="19">
        <f>IFERROR(166.386*L21/F21,0)</f>
        <v/>
      </c>
    </row>
    <row r="22">
      <c r="A22" s="14" t="n">
        <v>2154</v>
      </c>
      <c r="B22" s="14" t="inlineStr">
        <is>
          <t>Tango Semana 4 CON HOJAS</t>
        </is>
      </c>
      <c r="C22" s="15" t="n">
        <v>1214</v>
      </c>
      <c r="D22" s="14" t="inlineStr">
        <is>
          <t>CALZADA GAMIZ,JOSE ANTONIO</t>
        </is>
      </c>
      <c r="E22" s="14" t="inlineStr">
        <is>
          <t>TANGO</t>
        </is>
      </c>
      <c r="F22" s="15" t="n">
        <v>38454</v>
      </c>
      <c r="G22" s="16" t="n">
        <v>29851.22</v>
      </c>
      <c r="H22" s="17" t="n">
        <v>0.7762838716388412</v>
      </c>
      <c r="I22" s="16" t="n">
        <v>4806.75</v>
      </c>
      <c r="J22" s="16" t="n">
        <v>349.14</v>
      </c>
      <c r="K22" s="16" t="n">
        <v>0</v>
      </c>
      <c r="L22" s="16" t="n">
        <v>15.91</v>
      </c>
      <c r="M22" s="16" t="n">
        <v>645.27</v>
      </c>
      <c r="N22" s="16" t="n">
        <v>25356.51</v>
      </c>
      <c r="O22" s="17" t="n">
        <v>0.72376</v>
      </c>
      <c r="P22" s="18" t="n">
        <v>12</v>
      </c>
      <c r="Q22" s="18" t="n">
        <v>2</v>
      </c>
      <c r="R22" s="16" t="n">
        <v>27831.31</v>
      </c>
      <c r="S22" s="14" t="inlineStr">
        <is>
          <t>Tango Semana 4 CON HOJAS</t>
        </is>
      </c>
      <c r="T22" s="14" t="inlineStr">
        <is>
          <t>MANDARINA</t>
        </is>
      </c>
      <c r="U22" s="19">
        <f>IFERROR(166.386*I22/F22,0)</f>
        <v/>
      </c>
      <c r="V22" s="19">
        <f>IFERROR(166.386*M22/F22,0)</f>
        <v/>
      </c>
      <c r="W22" s="19">
        <f>IFERROR(166.386*L22/F22,0)</f>
        <v/>
      </c>
    </row>
    <row r="23">
      <c r="A23" s="14" t="n">
        <v>2155</v>
      </c>
      <c r="B23" s="14" t="inlineStr">
        <is>
          <t>Tango Semana 9 NORMAL</t>
        </is>
      </c>
      <c r="C23" s="15" t="n">
        <v>1133</v>
      </c>
      <c r="D23" s="14" t="inlineStr">
        <is>
          <t>MAYFE S.C.</t>
        </is>
      </c>
      <c r="E23" s="14" t="inlineStr">
        <is>
          <t>TANGO</t>
        </is>
      </c>
      <c r="F23" s="15" t="n">
        <v>17023</v>
      </c>
      <c r="G23" s="16" t="n">
        <v>11368.95</v>
      </c>
      <c r="H23" s="17" t="n">
        <v>0.6678581918580744</v>
      </c>
      <c r="I23" s="16" t="n">
        <v>1063.94</v>
      </c>
      <c r="J23" s="16" t="n">
        <v>161.72</v>
      </c>
      <c r="K23" s="16" t="n">
        <v>0</v>
      </c>
      <c r="L23" s="16" t="n">
        <v>0</v>
      </c>
      <c r="M23" s="16" t="n">
        <v>0</v>
      </c>
      <c r="N23" s="16" t="n">
        <v>10143.29</v>
      </c>
      <c r="O23" s="17" t="n">
        <v>0.65401</v>
      </c>
      <c r="P23" s="18" t="n">
        <v>12</v>
      </c>
      <c r="Q23" s="18" t="n">
        <v>2</v>
      </c>
      <c r="R23" s="16" t="n">
        <v>11133.28</v>
      </c>
      <c r="S23" s="14" t="inlineStr">
        <is>
          <t>Tango Semana 9 NORMAL</t>
        </is>
      </c>
      <c r="T23" s="14" t="inlineStr">
        <is>
          <t>MANDARINA</t>
        </is>
      </c>
      <c r="U23" s="19">
        <f>IFERROR(166.386*I23/F23,0)</f>
        <v/>
      </c>
      <c r="V23" s="19">
        <f>IFERROR(166.386*M23/F23,0)</f>
        <v/>
      </c>
      <c r="W23" s="19">
        <f>IFERROR(166.386*L23/F23,0)</f>
        <v/>
      </c>
    </row>
    <row r="24">
      <c r="A24" s="14" t="n">
        <v>2156</v>
      </c>
      <c r="B24" s="14" t="inlineStr">
        <is>
          <t>Tango Semana 5 NORMAL</t>
        </is>
      </c>
      <c r="C24" s="15" t="n">
        <v>1355</v>
      </c>
      <c r="D24" s="14" t="inlineStr">
        <is>
          <t>CANO MANZANARES,JUAN ANTONIO</t>
        </is>
      </c>
      <c r="E24" s="14" t="inlineStr">
        <is>
          <t>TANGO</t>
        </is>
      </c>
      <c r="F24" s="15" t="n">
        <v>62684</v>
      </c>
      <c r="G24" s="16" t="n">
        <v>46546.09</v>
      </c>
      <c r="H24" s="17" t="n">
        <v>0.7425513687703401</v>
      </c>
      <c r="I24" s="16" t="n">
        <v>7834</v>
      </c>
      <c r="J24" s="16" t="n">
        <v>246.36</v>
      </c>
      <c r="K24" s="16" t="n">
        <v>0</v>
      </c>
      <c r="L24" s="16" t="n">
        <v>0</v>
      </c>
      <c r="M24" s="16" t="n">
        <v>999.4</v>
      </c>
      <c r="N24" s="16" t="n">
        <v>39465.13</v>
      </c>
      <c r="O24" s="17" t="n">
        <v>0.69104</v>
      </c>
      <c r="P24" s="18" t="n">
        <v>12</v>
      </c>
      <c r="Q24" s="18" t="n">
        <v>2</v>
      </c>
      <c r="R24" s="16" t="n">
        <v>43316.93</v>
      </c>
      <c r="S24" s="14" t="inlineStr">
        <is>
          <t>Tango Semana 5 NORMAL</t>
        </is>
      </c>
      <c r="T24" s="14" t="inlineStr">
        <is>
          <t>MANDARINA</t>
        </is>
      </c>
      <c r="U24" s="19">
        <f>IFERROR(166.386*I24/F24,0)</f>
        <v/>
      </c>
      <c r="V24" s="19">
        <f>IFERROR(166.386*M24/F24,0)</f>
        <v/>
      </c>
      <c r="W24" s="19">
        <f>IFERROR(166.386*L24/F24,0)</f>
        <v/>
      </c>
    </row>
    <row r="25">
      <c r="A25" s="14" t="n">
        <v>2157</v>
      </c>
      <c r="B25" s="14" t="inlineStr">
        <is>
          <t>Tango Semana 4 NORMAL</t>
        </is>
      </c>
      <c r="C25" s="15" t="n">
        <v>1133</v>
      </c>
      <c r="D25" s="14" t="inlineStr">
        <is>
          <t>MAYFE S.C.</t>
        </is>
      </c>
      <c r="E25" s="14" t="inlineStr">
        <is>
          <t>TANGO</t>
        </is>
      </c>
      <c r="F25" s="15" t="n">
        <v>21256</v>
      </c>
      <c r="G25" s="16" t="n">
        <v>17042.68</v>
      </c>
      <c r="H25" s="17" t="n">
        <v>0.8017820850583365</v>
      </c>
      <c r="I25" s="16" t="n">
        <v>2657</v>
      </c>
      <c r="J25" s="16" t="n">
        <v>201.94</v>
      </c>
      <c r="K25" s="16" t="n">
        <v>0</v>
      </c>
      <c r="L25" s="16" t="n">
        <v>0</v>
      </c>
      <c r="M25" s="16" t="n">
        <v>0</v>
      </c>
      <c r="N25" s="16" t="n">
        <v>14183.74</v>
      </c>
      <c r="O25" s="17" t="n">
        <v>0.73241</v>
      </c>
      <c r="P25" s="18" t="n">
        <v>12</v>
      </c>
      <c r="Q25" s="18" t="n">
        <v>2</v>
      </c>
      <c r="R25" s="16" t="n">
        <v>15568.07</v>
      </c>
      <c r="S25" s="14" t="inlineStr">
        <is>
          <t>Tango Semana 4 NORMAL</t>
        </is>
      </c>
      <c r="T25" s="14" t="inlineStr">
        <is>
          <t>MANDARINA</t>
        </is>
      </c>
      <c r="U25" s="19">
        <f>IFERROR(166.386*I25/F25,0)</f>
        <v/>
      </c>
      <c r="V25" s="19">
        <f>IFERROR(166.386*M25/F25,0)</f>
        <v/>
      </c>
      <c r="W25" s="19">
        <f>IFERROR(166.386*L25/F25,0)</f>
        <v/>
      </c>
    </row>
    <row r="26">
      <c r="A26" s="14" t="n">
        <v>2157</v>
      </c>
      <c r="B26" s="14" t="inlineStr">
        <is>
          <t>Tango Semana 4 NORMAL</t>
        </is>
      </c>
      <c r="C26" s="15" t="n">
        <v>1324</v>
      </c>
      <c r="D26" s="14" t="inlineStr">
        <is>
          <t>CANO MANZANARES,LUIS</t>
        </is>
      </c>
      <c r="E26" s="14" t="inlineStr">
        <is>
          <t>TANGO</t>
        </is>
      </c>
      <c r="F26" s="15" t="n">
        <v>20400</v>
      </c>
      <c r="G26" s="16" t="n">
        <v>16517.73</v>
      </c>
      <c r="H26" s="17" t="n">
        <v>0.8096926470588235</v>
      </c>
      <c r="I26" s="16" t="n">
        <v>2550</v>
      </c>
      <c r="J26" s="16" t="n">
        <v>70.73</v>
      </c>
      <c r="K26" s="16" t="n">
        <v>0</v>
      </c>
      <c r="L26" s="16" t="n">
        <v>0</v>
      </c>
      <c r="M26" s="16" t="n">
        <v>352.88</v>
      </c>
      <c r="N26" s="16" t="n">
        <v>14249.88</v>
      </c>
      <c r="O26" s="17" t="n">
        <v>0.7667</v>
      </c>
      <c r="P26" s="18" t="n">
        <v>12</v>
      </c>
      <c r="Q26" s="18" t="n">
        <v>2</v>
      </c>
      <c r="R26" s="16" t="n">
        <v>15640.67</v>
      </c>
      <c r="S26" s="14" t="inlineStr">
        <is>
          <t>Tango Semana 4 NORMAL</t>
        </is>
      </c>
      <c r="T26" s="14" t="inlineStr">
        <is>
          <t>MANDARINA</t>
        </is>
      </c>
      <c r="U26" s="19">
        <f>IFERROR(166.386*I26/F26,0)</f>
        <v/>
      </c>
      <c r="V26" s="19">
        <f>IFERROR(166.386*M26/F26,0)</f>
        <v/>
      </c>
      <c r="W26" s="19">
        <f>IFERROR(166.386*L26/F26,0)</f>
        <v/>
      </c>
    </row>
    <row r="27">
      <c r="A27" s="14" t="n">
        <v>2157</v>
      </c>
      <c r="B27" s="14" t="inlineStr">
        <is>
          <t>Tango Semana 4 NORMAL</t>
        </is>
      </c>
      <c r="C27" s="15" t="n">
        <v>1355</v>
      </c>
      <c r="D27" s="14" t="inlineStr">
        <is>
          <t>CANO MANZANARES,JUAN ANTONIO</t>
        </is>
      </c>
      <c r="E27" s="14" t="inlineStr">
        <is>
          <t>TANGO</t>
        </is>
      </c>
      <c r="F27" s="15" t="n">
        <v>40830</v>
      </c>
      <c r="G27" s="16" t="n">
        <v>32195.07</v>
      </c>
      <c r="H27" s="17" t="n">
        <v>0.7885150624540779</v>
      </c>
      <c r="I27" s="16" t="n">
        <v>5103.75</v>
      </c>
      <c r="J27" s="16" t="n">
        <v>160.47</v>
      </c>
      <c r="K27" s="16" t="n">
        <v>0</v>
      </c>
      <c r="L27" s="16" t="n">
        <v>0</v>
      </c>
      <c r="M27" s="16" t="n">
        <v>685.23</v>
      </c>
      <c r="N27" s="16" t="n">
        <v>27616.08</v>
      </c>
      <c r="O27" s="17" t="n">
        <v>0.74238</v>
      </c>
      <c r="P27" s="18" t="n">
        <v>12</v>
      </c>
      <c r="Q27" s="18" t="n">
        <v>2</v>
      </c>
      <c r="R27" s="16" t="n">
        <v>30311.41</v>
      </c>
      <c r="S27" s="14" t="inlineStr">
        <is>
          <t>Tango Semana 4 NORMAL</t>
        </is>
      </c>
      <c r="T27" s="14" t="inlineStr">
        <is>
          <t>MANDARINA</t>
        </is>
      </c>
      <c r="U27" s="19">
        <f>IFERROR(166.386*I27/F27,0)</f>
        <v/>
      </c>
      <c r="V27" s="19">
        <f>IFERROR(166.386*M27/F27,0)</f>
        <v/>
      </c>
      <c r="W27" s="19">
        <f>IFERROR(166.386*L27/F27,0)</f>
        <v/>
      </c>
    </row>
    <row r="28">
      <c r="A28" s="14" t="n">
        <v>2157</v>
      </c>
      <c r="B28" s="14" t="inlineStr">
        <is>
          <t>Tango Semana 4 NORMAL</t>
        </is>
      </c>
      <c r="C28" s="15" t="n">
        <v>1443</v>
      </c>
      <c r="D28" s="14" t="inlineStr">
        <is>
          <t>TOMENO SUAREZ,ALBERTO</t>
        </is>
      </c>
      <c r="E28" s="14" t="inlineStr">
        <is>
          <t>TANGO</t>
        </is>
      </c>
      <c r="F28" s="15" t="n">
        <v>98320</v>
      </c>
      <c r="G28" s="16" t="n">
        <v>77807.3</v>
      </c>
      <c r="H28" s="17" t="n">
        <v>0.7913679820992677</v>
      </c>
      <c r="I28" s="16" t="n">
        <v>0</v>
      </c>
      <c r="J28" s="16" t="n">
        <v>607.97</v>
      </c>
      <c r="K28" s="16" t="n">
        <v>0</v>
      </c>
      <c r="L28" s="16" t="n">
        <v>0</v>
      </c>
      <c r="M28" s="16" t="n">
        <v>1657.73</v>
      </c>
      <c r="N28" s="16" t="n">
        <v>78857.06</v>
      </c>
      <c r="O28" s="17" t="n">
        <v>0.88032</v>
      </c>
      <c r="P28" s="18" t="n">
        <v>12</v>
      </c>
      <c r="Q28" s="18" t="n">
        <v>2</v>
      </c>
      <c r="R28" s="16" t="n">
        <v>86553.50999999999</v>
      </c>
      <c r="S28" s="14" t="inlineStr">
        <is>
          <t>Tango Semana 4 NORMAL</t>
        </is>
      </c>
      <c r="T28" s="14" t="inlineStr">
        <is>
          <t>MANDARINA</t>
        </is>
      </c>
      <c r="U28" s="19">
        <f>IFERROR(166.386*I28/F28,0)</f>
        <v/>
      </c>
      <c r="V28" s="19">
        <f>IFERROR(166.386*M28/F28,0)</f>
        <v/>
      </c>
      <c r="W28" s="19">
        <f>IFERROR(166.386*L28/F28,0)</f>
        <v/>
      </c>
    </row>
    <row r="29">
      <c r="A29" s="14" t="n">
        <v>2157</v>
      </c>
      <c r="B29" s="14" t="inlineStr">
        <is>
          <t>Tango Semana 4 NORMAL</t>
        </is>
      </c>
      <c r="C29" s="15" t="n">
        <v>1478</v>
      </c>
      <c r="D29" s="14" t="inlineStr">
        <is>
          <t>AGROSERVICIOS LA CATRIA S.L.</t>
        </is>
      </c>
      <c r="E29" s="14" t="inlineStr">
        <is>
          <t>TANGO</t>
        </is>
      </c>
      <c r="F29" s="15" t="n">
        <v>39210</v>
      </c>
      <c r="G29" s="16" t="n">
        <v>30004.32</v>
      </c>
      <c r="H29" s="17" t="n">
        <v>0.7652211170619739</v>
      </c>
      <c r="I29" s="16" t="n">
        <v>4901.25</v>
      </c>
      <c r="J29" s="16" t="n">
        <v>961.79</v>
      </c>
      <c r="K29" s="16" t="n">
        <v>0</v>
      </c>
      <c r="L29" s="16" t="n">
        <v>0</v>
      </c>
      <c r="M29" s="16" t="n">
        <v>634.64</v>
      </c>
      <c r="N29" s="16" t="n">
        <v>24775.92</v>
      </c>
      <c r="O29" s="17" t="n">
        <v>0.65715</v>
      </c>
      <c r="P29" s="18" t="n">
        <v>4</v>
      </c>
      <c r="Q29" s="18" t="n">
        <v>0</v>
      </c>
      <c r="R29" s="16" t="n">
        <v>25766.96</v>
      </c>
      <c r="S29" s="14" t="inlineStr">
        <is>
          <t>Tango Semana 4 NORMAL</t>
        </is>
      </c>
      <c r="T29" s="14" t="inlineStr">
        <is>
          <t>MANDARINA</t>
        </is>
      </c>
      <c r="U29" s="19">
        <f>IFERROR(166.386*I29/F29,0)</f>
        <v/>
      </c>
      <c r="V29" s="19">
        <f>IFERROR(166.386*M29/F29,0)</f>
        <v/>
      </c>
      <c r="W29" s="19">
        <f>IFERROR(166.386*L29/F29,0)</f>
        <v/>
      </c>
    </row>
    <row r="30">
      <c r="A30" s="14" t="n">
        <v>2157</v>
      </c>
      <c r="B30" s="14" t="inlineStr">
        <is>
          <t>Tango Semana 4 NORMAL</t>
        </is>
      </c>
      <c r="C30" s="15" t="n">
        <v>1523</v>
      </c>
      <c r="D30" s="14" t="inlineStr">
        <is>
          <t>RODRIGUEZ MEJÍAS, JOSE ANTONIO</t>
        </is>
      </c>
      <c r="E30" s="14" t="inlineStr">
        <is>
          <t>TANGO</t>
        </is>
      </c>
      <c r="F30" s="15" t="n">
        <v>38718</v>
      </c>
      <c r="G30" s="16" t="n">
        <v>29424.17</v>
      </c>
      <c r="H30" s="17" t="n">
        <v>0.7599610000516556</v>
      </c>
      <c r="I30" s="16" t="n">
        <v>4839.75</v>
      </c>
      <c r="J30" s="16" t="n">
        <v>281.31</v>
      </c>
      <c r="K30" s="16" t="n">
        <v>0</v>
      </c>
      <c r="L30" s="16" t="n">
        <v>0</v>
      </c>
      <c r="M30" s="16" t="n">
        <v>638.96</v>
      </c>
      <c r="N30" s="16" t="n">
        <v>24942.07</v>
      </c>
      <c r="O30" s="17" t="n">
        <v>0.70707</v>
      </c>
      <c r="P30" s="18" t="n">
        <v>12</v>
      </c>
      <c r="Q30" s="18" t="n">
        <v>2</v>
      </c>
      <c r="R30" s="16" t="n">
        <v>27376.42</v>
      </c>
      <c r="S30" s="14" t="inlineStr">
        <is>
          <t>Tango Semana 4 NORMAL</t>
        </is>
      </c>
      <c r="T30" s="14" t="inlineStr">
        <is>
          <t>MANDARINA</t>
        </is>
      </c>
      <c r="U30" s="19">
        <f>IFERROR(166.386*I30/F30,0)</f>
        <v/>
      </c>
      <c r="V30" s="19">
        <f>IFERROR(166.386*M30/F30,0)</f>
        <v/>
      </c>
      <c r="W30" s="19">
        <f>IFERROR(166.386*L30/F30,0)</f>
        <v/>
      </c>
    </row>
    <row r="31">
      <c r="A31" s="14" t="n">
        <v>2157</v>
      </c>
      <c r="B31" s="14" t="inlineStr">
        <is>
          <t>Tango Semana 4 NORMAL</t>
        </is>
      </c>
      <c r="C31" s="15" t="n">
        <v>1550</v>
      </c>
      <c r="D31" s="14" t="inlineStr">
        <is>
          <t>CADORTAN S.L.</t>
        </is>
      </c>
      <c r="E31" s="14" t="inlineStr">
        <is>
          <t>TANGO</t>
        </is>
      </c>
      <c r="F31" s="15" t="n">
        <v>10278</v>
      </c>
      <c r="G31" s="16" t="n">
        <v>8105.27</v>
      </c>
      <c r="H31" s="17" t="n">
        <v>0.7886038139715899</v>
      </c>
      <c r="I31" s="16" t="n">
        <v>1284.75</v>
      </c>
      <c r="J31" s="16" t="n">
        <v>90.93000000000001</v>
      </c>
      <c r="K31" s="16" t="n">
        <v>0</v>
      </c>
      <c r="L31" s="16" t="n">
        <v>0</v>
      </c>
      <c r="M31" s="16" t="n">
        <v>175.75</v>
      </c>
      <c r="N31" s="16" t="n">
        <v>6905.34</v>
      </c>
      <c r="O31" s="17" t="n">
        <v>0.69873</v>
      </c>
      <c r="P31" s="18" t="n">
        <v>4</v>
      </c>
      <c r="Q31" s="18" t="n">
        <v>0</v>
      </c>
      <c r="R31" s="16" t="n">
        <v>7181.55</v>
      </c>
      <c r="S31" s="14" t="inlineStr">
        <is>
          <t>Tango Semana 4 NORMAL</t>
        </is>
      </c>
      <c r="T31" s="14" t="inlineStr">
        <is>
          <t>MANDARINA</t>
        </is>
      </c>
      <c r="U31" s="19">
        <f>IFERROR(166.386*I31/F31,0)</f>
        <v/>
      </c>
      <c r="V31" s="19">
        <f>IFERROR(166.386*M31/F31,0)</f>
        <v/>
      </c>
      <c r="W31" s="19">
        <f>IFERROR(166.386*L31/F31,0)</f>
        <v/>
      </c>
    </row>
    <row r="32">
      <c r="A32" s="14" t="n">
        <v>2158</v>
      </c>
      <c r="B32" s="14" t="inlineStr">
        <is>
          <t>Tango Semana 7 NORMAL</t>
        </is>
      </c>
      <c r="C32" s="15" t="n">
        <v>1355</v>
      </c>
      <c r="D32" s="14" t="inlineStr">
        <is>
          <t>CANO MANZANARES,JUAN ANTONIO</t>
        </is>
      </c>
      <c r="E32" s="14" t="inlineStr">
        <is>
          <t>TANGO</t>
        </is>
      </c>
      <c r="F32" s="15" t="n">
        <v>17488</v>
      </c>
      <c r="G32" s="16" t="n">
        <v>11989.13</v>
      </c>
      <c r="H32" s="17" t="n">
        <v>0.6855632433668801</v>
      </c>
      <c r="I32" s="16" t="n">
        <v>2186</v>
      </c>
      <c r="J32" s="16" t="n">
        <v>68.73</v>
      </c>
      <c r="K32" s="16" t="n">
        <v>0</v>
      </c>
      <c r="L32" s="16" t="n">
        <v>0</v>
      </c>
      <c r="M32" s="16" t="n">
        <v>262.09</v>
      </c>
      <c r="N32" s="16" t="n">
        <v>9996.49</v>
      </c>
      <c r="O32" s="17" t="n">
        <v>0.62741</v>
      </c>
      <c r="P32" s="18" t="n">
        <v>12</v>
      </c>
      <c r="Q32" s="18" t="n">
        <v>2</v>
      </c>
      <c r="R32" s="16" t="n">
        <v>10972.15</v>
      </c>
      <c r="S32" s="14" t="inlineStr">
        <is>
          <t>Tango Semana 7 NORMAL</t>
        </is>
      </c>
      <c r="T32" s="14" t="inlineStr">
        <is>
          <t>MANDARINA</t>
        </is>
      </c>
      <c r="U32" s="19">
        <f>IFERROR(166.386*I32/F32,0)</f>
        <v/>
      </c>
      <c r="V32" s="19">
        <f>IFERROR(166.386*M32/F32,0)</f>
        <v/>
      </c>
      <c r="W32" s="19">
        <f>IFERROR(166.386*L32/F32,0)</f>
        <v/>
      </c>
    </row>
    <row r="33">
      <c r="A33" s="14" t="n">
        <v>2158</v>
      </c>
      <c r="B33" s="14" t="inlineStr">
        <is>
          <t>Tango Semana 7 NORMAL</t>
        </is>
      </c>
      <c r="C33" s="15" t="n">
        <v>1443</v>
      </c>
      <c r="D33" s="14" t="inlineStr">
        <is>
          <t>TOMENO SUAREZ,ALBERTO</t>
        </is>
      </c>
      <c r="E33" s="14" t="inlineStr">
        <is>
          <t>TANGO</t>
        </is>
      </c>
      <c r="F33" s="15" t="n">
        <v>25834</v>
      </c>
      <c r="G33" s="16" t="n">
        <v>17673.1</v>
      </c>
      <c r="H33" s="17" t="n">
        <v>0.6841023457459162</v>
      </c>
      <c r="I33" s="16" t="n">
        <v>0</v>
      </c>
      <c r="J33" s="16" t="n">
        <v>159.75</v>
      </c>
      <c r="K33" s="16" t="n">
        <v>0</v>
      </c>
      <c r="L33" s="16" t="n">
        <v>0</v>
      </c>
      <c r="M33" s="16" t="n">
        <v>398.27</v>
      </c>
      <c r="N33" s="16" t="n">
        <v>17911.62</v>
      </c>
      <c r="O33" s="17" t="n">
        <v>0.761</v>
      </c>
      <c r="P33" s="18" t="n">
        <v>12</v>
      </c>
      <c r="Q33" s="18" t="n">
        <v>2</v>
      </c>
      <c r="R33" s="16" t="n">
        <v>19659.79</v>
      </c>
      <c r="S33" s="14" t="inlineStr">
        <is>
          <t>Tango Semana 7 NORMAL</t>
        </is>
      </c>
      <c r="T33" s="14" t="inlineStr">
        <is>
          <t>MANDARINA</t>
        </is>
      </c>
      <c r="U33" s="19">
        <f>IFERROR(166.386*I33/F33,0)</f>
        <v/>
      </c>
      <c r="V33" s="19">
        <f>IFERROR(166.386*M33/F33,0)</f>
        <v/>
      </c>
      <c r="W33" s="19">
        <f>IFERROR(166.386*L33/F33,0)</f>
        <v/>
      </c>
    </row>
    <row r="34">
      <c r="A34" s="14" t="n">
        <v>2158</v>
      </c>
      <c r="B34" s="14" t="inlineStr">
        <is>
          <t>Tango Semana 7 NORMAL</t>
        </is>
      </c>
      <c r="C34" s="15" t="n">
        <v>1561</v>
      </c>
      <c r="D34" s="14" t="inlineStr">
        <is>
          <t>SUAREZ SANCHEZ, Mª DEL PILAR</t>
        </is>
      </c>
      <c r="E34" s="14" t="inlineStr">
        <is>
          <t>TANGO</t>
        </is>
      </c>
      <c r="F34" s="15" t="n">
        <v>94563</v>
      </c>
      <c r="G34" s="16" t="n">
        <v>56263.83</v>
      </c>
      <c r="H34" s="17" t="n">
        <v>0.5949877859204974</v>
      </c>
      <c r="I34" s="16" t="n">
        <v>0</v>
      </c>
      <c r="J34" s="16" t="n">
        <v>768.86</v>
      </c>
      <c r="K34" s="16" t="n">
        <v>0</v>
      </c>
      <c r="L34" s="16" t="n">
        <v>0</v>
      </c>
      <c r="M34" s="16" t="n">
        <v>1394.63</v>
      </c>
      <c r="N34" s="16" t="n">
        <v>56889.6</v>
      </c>
      <c r="O34" s="17" t="n">
        <v>0.66032</v>
      </c>
      <c r="P34" s="18" t="n">
        <v>12</v>
      </c>
      <c r="Q34" s="18" t="n">
        <v>2</v>
      </c>
      <c r="R34" s="16" t="n">
        <v>62442.02</v>
      </c>
      <c r="S34" s="14" t="inlineStr">
        <is>
          <t>Tango Semana 7 NORMAL</t>
        </is>
      </c>
      <c r="T34" s="14" t="inlineStr">
        <is>
          <t>MANDARINA</t>
        </is>
      </c>
      <c r="U34" s="19">
        <f>IFERROR(166.386*I34/F34,0)</f>
        <v/>
      </c>
      <c r="V34" s="19">
        <f>IFERROR(166.386*M34/F34,0)</f>
        <v/>
      </c>
      <c r="W34" s="19">
        <f>IFERROR(166.386*L34/F34,0)</f>
        <v/>
      </c>
    </row>
    <row r="35">
      <c r="A35" s="14" t="n">
        <v>2159</v>
      </c>
      <c r="B35" s="14" t="inlineStr">
        <is>
          <t>Tango Semana 8 NORMAL</t>
        </is>
      </c>
      <c r="C35" s="15" t="n">
        <v>1478</v>
      </c>
      <c r="D35" s="14" t="inlineStr">
        <is>
          <t>AGROSERVICIOS LA CATRIA S.L.</t>
        </is>
      </c>
      <c r="E35" s="14" t="inlineStr">
        <is>
          <t>TANGO</t>
        </is>
      </c>
      <c r="F35" s="15" t="n">
        <v>862</v>
      </c>
      <c r="G35" s="16" t="n">
        <v>544.91</v>
      </c>
      <c r="H35" s="17" t="n">
        <v>0.6321461716937355</v>
      </c>
      <c r="I35" s="16" t="n">
        <v>107.75</v>
      </c>
      <c r="J35" s="16" t="n">
        <v>21.14</v>
      </c>
      <c r="K35" s="16" t="n">
        <v>0</v>
      </c>
      <c r="L35" s="16" t="n">
        <v>0</v>
      </c>
      <c r="M35" s="16" t="n">
        <v>13.03</v>
      </c>
      <c r="N35" s="16" t="n">
        <v>429.05</v>
      </c>
      <c r="O35" s="17" t="n">
        <v>0.5176500000000001</v>
      </c>
      <c r="P35" s="18" t="n">
        <v>4</v>
      </c>
      <c r="Q35" s="18" t="n">
        <v>0</v>
      </c>
      <c r="R35" s="16" t="n">
        <v>446.21</v>
      </c>
      <c r="S35" s="14" t="inlineStr">
        <is>
          <t>Tango Semana 8 NORMAL</t>
        </is>
      </c>
      <c r="T35" s="14" t="inlineStr">
        <is>
          <t>MANDARINA</t>
        </is>
      </c>
      <c r="U35" s="19">
        <f>IFERROR(166.386*I35/F35,0)</f>
        <v/>
      </c>
      <c r="V35" s="19">
        <f>IFERROR(166.386*M35/F35,0)</f>
        <v/>
      </c>
      <c r="W35" s="19">
        <f>IFERROR(166.386*L35/F35,0)</f>
        <v/>
      </c>
    </row>
    <row r="36">
      <c r="A36" s="14" t="n">
        <v>2159</v>
      </c>
      <c r="B36" s="14" t="inlineStr">
        <is>
          <t>Tango Semana 8 NORMAL</t>
        </is>
      </c>
      <c r="C36" s="15" t="n">
        <v>1561</v>
      </c>
      <c r="D36" s="14" t="inlineStr">
        <is>
          <t>SUAREZ SANCHEZ, Mª DEL PILAR</t>
        </is>
      </c>
      <c r="E36" s="14" t="inlineStr">
        <is>
          <t>TANGO</t>
        </is>
      </c>
      <c r="F36" s="15" t="n">
        <v>7324</v>
      </c>
      <c r="G36" s="16" t="n">
        <v>5382.55</v>
      </c>
      <c r="H36" s="17" t="n">
        <v>0.7349194429273621</v>
      </c>
      <c r="I36" s="16" t="n">
        <v>0</v>
      </c>
      <c r="J36" s="16" t="n">
        <v>59.55</v>
      </c>
      <c r="K36" s="16" t="n">
        <v>0</v>
      </c>
      <c r="L36" s="16" t="n">
        <v>107.66</v>
      </c>
      <c r="M36" s="16" t="n">
        <v>118.67</v>
      </c>
      <c r="N36" s="16" t="n">
        <v>5549.33</v>
      </c>
      <c r="O36" s="17" t="n">
        <v>0.83164</v>
      </c>
      <c r="P36" s="18" t="n">
        <v>12</v>
      </c>
      <c r="Q36" s="18" t="n">
        <v>2</v>
      </c>
      <c r="R36" s="16" t="n">
        <v>6090.94</v>
      </c>
      <c r="S36" s="14" t="inlineStr">
        <is>
          <t>Tango Semana 8 NORMAL</t>
        </is>
      </c>
      <c r="T36" s="14" t="inlineStr">
        <is>
          <t>MANDARINA</t>
        </is>
      </c>
      <c r="U36" s="19">
        <f>IFERROR(166.386*I36/F36,0)</f>
        <v/>
      </c>
      <c r="V36" s="19">
        <f>IFERROR(166.386*M36/F36,0)</f>
        <v/>
      </c>
      <c r="W36" s="19">
        <f>IFERROR(166.386*L36/F36,0)</f>
        <v/>
      </c>
    </row>
    <row r="37">
      <c r="A37" s="14" t="n">
        <v>2187</v>
      </c>
      <c r="B37" s="14" t="inlineStr">
        <is>
          <t>Tango Semana 52 NORMAL</t>
        </is>
      </c>
      <c r="C37" s="15" t="n">
        <v>1178</v>
      </c>
      <c r="D37" s="14" t="inlineStr">
        <is>
          <t>CALZADO GARCIA,FRANCISCO JAVIER</t>
        </is>
      </c>
      <c r="E37" s="14" t="inlineStr">
        <is>
          <t>TANGO</t>
        </is>
      </c>
      <c r="F37" s="15" t="n">
        <v>42552</v>
      </c>
      <c r="G37" s="16" t="n">
        <v>38125.21</v>
      </c>
      <c r="H37" s="17" t="n">
        <v>0.8959675220906186</v>
      </c>
      <c r="I37" s="16" t="n">
        <v>5319</v>
      </c>
      <c r="J37" s="16" t="n">
        <v>523.96</v>
      </c>
      <c r="K37" s="16" t="n">
        <v>0</v>
      </c>
      <c r="L37" s="16" t="n">
        <v>0</v>
      </c>
      <c r="M37" s="16" t="n">
        <v>726.55</v>
      </c>
      <c r="N37" s="16" t="n">
        <v>33008.8</v>
      </c>
      <c r="O37" s="17" t="n">
        <v>0.85144</v>
      </c>
      <c r="P37" s="18" t="n">
        <v>12</v>
      </c>
      <c r="Q37" s="18" t="n">
        <v>2</v>
      </c>
      <c r="R37" s="16" t="n">
        <v>36230.46</v>
      </c>
      <c r="S37" s="14" t="inlineStr">
        <is>
          <t>Tango Semana 52 NORMAL</t>
        </is>
      </c>
      <c r="T37" s="14" t="inlineStr">
        <is>
          <t>MANDARINA</t>
        </is>
      </c>
      <c r="U37" s="19">
        <f>IFERROR(166.386*I37/F37,0)</f>
        <v/>
      </c>
      <c r="V37" s="19">
        <f>IFERROR(166.386*M37/F37,0)</f>
        <v/>
      </c>
      <c r="W37" s="19">
        <f>IFERROR(166.386*L37/F37,0)</f>
        <v/>
      </c>
    </row>
    <row r="38">
      <c r="A38" s="14" t="n">
        <v>2188</v>
      </c>
      <c r="B38" s="14" t="inlineStr">
        <is>
          <t>Tango Semana 6 NORMAL</t>
        </is>
      </c>
      <c r="C38" s="15" t="n">
        <v>1355</v>
      </c>
      <c r="D38" s="14" t="inlineStr">
        <is>
          <t>CANO MANZANARES,JUAN ANTONIO</t>
        </is>
      </c>
      <c r="E38" s="14" t="inlineStr">
        <is>
          <t>TANGO</t>
        </is>
      </c>
      <c r="F38" s="15" t="n">
        <v>20648</v>
      </c>
      <c r="G38" s="16" t="n">
        <v>13878.49</v>
      </c>
      <c r="H38" s="17" t="n">
        <v>0.672146939170864</v>
      </c>
      <c r="I38" s="16" t="n">
        <v>2581</v>
      </c>
      <c r="J38" s="16" t="n">
        <v>81.15000000000001</v>
      </c>
      <c r="K38" s="16" t="n">
        <v>0</v>
      </c>
      <c r="L38" s="16" t="n">
        <v>0</v>
      </c>
      <c r="M38" s="16" t="n">
        <v>309.29</v>
      </c>
      <c r="N38" s="16" t="n">
        <v>11525.63</v>
      </c>
      <c r="O38" s="17" t="n">
        <v>0.61268</v>
      </c>
      <c r="P38" s="18" t="n">
        <v>12</v>
      </c>
      <c r="Q38" s="18" t="n">
        <v>2</v>
      </c>
      <c r="R38" s="16" t="n">
        <v>12650.53</v>
      </c>
      <c r="S38" s="14" t="inlineStr">
        <is>
          <t>Tango Semana 6 NORMAL</t>
        </is>
      </c>
      <c r="T38" s="14" t="inlineStr">
        <is>
          <t>MANDARINA</t>
        </is>
      </c>
      <c r="U38" s="19">
        <f>IFERROR(166.386*I38/F38,0)</f>
        <v/>
      </c>
      <c r="V38" s="19">
        <f>IFERROR(166.386*M38/F38,0)</f>
        <v/>
      </c>
      <c r="W38" s="19">
        <f>IFERROR(166.386*L38/F38,0)</f>
        <v/>
      </c>
    </row>
    <row r="39">
      <c r="A39" s="14" t="n">
        <v>2188</v>
      </c>
      <c r="B39" s="14" t="inlineStr">
        <is>
          <t>Tango Semana 6 NORMAL</t>
        </is>
      </c>
      <c r="C39" s="15" t="n">
        <v>1443</v>
      </c>
      <c r="D39" s="14" t="inlineStr">
        <is>
          <t>TOMENO SUAREZ,ALBERTO</t>
        </is>
      </c>
      <c r="E39" s="14" t="inlineStr">
        <is>
          <t>TANGO</t>
        </is>
      </c>
      <c r="F39" s="15" t="n">
        <v>20180</v>
      </c>
      <c r="G39" s="16" t="n">
        <v>13447.5</v>
      </c>
      <c r="H39" s="17" t="n">
        <v>0.6663776015857285</v>
      </c>
      <c r="I39" s="16" t="n">
        <v>0</v>
      </c>
      <c r="J39" s="16" t="n">
        <v>124.78</v>
      </c>
      <c r="K39" s="16" t="n">
        <v>0</v>
      </c>
      <c r="L39" s="16" t="n">
        <v>0</v>
      </c>
      <c r="M39" s="16" t="n">
        <v>302.68</v>
      </c>
      <c r="N39" s="16" t="n">
        <v>13625.4</v>
      </c>
      <c r="O39" s="17" t="n">
        <v>0.74109</v>
      </c>
      <c r="P39" s="18" t="n">
        <v>12</v>
      </c>
      <c r="Q39" s="18" t="n">
        <v>2</v>
      </c>
      <c r="R39" s="16" t="n">
        <v>14955.24</v>
      </c>
      <c r="S39" s="14" t="inlineStr">
        <is>
          <t>Tango Semana 6 NORMAL</t>
        </is>
      </c>
      <c r="T39" s="14" t="inlineStr">
        <is>
          <t>MANDARINA</t>
        </is>
      </c>
      <c r="U39" s="19">
        <f>IFERROR(166.386*I39/F39,0)</f>
        <v/>
      </c>
      <c r="V39" s="19">
        <f>IFERROR(166.386*M39/F39,0)</f>
        <v/>
      </c>
      <c r="W39" s="19">
        <f>IFERROR(166.386*L39/F39,0)</f>
        <v/>
      </c>
    </row>
    <row r="40">
      <c r="A40" s="14" t="n">
        <v>2189</v>
      </c>
      <c r="B40" s="14" t="inlineStr">
        <is>
          <t>Nadorcott Semana 2 NORMAL</t>
        </is>
      </c>
      <c r="C40" s="15" t="n">
        <v>1214</v>
      </c>
      <c r="D40" s="14" t="inlineStr">
        <is>
          <t>CALZADA GAMIZ,JOSE ANTONIO</t>
        </is>
      </c>
      <c r="E40" s="14" t="inlineStr">
        <is>
          <t>NADORCOTT</t>
        </is>
      </c>
      <c r="F40" s="15" t="n">
        <v>79393</v>
      </c>
      <c r="G40" s="16" t="n">
        <v>62462.6</v>
      </c>
      <c r="H40" s="17" t="n">
        <v>0.7867519806532062</v>
      </c>
      <c r="I40" s="16" t="n">
        <v>9924.129999999999</v>
      </c>
      <c r="J40" s="16" t="n">
        <v>720.84</v>
      </c>
      <c r="K40" s="16" t="n">
        <v>0</v>
      </c>
      <c r="L40" s="16" t="n">
        <v>0</v>
      </c>
      <c r="M40" s="16" t="n">
        <v>1335.76</v>
      </c>
      <c r="N40" s="16" t="n">
        <v>53153.39</v>
      </c>
      <c r="O40" s="17" t="n">
        <v>0.73484</v>
      </c>
      <c r="P40" s="18" t="n">
        <v>12</v>
      </c>
      <c r="Q40" s="18" t="n">
        <v>2</v>
      </c>
      <c r="R40" s="16" t="n">
        <v>58341.16</v>
      </c>
      <c r="S40" s="14" t="inlineStr">
        <is>
          <t>Nadorcott Semana 2 NORMAL</t>
        </is>
      </c>
      <c r="T40" s="14" t="inlineStr">
        <is>
          <t>MANDARINA</t>
        </is>
      </c>
      <c r="U40" s="19">
        <f>IFERROR(166.386*I40/F40,0)</f>
        <v/>
      </c>
      <c r="V40" s="19">
        <f>IFERROR(166.386*M40/F40,0)</f>
        <v/>
      </c>
      <c r="W40" s="19">
        <f>IFERROR(166.386*L40/F40,0)</f>
        <v/>
      </c>
    </row>
    <row r="41">
      <c r="A41" s="14" t="n">
        <v>2189</v>
      </c>
      <c r="B41" s="14" t="inlineStr">
        <is>
          <t>Nadorcott Semana 2 NORMAL</t>
        </is>
      </c>
      <c r="C41" s="15" t="n">
        <v>1514</v>
      </c>
      <c r="D41" s="14" t="inlineStr">
        <is>
          <t>PRIETO ROMERO, JAVIER</t>
        </is>
      </c>
      <c r="E41" s="14" t="inlineStr">
        <is>
          <t>NADORCOTT</t>
        </is>
      </c>
      <c r="F41" s="15" t="n">
        <v>22076</v>
      </c>
      <c r="G41" s="16" t="n">
        <v>15743.38</v>
      </c>
      <c r="H41" s="17" t="n">
        <v>0.7131445914114876</v>
      </c>
      <c r="I41" s="16" t="n">
        <v>2759.5</v>
      </c>
      <c r="J41" s="16" t="n">
        <v>488.57</v>
      </c>
      <c r="K41" s="16" t="n">
        <v>0</v>
      </c>
      <c r="L41" s="16" t="n">
        <v>0</v>
      </c>
      <c r="M41" s="16" t="n">
        <v>352.63</v>
      </c>
      <c r="N41" s="16" t="n">
        <v>12847.94</v>
      </c>
      <c r="O41" s="17" t="n">
        <v>0.63879</v>
      </c>
      <c r="P41" s="18" t="n">
        <v>12</v>
      </c>
      <c r="Q41" s="18" t="n">
        <v>2</v>
      </c>
      <c r="R41" s="16" t="n">
        <v>14101.9</v>
      </c>
      <c r="S41" s="14" t="inlineStr">
        <is>
          <t>Nadorcott Semana 2 NORMAL</t>
        </is>
      </c>
      <c r="T41" s="14" t="inlineStr">
        <is>
          <t>MANDARINA</t>
        </is>
      </c>
      <c r="U41" s="19">
        <f>IFERROR(166.386*I41/F41,0)</f>
        <v/>
      </c>
      <c r="V41" s="19">
        <f>IFERROR(166.386*M41/F41,0)</f>
        <v/>
      </c>
      <c r="W41" s="19">
        <f>IFERROR(166.386*L41/F41,0)</f>
        <v/>
      </c>
    </row>
    <row r="42">
      <c r="A42" s="14" t="n">
        <v>2189</v>
      </c>
      <c r="B42" s="14" t="inlineStr">
        <is>
          <t>Nadorcott Semana 2 NORMAL</t>
        </is>
      </c>
      <c r="C42" s="15" t="n">
        <v>1550</v>
      </c>
      <c r="D42" s="14" t="inlineStr">
        <is>
          <t>CADORTAN S.L.</t>
        </is>
      </c>
      <c r="E42" s="14" t="inlineStr">
        <is>
          <t>NADORCOTT</t>
        </is>
      </c>
      <c r="F42" s="15" t="n">
        <v>34624</v>
      </c>
      <c r="G42" s="16" t="n">
        <v>26673.22</v>
      </c>
      <c r="H42" s="17" t="n">
        <v>0.7703679528650647</v>
      </c>
      <c r="I42" s="16" t="n">
        <v>4328</v>
      </c>
      <c r="J42" s="16" t="n">
        <v>306.34</v>
      </c>
      <c r="K42" s="16" t="n">
        <v>0</v>
      </c>
      <c r="L42" s="16" t="n">
        <v>0</v>
      </c>
      <c r="M42" s="16" t="n">
        <v>561.79</v>
      </c>
      <c r="N42" s="16" t="n">
        <v>22600.67</v>
      </c>
      <c r="O42" s="17" t="n">
        <v>0.67886</v>
      </c>
      <c r="P42" s="18" t="n">
        <v>4</v>
      </c>
      <c r="Q42" s="18" t="n">
        <v>0</v>
      </c>
      <c r="R42" s="16" t="n">
        <v>23504.7</v>
      </c>
      <c r="S42" s="14" t="inlineStr">
        <is>
          <t>Nadorcott Semana 2 NORMAL</t>
        </is>
      </c>
      <c r="T42" s="14" t="inlineStr">
        <is>
          <t>MANDARINA</t>
        </is>
      </c>
      <c r="U42" s="19">
        <f>IFERROR(166.386*I42/F42,0)</f>
        <v/>
      </c>
      <c r="V42" s="19">
        <f>IFERROR(166.386*M42/F42,0)</f>
        <v/>
      </c>
      <c r="W42" s="19">
        <f>IFERROR(166.386*L42/F42,0)</f>
        <v/>
      </c>
    </row>
    <row r="43">
      <c r="A43" s="14" t="n">
        <v>2190</v>
      </c>
      <c r="B43" s="14" t="inlineStr">
        <is>
          <t>Nadorcott Semana 1 NORMAL</t>
        </is>
      </c>
      <c r="C43" s="15" t="n">
        <v>886</v>
      </c>
      <c r="D43" s="14" t="inlineStr">
        <is>
          <t>IGEÑO LUQUE S.C.</t>
        </is>
      </c>
      <c r="E43" s="14" t="inlineStr">
        <is>
          <t>NADORCOTT</t>
        </is>
      </c>
      <c r="F43" s="15" t="n">
        <v>34416</v>
      </c>
      <c r="G43" s="16" t="n">
        <v>29602.08</v>
      </c>
      <c r="H43" s="17" t="n">
        <v>0.8601255230125523</v>
      </c>
      <c r="I43" s="16" t="n">
        <v>4302.5</v>
      </c>
      <c r="J43" s="16" t="n">
        <v>175.32</v>
      </c>
      <c r="K43" s="16" t="n">
        <v>0</v>
      </c>
      <c r="L43" s="16" t="n">
        <v>331.51</v>
      </c>
      <c r="M43" s="16" t="n">
        <v>592.54</v>
      </c>
      <c r="N43" s="16" t="n">
        <v>26048.31</v>
      </c>
      <c r="O43" s="17" t="n">
        <v>0.83074</v>
      </c>
      <c r="P43" s="18" t="n">
        <v>12</v>
      </c>
      <c r="Q43" s="18" t="n">
        <v>2</v>
      </c>
      <c r="R43" s="16" t="n">
        <v>28590.63</v>
      </c>
      <c r="S43" s="14" t="inlineStr">
        <is>
          <t>Nadorcott Semana 1 NORMAL</t>
        </is>
      </c>
      <c r="T43" s="14" t="inlineStr">
        <is>
          <t>MANDARINA</t>
        </is>
      </c>
      <c r="U43" s="19">
        <f>IFERROR(166.386*I43/F43,0)</f>
        <v/>
      </c>
      <c r="V43" s="19">
        <f>IFERROR(166.386*M43/F43,0)</f>
        <v/>
      </c>
      <c r="W43" s="19">
        <f>IFERROR(166.386*L43/F43,0)</f>
        <v/>
      </c>
    </row>
    <row r="44">
      <c r="A44" s="14" t="n">
        <v>2190</v>
      </c>
      <c r="B44" s="14" t="inlineStr">
        <is>
          <t>Nadorcott Semana 1 NORMAL</t>
        </is>
      </c>
      <c r="C44" s="15" t="n">
        <v>1443</v>
      </c>
      <c r="D44" s="14" t="inlineStr">
        <is>
          <t>TOMENO SUAREZ,ALBERTO</t>
        </is>
      </c>
      <c r="E44" s="14" t="inlineStr">
        <is>
          <t>NADORCOTT</t>
        </is>
      </c>
      <c r="F44" s="15" t="n">
        <v>45450</v>
      </c>
      <c r="G44" s="16" t="n">
        <v>40332.98</v>
      </c>
      <c r="H44" s="17" t="n">
        <v>0.887414301430143</v>
      </c>
      <c r="I44" s="16" t="n">
        <v>0</v>
      </c>
      <c r="J44" s="16" t="n">
        <v>281.04</v>
      </c>
      <c r="K44" s="16" t="n">
        <v>0</v>
      </c>
      <c r="L44" s="16" t="n">
        <v>668.12</v>
      </c>
      <c r="M44" s="16" t="n">
        <v>799.17</v>
      </c>
      <c r="N44" s="16" t="n">
        <v>41519.23</v>
      </c>
      <c r="O44" s="17" t="n">
        <v>1.00267</v>
      </c>
      <c r="P44" s="18" t="n">
        <v>12</v>
      </c>
      <c r="Q44" s="18" t="n">
        <v>2</v>
      </c>
      <c r="R44" s="16" t="n">
        <v>45571.51</v>
      </c>
      <c r="S44" s="14" t="inlineStr">
        <is>
          <t>Nadorcott Semana 1 NORMAL</t>
        </is>
      </c>
      <c r="T44" s="14" t="inlineStr">
        <is>
          <t>MANDARINA</t>
        </is>
      </c>
      <c r="U44" s="19">
        <f>IFERROR(166.386*I44/F44,0)</f>
        <v/>
      </c>
      <c r="V44" s="19">
        <f>IFERROR(166.386*M44/F44,0)</f>
        <v/>
      </c>
      <c r="W44" s="19">
        <f>IFERROR(166.386*L44/F44,0)</f>
        <v/>
      </c>
    </row>
    <row r="45">
      <c r="A45" s="14" t="n">
        <v>2190</v>
      </c>
      <c r="B45" s="14" t="inlineStr">
        <is>
          <t>Nadorcott Semana 1 NORMAL</t>
        </is>
      </c>
      <c r="C45" s="15" t="n">
        <v>1491</v>
      </c>
      <c r="D45" s="14" t="inlineStr">
        <is>
          <t>JIMENEZ LORENTE,SONIA</t>
        </is>
      </c>
      <c r="E45" s="14" t="inlineStr">
        <is>
          <t>NADORCOTT</t>
        </is>
      </c>
      <c r="F45" s="15" t="n">
        <v>24754</v>
      </c>
      <c r="G45" s="16" t="n">
        <v>22654.9</v>
      </c>
      <c r="H45" s="17" t="n">
        <v>0.9152015835824513</v>
      </c>
      <c r="I45" s="16" t="n">
        <v>3094.25</v>
      </c>
      <c r="J45" s="16" t="n">
        <v>158.99</v>
      </c>
      <c r="K45" s="16" t="n">
        <v>0</v>
      </c>
      <c r="L45" s="16" t="n">
        <v>0</v>
      </c>
      <c r="M45" s="16" t="n">
        <v>426.67</v>
      </c>
      <c r="N45" s="16" t="n">
        <v>19828.33</v>
      </c>
      <c r="O45" s="17" t="n">
        <v>0.87919</v>
      </c>
      <c r="P45" s="18" t="n">
        <v>12</v>
      </c>
      <c r="Q45" s="18" t="n">
        <v>2</v>
      </c>
      <c r="R45" s="16" t="n">
        <v>21763.58</v>
      </c>
      <c r="S45" s="14" t="inlineStr">
        <is>
          <t>Nadorcott Semana 1 NORMAL</t>
        </is>
      </c>
      <c r="T45" s="14" t="inlineStr">
        <is>
          <t>MANDARINA</t>
        </is>
      </c>
      <c r="U45" s="19">
        <f>IFERROR(166.386*I45/F45,0)</f>
        <v/>
      </c>
      <c r="V45" s="19">
        <f>IFERROR(166.386*M45/F45,0)</f>
        <v/>
      </c>
      <c r="W45" s="19">
        <f>IFERROR(166.386*L45/F45,0)</f>
        <v/>
      </c>
    </row>
    <row r="46">
      <c r="A46" s="14" t="n">
        <v>2190</v>
      </c>
      <c r="B46" s="14" t="inlineStr">
        <is>
          <t>Nadorcott Semana 1 NORMAL</t>
        </is>
      </c>
      <c r="C46" s="15" t="n">
        <v>1550</v>
      </c>
      <c r="D46" s="14" t="inlineStr">
        <is>
          <t>CADORTAN S.L.</t>
        </is>
      </c>
      <c r="E46" s="14" t="inlineStr">
        <is>
          <t>NADORCOTT</t>
        </is>
      </c>
      <c r="F46" s="15" t="n">
        <v>32500</v>
      </c>
      <c r="G46" s="16" t="n">
        <v>28661.34</v>
      </c>
      <c r="H46" s="17" t="n">
        <v>0.8818873846153846</v>
      </c>
      <c r="I46" s="16" t="n">
        <v>4036.5</v>
      </c>
      <c r="J46" s="16" t="n">
        <v>287.54</v>
      </c>
      <c r="K46" s="16" t="n">
        <v>0</v>
      </c>
      <c r="L46" s="16" t="n">
        <v>0</v>
      </c>
      <c r="M46" s="16" t="n">
        <v>565.62</v>
      </c>
      <c r="N46" s="16" t="n">
        <v>24902.92</v>
      </c>
      <c r="O46" s="17" t="n">
        <v>0.79689</v>
      </c>
      <c r="P46" s="18" t="n">
        <v>4</v>
      </c>
      <c r="Q46" s="18" t="n">
        <v>0</v>
      </c>
      <c r="R46" s="16" t="n">
        <v>25899.04</v>
      </c>
      <c r="S46" s="14" t="inlineStr">
        <is>
          <t>Nadorcott Semana 1 NORMAL</t>
        </is>
      </c>
      <c r="T46" s="14" t="inlineStr">
        <is>
          <t>MANDARINA</t>
        </is>
      </c>
      <c r="U46" s="19">
        <f>IFERROR(166.386*I46/F46,0)</f>
        <v/>
      </c>
      <c r="V46" s="19">
        <f>IFERROR(166.386*M46/F46,0)</f>
        <v/>
      </c>
      <c r="W46" s="19">
        <f>IFERROR(166.386*L46/F46,0)</f>
        <v/>
      </c>
    </row>
    <row r="47">
      <c r="A47" s="14" t="n">
        <v>2191</v>
      </c>
      <c r="B47" s="14" t="inlineStr">
        <is>
          <t>Nadorcott Semana 3 CON HOJAS</t>
        </is>
      </c>
      <c r="C47" s="15" t="n">
        <v>1214</v>
      </c>
      <c r="D47" s="14" t="inlineStr">
        <is>
          <t>CALZADA GAMIZ,JOSE ANTONIO</t>
        </is>
      </c>
      <c r="E47" s="14" t="inlineStr">
        <is>
          <t>NADORCOTT</t>
        </is>
      </c>
      <c r="F47" s="15" t="n">
        <v>13566</v>
      </c>
      <c r="G47" s="16" t="n">
        <v>11050.83</v>
      </c>
      <c r="H47" s="17" t="n">
        <v>0.8145975232198143</v>
      </c>
      <c r="I47" s="16" t="n">
        <v>1695.75</v>
      </c>
      <c r="J47" s="16" t="n">
        <v>123.17</v>
      </c>
      <c r="K47" s="16" t="n">
        <v>0</v>
      </c>
      <c r="L47" s="16" t="n">
        <v>0</v>
      </c>
      <c r="M47" s="16" t="n">
        <v>235.8</v>
      </c>
      <c r="N47" s="16" t="n">
        <v>9467.709999999999</v>
      </c>
      <c r="O47" s="17" t="n">
        <v>0.76602</v>
      </c>
      <c r="P47" s="18" t="n">
        <v>12</v>
      </c>
      <c r="Q47" s="18" t="n">
        <v>2</v>
      </c>
      <c r="R47" s="16" t="n">
        <v>10391.76</v>
      </c>
      <c r="S47" s="14" t="inlineStr">
        <is>
          <t>Nadorcott Semana 3 CON HOJAS</t>
        </is>
      </c>
      <c r="T47" s="14" t="inlineStr">
        <is>
          <t>MANDARINA</t>
        </is>
      </c>
      <c r="U47" s="19">
        <f>IFERROR(166.386*I47/F47,0)</f>
        <v/>
      </c>
      <c r="V47" s="19">
        <f>IFERROR(166.386*M47/F47,0)</f>
        <v/>
      </c>
      <c r="W47" s="19">
        <f>IFERROR(166.386*L47/F47,0)</f>
        <v/>
      </c>
    </row>
    <row r="48">
      <c r="A48" s="14" t="n">
        <v>2191</v>
      </c>
      <c r="B48" s="14" t="inlineStr">
        <is>
          <t>Nadorcott Semana 3 CON HOJAS</t>
        </is>
      </c>
      <c r="C48" s="15" t="n">
        <v>1443</v>
      </c>
      <c r="D48" s="14" t="inlineStr">
        <is>
          <t>TOMENO SUAREZ,ALBERTO</t>
        </is>
      </c>
      <c r="E48" s="14" t="inlineStr">
        <is>
          <t>NADORCOTT</t>
        </is>
      </c>
      <c r="F48" s="15" t="n">
        <v>14557</v>
      </c>
      <c r="G48" s="16" t="n">
        <v>12034.86</v>
      </c>
      <c r="H48" s="17" t="n">
        <v>0.8267403998076527</v>
      </c>
      <c r="I48" s="16" t="n">
        <v>0</v>
      </c>
      <c r="J48" s="16" t="n">
        <v>90.01000000000001</v>
      </c>
      <c r="K48" s="16" t="n">
        <v>0</v>
      </c>
      <c r="L48" s="16" t="n">
        <v>213.99</v>
      </c>
      <c r="M48" s="16" t="n">
        <v>251.89</v>
      </c>
      <c r="N48" s="16" t="n">
        <v>12410.73</v>
      </c>
      <c r="O48" s="17" t="n">
        <v>0.93577</v>
      </c>
      <c r="P48" s="18" t="n">
        <v>12</v>
      </c>
      <c r="Q48" s="18" t="n">
        <v>2</v>
      </c>
      <c r="R48" s="16" t="n">
        <v>13622.02</v>
      </c>
      <c r="S48" s="14" t="inlineStr">
        <is>
          <t>Nadorcott Semana 3 CON HOJAS</t>
        </is>
      </c>
      <c r="T48" s="14" t="inlineStr">
        <is>
          <t>MANDARINA</t>
        </is>
      </c>
      <c r="U48" s="19">
        <f>IFERROR(166.386*I48/F48,0)</f>
        <v/>
      </c>
      <c r="V48" s="19">
        <f>IFERROR(166.386*M48/F48,0)</f>
        <v/>
      </c>
      <c r="W48" s="19">
        <f>IFERROR(166.386*L48/F48,0)</f>
        <v/>
      </c>
    </row>
    <row r="49">
      <c r="A49" s="14" t="n">
        <v>2191</v>
      </c>
      <c r="B49" s="14" t="inlineStr">
        <is>
          <t>Nadorcott Semana 3 CON HOJAS</t>
        </is>
      </c>
      <c r="C49" s="15" t="n">
        <v>1550</v>
      </c>
      <c r="D49" s="14" t="inlineStr">
        <is>
          <t>CADORTAN S.L.</t>
        </is>
      </c>
      <c r="E49" s="14" t="inlineStr">
        <is>
          <t>NADORCOTT</t>
        </is>
      </c>
      <c r="F49" s="15" t="n">
        <v>17754</v>
      </c>
      <c r="G49" s="16" t="n">
        <v>13749.19</v>
      </c>
      <c r="H49" s="17" t="n">
        <v>0.7744277345950208</v>
      </c>
      <c r="I49" s="16" t="n">
        <v>2219.25</v>
      </c>
      <c r="J49" s="16" t="n">
        <v>157.08</v>
      </c>
      <c r="K49" s="16" t="n">
        <v>0</v>
      </c>
      <c r="L49" s="16" t="n">
        <v>0</v>
      </c>
      <c r="M49" s="16" t="n">
        <v>305.44</v>
      </c>
      <c r="N49" s="16" t="n">
        <v>11678.3</v>
      </c>
      <c r="O49" s="17" t="n">
        <v>0.6841</v>
      </c>
      <c r="P49" s="18" t="n">
        <v>4</v>
      </c>
      <c r="Q49" s="18" t="n">
        <v>0</v>
      </c>
      <c r="R49" s="16" t="n">
        <v>12145.43</v>
      </c>
      <c r="S49" s="14" t="inlineStr">
        <is>
          <t>Nadorcott Semana 3 CON HOJAS</t>
        </is>
      </c>
      <c r="T49" s="14" t="inlineStr">
        <is>
          <t>MANDARINA</t>
        </is>
      </c>
      <c r="U49" s="19">
        <f>IFERROR(166.386*I49/F49,0)</f>
        <v/>
      </c>
      <c r="V49" s="19">
        <f>IFERROR(166.386*M49/F49,0)</f>
        <v/>
      </c>
      <c r="W49" s="19">
        <f>IFERROR(166.386*L49/F49,0)</f>
        <v/>
      </c>
    </row>
    <row r="50">
      <c r="A50" s="14" t="n">
        <v>2192</v>
      </c>
      <c r="B50" s="14" t="inlineStr">
        <is>
          <t>Nadorcott Semana 3 NORMAL</t>
        </is>
      </c>
      <c r="C50" s="15" t="n">
        <v>1214</v>
      </c>
      <c r="D50" s="14" t="inlineStr">
        <is>
          <t>CALZADA GAMIZ,JOSE ANTONIO</t>
        </is>
      </c>
      <c r="E50" s="14" t="inlineStr">
        <is>
          <t>NADORCOTT</t>
        </is>
      </c>
      <c r="F50" s="15" t="n">
        <v>66628</v>
      </c>
      <c r="G50" s="16" t="n">
        <v>46205.91</v>
      </c>
      <c r="H50" s="17" t="n">
        <v>0.6934908747073303</v>
      </c>
      <c r="I50" s="16" t="n">
        <v>8328.5</v>
      </c>
      <c r="J50" s="16" t="n">
        <v>604.9400000000001</v>
      </c>
      <c r="K50" s="16" t="n">
        <v>0</v>
      </c>
      <c r="L50" s="16" t="n">
        <v>0</v>
      </c>
      <c r="M50" s="16" t="n">
        <v>1134.82</v>
      </c>
      <c r="N50" s="16" t="n">
        <v>38407.29</v>
      </c>
      <c r="O50" s="17" t="n">
        <v>0.6327</v>
      </c>
      <c r="P50" s="18" t="n">
        <v>12</v>
      </c>
      <c r="Q50" s="18" t="n">
        <v>2</v>
      </c>
      <c r="R50" s="16" t="n">
        <v>42155.84</v>
      </c>
      <c r="S50" s="14" t="inlineStr">
        <is>
          <t>Nadorcott Semana 3 NORMAL</t>
        </is>
      </c>
      <c r="T50" s="14" t="inlineStr">
        <is>
          <t>MANDARINA</t>
        </is>
      </c>
      <c r="U50" s="19">
        <f>IFERROR(166.386*I50/F50,0)</f>
        <v/>
      </c>
      <c r="V50" s="19">
        <f>IFERROR(166.386*M50/F50,0)</f>
        <v/>
      </c>
      <c r="W50" s="19">
        <f>IFERROR(166.386*L50/F50,0)</f>
        <v/>
      </c>
    </row>
    <row r="51">
      <c r="A51" s="14" t="n">
        <v>2192</v>
      </c>
      <c r="B51" s="14" t="inlineStr">
        <is>
          <t>Nadorcott Semana 3 NORMAL</t>
        </is>
      </c>
      <c r="C51" s="15" t="n">
        <v>1443</v>
      </c>
      <c r="D51" s="14" t="inlineStr">
        <is>
          <t>TOMENO SUAREZ,ALBERTO</t>
        </is>
      </c>
      <c r="E51" s="14" t="inlineStr">
        <is>
          <t>NADORCOTT</t>
        </is>
      </c>
      <c r="F51" s="15" t="n">
        <v>48467</v>
      </c>
      <c r="G51" s="16" t="n">
        <v>34887.49</v>
      </c>
      <c r="H51" s="17" t="n">
        <v>0.719819464790476</v>
      </c>
      <c r="I51" s="16" t="n">
        <v>0</v>
      </c>
      <c r="J51" s="16" t="n">
        <v>299.7</v>
      </c>
      <c r="K51" s="16" t="n">
        <v>0</v>
      </c>
      <c r="L51" s="16" t="n">
        <v>430.34</v>
      </c>
      <c r="M51" s="16" t="n">
        <v>784.88</v>
      </c>
      <c r="N51" s="16" t="n">
        <v>35803.01</v>
      </c>
      <c r="O51" s="17" t="n">
        <v>0.81081</v>
      </c>
      <c r="P51" s="18" t="n">
        <v>12</v>
      </c>
      <c r="Q51" s="18" t="n">
        <v>2</v>
      </c>
      <c r="R51" s="16" t="n">
        <v>39297.38</v>
      </c>
      <c r="S51" s="14" t="inlineStr">
        <is>
          <t>Nadorcott Semana 3 NORMAL</t>
        </is>
      </c>
      <c r="T51" s="14" t="inlineStr">
        <is>
          <t>MANDARINA</t>
        </is>
      </c>
      <c r="U51" s="19">
        <f>IFERROR(166.386*I51/F51,0)</f>
        <v/>
      </c>
      <c r="V51" s="19">
        <f>IFERROR(166.386*M51/F51,0)</f>
        <v/>
      </c>
      <c r="W51" s="19">
        <f>IFERROR(166.386*L51/F51,0)</f>
        <v/>
      </c>
    </row>
    <row r="52">
      <c r="A52" s="14" t="n">
        <v>2192</v>
      </c>
      <c r="B52" s="14" t="inlineStr">
        <is>
          <t>Nadorcott Semana 3 NORMAL</t>
        </is>
      </c>
      <c r="C52" s="15" t="n">
        <v>1491</v>
      </c>
      <c r="D52" s="14" t="inlineStr">
        <is>
          <t>JIMENEZ LORENTE,SONIA</t>
        </is>
      </c>
      <c r="E52" s="14" t="inlineStr">
        <is>
          <t>NADORCOTT</t>
        </is>
      </c>
      <c r="F52" s="15" t="n">
        <v>49910</v>
      </c>
      <c r="G52" s="16" t="n">
        <v>39264.46</v>
      </c>
      <c r="H52" s="17" t="n">
        <v>0.7867052694850731</v>
      </c>
      <c r="I52" s="16" t="n">
        <v>6238.75</v>
      </c>
      <c r="J52" s="16" t="n">
        <v>320.57</v>
      </c>
      <c r="K52" s="16" t="n">
        <v>0</v>
      </c>
      <c r="L52" s="16" t="n">
        <v>0</v>
      </c>
      <c r="M52" s="16" t="n">
        <v>812.51</v>
      </c>
      <c r="N52" s="16" t="n">
        <v>33517.65</v>
      </c>
      <c r="O52" s="17" t="n">
        <v>0.73711</v>
      </c>
      <c r="P52" s="18" t="n">
        <v>12</v>
      </c>
      <c r="Q52" s="18" t="n">
        <v>2</v>
      </c>
      <c r="R52" s="16" t="n">
        <v>36788.97</v>
      </c>
      <c r="S52" s="14" t="inlineStr">
        <is>
          <t>Nadorcott Semana 3 NORMAL</t>
        </is>
      </c>
      <c r="T52" s="14" t="inlineStr">
        <is>
          <t>MANDARINA</t>
        </is>
      </c>
      <c r="U52" s="19">
        <f>IFERROR(166.386*I52/F52,0)</f>
        <v/>
      </c>
      <c r="V52" s="19">
        <f>IFERROR(166.386*M52/F52,0)</f>
        <v/>
      </c>
      <c r="W52" s="19">
        <f>IFERROR(166.386*L52/F52,0)</f>
        <v/>
      </c>
    </row>
    <row r="53">
      <c r="A53" s="14" t="n">
        <v>2192</v>
      </c>
      <c r="B53" s="14" t="inlineStr">
        <is>
          <t>Nadorcott Semana 3 NORMAL</t>
        </is>
      </c>
      <c r="C53" s="15" t="n">
        <v>1514</v>
      </c>
      <c r="D53" s="14" t="inlineStr">
        <is>
          <t>PRIETO ROMERO, JAVIER</t>
        </is>
      </c>
      <c r="E53" s="14" t="inlineStr">
        <is>
          <t>NADORCOTT</t>
        </is>
      </c>
      <c r="F53" s="15" t="n">
        <v>19038</v>
      </c>
      <c r="G53" s="16" t="n">
        <v>13150.07</v>
      </c>
      <c r="H53" s="17" t="n">
        <v>0.6907274923836537</v>
      </c>
      <c r="I53" s="16" t="n">
        <v>2379.75</v>
      </c>
      <c r="J53" s="16" t="n">
        <v>421.33</v>
      </c>
      <c r="K53" s="16" t="n">
        <v>0</v>
      </c>
      <c r="L53" s="16" t="n">
        <v>0</v>
      </c>
      <c r="M53" s="16" t="n">
        <v>292.05</v>
      </c>
      <c r="N53" s="16" t="n">
        <v>10641.04</v>
      </c>
      <c r="O53" s="17" t="n">
        <v>0.61349</v>
      </c>
      <c r="P53" s="18" t="n">
        <v>12</v>
      </c>
      <c r="Q53" s="18" t="n">
        <v>2</v>
      </c>
      <c r="R53" s="16" t="n">
        <v>11679.61</v>
      </c>
      <c r="S53" s="14" t="inlineStr">
        <is>
          <t>Nadorcott Semana 3 NORMAL</t>
        </is>
      </c>
      <c r="T53" s="14" t="inlineStr">
        <is>
          <t>MANDARINA</t>
        </is>
      </c>
      <c r="U53" s="19">
        <f>IFERROR(166.386*I53/F53,0)</f>
        <v/>
      </c>
      <c r="V53" s="19">
        <f>IFERROR(166.386*M53/F53,0)</f>
        <v/>
      </c>
      <c r="W53" s="19">
        <f>IFERROR(166.386*L53/F53,0)</f>
        <v/>
      </c>
    </row>
    <row r="54">
      <c r="A54" s="14" t="n">
        <v>2193</v>
      </c>
      <c r="B54" s="14" t="inlineStr">
        <is>
          <t>Nadorcott Semana 6 NORMAL</t>
        </is>
      </c>
      <c r="C54" s="15" t="n">
        <v>1478</v>
      </c>
      <c r="D54" s="14" t="inlineStr">
        <is>
          <t>AGROSERVICIOS LA CATRIA S.L.</t>
        </is>
      </c>
      <c r="E54" s="14" t="inlineStr">
        <is>
          <t>NADORCOTT</t>
        </is>
      </c>
      <c r="F54" s="15" t="n">
        <v>35685</v>
      </c>
      <c r="G54" s="16" t="n">
        <v>22067.55</v>
      </c>
      <c r="H54" s="17" t="n">
        <v>0.6183984867591426</v>
      </c>
      <c r="I54" s="16" t="n">
        <v>4460.63</v>
      </c>
      <c r="J54" s="16" t="n">
        <v>875.3200000000001</v>
      </c>
      <c r="K54" s="16" t="n">
        <v>0</v>
      </c>
      <c r="L54" s="16" t="n">
        <v>524.5700000000001</v>
      </c>
      <c r="M54" s="16" t="n">
        <v>508.43</v>
      </c>
      <c r="N54" s="16" t="n">
        <v>17764.6</v>
      </c>
      <c r="O54" s="17" t="n">
        <v>0.51773</v>
      </c>
      <c r="P54" s="18" t="n">
        <v>4</v>
      </c>
      <c r="Q54" s="18" t="n">
        <v>0</v>
      </c>
      <c r="R54" s="16" t="n">
        <v>18475.18</v>
      </c>
      <c r="S54" s="14" t="inlineStr">
        <is>
          <t>Nadorcott Semana 6 NORMAL</t>
        </is>
      </c>
      <c r="T54" s="14" t="inlineStr">
        <is>
          <t>MANDARINA</t>
        </is>
      </c>
      <c r="U54" s="19">
        <f>IFERROR(166.386*I54/F54,0)</f>
        <v/>
      </c>
      <c r="V54" s="19">
        <f>IFERROR(166.386*M54/F54,0)</f>
        <v/>
      </c>
      <c r="W54" s="19">
        <f>IFERROR(166.386*L54/F54,0)</f>
        <v/>
      </c>
    </row>
    <row r="55">
      <c r="A55" s="14" t="n">
        <v>2194</v>
      </c>
      <c r="B55" s="14" t="inlineStr">
        <is>
          <t>Nadorcott Semana 4 NORMAL</t>
        </is>
      </c>
      <c r="C55" s="15" t="n">
        <v>1214</v>
      </c>
      <c r="D55" s="14" t="inlineStr">
        <is>
          <t>CALZADA GAMIZ,JOSE ANTONIO</t>
        </is>
      </c>
      <c r="E55" s="14" t="inlineStr">
        <is>
          <t>NADORCOTT</t>
        </is>
      </c>
      <c r="F55" s="15" t="n">
        <v>19460</v>
      </c>
      <c r="G55" s="16" t="n">
        <v>14754.67</v>
      </c>
      <c r="H55" s="17" t="n">
        <v>0.758205035971223</v>
      </c>
      <c r="I55" s="16" t="n">
        <v>2432.5</v>
      </c>
      <c r="J55" s="16" t="n">
        <v>176.68</v>
      </c>
      <c r="K55" s="16" t="n">
        <v>0</v>
      </c>
      <c r="L55" s="16" t="n">
        <v>0</v>
      </c>
      <c r="M55" s="16" t="n">
        <v>325.53</v>
      </c>
      <c r="N55" s="16" t="n">
        <v>12471.02</v>
      </c>
      <c r="O55" s="17" t="n">
        <v>0.7034</v>
      </c>
      <c r="P55" s="18" t="n">
        <v>12</v>
      </c>
      <c r="Q55" s="18" t="n">
        <v>2</v>
      </c>
      <c r="R55" s="16" t="n">
        <v>13688.19</v>
      </c>
      <c r="S55" s="14" t="inlineStr">
        <is>
          <t>Nadorcott Semana 4 NORMAL</t>
        </is>
      </c>
      <c r="T55" s="14" t="inlineStr">
        <is>
          <t>MANDARINA</t>
        </is>
      </c>
      <c r="U55" s="19">
        <f>IFERROR(166.386*I55/F55,0)</f>
        <v/>
      </c>
      <c r="V55" s="19">
        <f>IFERROR(166.386*M55/F55,0)</f>
        <v/>
      </c>
      <c r="W55" s="19">
        <f>IFERROR(166.386*L55/F55,0)</f>
        <v/>
      </c>
    </row>
    <row r="56">
      <c r="A56" s="14" t="n">
        <v>2194</v>
      </c>
      <c r="B56" s="14" t="inlineStr">
        <is>
          <t>Nadorcott Semana 4 NORMAL</t>
        </is>
      </c>
      <c r="C56" s="15" t="n">
        <v>1329</v>
      </c>
      <c r="D56" s="14" t="inlineStr">
        <is>
          <t>AGRICOLA LOS MAJADALES S.L.</t>
        </is>
      </c>
      <c r="E56" s="14" t="inlineStr">
        <is>
          <t>NADORCOTT</t>
        </is>
      </c>
      <c r="F56" s="15" t="n">
        <v>10852</v>
      </c>
      <c r="G56" s="16" t="n">
        <v>8425.01</v>
      </c>
      <c r="H56" s="17" t="n">
        <v>0.7763555105049761</v>
      </c>
      <c r="I56" s="16" t="n">
        <v>1356.5</v>
      </c>
      <c r="J56" s="16" t="n">
        <v>286.65</v>
      </c>
      <c r="K56" s="16" t="n">
        <v>0</v>
      </c>
      <c r="L56" s="16" t="n">
        <v>0</v>
      </c>
      <c r="M56" s="16" t="n">
        <v>183.8</v>
      </c>
      <c r="N56" s="16" t="n">
        <v>6965.66</v>
      </c>
      <c r="O56" s="17" t="n">
        <v>0.66755</v>
      </c>
      <c r="P56" s="18" t="n">
        <v>4</v>
      </c>
      <c r="Q56" s="18" t="n">
        <v>0</v>
      </c>
      <c r="R56" s="16" t="n">
        <v>7244.29</v>
      </c>
      <c r="S56" s="14" t="inlineStr">
        <is>
          <t>Nadorcott Semana 4 NORMAL</t>
        </is>
      </c>
      <c r="T56" s="14" t="inlineStr">
        <is>
          <t>MANDARINA</t>
        </is>
      </c>
      <c r="U56" s="19">
        <f>IFERROR(166.386*I56/F56,0)</f>
        <v/>
      </c>
      <c r="V56" s="19">
        <f>IFERROR(166.386*M56/F56,0)</f>
        <v/>
      </c>
      <c r="W56" s="19">
        <f>IFERROR(166.386*L56/F56,0)</f>
        <v/>
      </c>
    </row>
    <row r="57">
      <c r="A57" s="14" t="n">
        <v>2194</v>
      </c>
      <c r="B57" s="14" t="inlineStr">
        <is>
          <t>Nadorcott Semana 4 NORMAL</t>
        </is>
      </c>
      <c r="C57" s="15" t="n">
        <v>1443</v>
      </c>
      <c r="D57" s="14" t="inlineStr">
        <is>
          <t>TOMENO SUAREZ,ALBERTO</t>
        </is>
      </c>
      <c r="E57" s="14" t="inlineStr">
        <is>
          <t>NADORCOTT</t>
        </is>
      </c>
      <c r="F57" s="15" t="n">
        <v>51632</v>
      </c>
      <c r="G57" s="16" t="n">
        <v>38068.51</v>
      </c>
      <c r="H57" s="17" t="n">
        <v>0.7373045785559343</v>
      </c>
      <c r="I57" s="16" t="n">
        <v>0</v>
      </c>
      <c r="J57" s="16" t="n">
        <v>319.27</v>
      </c>
      <c r="K57" s="16" t="n">
        <v>0</v>
      </c>
      <c r="L57" s="16" t="n">
        <v>0</v>
      </c>
      <c r="M57" s="16" t="n">
        <v>887.14</v>
      </c>
      <c r="N57" s="16" t="n">
        <v>38636.38</v>
      </c>
      <c r="O57" s="17" t="n">
        <v>0.82134</v>
      </c>
      <c r="P57" s="18" t="n">
        <v>12</v>
      </c>
      <c r="Q57" s="18" t="n">
        <v>2</v>
      </c>
      <c r="R57" s="16" t="n">
        <v>42407.29</v>
      </c>
      <c r="S57" s="14" t="inlineStr">
        <is>
          <t>Nadorcott Semana 4 NORMAL</t>
        </is>
      </c>
      <c r="T57" s="14" t="inlineStr">
        <is>
          <t>MANDARINA</t>
        </is>
      </c>
      <c r="U57" s="19">
        <f>IFERROR(166.386*I57/F57,0)</f>
        <v/>
      </c>
      <c r="V57" s="19">
        <f>IFERROR(166.386*M57/F57,0)</f>
        <v/>
      </c>
      <c r="W57" s="19">
        <f>IFERROR(166.386*L57/F57,0)</f>
        <v/>
      </c>
    </row>
    <row r="58">
      <c r="A58" s="14" t="n">
        <v>2194</v>
      </c>
      <c r="B58" s="14" t="inlineStr">
        <is>
          <t>Nadorcott Semana 4 NORMAL</t>
        </is>
      </c>
      <c r="C58" s="15" t="n">
        <v>1574</v>
      </c>
      <c r="D58" s="14" t="inlineStr">
        <is>
          <t>FERNANDEZ ONETTI, JOSE LUIS</t>
        </is>
      </c>
      <c r="E58" s="14" t="inlineStr">
        <is>
          <t>NADORCOTT</t>
        </is>
      </c>
      <c r="F58" s="15" t="n">
        <v>18786</v>
      </c>
      <c r="G58" s="16" t="n">
        <v>14098.65</v>
      </c>
      <c r="H58" s="17" t="n">
        <v>0.7504870648355159</v>
      </c>
      <c r="I58" s="16" t="n">
        <v>2348.25</v>
      </c>
      <c r="J58" s="16" t="n">
        <v>124.8</v>
      </c>
      <c r="K58" s="16" t="n">
        <v>0</v>
      </c>
      <c r="L58" s="16" t="n">
        <v>0</v>
      </c>
      <c r="M58" s="16" t="n">
        <v>0</v>
      </c>
      <c r="N58" s="16" t="n">
        <v>11625.6</v>
      </c>
      <c r="O58" s="17" t="n">
        <v>0.67924</v>
      </c>
      <c r="P58" s="18" t="n">
        <v>12</v>
      </c>
      <c r="Q58" s="18" t="n">
        <v>2</v>
      </c>
      <c r="R58" s="16" t="n">
        <v>12760.26</v>
      </c>
      <c r="S58" s="14" t="inlineStr">
        <is>
          <t>Nadorcott Semana 4 NORMAL</t>
        </is>
      </c>
      <c r="T58" s="14" t="inlineStr">
        <is>
          <t>MANDARINA</t>
        </is>
      </c>
      <c r="U58" s="19">
        <f>IFERROR(166.386*I58/F58,0)</f>
        <v/>
      </c>
      <c r="V58" s="19">
        <f>IFERROR(166.386*M58/F58,0)</f>
        <v/>
      </c>
      <c r="W58" s="19">
        <f>IFERROR(166.386*L58/F58,0)</f>
        <v/>
      </c>
    </row>
    <row r="59">
      <c r="A59" s="14" t="n">
        <v>2195</v>
      </c>
      <c r="B59" s="14" t="inlineStr">
        <is>
          <t>Nadorcott Semana 8 NORMAL</t>
        </is>
      </c>
      <c r="C59" s="15" t="n">
        <v>1478</v>
      </c>
      <c r="D59" s="14" t="inlineStr">
        <is>
          <t>AGROSERVICIOS LA CATRIA S.L.</t>
        </is>
      </c>
      <c r="E59" s="14" t="inlineStr">
        <is>
          <t>NADORCOTT</t>
        </is>
      </c>
      <c r="F59" s="15" t="n">
        <v>11720</v>
      </c>
      <c r="G59" s="16" t="n">
        <v>6138.49</v>
      </c>
      <c r="H59" s="17" t="n">
        <v>0.5237619453924914</v>
      </c>
      <c r="I59" s="16" t="n">
        <v>1465</v>
      </c>
      <c r="J59" s="16" t="n">
        <v>287.48</v>
      </c>
      <c r="K59" s="16" t="n">
        <v>0</v>
      </c>
      <c r="L59" s="16" t="n">
        <v>172.28</v>
      </c>
      <c r="M59" s="16" t="n">
        <v>164.79</v>
      </c>
      <c r="N59" s="16" t="n">
        <v>4723.08</v>
      </c>
      <c r="O59" s="17" t="n">
        <v>0.41911</v>
      </c>
      <c r="P59" s="18" t="n">
        <v>4</v>
      </c>
      <c r="Q59" s="18" t="n">
        <v>0</v>
      </c>
      <c r="R59" s="16" t="n">
        <v>4912</v>
      </c>
      <c r="S59" s="14" t="inlineStr">
        <is>
          <t>Nadorcott Semana 8 NORMAL</t>
        </is>
      </c>
      <c r="T59" s="14" t="inlineStr">
        <is>
          <t>MANDARINA</t>
        </is>
      </c>
      <c r="U59" s="19">
        <f>IFERROR(166.386*I59/F59,0)</f>
        <v/>
      </c>
      <c r="V59" s="19">
        <f>IFERROR(166.386*M59/F59,0)</f>
        <v/>
      </c>
      <c r="W59" s="19">
        <f>IFERROR(166.386*L59/F59,0)</f>
        <v/>
      </c>
    </row>
    <row r="60">
      <c r="A60" s="14" t="n">
        <v>2196</v>
      </c>
      <c r="B60" s="14" t="inlineStr">
        <is>
          <t>Nadorcott Semana 52 NORMAL</t>
        </is>
      </c>
      <c r="C60" s="15" t="n">
        <v>1252</v>
      </c>
      <c r="D60" s="14" t="inlineStr">
        <is>
          <t>CRESPO RINCON,PURIFICACION</t>
        </is>
      </c>
      <c r="E60" s="14" t="inlineStr">
        <is>
          <t>NADORCOTT</t>
        </is>
      </c>
      <c r="F60" s="15" t="n">
        <v>21578</v>
      </c>
      <c r="G60" s="16" t="n">
        <v>19197.88</v>
      </c>
      <c r="H60" s="17" t="n">
        <v>0.8896969135230327</v>
      </c>
      <c r="I60" s="16" t="n">
        <v>2671.25</v>
      </c>
      <c r="J60" s="16" t="n">
        <v>300.14</v>
      </c>
      <c r="K60" s="16" t="n">
        <v>0</v>
      </c>
      <c r="L60" s="16" t="n">
        <v>0</v>
      </c>
      <c r="M60" s="16" t="n">
        <v>374.9</v>
      </c>
      <c r="N60" s="16" t="n">
        <v>16601.39</v>
      </c>
      <c r="O60" s="17" t="n">
        <v>0.84446</v>
      </c>
      <c r="P60" s="18" t="n">
        <v>12</v>
      </c>
      <c r="Q60" s="18" t="n">
        <v>2</v>
      </c>
      <c r="R60" s="16" t="n">
        <v>18221.69</v>
      </c>
      <c r="S60" s="14" t="inlineStr">
        <is>
          <t>Nadorcott Semana 52 NORMAL</t>
        </is>
      </c>
      <c r="T60" s="14" t="inlineStr">
        <is>
          <t>MANDARINA</t>
        </is>
      </c>
      <c r="U60" s="19">
        <f>IFERROR(166.386*I60/F60,0)</f>
        <v/>
      </c>
      <c r="V60" s="19">
        <f>IFERROR(166.386*M60/F60,0)</f>
        <v/>
      </c>
      <c r="W60" s="19">
        <f>IFERROR(166.386*L60/F60,0)</f>
        <v/>
      </c>
    </row>
    <row r="61">
      <c r="A61" s="14" t="n">
        <v>2196</v>
      </c>
      <c r="B61" s="14" t="inlineStr">
        <is>
          <t>Nadorcott Semana 52 NORMAL</t>
        </is>
      </c>
      <c r="C61" s="15" t="n">
        <v>1443</v>
      </c>
      <c r="D61" s="14" t="inlineStr">
        <is>
          <t>TOMENO SUAREZ,ALBERTO</t>
        </is>
      </c>
      <c r="E61" s="14" t="inlineStr">
        <is>
          <t>NADORCOTT</t>
        </is>
      </c>
      <c r="F61" s="15" t="n">
        <v>22316</v>
      </c>
      <c r="G61" s="16" t="n">
        <v>19759.25</v>
      </c>
      <c r="H61" s="17" t="n">
        <v>0.8854297365119197</v>
      </c>
      <c r="I61" s="16" t="n">
        <v>0</v>
      </c>
      <c r="J61" s="16" t="n">
        <v>137.99</v>
      </c>
      <c r="K61" s="16" t="n">
        <v>0</v>
      </c>
      <c r="L61" s="16" t="n">
        <v>328.05</v>
      </c>
      <c r="M61" s="16" t="n">
        <v>397.27</v>
      </c>
      <c r="N61" s="16" t="n">
        <v>20346.58</v>
      </c>
      <c r="O61" s="17" t="n">
        <v>1.00074</v>
      </c>
      <c r="P61" s="18" t="n">
        <v>12</v>
      </c>
      <c r="Q61" s="18" t="n">
        <v>2</v>
      </c>
      <c r="R61" s="16" t="n">
        <v>22332.41</v>
      </c>
      <c r="S61" s="14" t="inlineStr">
        <is>
          <t>Nadorcott Semana 52 NORMAL</t>
        </is>
      </c>
      <c r="T61" s="14" t="inlineStr">
        <is>
          <t>MANDARINA</t>
        </is>
      </c>
      <c r="U61" s="19">
        <f>IFERROR(166.386*I61/F61,0)</f>
        <v/>
      </c>
      <c r="V61" s="19">
        <f>IFERROR(166.386*M61/F61,0)</f>
        <v/>
      </c>
      <c r="W61" s="19">
        <f>IFERROR(166.386*L61/F61,0)</f>
        <v/>
      </c>
    </row>
    <row r="62">
      <c r="A62" s="14" t="n">
        <v>2196</v>
      </c>
      <c r="B62" s="14" t="inlineStr">
        <is>
          <t>Nadorcott Semana 52 NORMAL</t>
        </is>
      </c>
      <c r="C62" s="15" t="n">
        <v>1550</v>
      </c>
      <c r="D62" s="14" t="inlineStr">
        <is>
          <t>CADORTAN S.L.</t>
        </is>
      </c>
      <c r="E62" s="14" t="inlineStr">
        <is>
          <t>NADORCOTT</t>
        </is>
      </c>
      <c r="F62" s="15" t="n">
        <v>53440</v>
      </c>
      <c r="G62" s="16" t="n">
        <v>48454.58</v>
      </c>
      <c r="H62" s="17" t="n">
        <v>0.9067099550898203</v>
      </c>
      <c r="I62" s="16" t="n">
        <v>6665.5</v>
      </c>
      <c r="J62" s="16" t="n">
        <v>472.81</v>
      </c>
      <c r="K62" s="16" t="n">
        <v>0</v>
      </c>
      <c r="L62" s="16" t="n">
        <v>0</v>
      </c>
      <c r="M62" s="16" t="n">
        <v>942.2</v>
      </c>
      <c r="N62" s="16" t="n">
        <v>42258.47</v>
      </c>
      <c r="O62" s="17" t="n">
        <v>0.8224</v>
      </c>
      <c r="P62" s="18" t="n">
        <v>4</v>
      </c>
      <c r="Q62" s="18" t="n">
        <v>0</v>
      </c>
      <c r="R62" s="16" t="n">
        <v>43948.81</v>
      </c>
      <c r="S62" s="14" t="inlineStr">
        <is>
          <t>Nadorcott Semana 52 NORMAL</t>
        </is>
      </c>
      <c r="T62" s="14" t="inlineStr">
        <is>
          <t>MANDARINA</t>
        </is>
      </c>
      <c r="U62" s="19">
        <f>IFERROR(166.386*I62/F62,0)</f>
        <v/>
      </c>
      <c r="V62" s="19">
        <f>IFERROR(166.386*M62/F62,0)</f>
        <v/>
      </c>
      <c r="W62" s="19">
        <f>IFERROR(166.386*L62/F62,0)</f>
        <v/>
      </c>
    </row>
    <row r="63">
      <c r="A63" s="20" t="n"/>
      <c r="B63" s="20" t="n"/>
      <c r="C63" s="21" t="n"/>
      <c r="D63" s="20" t="inlineStr">
        <is>
          <t>TOTAL GENERAL</t>
        </is>
      </c>
      <c r="E63" s="20" t="n"/>
      <c r="F63" s="21" t="n">
        <v>1991880</v>
      </c>
      <c r="G63" s="22" t="n">
        <v>1536383.91</v>
      </c>
      <c r="H63" s="23" t="n"/>
      <c r="I63" s="22" t="n">
        <v>163160.1</v>
      </c>
      <c r="J63" s="22" t="n">
        <v>16190.56</v>
      </c>
      <c r="K63" s="22" t="n">
        <v>0</v>
      </c>
      <c r="L63" s="22" t="n">
        <v>5056.01</v>
      </c>
      <c r="M63" s="22" t="n">
        <v>31352.37</v>
      </c>
      <c r="N63" s="22" t="n">
        <v>1393441.63</v>
      </c>
      <c r="O63" s="23" t="n">
        <v>0.7627441612948571</v>
      </c>
      <c r="P63" s="24" t="n"/>
      <c r="Q63" s="24" t="n"/>
      <c r="R63" s="22" t="n">
        <v>1519294.84</v>
      </c>
      <c r="S63" s="20" t="n"/>
      <c r="T63" s="20" t="n"/>
      <c r="U63" s="25" t="n"/>
      <c r="V63" s="25" t="n"/>
      <c r="W63" s="25" t="n"/>
    </row>
  </sheetData>
  <autoFilter ref="A1:W63"/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5" customWidth="1" min="4" max="4"/>
    <col width="45" customWidth="1" min="5" max="5"/>
    <col width="28" customWidth="1" min="6" max="6"/>
    <col width="12" customWidth="1" min="7" max="7"/>
  </cols>
  <sheetData>
    <row r="1">
      <c r="A1" s="1" t="inlineStr">
        <is>
          <t>Id Remesa</t>
        </is>
      </c>
      <c r="B1" s="1" t="inlineStr">
        <is>
          <t>Remesa</t>
        </is>
      </c>
      <c r="C1" s="1" t="inlineStr">
        <is>
          <t>Fase</t>
        </is>
      </c>
      <c r="D1" s="1" t="inlineStr">
        <is>
          <t>Tipo de error</t>
        </is>
      </c>
      <c r="E1" s="1" t="inlineStr">
        <is>
          <t>Mensaje</t>
        </is>
      </c>
      <c r="F1" s="2" t="inlineStr">
        <is>
          <t>Fecha y hora</t>
        </is>
      </c>
      <c r="G1" s="1" t="inlineStr">
        <is>
          <t>Estado</t>
        </is>
      </c>
    </row>
    <row r="2">
      <c r="A2" s="5" t="n">
        <v>2148</v>
      </c>
      <c r="B2" s="5" t="inlineStr">
        <is>
          <t>Nadorcott Semana 5 NORMAL</t>
        </is>
      </c>
      <c r="C2" s="5" t="inlineStr">
        <is>
          <t>WARNING</t>
        </is>
      </c>
      <c r="D2" s="5" t="inlineStr">
        <is>
          <t>Warning</t>
        </is>
      </c>
      <c r="E2" s="5" t="inlineStr">
        <is>
          <t>No existe tarifa BonCalidad para socio=886 campaña=2026 empresa=1 cultivo=MANDARINA.</t>
        </is>
      </c>
      <c r="F2" s="6" t="n">
        <v>46231.74638985652</v>
      </c>
      <c r="G2" s="5" t="inlineStr">
        <is>
          <t>WARNING</t>
        </is>
      </c>
    </row>
    <row r="3">
      <c r="A3" s="5" t="n">
        <v>2148</v>
      </c>
      <c r="B3" s="5" t="inlineStr">
        <is>
          <t>Nadorcott Semana 5 NORMAL</t>
        </is>
      </c>
      <c r="C3" s="5" t="inlineStr">
        <is>
          <t>WARNING</t>
        </is>
      </c>
      <c r="D3" s="5" t="inlineStr">
        <is>
          <t>Warning</t>
        </is>
      </c>
      <c r="E3" s="5" t="inlineStr">
        <is>
          <t>El socio 886 figura certificado GlobalGAP en CITRICOS, KAKIS, MANDARINA pero no en KAKIS. Se ha aplicado la certificación global del socio. Revise DEEPP.</t>
        </is>
      </c>
      <c r="F3" s="6" t="n">
        <v>46231.74638985652</v>
      </c>
      <c r="G3" s="5" t="inlineStr">
        <is>
          <t>WARNING</t>
        </is>
      </c>
    </row>
    <row r="4">
      <c r="A4" s="5" t="n">
        <v>2148</v>
      </c>
      <c r="B4" s="5" t="inlineStr">
        <is>
          <t>Nadorcott Semana 5 NORMAL</t>
        </is>
      </c>
      <c r="C4" s="5" t="inlineStr">
        <is>
          <t>WARNING</t>
        </is>
      </c>
      <c r="D4" s="5" t="inlineStr">
        <is>
          <t>Warning</t>
        </is>
      </c>
      <c r="E4" s="5" t="inlineStr">
        <is>
          <t>No existe fuente acumulada disponible; saldo informativo calculado con cuota ya aplicada = 0.</t>
        </is>
      </c>
      <c r="F4" s="6" t="n">
        <v>46231.74638985652</v>
      </c>
      <c r="G4" s="5" t="inlineStr">
        <is>
          <t>WARNING</t>
        </is>
      </c>
    </row>
    <row r="5">
      <c r="A5" s="5" t="n">
        <v>2148</v>
      </c>
      <c r="B5" s="5" t="inlineStr">
        <is>
          <t>Nadorcott Semana 5 NORMAL</t>
        </is>
      </c>
      <c r="C5" s="5" t="inlineStr">
        <is>
          <t>WARNING</t>
        </is>
      </c>
      <c r="D5" s="5" t="inlineStr">
        <is>
          <t>Warning</t>
        </is>
      </c>
      <c r="E5" s="5" t="inlineStr">
        <is>
          <t>No existe tarifa BonCalidad para socio=1443 campaña=2026 empresa=1 cultivo=MANDARINA.</t>
        </is>
      </c>
      <c r="F5" s="6" t="n">
        <v>46231.74638985652</v>
      </c>
      <c r="G5" s="5" t="inlineStr">
        <is>
          <t>WARNING</t>
        </is>
      </c>
    </row>
    <row r="6">
      <c r="A6" s="5" t="n">
        <v>2148</v>
      </c>
      <c r="B6" s="5" t="inlineStr">
        <is>
          <t>Nadorcott Semana 5 NORMAL</t>
        </is>
      </c>
      <c r="C6" s="5" t="inlineStr">
        <is>
          <t>WARNING</t>
        </is>
      </c>
      <c r="D6" s="5" t="inlineStr">
        <is>
          <t>Warning</t>
        </is>
      </c>
      <c r="E6" s="5" t="inlineStr">
        <is>
          <t>No existe tarifa BonCalidad para socio=1478 campaña=2026 empresa=1 cultivo=MANDARINA.</t>
        </is>
      </c>
      <c r="F6" s="6" t="n">
        <v>46231.74638985652</v>
      </c>
      <c r="G6" s="5" t="inlineStr">
        <is>
          <t>WARNING</t>
        </is>
      </c>
    </row>
    <row r="7">
      <c r="A7" s="5" t="n">
        <v>2148</v>
      </c>
      <c r="B7" s="5" t="inlineStr">
        <is>
          <t>Nadorcott Semana 5 NORMAL</t>
        </is>
      </c>
      <c r="C7" s="5" t="inlineStr">
        <is>
          <t>WARNING</t>
        </is>
      </c>
      <c r="D7" s="5" t="inlineStr">
        <is>
          <t>Warning</t>
        </is>
      </c>
      <c r="E7" s="5" t="inlineStr">
        <is>
          <t>No existe tarifa BonCalidad para socio=1491 campaña=2026 empresa=1 cultivo=MANDARINA.</t>
        </is>
      </c>
      <c r="F7" s="6" t="n">
        <v>46231.74638985652</v>
      </c>
      <c r="G7" s="5" t="inlineStr">
        <is>
          <t>WARNING</t>
        </is>
      </c>
    </row>
    <row r="8">
      <c r="A8" s="5" t="n">
        <v>2149</v>
      </c>
      <c r="B8" s="5" t="inlineStr">
        <is>
          <t>Nadorcott Semana 7 NORMAL</t>
        </is>
      </c>
      <c r="C8" s="5" t="inlineStr">
        <is>
          <t>WARNING</t>
        </is>
      </c>
      <c r="D8" s="5" t="inlineStr">
        <is>
          <t>Warning</t>
        </is>
      </c>
      <c r="E8" s="5" t="inlineStr">
        <is>
          <t>No existe tarifa BonCalidad para socio=1491 campaña=2026 empresa=1 cultivo=MANDARINA.</t>
        </is>
      </c>
      <c r="F8" s="6" t="n">
        <v>46231.74638985652</v>
      </c>
      <c r="G8" s="5" t="inlineStr">
        <is>
          <t>WARNING</t>
        </is>
      </c>
    </row>
    <row r="9">
      <c r="A9" s="5" t="n">
        <v>2149</v>
      </c>
      <c r="B9" s="5" t="inlineStr">
        <is>
          <t>Nadorcott Semana 7 NORMAL</t>
        </is>
      </c>
      <c r="C9" s="5" t="inlineStr">
        <is>
          <t>WARNING</t>
        </is>
      </c>
      <c r="D9" s="5" t="inlineStr">
        <is>
          <t>Warning</t>
        </is>
      </c>
      <c r="E9" s="5" t="inlineStr">
        <is>
          <t>No existe fuente acumulada disponible; saldo informativo calculado con cuota ya aplicada = 0.</t>
        </is>
      </c>
      <c r="F9" s="6" t="n">
        <v>46231.74638985652</v>
      </c>
      <c r="G9" s="5" t="inlineStr">
        <is>
          <t>WARNING</t>
        </is>
      </c>
    </row>
    <row r="10">
      <c r="A10" s="5" t="n">
        <v>2150</v>
      </c>
      <c r="B10" s="5" t="inlineStr">
        <is>
          <t>Tango Semana 1 CON HOJAS</t>
        </is>
      </c>
      <c r="C10" s="5" t="inlineStr">
        <is>
          <t>WARNING</t>
        </is>
      </c>
      <c r="D10" s="5" t="inlineStr">
        <is>
          <t>Warning</t>
        </is>
      </c>
      <c r="E10" s="5" t="inlineStr">
        <is>
          <t>No existe tarifa BonCalidad para socio=1566 campaña=2026 empresa=1 cultivo=MANDARINA.</t>
        </is>
      </c>
      <c r="F10" s="6" t="n">
        <v>46231.74638985652</v>
      </c>
      <c r="G10" s="5" t="inlineStr">
        <is>
          <t>WARNING</t>
        </is>
      </c>
    </row>
    <row r="11">
      <c r="A11" s="5" t="n">
        <v>2150</v>
      </c>
      <c r="B11" s="5" t="inlineStr">
        <is>
          <t>Tango Semana 1 CON HOJAS</t>
        </is>
      </c>
      <c r="C11" s="5" t="inlineStr">
        <is>
          <t>WARNING</t>
        </is>
      </c>
      <c r="D11" s="5" t="inlineStr">
        <is>
          <t>Warning</t>
        </is>
      </c>
      <c r="E11" s="5" t="inlineStr">
        <is>
          <t>No existe fuente acumulada disponible; saldo informativo calculado con cuota ya aplicada = 0.</t>
        </is>
      </c>
      <c r="F11" s="6" t="n">
        <v>46231.74638985652</v>
      </c>
      <c r="G11" s="5" t="inlineStr">
        <is>
          <t>WARNING</t>
        </is>
      </c>
    </row>
    <row r="12">
      <c r="A12" s="5" t="n">
        <v>2150</v>
      </c>
      <c r="B12" s="5" t="inlineStr">
        <is>
          <t>Tango Semana 1 CON HOJAS</t>
        </is>
      </c>
      <c r="C12" s="5" t="inlineStr">
        <is>
          <t>WARNING</t>
        </is>
      </c>
      <c r="D12" s="5" t="inlineStr">
        <is>
          <t>Warning</t>
        </is>
      </c>
      <c r="E12" s="5" t="inlineStr">
        <is>
          <t>Cuota Ha no aplicable: sin superficie sujeta a cuota.</t>
        </is>
      </c>
      <c r="F12" s="6" t="n">
        <v>46231.74638985652</v>
      </c>
      <c r="G12" s="5" t="inlineStr">
        <is>
          <t>WARNING</t>
        </is>
      </c>
    </row>
    <row r="13">
      <c r="A13" s="5" t="n">
        <v>2151</v>
      </c>
      <c r="B13" s="5" t="inlineStr">
        <is>
          <t>Tango Semana 1 NORMAL</t>
        </is>
      </c>
      <c r="C13" s="5" t="inlineStr">
        <is>
          <t>WARNING</t>
        </is>
      </c>
      <c r="D13" s="5" t="inlineStr">
        <is>
          <t>Warning</t>
        </is>
      </c>
      <c r="E13" s="5" t="inlineStr">
        <is>
          <t>No existe tarifa BonCalidad para socio=1178 campaña=2026 empresa=1 cultivo=MANDARINA.</t>
        </is>
      </c>
      <c r="F13" s="6" t="n">
        <v>46231.74638985652</v>
      </c>
      <c r="G13" s="5" t="inlineStr">
        <is>
          <t>WARNING</t>
        </is>
      </c>
    </row>
    <row r="14">
      <c r="A14" s="5" t="n">
        <v>2151</v>
      </c>
      <c r="B14" s="5" t="inlineStr">
        <is>
          <t>Tango Semana 1 NORMAL</t>
        </is>
      </c>
      <c r="C14" s="5" t="inlineStr">
        <is>
          <t>WARNING</t>
        </is>
      </c>
      <c r="D14" s="5" t="inlineStr">
        <is>
          <t>Warning</t>
        </is>
      </c>
      <c r="E14" s="5" t="inlineStr">
        <is>
          <t>No existe fuente acumulada disponible; saldo informativo calculado con cuota ya aplicada = 0.</t>
        </is>
      </c>
      <c r="F14" s="6" t="n">
        <v>46231.74638985652</v>
      </c>
      <c r="G14" s="5" t="inlineStr">
        <is>
          <t>WARNING</t>
        </is>
      </c>
    </row>
    <row r="15">
      <c r="A15" s="5" t="n">
        <v>2151</v>
      </c>
      <c r="B15" s="5" t="inlineStr">
        <is>
          <t>Tango Semana 1 NORMAL</t>
        </is>
      </c>
      <c r="C15" s="5" t="inlineStr">
        <is>
          <t>WARNING</t>
        </is>
      </c>
      <c r="D15" s="5" t="inlineStr">
        <is>
          <t>Warning</t>
        </is>
      </c>
      <c r="E15" s="5" t="inlineStr">
        <is>
          <t>No existe tarifa BonCalidad para socio=1566 campaña=2026 empresa=1 cultivo=MANDARINA.</t>
        </is>
      </c>
      <c r="F15" s="6" t="n">
        <v>46231.74638985652</v>
      </c>
      <c r="G15" s="5" t="inlineStr">
        <is>
          <t>WARNING</t>
        </is>
      </c>
    </row>
    <row r="16">
      <c r="A16" s="5" t="n">
        <v>2151</v>
      </c>
      <c r="B16" s="5" t="inlineStr">
        <is>
          <t>Tango Semana 1 NORMAL</t>
        </is>
      </c>
      <c r="C16" s="5" t="inlineStr">
        <is>
          <t>WARNING</t>
        </is>
      </c>
      <c r="D16" s="5" t="inlineStr">
        <is>
          <t>Warning</t>
        </is>
      </c>
      <c r="E16" s="5" t="inlineStr">
        <is>
          <t>Cuota Ha no aplicable: sin superficie sujeta a cuota.</t>
        </is>
      </c>
      <c r="F16" s="6" t="n">
        <v>46231.74638985652</v>
      </c>
      <c r="G16" s="5" t="inlineStr">
        <is>
          <t>WARNING</t>
        </is>
      </c>
    </row>
    <row r="17">
      <c r="A17" s="5" t="n">
        <v>2152</v>
      </c>
      <c r="B17" s="5" t="inlineStr">
        <is>
          <t>Tango Semana 2 NORMAL</t>
        </is>
      </c>
      <c r="C17" s="5" t="inlineStr">
        <is>
          <t>WARNING</t>
        </is>
      </c>
      <c r="D17" s="5" t="inlineStr">
        <is>
          <t>Warning</t>
        </is>
      </c>
      <c r="E17" s="5" t="inlineStr">
        <is>
          <t>No existe tarifa BonCalidad para socio=1133 campaña=2026 empresa=1 cultivo=MANDARINA.</t>
        </is>
      </c>
      <c r="F17" s="6" t="n">
        <v>46231.74638985652</v>
      </c>
      <c r="G17" s="5" t="inlineStr">
        <is>
          <t>WARNING</t>
        </is>
      </c>
    </row>
    <row r="18">
      <c r="A18" s="5" t="n">
        <v>2152</v>
      </c>
      <c r="B18" s="5" t="inlineStr">
        <is>
          <t>Tango Semana 2 NORMAL</t>
        </is>
      </c>
      <c r="C18" s="5" t="inlineStr">
        <is>
          <t>WARNING</t>
        </is>
      </c>
      <c r="D18" s="5" t="inlineStr">
        <is>
          <t>Warning</t>
        </is>
      </c>
      <c r="E18" s="5" t="inlineStr">
        <is>
          <t>No existe fuente acumulada disponible; saldo informativo calculado con cuota ya aplicada = 0.</t>
        </is>
      </c>
      <c r="F18" s="6" t="n">
        <v>46231.74638985652</v>
      </c>
      <c r="G18" s="5" t="inlineStr">
        <is>
          <t>WARNING</t>
        </is>
      </c>
    </row>
    <row r="19">
      <c r="A19" s="5" t="n">
        <v>2152</v>
      </c>
      <c r="B19" s="5" t="inlineStr">
        <is>
          <t>Tango Semana 2 NORMAL</t>
        </is>
      </c>
      <c r="C19" s="5" t="inlineStr">
        <is>
          <t>WARNING</t>
        </is>
      </c>
      <c r="D19" s="5" t="inlineStr">
        <is>
          <t>Warning</t>
        </is>
      </c>
      <c r="E19" s="5" t="inlineStr">
        <is>
          <t>No existe tarifa BonCalidad para socio=1324 campaña=2026 empresa=1 cultivo=MANDARINA.</t>
        </is>
      </c>
      <c r="F19" s="6" t="n">
        <v>46231.74638985652</v>
      </c>
      <c r="G19" s="5" t="inlineStr">
        <is>
          <t>WARNING</t>
        </is>
      </c>
    </row>
    <row r="20">
      <c r="A20" s="5" t="n">
        <v>2152</v>
      </c>
      <c r="B20" s="5" t="inlineStr">
        <is>
          <t>Tango Semana 2 NORMAL</t>
        </is>
      </c>
      <c r="C20" s="5" t="inlineStr">
        <is>
          <t>WARNING</t>
        </is>
      </c>
      <c r="D20" s="5" t="inlineStr">
        <is>
          <t>Warning</t>
        </is>
      </c>
      <c r="E20" s="5" t="inlineStr">
        <is>
          <t>El socio 1324 figura certificado GlobalGAP en MANDARINA, SANDIA pero no en SANDIA. Se ha aplicado la certificación global del socio. Revise DEEPP.</t>
        </is>
      </c>
      <c r="F20" s="6" t="n">
        <v>46231.74638985652</v>
      </c>
      <c r="G20" s="5" t="inlineStr">
        <is>
          <t>WARNING</t>
        </is>
      </c>
    </row>
    <row r="21">
      <c r="A21" s="5" t="n">
        <v>2152</v>
      </c>
      <c r="B21" s="5" t="inlineStr">
        <is>
          <t>Tango Semana 2 NORMAL</t>
        </is>
      </c>
      <c r="C21" s="5" t="inlineStr">
        <is>
          <t>WARNING</t>
        </is>
      </c>
      <c r="D21" s="5" t="inlineStr">
        <is>
          <t>Warning</t>
        </is>
      </c>
      <c r="E21" s="5" t="inlineStr">
        <is>
          <t>No existe tarifa BonCalidad para socio=1415 campaña=2026 empresa=1 cultivo=MANDARINA.</t>
        </is>
      </c>
      <c r="F21" s="6" t="n">
        <v>46231.74638985652</v>
      </c>
      <c r="G21" s="5" t="inlineStr">
        <is>
          <t>WARNING</t>
        </is>
      </c>
    </row>
    <row r="22">
      <c r="A22" s="5" t="n">
        <v>2152</v>
      </c>
      <c r="B22" s="5" t="inlineStr">
        <is>
          <t>Tango Semana 2 NORMAL</t>
        </is>
      </c>
      <c r="C22" s="5" t="inlineStr">
        <is>
          <t>WARNING</t>
        </is>
      </c>
      <c r="D22" s="5" t="inlineStr">
        <is>
          <t>Warning</t>
        </is>
      </c>
      <c r="E22" s="5" t="inlineStr">
        <is>
          <t>No existe tarifa BonCalidad para socio=1561 campaña=2026 empresa=1 cultivo=MANDARINA.</t>
        </is>
      </c>
      <c r="F22" s="6" t="n">
        <v>46231.74638985652</v>
      </c>
      <c r="G22" s="5" t="inlineStr">
        <is>
          <t>WARNING</t>
        </is>
      </c>
    </row>
    <row r="23">
      <c r="A23" s="5" t="n">
        <v>2152</v>
      </c>
      <c r="B23" s="5" t="inlineStr">
        <is>
          <t>Tango Semana 2 NORMAL</t>
        </is>
      </c>
      <c r="C23" s="5" t="inlineStr">
        <is>
          <t>WARNING</t>
        </is>
      </c>
      <c r="D23" s="5" t="inlineStr">
        <is>
          <t>Warning</t>
        </is>
      </c>
      <c r="E23" s="5" t="inlineStr">
        <is>
          <t>No existe tarifa BonCalidad para socio=1566 campaña=2026 empresa=1 cultivo=MANDARINA.</t>
        </is>
      </c>
      <c r="F23" s="6" t="n">
        <v>46231.74638985652</v>
      </c>
      <c r="G23" s="5" t="inlineStr">
        <is>
          <t>WARNING</t>
        </is>
      </c>
    </row>
    <row r="24">
      <c r="A24" s="5" t="n">
        <v>2152</v>
      </c>
      <c r="B24" s="5" t="inlineStr">
        <is>
          <t>Tango Semana 2 NORMAL</t>
        </is>
      </c>
      <c r="C24" s="5" t="inlineStr">
        <is>
          <t>WARNING</t>
        </is>
      </c>
      <c r="D24" s="5" t="inlineStr">
        <is>
          <t>Warning</t>
        </is>
      </c>
      <c r="E24" s="5" t="inlineStr">
        <is>
          <t>Cuota Ha no aplicable: sin superficie sujeta a cuota.</t>
        </is>
      </c>
      <c r="F24" s="6" t="n">
        <v>46231.74638985652</v>
      </c>
      <c r="G24" s="5" t="inlineStr">
        <is>
          <t>WARNING</t>
        </is>
      </c>
    </row>
    <row r="25">
      <c r="A25" s="5" t="n">
        <v>2153</v>
      </c>
      <c r="B25" s="5" t="inlineStr">
        <is>
          <t>Tango Semana 3 NORMAL</t>
        </is>
      </c>
      <c r="C25" s="5" t="inlineStr">
        <is>
          <t>WARNING</t>
        </is>
      </c>
      <c r="D25" s="5" t="inlineStr">
        <is>
          <t>Warning</t>
        </is>
      </c>
      <c r="E25" s="5" t="inlineStr">
        <is>
          <t>No existe tarifa BonCalidad para socio=1214 campaña=2026 empresa=1 cultivo=MANDARINA.</t>
        </is>
      </c>
      <c r="F25" s="6" t="n">
        <v>46231.74638985652</v>
      </c>
      <c r="G25" s="5" t="inlineStr">
        <is>
          <t>WARNING</t>
        </is>
      </c>
    </row>
    <row r="26">
      <c r="A26" s="5" t="n">
        <v>2153</v>
      </c>
      <c r="B26" s="5" t="inlineStr">
        <is>
          <t>Tango Semana 3 NORMAL</t>
        </is>
      </c>
      <c r="C26" s="5" t="inlineStr">
        <is>
          <t>WARNING</t>
        </is>
      </c>
      <c r="D26" s="5" t="inlineStr">
        <is>
          <t>Warning</t>
        </is>
      </c>
      <c r="E26" s="5" t="inlineStr">
        <is>
          <t>No existe fuente acumulada disponible; saldo informativo calculado con cuota ya aplicada = 0.</t>
        </is>
      </c>
      <c r="F26" s="6" t="n">
        <v>46231.74638985652</v>
      </c>
      <c r="G26" s="5" t="inlineStr">
        <is>
          <t>WARNING</t>
        </is>
      </c>
    </row>
    <row r="27">
      <c r="A27" s="5" t="n">
        <v>2153</v>
      </c>
      <c r="B27" s="5" t="inlineStr">
        <is>
          <t>Tango Semana 3 NORMAL</t>
        </is>
      </c>
      <c r="C27" s="5" t="inlineStr">
        <is>
          <t>WARNING</t>
        </is>
      </c>
      <c r="D27" s="5" t="inlineStr">
        <is>
          <t>Warning</t>
        </is>
      </c>
      <c r="E27" s="5" t="inlineStr">
        <is>
          <t>No existe tarifa BonCalidad para socio=1324 campaña=2026 empresa=1 cultivo=MANDARINA.</t>
        </is>
      </c>
      <c r="F27" s="6" t="n">
        <v>46231.74638985652</v>
      </c>
      <c r="G27" s="5" t="inlineStr">
        <is>
          <t>WARNING</t>
        </is>
      </c>
    </row>
    <row r="28">
      <c r="A28" s="5" t="n">
        <v>2153</v>
      </c>
      <c r="B28" s="5" t="inlineStr">
        <is>
          <t>Tango Semana 3 NORMAL</t>
        </is>
      </c>
      <c r="C28" s="5" t="inlineStr">
        <is>
          <t>WARNING</t>
        </is>
      </c>
      <c r="D28" s="5" t="inlineStr">
        <is>
          <t>Warning</t>
        </is>
      </c>
      <c r="E28" s="5" t="inlineStr">
        <is>
          <t>El socio 1324 figura certificado GlobalGAP en MANDARINA, SANDIA pero no en SANDIA. Se ha aplicado la certificación global del socio. Revise DEEPP.</t>
        </is>
      </c>
      <c r="F28" s="6" t="n">
        <v>46231.74638985652</v>
      </c>
      <c r="G28" s="5" t="inlineStr">
        <is>
          <t>WARNING</t>
        </is>
      </c>
    </row>
    <row r="29">
      <c r="A29" s="5" t="n">
        <v>2153</v>
      </c>
      <c r="B29" s="5" t="inlineStr">
        <is>
          <t>Tango Semana 3 NORMAL</t>
        </is>
      </c>
      <c r="C29" s="5" t="inlineStr">
        <is>
          <t>WARNING</t>
        </is>
      </c>
      <c r="D29" s="5" t="inlineStr">
        <is>
          <t>Warning</t>
        </is>
      </c>
      <c r="E29" s="5" t="inlineStr">
        <is>
          <t>No existe tarifa BonCalidad para socio=1415 campaña=2026 empresa=1 cultivo=MANDARINA.</t>
        </is>
      </c>
      <c r="F29" s="6" t="n">
        <v>46231.74638985652</v>
      </c>
      <c r="G29" s="5" t="inlineStr">
        <is>
          <t>WARNING</t>
        </is>
      </c>
    </row>
    <row r="30">
      <c r="A30" s="5" t="n">
        <v>2153</v>
      </c>
      <c r="B30" s="5" t="inlineStr">
        <is>
          <t>Tango Semana 3 NORMAL</t>
        </is>
      </c>
      <c r="C30" s="5" t="inlineStr">
        <is>
          <t>WARNING</t>
        </is>
      </c>
      <c r="D30" s="5" t="inlineStr">
        <is>
          <t>Warning</t>
        </is>
      </c>
      <c r="E30" s="5" t="inlineStr">
        <is>
          <t>No existe tarifa BonCalidad para socio=1443 campaña=2026 empresa=1 cultivo=MANDARINA.</t>
        </is>
      </c>
      <c r="F30" s="6" t="n">
        <v>46231.74638985652</v>
      </c>
      <c r="G30" s="5" t="inlineStr">
        <is>
          <t>WARNING</t>
        </is>
      </c>
    </row>
    <row r="31">
      <c r="A31" s="5" t="n">
        <v>2153</v>
      </c>
      <c r="B31" s="5" t="inlineStr">
        <is>
          <t>Tango Semana 3 NORMAL</t>
        </is>
      </c>
      <c r="C31" s="5" t="inlineStr">
        <is>
          <t>WARNING</t>
        </is>
      </c>
      <c r="D31" s="5" t="inlineStr">
        <is>
          <t>Warning</t>
        </is>
      </c>
      <c r="E31" s="5" t="inlineStr">
        <is>
          <t>No existe tarifa BonCalidad para socio=1478 campaña=2026 empresa=1 cultivo=MANDARINA.</t>
        </is>
      </c>
      <c r="F31" s="6" t="n">
        <v>46231.74638985652</v>
      </c>
      <c r="G31" s="5" t="inlineStr">
        <is>
          <t>WARNING</t>
        </is>
      </c>
    </row>
    <row r="32">
      <c r="A32" s="5" t="n">
        <v>2153</v>
      </c>
      <c r="B32" s="5" t="inlineStr">
        <is>
          <t>Tango Semana 3 NORMAL</t>
        </is>
      </c>
      <c r="C32" s="5" t="inlineStr">
        <is>
          <t>WARNING</t>
        </is>
      </c>
      <c r="D32" s="5" t="inlineStr">
        <is>
          <t>Warning</t>
        </is>
      </c>
      <c r="E32" s="5" t="inlineStr">
        <is>
          <t>No existe tarifa BonCalidad para socio=1523 campaña=2026 empresa=1 cultivo=MANDARINA.</t>
        </is>
      </c>
      <c r="F32" s="6" t="n">
        <v>46231.74638985652</v>
      </c>
      <c r="G32" s="5" t="inlineStr">
        <is>
          <t>WARNING</t>
        </is>
      </c>
    </row>
    <row r="33">
      <c r="A33" s="5" t="n">
        <v>2153</v>
      </c>
      <c r="B33" s="5" t="inlineStr">
        <is>
          <t>Tango Semana 3 NORMAL</t>
        </is>
      </c>
      <c r="C33" s="5" t="inlineStr">
        <is>
          <t>WARNING</t>
        </is>
      </c>
      <c r="D33" s="5" t="inlineStr">
        <is>
          <t>Warning</t>
        </is>
      </c>
      <c r="E33" s="5" t="inlineStr">
        <is>
          <t>El socio 1523 figura certificado GlobalGAP en CITRICOS, KAKIS, MANDARINA pero no en CITRICOS. Se ha aplicado la certificación global del socio. Revise DEEPP.</t>
        </is>
      </c>
      <c r="F33" s="6" t="n">
        <v>46231.74638985652</v>
      </c>
      <c r="G33" s="5" t="inlineStr">
        <is>
          <t>WARNING</t>
        </is>
      </c>
    </row>
    <row r="34">
      <c r="A34" s="5" t="n">
        <v>2153</v>
      </c>
      <c r="B34" s="5" t="inlineStr">
        <is>
          <t>Tango Semana 3 NORMAL</t>
        </is>
      </c>
      <c r="C34" s="5" t="inlineStr">
        <is>
          <t>WARNING</t>
        </is>
      </c>
      <c r="D34" s="5" t="inlineStr">
        <is>
          <t>Warning</t>
        </is>
      </c>
      <c r="E34" s="5" t="inlineStr">
        <is>
          <t>No existe tarifa BonCalidad para socio=1561 campaña=2026 empresa=1 cultivo=MANDARINA.</t>
        </is>
      </c>
      <c r="F34" s="6" t="n">
        <v>46231.74638985652</v>
      </c>
      <c r="G34" s="5" t="inlineStr">
        <is>
          <t>WARNING</t>
        </is>
      </c>
    </row>
    <row r="35">
      <c r="A35" s="5" t="n">
        <v>2154</v>
      </c>
      <c r="B35" s="5" t="inlineStr">
        <is>
          <t>Tango Semana 4 CON HOJAS</t>
        </is>
      </c>
      <c r="C35" s="5" t="inlineStr">
        <is>
          <t>WARNING</t>
        </is>
      </c>
      <c r="D35" s="5" t="inlineStr">
        <is>
          <t>Warning</t>
        </is>
      </c>
      <c r="E35" s="5" t="inlineStr">
        <is>
          <t>No existe tarifa BonCalidad para socio=1214 campaña=2026 empresa=1 cultivo=MANDARINA.</t>
        </is>
      </c>
      <c r="F35" s="6" t="n">
        <v>46231.74638985652</v>
      </c>
      <c r="G35" s="5" t="inlineStr">
        <is>
          <t>WARNING</t>
        </is>
      </c>
    </row>
    <row r="36">
      <c r="A36" s="5" t="n">
        <v>2154</v>
      </c>
      <c r="B36" s="5" t="inlineStr">
        <is>
          <t>Tango Semana 4 CON HOJAS</t>
        </is>
      </c>
      <c r="C36" s="5" t="inlineStr">
        <is>
          <t>WARNING</t>
        </is>
      </c>
      <c r="D36" s="5" t="inlineStr">
        <is>
          <t>Warning</t>
        </is>
      </c>
      <c r="E36" s="5" t="inlineStr">
        <is>
          <t>No existe fuente acumulada disponible; saldo informativo calculado con cuota ya aplicada = 0.</t>
        </is>
      </c>
      <c r="F36" s="6" t="n">
        <v>46231.74638985652</v>
      </c>
      <c r="G36" s="5" t="inlineStr">
        <is>
          <t>WARNING</t>
        </is>
      </c>
    </row>
    <row r="37">
      <c r="A37" s="5" t="n">
        <v>2155</v>
      </c>
      <c r="B37" s="5" t="inlineStr">
        <is>
          <t>Tango Semana 9 NORMAL</t>
        </is>
      </c>
      <c r="C37" s="5" t="inlineStr">
        <is>
          <t>WARNING</t>
        </is>
      </c>
      <c r="D37" s="5" t="inlineStr">
        <is>
          <t>Warning</t>
        </is>
      </c>
      <c r="E37" s="5" t="inlineStr">
        <is>
          <t>No existe tarifa BonCalidad para socio=1133 campaña=2026 empresa=1 cultivo=MANDARINA.</t>
        </is>
      </c>
      <c r="F37" s="6" t="n">
        <v>46231.74638985652</v>
      </c>
      <c r="G37" s="5" t="inlineStr">
        <is>
          <t>WARNING</t>
        </is>
      </c>
    </row>
    <row r="38">
      <c r="A38" s="5" t="n">
        <v>2155</v>
      </c>
      <c r="B38" s="5" t="inlineStr">
        <is>
          <t>Tango Semana 9 NORMAL</t>
        </is>
      </c>
      <c r="C38" s="5" t="inlineStr">
        <is>
          <t>WARNING</t>
        </is>
      </c>
      <c r="D38" s="5" t="inlineStr">
        <is>
          <t>Warning</t>
        </is>
      </c>
      <c r="E38" s="5" t="inlineStr">
        <is>
          <t>No existe fuente acumulada disponible; saldo informativo calculado con cuota ya aplicada = 0.</t>
        </is>
      </c>
      <c r="F38" s="6" t="n">
        <v>46231.74638985652</v>
      </c>
      <c r="G38" s="5" t="inlineStr">
        <is>
          <t>WARNING</t>
        </is>
      </c>
    </row>
    <row r="39">
      <c r="A39" s="5" t="n">
        <v>2156</v>
      </c>
      <c r="B39" s="5" t="inlineStr">
        <is>
          <t>Tango Semana 5 NORMAL</t>
        </is>
      </c>
      <c r="C39" s="5" t="inlineStr">
        <is>
          <t>WARNING</t>
        </is>
      </c>
      <c r="D39" s="5" t="inlineStr">
        <is>
          <t>Warning</t>
        </is>
      </c>
      <c r="E39" s="5" t="inlineStr">
        <is>
          <t>No existe tarifa BonCalidad para socio=1355 campaña=2026 empresa=1 cultivo=MANDARINA.</t>
        </is>
      </c>
      <c r="F39" s="6" t="n">
        <v>46231.74638985652</v>
      </c>
      <c r="G39" s="5" t="inlineStr">
        <is>
          <t>WARNING</t>
        </is>
      </c>
    </row>
    <row r="40">
      <c r="A40" s="5" t="n">
        <v>2156</v>
      </c>
      <c r="B40" s="5" t="inlineStr">
        <is>
          <t>Tango Semana 5 NORMAL</t>
        </is>
      </c>
      <c r="C40" s="5" t="inlineStr">
        <is>
          <t>WARNING</t>
        </is>
      </c>
      <c r="D40" s="5" t="inlineStr">
        <is>
          <t>Warning</t>
        </is>
      </c>
      <c r="E40" s="5" t="inlineStr">
        <is>
          <t>No existe fuente acumulada disponible; saldo informativo calculado con cuota ya aplicada = 0.</t>
        </is>
      </c>
      <c r="F40" s="6" t="n">
        <v>46231.74638985652</v>
      </c>
      <c r="G40" s="5" t="inlineStr">
        <is>
          <t>WARNING</t>
        </is>
      </c>
    </row>
    <row r="41">
      <c r="A41" s="5" t="n">
        <v>2157</v>
      </c>
      <c r="B41" s="5" t="inlineStr">
        <is>
          <t>Tango Semana 4 NORMAL</t>
        </is>
      </c>
      <c r="C41" s="5" t="inlineStr">
        <is>
          <t>WARNING</t>
        </is>
      </c>
      <c r="D41" s="5" t="inlineStr">
        <is>
          <t>Warning</t>
        </is>
      </c>
      <c r="E41" s="5" t="inlineStr">
        <is>
          <t>No existe tarifa BonCalidad para socio=1133 campaña=2026 empresa=1 cultivo=MANDARINA.</t>
        </is>
      </c>
      <c r="F41" s="6" t="n">
        <v>46231.74638985652</v>
      </c>
      <c r="G41" s="5" t="inlineStr">
        <is>
          <t>WARNING</t>
        </is>
      </c>
    </row>
    <row r="42">
      <c r="A42" s="5" t="n">
        <v>2157</v>
      </c>
      <c r="B42" s="5" t="inlineStr">
        <is>
          <t>Tango Semana 4 NORMAL</t>
        </is>
      </c>
      <c r="C42" s="5" t="inlineStr">
        <is>
          <t>WARNING</t>
        </is>
      </c>
      <c r="D42" s="5" t="inlineStr">
        <is>
          <t>Warning</t>
        </is>
      </c>
      <c r="E42" s="5" t="inlineStr">
        <is>
          <t>No existe fuente acumulada disponible; saldo informativo calculado con cuota ya aplicada = 0.</t>
        </is>
      </c>
      <c r="F42" s="6" t="n">
        <v>46231.74638985652</v>
      </c>
      <c r="G42" s="5" t="inlineStr">
        <is>
          <t>WARNING</t>
        </is>
      </c>
    </row>
    <row r="43">
      <c r="A43" s="5" t="n">
        <v>2157</v>
      </c>
      <c r="B43" s="5" t="inlineStr">
        <is>
          <t>Tango Semana 4 NORMAL</t>
        </is>
      </c>
      <c r="C43" s="5" t="inlineStr">
        <is>
          <t>WARNING</t>
        </is>
      </c>
      <c r="D43" s="5" t="inlineStr">
        <is>
          <t>Warning</t>
        </is>
      </c>
      <c r="E43" s="5" t="inlineStr">
        <is>
          <t>No existe tarifa BonCalidad para socio=1324 campaña=2026 empresa=1 cultivo=MANDARINA.</t>
        </is>
      </c>
      <c r="F43" s="6" t="n">
        <v>46231.74638985652</v>
      </c>
      <c r="G43" s="5" t="inlineStr">
        <is>
          <t>WARNING</t>
        </is>
      </c>
    </row>
    <row r="44">
      <c r="A44" s="5" t="n">
        <v>2157</v>
      </c>
      <c r="B44" s="5" t="inlineStr">
        <is>
          <t>Tango Semana 4 NORMAL</t>
        </is>
      </c>
      <c r="C44" s="5" t="inlineStr">
        <is>
          <t>WARNING</t>
        </is>
      </c>
      <c r="D44" s="5" t="inlineStr">
        <is>
          <t>Warning</t>
        </is>
      </c>
      <c r="E44" s="5" t="inlineStr">
        <is>
          <t>El socio 1324 figura certificado GlobalGAP en MANDARINA, SANDIA pero no en SANDIA. Se ha aplicado la certificación global del socio. Revise DEEPP.</t>
        </is>
      </c>
      <c r="F44" s="6" t="n">
        <v>46231.74638985652</v>
      </c>
      <c r="G44" s="5" t="inlineStr">
        <is>
          <t>WARNING</t>
        </is>
      </c>
    </row>
    <row r="45">
      <c r="A45" s="5" t="n">
        <v>2157</v>
      </c>
      <c r="B45" s="5" t="inlineStr">
        <is>
          <t>Tango Semana 4 NORMAL</t>
        </is>
      </c>
      <c r="C45" s="5" t="inlineStr">
        <is>
          <t>WARNING</t>
        </is>
      </c>
      <c r="D45" s="5" t="inlineStr">
        <is>
          <t>Warning</t>
        </is>
      </c>
      <c r="E45" s="5" t="inlineStr">
        <is>
          <t>No existe tarifa BonCalidad para socio=1355 campaña=2026 empresa=1 cultivo=MANDARINA.</t>
        </is>
      </c>
      <c r="F45" s="6" t="n">
        <v>46231.74638985652</v>
      </c>
      <c r="G45" s="5" t="inlineStr">
        <is>
          <t>WARNING</t>
        </is>
      </c>
    </row>
    <row r="46">
      <c r="A46" s="5" t="n">
        <v>2157</v>
      </c>
      <c r="B46" s="5" t="inlineStr">
        <is>
          <t>Tango Semana 4 NORMAL</t>
        </is>
      </c>
      <c r="C46" s="5" t="inlineStr">
        <is>
          <t>WARNING</t>
        </is>
      </c>
      <c r="D46" s="5" t="inlineStr">
        <is>
          <t>Warning</t>
        </is>
      </c>
      <c r="E46" s="5" t="inlineStr">
        <is>
          <t>No existe tarifa BonCalidad para socio=1443 campaña=2026 empresa=1 cultivo=MANDARINA.</t>
        </is>
      </c>
      <c r="F46" s="6" t="n">
        <v>46231.74638985652</v>
      </c>
      <c r="G46" s="5" t="inlineStr">
        <is>
          <t>WARNING</t>
        </is>
      </c>
    </row>
    <row r="47">
      <c r="A47" s="5" t="n">
        <v>2157</v>
      </c>
      <c r="B47" s="5" t="inlineStr">
        <is>
          <t>Tango Semana 4 NORMAL</t>
        </is>
      </c>
      <c r="C47" s="5" t="inlineStr">
        <is>
          <t>WARNING</t>
        </is>
      </c>
      <c r="D47" s="5" t="inlineStr">
        <is>
          <t>Warning</t>
        </is>
      </c>
      <c r="E47" s="5" t="inlineStr">
        <is>
          <t>No existe tarifa BonCalidad para socio=1478 campaña=2026 empresa=1 cultivo=MANDARINA.</t>
        </is>
      </c>
      <c r="F47" s="6" t="n">
        <v>46231.74638985652</v>
      </c>
      <c r="G47" s="5" t="inlineStr">
        <is>
          <t>WARNING</t>
        </is>
      </c>
    </row>
    <row r="48">
      <c r="A48" s="5" t="n">
        <v>2157</v>
      </c>
      <c r="B48" s="5" t="inlineStr">
        <is>
          <t>Tango Semana 4 NORMAL</t>
        </is>
      </c>
      <c r="C48" s="5" t="inlineStr">
        <is>
          <t>WARNING</t>
        </is>
      </c>
      <c r="D48" s="5" t="inlineStr">
        <is>
          <t>Warning</t>
        </is>
      </c>
      <c r="E48" s="5" t="inlineStr">
        <is>
          <t>No existe tarifa BonCalidad para socio=1523 campaña=2026 empresa=1 cultivo=MANDARINA.</t>
        </is>
      </c>
      <c r="F48" s="6" t="n">
        <v>46231.74638985652</v>
      </c>
      <c r="G48" s="5" t="inlineStr">
        <is>
          <t>WARNING</t>
        </is>
      </c>
    </row>
    <row r="49">
      <c r="A49" s="5" t="n">
        <v>2157</v>
      </c>
      <c r="B49" s="5" t="inlineStr">
        <is>
          <t>Tango Semana 4 NORMAL</t>
        </is>
      </c>
      <c r="C49" s="5" t="inlineStr">
        <is>
          <t>WARNING</t>
        </is>
      </c>
      <c r="D49" s="5" t="inlineStr">
        <is>
          <t>Warning</t>
        </is>
      </c>
      <c r="E49" s="5" t="inlineStr">
        <is>
          <t>El socio 1523 figura certificado GlobalGAP en CITRICOS, KAKIS, MANDARINA pero no en CITRICOS. Se ha aplicado la certificación global del socio. Revise DEEPP.</t>
        </is>
      </c>
      <c r="F49" s="6" t="n">
        <v>46231.74638985652</v>
      </c>
      <c r="G49" s="5" t="inlineStr">
        <is>
          <t>WARNING</t>
        </is>
      </c>
    </row>
    <row r="50">
      <c r="A50" s="5" t="n">
        <v>2157</v>
      </c>
      <c r="B50" s="5" t="inlineStr">
        <is>
          <t>Tango Semana 4 NORMAL</t>
        </is>
      </c>
      <c r="C50" s="5" t="inlineStr">
        <is>
          <t>WARNING</t>
        </is>
      </c>
      <c r="D50" s="5" t="inlineStr">
        <is>
          <t>Warning</t>
        </is>
      </c>
      <c r="E50" s="5" t="inlineStr">
        <is>
          <t>No existe tarifa BonCalidad para socio=1550 campaña=2026 empresa=1 cultivo=MANDARINA.</t>
        </is>
      </c>
      <c r="F50" s="6" t="n">
        <v>46231.74638985652</v>
      </c>
      <c r="G50" s="5" t="inlineStr">
        <is>
          <t>WARNING</t>
        </is>
      </c>
    </row>
    <row r="51">
      <c r="A51" s="5" t="n">
        <v>2157</v>
      </c>
      <c r="B51" s="5" t="inlineStr">
        <is>
          <t>Tango Semana 4 NORMAL</t>
        </is>
      </c>
      <c r="C51" s="5" t="inlineStr">
        <is>
          <t>WARNING</t>
        </is>
      </c>
      <c r="D51" s="5" t="inlineStr">
        <is>
          <t>Warning</t>
        </is>
      </c>
      <c r="E51" s="5" t="inlineStr">
        <is>
          <t>El socio 1550 figura certificado GlobalGAP en CITRICOS, MANDARINA pero no en CITRICOS, MANDARINA. Se ha aplicado la certificación global del socio. Revise DEEPP.</t>
        </is>
      </c>
      <c r="F51" s="6" t="n">
        <v>46231.74638985652</v>
      </c>
      <c r="G51" s="5" t="inlineStr">
        <is>
          <t>WARNING</t>
        </is>
      </c>
    </row>
    <row r="52">
      <c r="A52" s="5" t="n">
        <v>2158</v>
      </c>
      <c r="B52" s="5" t="inlineStr">
        <is>
          <t>Tango Semana 7 NORMAL</t>
        </is>
      </c>
      <c r="C52" s="5" t="inlineStr">
        <is>
          <t>WARNING</t>
        </is>
      </c>
      <c r="D52" s="5" t="inlineStr">
        <is>
          <t>Warning</t>
        </is>
      </c>
      <c r="E52" s="5" t="inlineStr">
        <is>
          <t>No existe tarifa BonCalidad para socio=1355 campaña=2026 empresa=1 cultivo=MANDARINA.</t>
        </is>
      </c>
      <c r="F52" s="6" t="n">
        <v>46231.74638985652</v>
      </c>
      <c r="G52" s="5" t="inlineStr">
        <is>
          <t>WARNING</t>
        </is>
      </c>
    </row>
    <row r="53">
      <c r="A53" s="5" t="n">
        <v>2158</v>
      </c>
      <c r="B53" s="5" t="inlineStr">
        <is>
          <t>Tango Semana 7 NORMAL</t>
        </is>
      </c>
      <c r="C53" s="5" t="inlineStr">
        <is>
          <t>WARNING</t>
        </is>
      </c>
      <c r="D53" s="5" t="inlineStr">
        <is>
          <t>Warning</t>
        </is>
      </c>
      <c r="E53" s="5" t="inlineStr">
        <is>
          <t>No existe fuente acumulada disponible; saldo informativo calculado con cuota ya aplicada = 0.</t>
        </is>
      </c>
      <c r="F53" s="6" t="n">
        <v>46231.74638985652</v>
      </c>
      <c r="G53" s="5" t="inlineStr">
        <is>
          <t>WARNING</t>
        </is>
      </c>
    </row>
    <row r="54">
      <c r="A54" s="5" t="n">
        <v>2158</v>
      </c>
      <c r="B54" s="5" t="inlineStr">
        <is>
          <t>Tango Semana 7 NORMAL</t>
        </is>
      </c>
      <c r="C54" s="5" t="inlineStr">
        <is>
          <t>WARNING</t>
        </is>
      </c>
      <c r="D54" s="5" t="inlineStr">
        <is>
          <t>Warning</t>
        </is>
      </c>
      <c r="E54" s="5" t="inlineStr">
        <is>
          <t>No existe tarifa BonCalidad para socio=1443 campaña=2026 empresa=1 cultivo=MANDARINA.</t>
        </is>
      </c>
      <c r="F54" s="6" t="n">
        <v>46231.74638985652</v>
      </c>
      <c r="G54" s="5" t="inlineStr">
        <is>
          <t>WARNING</t>
        </is>
      </c>
    </row>
    <row r="55">
      <c r="A55" s="5" t="n">
        <v>2158</v>
      </c>
      <c r="B55" s="5" t="inlineStr">
        <is>
          <t>Tango Semana 7 NORMAL</t>
        </is>
      </c>
      <c r="C55" s="5" t="inlineStr">
        <is>
          <t>WARNING</t>
        </is>
      </c>
      <c r="D55" s="5" t="inlineStr">
        <is>
          <t>Warning</t>
        </is>
      </c>
      <c r="E55" s="5" t="inlineStr">
        <is>
          <t>No existe tarifa BonCalidad para socio=1561 campaña=2026 empresa=1 cultivo=MANDARINA.</t>
        </is>
      </c>
      <c r="F55" s="6" t="n">
        <v>46231.74638985652</v>
      </c>
      <c r="G55" s="5" t="inlineStr">
        <is>
          <t>WARNING</t>
        </is>
      </c>
    </row>
    <row r="56">
      <c r="A56" s="5" t="n">
        <v>2159</v>
      </c>
      <c r="B56" s="5" t="inlineStr">
        <is>
          <t>Tango Semana 8 NORMAL</t>
        </is>
      </c>
      <c r="C56" s="5" t="inlineStr">
        <is>
          <t>WARNING</t>
        </is>
      </c>
      <c r="D56" s="5" t="inlineStr">
        <is>
          <t>Warning</t>
        </is>
      </c>
      <c r="E56" s="5" t="inlineStr">
        <is>
          <t>No existe tarifa BonCalidad para socio=1478 campaña=2026 empresa=1 cultivo=MANDARINA.</t>
        </is>
      </c>
      <c r="F56" s="6" t="n">
        <v>46231.74638985652</v>
      </c>
      <c r="G56" s="5" t="inlineStr">
        <is>
          <t>WARNING</t>
        </is>
      </c>
    </row>
    <row r="57">
      <c r="A57" s="5" t="n">
        <v>2159</v>
      </c>
      <c r="B57" s="5" t="inlineStr">
        <is>
          <t>Tango Semana 8 NORMAL</t>
        </is>
      </c>
      <c r="C57" s="5" t="inlineStr">
        <is>
          <t>WARNING</t>
        </is>
      </c>
      <c r="D57" s="5" t="inlineStr">
        <is>
          <t>Warning</t>
        </is>
      </c>
      <c r="E57" s="5" t="inlineStr">
        <is>
          <t>No existe fuente acumulada disponible; saldo informativo calculado con cuota ya aplicada = 0.</t>
        </is>
      </c>
      <c r="F57" s="6" t="n">
        <v>46231.74638985652</v>
      </c>
      <c r="G57" s="5" t="inlineStr">
        <is>
          <t>WARNING</t>
        </is>
      </c>
    </row>
    <row r="58">
      <c r="A58" s="5" t="n">
        <v>2159</v>
      </c>
      <c r="B58" s="5" t="inlineStr">
        <is>
          <t>Tango Semana 8 NORMAL</t>
        </is>
      </c>
      <c r="C58" s="5" t="inlineStr">
        <is>
          <t>WARNING</t>
        </is>
      </c>
      <c r="D58" s="5" t="inlineStr">
        <is>
          <t>Warning</t>
        </is>
      </c>
      <c r="E58" s="5" t="inlineStr">
        <is>
          <t>No existe tarifa BonCalidad para socio=1561 campaña=2026 empresa=1 cultivo=MANDARINA.</t>
        </is>
      </c>
      <c r="F58" s="6" t="n">
        <v>46231.74638985652</v>
      </c>
      <c r="G58" s="5" t="inlineStr">
        <is>
          <t>WARNING</t>
        </is>
      </c>
    </row>
    <row r="59">
      <c r="A59" s="5" t="n">
        <v>2187</v>
      </c>
      <c r="B59" s="5" t="inlineStr">
        <is>
          <t>Tango Semana 52 NORMAL</t>
        </is>
      </c>
      <c r="C59" s="5" t="inlineStr">
        <is>
          <t>WARNING</t>
        </is>
      </c>
      <c r="D59" s="5" t="inlineStr">
        <is>
          <t>Warning</t>
        </is>
      </c>
      <c r="E59" s="5" t="inlineStr">
        <is>
          <t>No existe tarifa BonCalidad para socio=1178 campaña=2026 empresa=1 cultivo=MANDARINA.</t>
        </is>
      </c>
      <c r="F59" s="6" t="n">
        <v>46231.74638985652</v>
      </c>
      <c r="G59" s="5" t="inlineStr">
        <is>
          <t>WARNING</t>
        </is>
      </c>
    </row>
    <row r="60">
      <c r="A60" s="5" t="n">
        <v>2187</v>
      </c>
      <c r="B60" s="5" t="inlineStr">
        <is>
          <t>Tango Semana 52 NORMAL</t>
        </is>
      </c>
      <c r="C60" s="5" t="inlineStr">
        <is>
          <t>WARNING</t>
        </is>
      </c>
      <c r="D60" s="5" t="inlineStr">
        <is>
          <t>Warning</t>
        </is>
      </c>
      <c r="E60" s="5" t="inlineStr">
        <is>
          <t>No existe fuente acumulada disponible; saldo informativo calculado con cuota ya aplicada = 0.</t>
        </is>
      </c>
      <c r="F60" s="6" t="n">
        <v>46231.74638985652</v>
      </c>
      <c r="G60" s="5" t="inlineStr">
        <is>
          <t>WARNING</t>
        </is>
      </c>
    </row>
    <row r="61">
      <c r="A61" s="5" t="n">
        <v>2188</v>
      </c>
      <c r="B61" s="5" t="inlineStr">
        <is>
          <t>Tango Semana 6 NORMAL</t>
        </is>
      </c>
      <c r="C61" s="5" t="inlineStr">
        <is>
          <t>WARNING</t>
        </is>
      </c>
      <c r="D61" s="5" t="inlineStr">
        <is>
          <t>Warning</t>
        </is>
      </c>
      <c r="E61" s="5" t="inlineStr">
        <is>
          <t>No existe tarifa BonCalidad para socio=1355 campaña=2026 empresa=1 cultivo=MANDARINA.</t>
        </is>
      </c>
      <c r="F61" s="6" t="n">
        <v>46231.74638985652</v>
      </c>
      <c r="G61" s="5" t="inlineStr">
        <is>
          <t>WARNING</t>
        </is>
      </c>
    </row>
    <row r="62">
      <c r="A62" s="5" t="n">
        <v>2188</v>
      </c>
      <c r="B62" s="5" t="inlineStr">
        <is>
          <t>Tango Semana 6 NORMAL</t>
        </is>
      </c>
      <c r="C62" s="5" t="inlineStr">
        <is>
          <t>WARNING</t>
        </is>
      </c>
      <c r="D62" s="5" t="inlineStr">
        <is>
          <t>Warning</t>
        </is>
      </c>
      <c r="E62" s="5" t="inlineStr">
        <is>
          <t>No existe fuente acumulada disponible; saldo informativo calculado con cuota ya aplicada = 0.</t>
        </is>
      </c>
      <c r="F62" s="6" t="n">
        <v>46231.74638985652</v>
      </c>
      <c r="G62" s="5" t="inlineStr">
        <is>
          <t>WARNING</t>
        </is>
      </c>
    </row>
    <row r="63">
      <c r="A63" s="5" t="n">
        <v>2188</v>
      </c>
      <c r="B63" s="5" t="inlineStr">
        <is>
          <t>Tango Semana 6 NORMAL</t>
        </is>
      </c>
      <c r="C63" s="5" t="inlineStr">
        <is>
          <t>WARNING</t>
        </is>
      </c>
      <c r="D63" s="5" t="inlineStr">
        <is>
          <t>Warning</t>
        </is>
      </c>
      <c r="E63" s="5" t="inlineStr">
        <is>
          <t>No existe tarifa BonCalidad para socio=1443 campaña=2026 empresa=1 cultivo=MANDARINA.</t>
        </is>
      </c>
      <c r="F63" s="6" t="n">
        <v>46231.74638985652</v>
      </c>
      <c r="G63" s="5" t="inlineStr">
        <is>
          <t>WARNING</t>
        </is>
      </c>
    </row>
    <row r="64">
      <c r="A64" s="5" t="n">
        <v>2189</v>
      </c>
      <c r="B64" s="5" t="inlineStr">
        <is>
          <t>Nadorcott Semana 2 NORMAL</t>
        </is>
      </c>
      <c r="C64" s="5" t="inlineStr">
        <is>
          <t>WARNING</t>
        </is>
      </c>
      <c r="D64" s="5" t="inlineStr">
        <is>
          <t>Warning</t>
        </is>
      </c>
      <c r="E64" s="5" t="inlineStr">
        <is>
          <t>No existe tarifa BonCalidad para socio=1214 campaña=2026 empresa=1 cultivo=MANDARINA.</t>
        </is>
      </c>
      <c r="F64" s="6" t="n">
        <v>46231.74638985652</v>
      </c>
      <c r="G64" s="5" t="inlineStr">
        <is>
          <t>WARNING</t>
        </is>
      </c>
    </row>
    <row r="65">
      <c r="A65" s="5" t="n">
        <v>2189</v>
      </c>
      <c r="B65" s="5" t="inlineStr">
        <is>
          <t>Nadorcott Semana 2 NORMAL</t>
        </is>
      </c>
      <c r="C65" s="5" t="inlineStr">
        <is>
          <t>WARNING</t>
        </is>
      </c>
      <c r="D65" s="5" t="inlineStr">
        <is>
          <t>Warning</t>
        </is>
      </c>
      <c r="E65" s="5" t="inlineStr">
        <is>
          <t>No existe fuente acumulada disponible; saldo informativo calculado con cuota ya aplicada = 0.</t>
        </is>
      </c>
      <c r="F65" s="6" t="n">
        <v>46231.74638985652</v>
      </c>
      <c r="G65" s="5" t="inlineStr">
        <is>
          <t>WARNING</t>
        </is>
      </c>
    </row>
    <row r="66">
      <c r="A66" s="5" t="n">
        <v>2189</v>
      </c>
      <c r="B66" s="5" t="inlineStr">
        <is>
          <t>Nadorcott Semana 2 NORMAL</t>
        </is>
      </c>
      <c r="C66" s="5" t="inlineStr">
        <is>
          <t>WARNING</t>
        </is>
      </c>
      <c r="D66" s="5" t="inlineStr">
        <is>
          <t>Warning</t>
        </is>
      </c>
      <c r="E66" s="5" t="inlineStr">
        <is>
          <t>No existe tarifa BonCalidad para socio=1514 campaña=2026 empresa=1 cultivo=MANDARINA.</t>
        </is>
      </c>
      <c r="F66" s="6" t="n">
        <v>46231.74638985652</v>
      </c>
      <c r="G66" s="5" t="inlineStr">
        <is>
          <t>WARNING</t>
        </is>
      </c>
    </row>
    <row r="67">
      <c r="A67" s="5" t="n">
        <v>2189</v>
      </c>
      <c r="B67" s="5" t="inlineStr">
        <is>
          <t>Nadorcott Semana 2 NORMAL</t>
        </is>
      </c>
      <c r="C67" s="5" t="inlineStr">
        <is>
          <t>WARNING</t>
        </is>
      </c>
      <c r="D67" s="5" t="inlineStr">
        <is>
          <t>Warning</t>
        </is>
      </c>
      <c r="E67" s="5" t="inlineStr">
        <is>
          <t>No existe tarifa BonCalidad para socio=1550 campaña=2026 empresa=1 cultivo=MANDARINA.</t>
        </is>
      </c>
      <c r="F67" s="6" t="n">
        <v>46231.74638985652</v>
      </c>
      <c r="G67" s="5" t="inlineStr">
        <is>
          <t>WARNING</t>
        </is>
      </c>
    </row>
    <row r="68">
      <c r="A68" s="5" t="n">
        <v>2189</v>
      </c>
      <c r="B68" s="5" t="inlineStr">
        <is>
          <t>Nadorcott Semana 2 NORMAL</t>
        </is>
      </c>
      <c r="C68" s="5" t="inlineStr">
        <is>
          <t>WARNING</t>
        </is>
      </c>
      <c r="D68" s="5" t="inlineStr">
        <is>
          <t>Warning</t>
        </is>
      </c>
      <c r="E68" s="5" t="inlineStr">
        <is>
          <t>El socio 1550 figura certificado GlobalGAP en CITRICOS, MANDARINA pero no en CITRICOS, MANDARINA. Se ha aplicado la certificación global del socio. Revise DEEPP.</t>
        </is>
      </c>
      <c r="F68" s="6" t="n">
        <v>46231.74638985652</v>
      </c>
      <c r="G68" s="5" t="inlineStr">
        <is>
          <t>WARNING</t>
        </is>
      </c>
    </row>
    <row r="69">
      <c r="A69" s="5" t="n">
        <v>2190</v>
      </c>
      <c r="B69" s="5" t="inlineStr">
        <is>
          <t>Nadorcott Semana 1 NORMAL</t>
        </is>
      </c>
      <c r="C69" s="5" t="inlineStr">
        <is>
          <t>WARNING</t>
        </is>
      </c>
      <c r="D69" s="5" t="inlineStr">
        <is>
          <t>Warning</t>
        </is>
      </c>
      <c r="E69" s="5" t="inlineStr">
        <is>
          <t>No existe tarifa BonCalidad para socio=886 campaña=2026 empresa=1 cultivo=MANDARINA.</t>
        </is>
      </c>
      <c r="F69" s="6" t="n">
        <v>46231.74638985652</v>
      </c>
      <c r="G69" s="5" t="inlineStr">
        <is>
          <t>WARNING</t>
        </is>
      </c>
    </row>
    <row r="70">
      <c r="A70" s="5" t="n">
        <v>2190</v>
      </c>
      <c r="B70" s="5" t="inlineStr">
        <is>
          <t>Nadorcott Semana 1 NORMAL</t>
        </is>
      </c>
      <c r="C70" s="5" t="inlineStr">
        <is>
          <t>WARNING</t>
        </is>
      </c>
      <c r="D70" s="5" t="inlineStr">
        <is>
          <t>Warning</t>
        </is>
      </c>
      <c r="E70" s="5" t="inlineStr">
        <is>
          <t>El socio 886 figura certificado GlobalGAP en CITRICOS, KAKIS, MANDARINA pero no en KAKIS. Se ha aplicado la certificación global del socio. Revise DEEPP.</t>
        </is>
      </c>
      <c r="F70" s="6" t="n">
        <v>46231.74638985652</v>
      </c>
      <c r="G70" s="5" t="inlineStr">
        <is>
          <t>WARNING</t>
        </is>
      </c>
    </row>
    <row r="71">
      <c r="A71" s="5" t="n">
        <v>2190</v>
      </c>
      <c r="B71" s="5" t="inlineStr">
        <is>
          <t>Nadorcott Semana 1 NORMAL</t>
        </is>
      </c>
      <c r="C71" s="5" t="inlineStr">
        <is>
          <t>WARNING</t>
        </is>
      </c>
      <c r="D71" s="5" t="inlineStr">
        <is>
          <t>Warning</t>
        </is>
      </c>
      <c r="E71" s="5" t="inlineStr">
        <is>
          <t>No existe fuente acumulada disponible; saldo informativo calculado con cuota ya aplicada = 0.</t>
        </is>
      </c>
      <c r="F71" s="6" t="n">
        <v>46231.74638985652</v>
      </c>
      <c r="G71" s="5" t="inlineStr">
        <is>
          <t>WARNING</t>
        </is>
      </c>
    </row>
    <row r="72">
      <c r="A72" s="5" t="n">
        <v>2190</v>
      </c>
      <c r="B72" s="5" t="inlineStr">
        <is>
          <t>Nadorcott Semana 1 NORMAL</t>
        </is>
      </c>
      <c r="C72" s="5" t="inlineStr">
        <is>
          <t>WARNING</t>
        </is>
      </c>
      <c r="D72" s="5" t="inlineStr">
        <is>
          <t>Warning</t>
        </is>
      </c>
      <c r="E72" s="5" t="inlineStr">
        <is>
          <t>No existe tarifa BonCalidad para socio=1443 campaña=2026 empresa=1 cultivo=MANDARINA.</t>
        </is>
      </c>
      <c r="F72" s="6" t="n">
        <v>46231.74638985652</v>
      </c>
      <c r="G72" s="5" t="inlineStr">
        <is>
          <t>WARNING</t>
        </is>
      </c>
    </row>
    <row r="73">
      <c r="A73" s="5" t="n">
        <v>2190</v>
      </c>
      <c r="B73" s="5" t="inlineStr">
        <is>
          <t>Nadorcott Semana 1 NORMAL</t>
        </is>
      </c>
      <c r="C73" s="5" t="inlineStr">
        <is>
          <t>WARNING</t>
        </is>
      </c>
      <c r="D73" s="5" t="inlineStr">
        <is>
          <t>Warning</t>
        </is>
      </c>
      <c r="E73" s="5" t="inlineStr">
        <is>
          <t>No existe tarifa BonCalidad para socio=1491 campaña=2026 empresa=1 cultivo=MANDARINA.</t>
        </is>
      </c>
      <c r="F73" s="6" t="n">
        <v>46231.74638985652</v>
      </c>
      <c r="G73" s="5" t="inlineStr">
        <is>
          <t>WARNING</t>
        </is>
      </c>
    </row>
    <row r="74">
      <c r="A74" s="5" t="n">
        <v>2190</v>
      </c>
      <c r="B74" s="5" t="inlineStr">
        <is>
          <t>Nadorcott Semana 1 NORMAL</t>
        </is>
      </c>
      <c r="C74" s="5" t="inlineStr">
        <is>
          <t>WARNING</t>
        </is>
      </c>
      <c r="D74" s="5" t="inlineStr">
        <is>
          <t>Warning</t>
        </is>
      </c>
      <c r="E74" s="5" t="inlineStr">
        <is>
          <t>No existe tarifa BonCalidad para socio=1550 campaña=2026 empresa=1 cultivo=MANDARINA.</t>
        </is>
      </c>
      <c r="F74" s="6" t="n">
        <v>46231.74638985652</v>
      </c>
      <c r="G74" s="5" t="inlineStr">
        <is>
          <t>WARNING</t>
        </is>
      </c>
    </row>
    <row r="75">
      <c r="A75" s="5" t="n">
        <v>2190</v>
      </c>
      <c r="B75" s="5" t="inlineStr">
        <is>
          <t>Nadorcott Semana 1 NORMAL</t>
        </is>
      </c>
      <c r="C75" s="5" t="inlineStr">
        <is>
          <t>WARNING</t>
        </is>
      </c>
      <c r="D75" s="5" t="inlineStr">
        <is>
          <t>Warning</t>
        </is>
      </c>
      <c r="E75" s="5" t="inlineStr">
        <is>
          <t>El socio 1550 figura certificado GlobalGAP en CITRICOS, MANDARINA pero no en CITRICOS, MANDARINA. Se ha aplicado la certificación global del socio. Revise DEEPP.</t>
        </is>
      </c>
      <c r="F75" s="6" t="n">
        <v>46231.74638985652</v>
      </c>
      <c r="G75" s="5" t="inlineStr">
        <is>
          <t>WARNING</t>
        </is>
      </c>
    </row>
    <row r="76">
      <c r="A76" s="5" t="n">
        <v>2191</v>
      </c>
      <c r="B76" s="5" t="inlineStr">
        <is>
          <t>Nadorcott Semana 3 CON HOJAS</t>
        </is>
      </c>
      <c r="C76" s="5" t="inlineStr">
        <is>
          <t>WARNING</t>
        </is>
      </c>
      <c r="D76" s="5" t="inlineStr">
        <is>
          <t>Warning</t>
        </is>
      </c>
      <c r="E76" s="5" t="inlineStr">
        <is>
          <t>No existe tarifa BonCalidad para socio=1214 campaña=2026 empresa=1 cultivo=MANDARINA.</t>
        </is>
      </c>
      <c r="F76" s="6" t="n">
        <v>46231.74638985652</v>
      </c>
      <c r="G76" s="5" t="inlineStr">
        <is>
          <t>WARNING</t>
        </is>
      </c>
    </row>
    <row r="77">
      <c r="A77" s="5" t="n">
        <v>2191</v>
      </c>
      <c r="B77" s="5" t="inlineStr">
        <is>
          <t>Nadorcott Semana 3 CON HOJAS</t>
        </is>
      </c>
      <c r="C77" s="5" t="inlineStr">
        <is>
          <t>WARNING</t>
        </is>
      </c>
      <c r="D77" s="5" t="inlineStr">
        <is>
          <t>Warning</t>
        </is>
      </c>
      <c r="E77" s="5" t="inlineStr">
        <is>
          <t>No existe fuente acumulada disponible; saldo informativo calculado con cuota ya aplicada = 0.</t>
        </is>
      </c>
      <c r="F77" s="6" t="n">
        <v>46231.74638985652</v>
      </c>
      <c r="G77" s="5" t="inlineStr">
        <is>
          <t>WARNING</t>
        </is>
      </c>
    </row>
    <row r="78">
      <c r="A78" s="5" t="n">
        <v>2191</v>
      </c>
      <c r="B78" s="5" t="inlineStr">
        <is>
          <t>Nadorcott Semana 3 CON HOJAS</t>
        </is>
      </c>
      <c r="C78" s="5" t="inlineStr">
        <is>
          <t>WARNING</t>
        </is>
      </c>
      <c r="D78" s="5" t="inlineStr">
        <is>
          <t>Warning</t>
        </is>
      </c>
      <c r="E78" s="5" t="inlineStr">
        <is>
          <t>No existe tarifa BonCalidad para socio=1443 campaña=2026 empresa=1 cultivo=MANDARINA.</t>
        </is>
      </c>
      <c r="F78" s="6" t="n">
        <v>46231.74638985652</v>
      </c>
      <c r="G78" s="5" t="inlineStr">
        <is>
          <t>WARNING</t>
        </is>
      </c>
    </row>
    <row r="79">
      <c r="A79" s="5" t="n">
        <v>2191</v>
      </c>
      <c r="B79" s="5" t="inlineStr">
        <is>
          <t>Nadorcott Semana 3 CON HOJAS</t>
        </is>
      </c>
      <c r="C79" s="5" t="inlineStr">
        <is>
          <t>WARNING</t>
        </is>
      </c>
      <c r="D79" s="5" t="inlineStr">
        <is>
          <t>Warning</t>
        </is>
      </c>
      <c r="E79" s="5" t="inlineStr">
        <is>
          <t>No existe tarifa BonCalidad para socio=1550 campaña=2026 empresa=1 cultivo=MANDARINA.</t>
        </is>
      </c>
      <c r="F79" s="6" t="n">
        <v>46231.74638985652</v>
      </c>
      <c r="G79" s="5" t="inlineStr">
        <is>
          <t>WARNING</t>
        </is>
      </c>
    </row>
    <row r="80">
      <c r="A80" s="5" t="n">
        <v>2191</v>
      </c>
      <c r="B80" s="5" t="inlineStr">
        <is>
          <t>Nadorcott Semana 3 CON HOJAS</t>
        </is>
      </c>
      <c r="C80" s="5" t="inlineStr">
        <is>
          <t>WARNING</t>
        </is>
      </c>
      <c r="D80" s="5" t="inlineStr">
        <is>
          <t>Warning</t>
        </is>
      </c>
      <c r="E80" s="5" t="inlineStr">
        <is>
          <t>El socio 1550 figura certificado GlobalGAP en CITRICOS, MANDARINA pero no en CITRICOS, MANDARINA. Se ha aplicado la certificación global del socio. Revise DEEPP.</t>
        </is>
      </c>
      <c r="F80" s="6" t="n">
        <v>46231.74638985652</v>
      </c>
      <c r="G80" s="5" t="inlineStr">
        <is>
          <t>WARNING</t>
        </is>
      </c>
    </row>
    <row r="81">
      <c r="A81" s="5" t="n">
        <v>2192</v>
      </c>
      <c r="B81" s="5" t="inlineStr">
        <is>
          <t>Nadorcott Semana 3 NORMAL</t>
        </is>
      </c>
      <c r="C81" s="5" t="inlineStr">
        <is>
          <t>WARNING</t>
        </is>
      </c>
      <c r="D81" s="5" t="inlineStr">
        <is>
          <t>Warning</t>
        </is>
      </c>
      <c r="E81" s="5" t="inlineStr">
        <is>
          <t>No existe tarifa BonCalidad para socio=1214 campaña=2026 empresa=1 cultivo=MANDARINA.</t>
        </is>
      </c>
      <c r="F81" s="6" t="n">
        <v>46231.74638985652</v>
      </c>
      <c r="G81" s="5" t="inlineStr">
        <is>
          <t>WARNING</t>
        </is>
      </c>
    </row>
    <row r="82">
      <c r="A82" s="5" t="n">
        <v>2192</v>
      </c>
      <c r="B82" s="5" t="inlineStr">
        <is>
          <t>Nadorcott Semana 3 NORMAL</t>
        </is>
      </c>
      <c r="C82" s="5" t="inlineStr">
        <is>
          <t>WARNING</t>
        </is>
      </c>
      <c r="D82" s="5" t="inlineStr">
        <is>
          <t>Warning</t>
        </is>
      </c>
      <c r="E82" s="5" t="inlineStr">
        <is>
          <t>No existe fuente acumulada disponible; saldo informativo calculado con cuota ya aplicada = 0.</t>
        </is>
      </c>
      <c r="F82" s="6" t="n">
        <v>46231.74638985652</v>
      </c>
      <c r="G82" s="5" t="inlineStr">
        <is>
          <t>WARNING</t>
        </is>
      </c>
    </row>
    <row r="83">
      <c r="A83" s="5" t="n">
        <v>2192</v>
      </c>
      <c r="B83" s="5" t="inlineStr">
        <is>
          <t>Nadorcott Semana 3 NORMAL</t>
        </is>
      </c>
      <c r="C83" s="5" t="inlineStr">
        <is>
          <t>WARNING</t>
        </is>
      </c>
      <c r="D83" s="5" t="inlineStr">
        <is>
          <t>Warning</t>
        </is>
      </c>
      <c r="E83" s="5" t="inlineStr">
        <is>
          <t>No existe tarifa BonCalidad para socio=1443 campaña=2026 empresa=1 cultivo=MANDARINA.</t>
        </is>
      </c>
      <c r="F83" s="6" t="n">
        <v>46231.74638985652</v>
      </c>
      <c r="G83" s="5" t="inlineStr">
        <is>
          <t>WARNING</t>
        </is>
      </c>
    </row>
    <row r="84">
      <c r="A84" s="5" t="n">
        <v>2192</v>
      </c>
      <c r="B84" s="5" t="inlineStr">
        <is>
          <t>Nadorcott Semana 3 NORMAL</t>
        </is>
      </c>
      <c r="C84" s="5" t="inlineStr">
        <is>
          <t>WARNING</t>
        </is>
      </c>
      <c r="D84" s="5" t="inlineStr">
        <is>
          <t>Warning</t>
        </is>
      </c>
      <c r="E84" s="5" t="inlineStr">
        <is>
          <t>No existe tarifa BonCalidad para socio=1491 campaña=2026 empresa=1 cultivo=MANDARINA.</t>
        </is>
      </c>
      <c r="F84" s="6" t="n">
        <v>46231.74638985652</v>
      </c>
      <c r="G84" s="5" t="inlineStr">
        <is>
          <t>WARNING</t>
        </is>
      </c>
    </row>
    <row r="85">
      <c r="A85" s="5" t="n">
        <v>2192</v>
      </c>
      <c r="B85" s="5" t="inlineStr">
        <is>
          <t>Nadorcott Semana 3 NORMAL</t>
        </is>
      </c>
      <c r="C85" s="5" t="inlineStr">
        <is>
          <t>WARNING</t>
        </is>
      </c>
      <c r="D85" s="5" t="inlineStr">
        <is>
          <t>Warning</t>
        </is>
      </c>
      <c r="E85" s="5" t="inlineStr">
        <is>
          <t>No existe tarifa BonCalidad para socio=1514 campaña=2026 empresa=1 cultivo=MANDARINA.</t>
        </is>
      </c>
      <c r="F85" s="6" t="n">
        <v>46231.74638985652</v>
      </c>
      <c r="G85" s="5" t="inlineStr">
        <is>
          <t>WARNING</t>
        </is>
      </c>
    </row>
    <row r="86">
      <c r="A86" s="5" t="n">
        <v>2193</v>
      </c>
      <c r="B86" s="5" t="inlineStr">
        <is>
          <t>Nadorcott Semana 6 NORMAL</t>
        </is>
      </c>
      <c r="C86" s="5" t="inlineStr">
        <is>
          <t>WARNING</t>
        </is>
      </c>
      <c r="D86" s="5" t="inlineStr">
        <is>
          <t>Warning</t>
        </is>
      </c>
      <c r="E86" s="5" t="inlineStr">
        <is>
          <t>No existe tarifa BonCalidad para socio=1478 campaña=2026 empresa=1 cultivo=MANDARINA.</t>
        </is>
      </c>
      <c r="F86" s="6" t="n">
        <v>46231.74638985652</v>
      </c>
      <c r="G86" s="5" t="inlineStr">
        <is>
          <t>WARNING</t>
        </is>
      </c>
    </row>
    <row r="87">
      <c r="A87" s="5" t="n">
        <v>2193</v>
      </c>
      <c r="B87" s="5" t="inlineStr">
        <is>
          <t>Nadorcott Semana 6 NORMAL</t>
        </is>
      </c>
      <c r="C87" s="5" t="inlineStr">
        <is>
          <t>WARNING</t>
        </is>
      </c>
      <c r="D87" s="5" t="inlineStr">
        <is>
          <t>Warning</t>
        </is>
      </c>
      <c r="E87" s="5" t="inlineStr">
        <is>
          <t>No existe fuente acumulada disponible; saldo informativo calculado con cuota ya aplicada = 0.</t>
        </is>
      </c>
      <c r="F87" s="6" t="n">
        <v>46231.74638985652</v>
      </c>
      <c r="G87" s="5" t="inlineStr">
        <is>
          <t>WARNING</t>
        </is>
      </c>
    </row>
    <row r="88">
      <c r="A88" s="5" t="n">
        <v>2194</v>
      </c>
      <c r="B88" s="5" t="inlineStr">
        <is>
          <t>Nadorcott Semana 4 NORMAL</t>
        </is>
      </c>
      <c r="C88" s="5" t="inlineStr">
        <is>
          <t>WARNING</t>
        </is>
      </c>
      <c r="D88" s="5" t="inlineStr">
        <is>
          <t>Warning</t>
        </is>
      </c>
      <c r="E88" s="5" t="inlineStr">
        <is>
          <t>No existe tarifa BonCalidad para socio=1214 campaña=2026 empresa=1 cultivo=MANDARINA.</t>
        </is>
      </c>
      <c r="F88" s="6" t="n">
        <v>46231.74638985652</v>
      </c>
      <c r="G88" s="5" t="inlineStr">
        <is>
          <t>WARNING</t>
        </is>
      </c>
    </row>
    <row r="89">
      <c r="A89" s="5" t="n">
        <v>2194</v>
      </c>
      <c r="B89" s="5" t="inlineStr">
        <is>
          <t>Nadorcott Semana 4 NORMAL</t>
        </is>
      </c>
      <c r="C89" s="5" t="inlineStr">
        <is>
          <t>WARNING</t>
        </is>
      </c>
      <c r="D89" s="5" t="inlineStr">
        <is>
          <t>Warning</t>
        </is>
      </c>
      <c r="E89" s="5" t="inlineStr">
        <is>
          <t>No existe fuente acumulada disponible; saldo informativo calculado con cuota ya aplicada = 0.</t>
        </is>
      </c>
      <c r="F89" s="6" t="n">
        <v>46231.74638985652</v>
      </c>
      <c r="G89" s="5" t="inlineStr">
        <is>
          <t>WARNING</t>
        </is>
      </c>
    </row>
    <row r="90">
      <c r="A90" s="5" t="n">
        <v>2194</v>
      </c>
      <c r="B90" s="5" t="inlineStr">
        <is>
          <t>Nadorcott Semana 4 NORMAL</t>
        </is>
      </c>
      <c r="C90" s="5" t="inlineStr">
        <is>
          <t>WARNING</t>
        </is>
      </c>
      <c r="D90" s="5" t="inlineStr">
        <is>
          <t>Warning</t>
        </is>
      </c>
      <c r="E90" s="5" t="inlineStr">
        <is>
          <t>No existe tarifa BonCalidad para socio=1329 campaña=2026 empresa=1 cultivo=MANDARINA.</t>
        </is>
      </c>
      <c r="F90" s="6" t="n">
        <v>46231.74638985652</v>
      </c>
      <c r="G90" s="5" t="inlineStr">
        <is>
          <t>WARNING</t>
        </is>
      </c>
    </row>
    <row r="91">
      <c r="A91" s="5" t="n">
        <v>2194</v>
      </c>
      <c r="B91" s="5" t="inlineStr">
        <is>
          <t>Nadorcott Semana 4 NORMAL</t>
        </is>
      </c>
      <c r="C91" s="5" t="inlineStr">
        <is>
          <t>WARNING</t>
        </is>
      </c>
      <c r="D91" s="5" t="inlineStr">
        <is>
          <t>Warning</t>
        </is>
      </c>
      <c r="E91" s="5" t="inlineStr">
        <is>
          <t>No existe tarifa BonCalidad para socio=1443 campaña=2026 empresa=1 cultivo=MANDARINA.</t>
        </is>
      </c>
      <c r="F91" s="6" t="n">
        <v>46231.74638985652</v>
      </c>
      <c r="G91" s="5" t="inlineStr">
        <is>
          <t>WARNING</t>
        </is>
      </c>
    </row>
    <row r="92">
      <c r="A92" s="5" t="n">
        <v>2194</v>
      </c>
      <c r="B92" s="5" t="inlineStr">
        <is>
          <t>Nadorcott Semana 4 NORMAL</t>
        </is>
      </c>
      <c r="C92" s="5" t="inlineStr">
        <is>
          <t>WARNING</t>
        </is>
      </c>
      <c r="D92" s="5" t="inlineStr">
        <is>
          <t>Warning</t>
        </is>
      </c>
      <c r="E92" s="5" t="inlineStr">
        <is>
          <t>No existe tarifa BonCalidad para socio=1574 campaña=2026 empresa=1 cultivo=MANDARINA.</t>
        </is>
      </c>
      <c r="F92" s="6" t="n">
        <v>46231.74638985652</v>
      </c>
      <c r="G92" s="5" t="inlineStr">
        <is>
          <t>WARNING</t>
        </is>
      </c>
    </row>
    <row r="93">
      <c r="A93" s="5" t="n">
        <v>2195</v>
      </c>
      <c r="B93" s="5" t="inlineStr">
        <is>
          <t>Nadorcott Semana 8 NORMAL</t>
        </is>
      </c>
      <c r="C93" s="5" t="inlineStr">
        <is>
          <t>WARNING</t>
        </is>
      </c>
      <c r="D93" s="5" t="inlineStr">
        <is>
          <t>Warning</t>
        </is>
      </c>
      <c r="E93" s="5" t="inlineStr">
        <is>
          <t>No existe tarifa BonCalidad para socio=1478 campaña=2026 empresa=1 cultivo=MANDARINA.</t>
        </is>
      </c>
      <c r="F93" s="6" t="n">
        <v>46231.74638985652</v>
      </c>
      <c r="G93" s="5" t="inlineStr">
        <is>
          <t>WARNING</t>
        </is>
      </c>
    </row>
    <row r="94">
      <c r="A94" s="5" t="n">
        <v>2195</v>
      </c>
      <c r="B94" s="5" t="inlineStr">
        <is>
          <t>Nadorcott Semana 8 NORMAL</t>
        </is>
      </c>
      <c r="C94" s="5" t="inlineStr">
        <is>
          <t>WARNING</t>
        </is>
      </c>
      <c r="D94" s="5" t="inlineStr">
        <is>
          <t>Warning</t>
        </is>
      </c>
      <c r="E94" s="5" t="inlineStr">
        <is>
          <t>No existe fuente acumulada disponible; saldo informativo calculado con cuota ya aplicada = 0.</t>
        </is>
      </c>
      <c r="F94" s="6" t="n">
        <v>46231.74638985652</v>
      </c>
      <c r="G94" s="5" t="inlineStr">
        <is>
          <t>WARNING</t>
        </is>
      </c>
    </row>
    <row r="95">
      <c r="A95" s="5" t="n">
        <v>2196</v>
      </c>
      <c r="B95" s="5" t="inlineStr">
        <is>
          <t>Nadorcott Semana 52 NORMAL</t>
        </is>
      </c>
      <c r="C95" s="5" t="inlineStr">
        <is>
          <t>WARNING</t>
        </is>
      </c>
      <c r="D95" s="5" t="inlineStr">
        <is>
          <t>Warning</t>
        </is>
      </c>
      <c r="E95" s="5" t="inlineStr">
        <is>
          <t>No existe tarifa BonCalidad para socio=1252 campaña=2026 empresa=1 cultivo=MANDARINA.</t>
        </is>
      </c>
      <c r="F95" s="6" t="n">
        <v>46231.74638985652</v>
      </c>
      <c r="G95" s="5" t="inlineStr">
        <is>
          <t>WARNING</t>
        </is>
      </c>
    </row>
    <row r="96">
      <c r="A96" s="5" t="n">
        <v>2196</v>
      </c>
      <c r="B96" s="5" t="inlineStr">
        <is>
          <t>Nadorcott Semana 52 NORMAL</t>
        </is>
      </c>
      <c r="C96" s="5" t="inlineStr">
        <is>
          <t>WARNING</t>
        </is>
      </c>
      <c r="D96" s="5" t="inlineStr">
        <is>
          <t>Warning</t>
        </is>
      </c>
      <c r="E96" s="5" t="inlineStr">
        <is>
          <t>No existe fuente acumulada disponible; saldo informativo calculado con cuota ya aplicada = 0.</t>
        </is>
      </c>
      <c r="F96" s="6" t="n">
        <v>46231.74638985652</v>
      </c>
      <c r="G96" s="5" t="inlineStr">
        <is>
          <t>WARNING</t>
        </is>
      </c>
    </row>
    <row r="97">
      <c r="A97" s="5" t="n">
        <v>2196</v>
      </c>
      <c r="B97" s="5" t="inlineStr">
        <is>
          <t>Nadorcott Semana 52 NORMAL</t>
        </is>
      </c>
      <c r="C97" s="5" t="inlineStr">
        <is>
          <t>WARNING</t>
        </is>
      </c>
      <c r="D97" s="5" t="inlineStr">
        <is>
          <t>Warning</t>
        </is>
      </c>
      <c r="E97" s="5" t="inlineStr">
        <is>
          <t>No existe tarifa BonCalidad para socio=1443 campaña=2026 empresa=1 cultivo=MANDARINA.</t>
        </is>
      </c>
      <c r="F97" s="6" t="n">
        <v>46231.74638985652</v>
      </c>
      <c r="G97" s="5" t="inlineStr">
        <is>
          <t>WARNING</t>
        </is>
      </c>
    </row>
    <row r="98">
      <c r="A98" s="5" t="n">
        <v>2196</v>
      </c>
      <c r="B98" s="5" t="inlineStr">
        <is>
          <t>Nadorcott Semana 52 NORMAL</t>
        </is>
      </c>
      <c r="C98" s="5" t="inlineStr">
        <is>
          <t>WARNING</t>
        </is>
      </c>
      <c r="D98" s="5" t="inlineStr">
        <is>
          <t>Warning</t>
        </is>
      </c>
      <c r="E98" s="5" t="inlineStr">
        <is>
          <t>No existe tarifa BonCalidad para socio=1550 campaña=2026 empresa=1 cultivo=MANDARINA.</t>
        </is>
      </c>
      <c r="F98" s="6" t="n">
        <v>46231.74638985652</v>
      </c>
      <c r="G98" s="5" t="inlineStr">
        <is>
          <t>WARNING</t>
        </is>
      </c>
    </row>
    <row r="99">
      <c r="A99" s="5" t="n">
        <v>2196</v>
      </c>
      <c r="B99" s="5" t="inlineStr">
        <is>
          <t>Nadorcott Semana 52 NORMAL</t>
        </is>
      </c>
      <c r="C99" s="5" t="inlineStr">
        <is>
          <t>WARNING</t>
        </is>
      </c>
      <c r="D99" s="5" t="inlineStr">
        <is>
          <t>Warning</t>
        </is>
      </c>
      <c r="E99" s="5" t="inlineStr">
        <is>
          <t>El socio 1550 figura certificado GlobalGAP en CITRICOS, MANDARINA pero no en CITRICOS, MANDARINA. Se ha aplicado la certificación global del socio. Revise DEEPP.</t>
        </is>
      </c>
      <c r="F99" s="6" t="n">
        <v>46231.74638985652</v>
      </c>
      <c r="G99" s="5" t="inlineStr">
        <is>
          <t>WARNING</t>
        </is>
      </c>
    </row>
  </sheetData>
  <autoFilter ref="A1:G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Fecha y hora de inicio</t>
        </is>
      </c>
      <c r="B1" s="2" t="n">
        <v>46231.74627616967</v>
      </c>
    </row>
    <row r="2">
      <c r="A2" s="5" t="inlineStr">
        <is>
          <t>Fecha y hora de fin</t>
        </is>
      </c>
      <c r="B2" s="6" t="n">
        <v>46231.74638985652</v>
      </c>
    </row>
    <row r="3">
      <c r="A3" s="5" t="inlineStr">
        <is>
          <t>Campaña</t>
        </is>
      </c>
      <c r="B3" s="5" t="inlineStr">
        <is>
          <t>2026</t>
        </is>
      </c>
    </row>
    <row r="4">
      <c r="A4" s="5" t="inlineStr">
        <is>
          <t>Empresa</t>
        </is>
      </c>
      <c r="B4" s="5" t="inlineStr">
        <is>
          <t>1</t>
        </is>
      </c>
    </row>
    <row r="5">
      <c r="A5" s="5" t="inlineStr">
        <is>
          <t>Cultivo</t>
        </is>
      </c>
      <c r="B5" s="5" t="inlineStr">
        <is>
          <t>MANDARINA</t>
        </is>
      </c>
    </row>
    <row r="6">
      <c r="A6" s="5" t="inlineStr">
        <is>
          <t>Usuario</t>
        </is>
      </c>
      <c r="B6" s="5" t="inlineStr"/>
    </row>
    <row r="7">
      <c r="A7" s="5" t="inlineStr">
        <is>
          <t>Número de remesas seleccionadas</t>
        </is>
      </c>
      <c r="B7" s="7" t="n">
        <v>22</v>
      </c>
    </row>
    <row r="8">
      <c r="A8" s="5" t="inlineStr">
        <is>
          <t>Número correctas</t>
        </is>
      </c>
      <c r="B8" s="7" t="n">
        <v>22</v>
      </c>
    </row>
    <row r="9">
      <c r="A9" s="5" t="inlineStr">
        <is>
          <t>Número con error</t>
        </is>
      </c>
      <c r="B9" s="7" t="n">
        <v>0</v>
      </c>
    </row>
    <row r="10">
      <c r="A10" s="5" t="inlineStr">
        <is>
          <t>IDs seleccionados</t>
        </is>
      </c>
      <c r="B10" s="5" t="inlineStr">
        <is>
          <t>2148, 2149, 2150, 2151, 2152, 2153, 2154, 2155, 2156, 2157, 2158, 2159, 2187, 2188, 2189, 2190, 2191, 2192, 2193, 2194, 2195, 2196</t>
        </is>
      </c>
    </row>
    <row r="11">
      <c r="A11" s="5" t="inlineStr">
        <is>
          <t>Nombres de las remesas</t>
        </is>
      </c>
      <c r="B11" s="5" t="inlineStr">
        <is>
          <t>Nadorcott Semana 5 NORMAL, Nadorcott Semana 7 NORMAL, Tango Semana 1 CON HOJAS, Tango Semana 1 NORMAL, Tango Semana 2 NORMAL, Tango Semana 3 NORMAL, Tango Semana 4 CON HOJAS, Tango Semana 9 NORMAL, Tango Semana 5 NORMAL, Tango Semana 4 NORMAL, Tango Semana 7 NORMAL, Tango Semana 8 NORMAL, Tango Semana 52 NORMAL, Tango Semana 6 NORMAL, Nadorcott Semana 2 NORMAL, Nadorcott Semana 1 NORMAL, Nadorcott Semana 3 CON HOJAS, Nadorcott Semana 3 NORMAL, Nadorcott Semana 6 NORMAL, Nadorcott Semana 4 NORMAL, Nadorcott Semana 8 NORMAL, Nadorcott Semana 52 NORMAL</t>
        </is>
      </c>
    </row>
    <row r="12">
      <c r="A12" s="5" t="inlineStr">
        <is>
          <t>Tarifa Cuota Ha</t>
        </is>
      </c>
      <c r="B12" s="8" t="n">
        <v>195</v>
      </c>
    </row>
    <row r="13">
      <c r="A13" s="5" t="inlineStr">
        <is>
          <t>Cultivos sujetos a Cuota Ha</t>
        </is>
      </c>
      <c r="B13" s="5" t="inlineStr">
        <is>
          <t>DIRECTOCHF, DIRECTO, MANDARINA, INDUSTRIA, CITRICOS</t>
        </is>
      </c>
    </row>
    <row r="14">
      <c r="A14" s="5" t="inlineStr">
        <is>
          <t>Versión de la aplicación</t>
        </is>
      </c>
      <c r="B14" s="5" t="inlineStr">
        <is>
          <t>Remesas</t>
        </is>
      </c>
    </row>
    <row r="15">
      <c r="A15" s="5" t="inlineStr">
        <is>
          <t>Ruta base de salida</t>
        </is>
      </c>
      <c r="B15" s="5" t="inlineStr">
        <is>
          <t>C:\Liquidaciones\salidas\remesas\2026\MANDARINA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2026-07-28T15:54:48Z</dcterms:created>
  <dcterms:modified xmlns:dcterms="http://purl.org/dc/terms/" xmlns:xsi="http://www.w3.org/2001/XMLSchema-instance" xsi:type="dcterms:W3CDTF">2026-07-28T15:54:48Z</dcterms:modified>
</cp:coreProperties>
</file>