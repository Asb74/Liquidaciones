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1214</v>
      </c>
      <c r="B2" s="3" t="inlineStr">
        <is>
          <t>CALZADA GAMIZ,JOSE ANTONIO</t>
        </is>
      </c>
      <c r="C2" s="3" t="inlineStr">
        <is>
          <t>TANGO</t>
        </is>
      </c>
      <c r="D2" s="2" t="n">
        <v>18104</v>
      </c>
      <c r="E2" s="4" t="n">
        <v>14207.77</v>
      </c>
      <c r="F2" s="5" t="n">
        <v>0.7847862350861688</v>
      </c>
      <c r="G2" s="4" t="n">
        <v>2263</v>
      </c>
      <c r="H2" s="4" t="n">
        <v>164.37</v>
      </c>
      <c r="I2" s="4" t="n">
        <v>0</v>
      </c>
      <c r="J2" s="4" t="n">
        <v>0</v>
      </c>
      <c r="K2" s="4" t="n">
        <v>309.7</v>
      </c>
      <c r="L2" s="4" t="n">
        <v>12090.1</v>
      </c>
      <c r="M2" s="5" t="n">
        <v>0.73299</v>
      </c>
      <c r="N2" s="6" t="n">
        <v>12</v>
      </c>
      <c r="O2" s="6" t="n">
        <v>2</v>
      </c>
      <c r="P2" s="4" t="n">
        <v>13270.09</v>
      </c>
      <c r="Q2" s="3" t="inlineStr">
        <is>
          <t>Tango Semana 3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1324</v>
      </c>
      <c r="B3" s="3" t="inlineStr">
        <is>
          <t>CANO MANZANARES,LUIS</t>
        </is>
      </c>
      <c r="C3" s="3" t="inlineStr">
        <is>
          <t>TANGO</t>
        </is>
      </c>
      <c r="D3" s="2" t="n">
        <v>99440</v>
      </c>
      <c r="E3" s="4" t="n">
        <v>80750.06</v>
      </c>
      <c r="F3" s="5" t="n">
        <v>0.8120480691874498</v>
      </c>
      <c r="G3" s="4" t="n">
        <v>12430.01</v>
      </c>
      <c r="H3" s="4" t="n">
        <v>344.75</v>
      </c>
      <c r="I3" s="4" t="n">
        <v>0</v>
      </c>
      <c r="J3" s="4" t="n">
        <v>0</v>
      </c>
      <c r="K3" s="4" t="n">
        <v>1705.2</v>
      </c>
      <c r="L3" s="4" t="n">
        <v>69680.5</v>
      </c>
      <c r="M3" s="5" t="n">
        <v>0.76912</v>
      </c>
      <c r="N3" s="6" t="n">
        <v>12</v>
      </c>
      <c r="O3" s="6" t="n">
        <v>2</v>
      </c>
      <c r="P3" s="4" t="n">
        <v>76481.32000000001</v>
      </c>
      <c r="Q3" s="3" t="inlineStr">
        <is>
          <t>Tango Semana 3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1415</v>
      </c>
      <c r="B4" s="3" t="inlineStr">
        <is>
          <t>TOMENO SUAREZ,FERNANDO</t>
        </is>
      </c>
      <c r="C4" s="3" t="inlineStr">
        <is>
          <t>TANGO</t>
        </is>
      </c>
      <c r="D4" s="2" t="n">
        <v>24726</v>
      </c>
      <c r="E4" s="4" t="n">
        <v>20038.48</v>
      </c>
      <c r="F4" s="5" t="n">
        <v>0.8104214187494945</v>
      </c>
      <c r="G4" s="4" t="n">
        <v>0</v>
      </c>
      <c r="H4" s="4" t="n">
        <v>87.13</v>
      </c>
      <c r="I4" s="4" t="n">
        <v>0</v>
      </c>
      <c r="J4" s="4" t="n">
        <v>0</v>
      </c>
      <c r="K4" s="4" t="n">
        <v>426.05</v>
      </c>
      <c r="L4" s="4" t="n">
        <v>20377.4</v>
      </c>
      <c r="M4" s="5" t="n">
        <v>0.90456</v>
      </c>
      <c r="N4" s="6" t="n">
        <v>12</v>
      </c>
      <c r="O4" s="6" t="n">
        <v>2</v>
      </c>
      <c r="P4" s="4" t="n">
        <v>22366.23</v>
      </c>
      <c r="Q4" s="3" t="inlineStr">
        <is>
          <t>Tango Semana 3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1443</v>
      </c>
      <c r="B5" s="3" t="inlineStr">
        <is>
          <t>TOMENO SUAREZ,ALBERTO</t>
        </is>
      </c>
      <c r="C5" s="3" t="inlineStr">
        <is>
          <t>TANGO</t>
        </is>
      </c>
      <c r="D5" s="2" t="n">
        <v>58340</v>
      </c>
      <c r="E5" s="4" t="n">
        <v>46782.33</v>
      </c>
      <c r="F5" s="5" t="n">
        <v>0.8018911552965375</v>
      </c>
      <c r="G5" s="4" t="n">
        <v>0</v>
      </c>
      <c r="H5" s="4" t="n">
        <v>360.75</v>
      </c>
      <c r="I5" s="4" t="n">
        <v>0</v>
      </c>
      <c r="J5" s="4" t="n">
        <v>0</v>
      </c>
      <c r="K5" s="4" t="n">
        <v>999.9299999999999</v>
      </c>
      <c r="L5" s="4" t="n">
        <v>47421.51</v>
      </c>
      <c r="M5" s="5" t="n">
        <v>0.89218</v>
      </c>
      <c r="N5" s="6" t="n">
        <v>12</v>
      </c>
      <c r="O5" s="6" t="n">
        <v>2</v>
      </c>
      <c r="P5" s="4" t="n">
        <v>52049.85</v>
      </c>
      <c r="Q5" s="3" t="inlineStr">
        <is>
          <t>Tango Semana 3 NORMAL</t>
        </is>
      </c>
      <c r="R5" s="3" t="inlineStr">
        <is>
          <t>MANDARINA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1478</v>
      </c>
      <c r="B6" s="3" t="inlineStr">
        <is>
          <t>AGROSERVICIOS LA CATRIA S.L.</t>
        </is>
      </c>
      <c r="C6" s="3" t="inlineStr">
        <is>
          <t>TANGO</t>
        </is>
      </c>
      <c r="D6" s="2" t="n">
        <v>19050</v>
      </c>
      <c r="E6" s="4" t="n">
        <v>14248.28</v>
      </c>
      <c r="F6" s="5" t="n">
        <v>0.7479412073490813</v>
      </c>
      <c r="G6" s="4" t="n">
        <v>2381.25</v>
      </c>
      <c r="H6" s="4" t="n">
        <v>467.28</v>
      </c>
      <c r="I6" s="4" t="n">
        <v>0</v>
      </c>
      <c r="J6" s="4" t="n">
        <v>0</v>
      </c>
      <c r="K6" s="4" t="n">
        <v>303.3</v>
      </c>
      <c r="L6" s="4" t="n">
        <v>11703.05</v>
      </c>
      <c r="M6" s="5" t="n">
        <v>0.63891</v>
      </c>
      <c r="N6" s="6" t="n">
        <v>4</v>
      </c>
      <c r="O6" s="6" t="n">
        <v>0</v>
      </c>
      <c r="P6" s="4" t="n">
        <v>12171.17</v>
      </c>
      <c r="Q6" s="3" t="inlineStr">
        <is>
          <t>Tango Semana 3 NORMAL</t>
        </is>
      </c>
      <c r="R6" s="3" t="inlineStr">
        <is>
          <t>MANDARINA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1523</v>
      </c>
      <c r="B7" s="3" t="inlineStr">
        <is>
          <t>RODRIGUEZ MEJÍAS, JOSE ANTONIO</t>
        </is>
      </c>
      <c r="C7" s="3" t="inlineStr">
        <is>
          <t>TANGO</t>
        </is>
      </c>
      <c r="D7" s="2" t="n">
        <v>19718</v>
      </c>
      <c r="E7" s="4" t="n">
        <v>15852.83</v>
      </c>
      <c r="F7" s="5" t="n">
        <v>0.8039775839334619</v>
      </c>
      <c r="G7" s="4" t="n">
        <v>2464.75</v>
      </c>
      <c r="H7" s="4" t="n">
        <v>143.26</v>
      </c>
      <c r="I7" s="4" t="n">
        <v>0</v>
      </c>
      <c r="J7" s="4" t="n">
        <v>0</v>
      </c>
      <c r="K7" s="4" t="n">
        <v>337.7</v>
      </c>
      <c r="L7" s="4" t="n">
        <v>13582.52</v>
      </c>
      <c r="M7" s="5" t="n">
        <v>0.75607</v>
      </c>
      <c r="N7" s="6" t="n">
        <v>12</v>
      </c>
      <c r="O7" s="6" t="n">
        <v>2</v>
      </c>
      <c r="P7" s="4" t="n">
        <v>14908.17</v>
      </c>
      <c r="Q7" s="3" t="inlineStr">
        <is>
          <t>Tango Semana 3 NORMAL</t>
        </is>
      </c>
      <c r="R7" s="3" t="inlineStr">
        <is>
          <t>MANDARINA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1561</v>
      </c>
      <c r="B8" s="3" t="inlineStr">
        <is>
          <t>SUAREZ SANCHEZ, Mª DEL PILAR</t>
        </is>
      </c>
      <c r="C8" s="3" t="inlineStr">
        <is>
          <t>TANGO</t>
        </is>
      </c>
      <c r="D8" s="2" t="n">
        <v>37224</v>
      </c>
      <c r="E8" s="4" t="n">
        <v>31235.58</v>
      </c>
      <c r="F8" s="5" t="n">
        <v>0.8391247582205029</v>
      </c>
      <c r="G8" s="4" t="n">
        <v>0</v>
      </c>
      <c r="H8" s="4" t="n">
        <v>302.66</v>
      </c>
      <c r="I8" s="4" t="n">
        <v>0</v>
      </c>
      <c r="J8" s="4" t="n">
        <v>0</v>
      </c>
      <c r="K8" s="4" t="n">
        <v>646.95</v>
      </c>
      <c r="L8" s="4" t="n">
        <v>31579.87</v>
      </c>
      <c r="M8" s="5" t="n">
        <v>0.93118</v>
      </c>
      <c r="N8" s="6" t="n">
        <v>12</v>
      </c>
      <c r="O8" s="6" t="n">
        <v>2</v>
      </c>
      <c r="P8" s="4" t="n">
        <v>34662.07</v>
      </c>
      <c r="Q8" s="3" t="inlineStr">
        <is>
          <t>Tango Semana 3 NORMAL</t>
        </is>
      </c>
      <c r="R8" s="3" t="inlineStr">
        <is>
          <t>MANDARINA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8" t="n"/>
      <c r="B9" s="9" t="inlineStr">
        <is>
          <t>TOTAL</t>
        </is>
      </c>
      <c r="C9" s="9" t="n"/>
      <c r="D9" s="8">
        <f>SUM(D2:D8)</f>
        <v/>
      </c>
      <c r="E9" s="10">
        <f>SUM(E2:E8)</f>
        <v/>
      </c>
      <c r="F9" s="11" t="n"/>
      <c r="G9" s="10">
        <f>SUM(G2:G8)</f>
        <v/>
      </c>
      <c r="H9" s="10">
        <f>SUM(H2:H8)</f>
        <v/>
      </c>
      <c r="I9" s="10">
        <f>SUM(I2:I8)</f>
        <v/>
      </c>
      <c r="J9" s="10">
        <f>SUM(J2:J8)</f>
        <v/>
      </c>
      <c r="K9" s="10">
        <f>SUM(K2:K8)</f>
        <v/>
      </c>
      <c r="L9" s="10">
        <f>SUM(L2:L8)</f>
        <v/>
      </c>
      <c r="M9" s="11">
        <f>IFERROR(P9/D9,0)</f>
        <v/>
      </c>
      <c r="N9" s="12" t="n"/>
      <c r="O9" s="12" t="n"/>
      <c r="P9" s="10">
        <f>SUM(P2:P8)</f>
        <v/>
      </c>
      <c r="Q9" s="9" t="n"/>
      <c r="R9" s="9" t="n"/>
      <c r="S9" s="13" t="n"/>
      <c r="T9" s="13" t="n"/>
      <c r="U9" s="13" t="n"/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10.97</v>
      </c>
      <c r="G2" t="n">
        <v>195</v>
      </c>
      <c r="H2" t="n">
        <v>2139.15</v>
      </c>
      <c r="I2" t="n">
        <v>235605</v>
      </c>
      <c r="J2" t="n">
        <v>0.009079391354173299</v>
      </c>
      <c r="K2" t="n">
        <v>164.37</v>
      </c>
      <c r="L2" t="n">
        <v>0</v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0</v>
      </c>
      <c r="E3" t="inlineStr">
        <is>
          <t>not_found</t>
        </is>
      </c>
      <c r="F3" t="n">
        <v>2.48</v>
      </c>
      <c r="G3" t="n">
        <v>195</v>
      </c>
      <c r="H3" t="n">
        <v>483.6</v>
      </c>
      <c r="I3" t="n">
        <v>139490</v>
      </c>
      <c r="J3" t="n">
        <v>0.003466915191053122</v>
      </c>
      <c r="K3" t="n">
        <v>344.75</v>
      </c>
      <c r="L3" t="n">
        <v>0</v>
      </c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n">
        <v>0</v>
      </c>
      <c r="E4" t="inlineStr">
        <is>
          <t>not_found</t>
        </is>
      </c>
      <c r="F4" t="n">
        <v>7.49</v>
      </c>
      <c r="G4" t="n">
        <v>195</v>
      </c>
      <c r="H4" t="n">
        <v>1460.55</v>
      </c>
      <c r="I4" t="n">
        <v>414468</v>
      </c>
      <c r="J4" t="n">
        <v>0.003523914994643736</v>
      </c>
      <c r="K4" t="n">
        <v>87.13</v>
      </c>
      <c r="L4" t="n">
        <v>0</v>
      </c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n">
        <v>0</v>
      </c>
      <c r="E5" t="inlineStr">
        <is>
          <t>not_found</t>
        </is>
      </c>
      <c r="F5" t="n">
        <v>17.08</v>
      </c>
      <c r="G5" t="n">
        <v>195</v>
      </c>
      <c r="H5" t="n">
        <v>3330.6</v>
      </c>
      <c r="I5" t="n">
        <v>538619</v>
      </c>
      <c r="J5" t="n">
        <v>0.006183591741100852</v>
      </c>
      <c r="K5" t="n">
        <v>360.75</v>
      </c>
      <c r="L5" t="n">
        <v>0</v>
      </c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n">
        <v>0</v>
      </c>
      <c r="E6" t="inlineStr">
        <is>
          <t>not_found</t>
        </is>
      </c>
      <c r="F6" t="n">
        <v>13.82</v>
      </c>
      <c r="G6" t="n">
        <v>195</v>
      </c>
      <c r="H6" t="n">
        <v>2694.9</v>
      </c>
      <c r="I6" t="n">
        <v>109865</v>
      </c>
      <c r="J6" t="n">
        <v>0.02452919492103946</v>
      </c>
      <c r="K6" t="n">
        <v>467.28</v>
      </c>
      <c r="L6" t="n">
        <v>0</v>
      </c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n">
        <v>0</v>
      </c>
      <c r="E7" t="inlineStr">
        <is>
          <t>not_found</t>
        </is>
      </c>
      <c r="F7" t="n">
        <v>21.63</v>
      </c>
      <c r="G7" t="n">
        <v>195</v>
      </c>
      <c r="H7" t="n">
        <v>4217.85</v>
      </c>
      <c r="I7" t="n">
        <v>580520</v>
      </c>
      <c r="J7" t="n">
        <v>0.007265641149314408</v>
      </c>
      <c r="K7" t="n">
        <v>143.26</v>
      </c>
      <c r="L7" t="n">
        <v>0</v>
      </c>
    </row>
    <row r="8">
      <c r="A8" t="n">
        <v>1561</v>
      </c>
      <c r="B8" t="inlineStr">
        <is>
          <t>SUAREZ SANCHEZ, Mª DEL PILAR</t>
        </is>
      </c>
      <c r="C8" t="inlineStr">
        <is>
          <t>TANGO</t>
        </is>
      </c>
      <c r="D8" t="n">
        <v>0</v>
      </c>
      <c r="E8" t="inlineStr">
        <is>
          <t>not_found</t>
        </is>
      </c>
      <c r="F8" t="n">
        <v>17.71</v>
      </c>
      <c r="G8" t="n">
        <v>195</v>
      </c>
      <c r="H8" t="n">
        <v>3453.45</v>
      </c>
      <c r="I8" t="n">
        <v>424745</v>
      </c>
      <c r="J8" t="n">
        <v>0.008130643091737395</v>
      </c>
      <c r="K8" t="n">
        <v>302.66</v>
      </c>
      <c r="L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613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20</t>
        </is>
      </c>
      <c r="P2" t="inlineStr">
        <is>
          <t>9</t>
        </is>
      </c>
      <c r="Q2" t="inlineStr">
        <is>
          <t>1</t>
        </is>
      </c>
      <c r="R2" t="n">
        <v>4.98</v>
      </c>
      <c r="S2" t="n">
        <v>0</v>
      </c>
      <c r="T2" t="n">
        <v>4.98</v>
      </c>
      <c r="V2" t="inlineStr">
        <is>
          <t>Sí</t>
        </is>
      </c>
      <c r="W2" t="inlineStr"/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621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19</t>
        </is>
      </c>
      <c r="P3" t="inlineStr">
        <is>
          <t>10</t>
        </is>
      </c>
      <c r="Q3" t="inlineStr">
        <is>
          <t>5</t>
        </is>
      </c>
      <c r="R3" t="n">
        <v>5.99</v>
      </c>
      <c r="S3" t="n">
        <v>0</v>
      </c>
      <c r="T3" t="n">
        <v>5.65</v>
      </c>
      <c r="V3" t="inlineStr">
        <is>
          <t>Sí</t>
        </is>
      </c>
      <c r="W3" t="inlineStr"/>
    </row>
    <row r="4">
      <c r="A4" t="n">
        <v>1324</v>
      </c>
      <c r="B4" t="inlineStr">
        <is>
          <t>CANO MANZANARES,LUIS</t>
        </is>
      </c>
      <c r="C4" t="n">
        <v>607</v>
      </c>
      <c r="D4" t="inlineStr">
        <is>
          <t>MANDARINA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607</v>
      </c>
      <c r="K4" t="n">
        <v>2026</v>
      </c>
      <c r="L4" t="inlineStr">
        <is>
          <t>1</t>
        </is>
      </c>
      <c r="M4" t="inlineStr">
        <is>
          <t>MANDARINA</t>
        </is>
      </c>
      <c r="N4" t="inlineStr">
        <is>
          <t>41055</t>
        </is>
      </c>
      <c r="O4" t="inlineStr">
        <is>
          <t>29</t>
        </is>
      </c>
      <c r="P4" t="inlineStr">
        <is>
          <t>143</t>
        </is>
      </c>
      <c r="Q4" t="inlineStr">
        <is>
          <t>2</t>
        </is>
      </c>
      <c r="R4" t="n">
        <v>1.21</v>
      </c>
      <c r="S4" t="n">
        <v>0</v>
      </c>
      <c r="T4" t="n">
        <v>1.21</v>
      </c>
      <c r="V4" t="inlineStr">
        <is>
          <t>Sí</t>
        </is>
      </c>
      <c r="W4" t="inlineStr"/>
    </row>
    <row r="5">
      <c r="A5" t="n">
        <v>1324</v>
      </c>
      <c r="B5" t="inlineStr">
        <is>
          <t>CANO MANZANARES,LUIS</t>
        </is>
      </c>
      <c r="C5" t="n">
        <v>607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607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29</t>
        </is>
      </c>
      <c r="P5" t="inlineStr">
        <is>
          <t>71</t>
        </is>
      </c>
      <c r="Q5" t="inlineStr">
        <is>
          <t>1</t>
        </is>
      </c>
      <c r="R5" t="n">
        <v>1.27</v>
      </c>
      <c r="S5" t="n">
        <v>0</v>
      </c>
      <c r="T5" t="n">
        <v>1.27</v>
      </c>
      <c r="V5" t="inlineStr">
        <is>
          <t>Sí</t>
        </is>
      </c>
      <c r="W5" t="inlineStr"/>
    </row>
    <row r="6">
      <c r="A6" t="n">
        <v>1415</v>
      </c>
      <c r="B6" t="inlineStr">
        <is>
          <t>TOMENO SUAREZ,FERNANDO</t>
        </is>
      </c>
      <c r="C6" t="n">
        <v>708</v>
      </c>
      <c r="D6" t="inlineStr">
        <is>
          <t>CITRICOS</t>
        </is>
      </c>
      <c r="E6" t="n">
        <v>2026</v>
      </c>
      <c r="F6" t="n">
        <v>1</v>
      </c>
      <c r="G6" t="n">
        <v>0</v>
      </c>
      <c r="H6" t="inlineStr">
        <is>
          <t>No</t>
        </is>
      </c>
      <c r="V6" t="inlineStr">
        <is>
          <t>No</t>
        </is>
      </c>
      <c r="W6" t="inlineStr">
        <is>
          <t>CHA_NO_SELECCIONADO; CHA_NO_ACTIVO</t>
        </is>
      </c>
    </row>
    <row r="7">
      <c r="A7" t="n">
        <v>1415</v>
      </c>
      <c r="B7" t="inlineStr">
        <is>
          <t>TOMENO SUAREZ,FERNANDO</t>
        </is>
      </c>
      <c r="C7" t="n">
        <v>168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168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23</t>
        </is>
      </c>
      <c r="P7" t="inlineStr">
        <is>
          <t>60</t>
        </is>
      </c>
      <c r="Q7" t="inlineStr">
        <is>
          <t>5</t>
        </is>
      </c>
      <c r="R7" t="n">
        <v>3.31</v>
      </c>
      <c r="S7" t="n">
        <v>3.9847</v>
      </c>
      <c r="T7" t="n">
        <v>3.31</v>
      </c>
      <c r="V7" t="inlineStr">
        <is>
          <t>Sí</t>
        </is>
      </c>
      <c r="W7" t="inlineStr"/>
    </row>
    <row r="8">
      <c r="A8" t="n">
        <v>1415</v>
      </c>
      <c r="B8" t="inlineStr">
        <is>
          <t>TOMENO SUAREZ,FERNANDO</t>
        </is>
      </c>
      <c r="C8" t="n">
        <v>358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358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21</t>
        </is>
      </c>
      <c r="P8" t="inlineStr">
        <is>
          <t>110</t>
        </is>
      </c>
      <c r="Q8" t="inlineStr">
        <is>
          <t>3</t>
        </is>
      </c>
      <c r="R8" t="n">
        <v>0.07000000000000001</v>
      </c>
      <c r="S8" t="n">
        <v>0</v>
      </c>
      <c r="T8" t="n">
        <v>0.07000000000000001</v>
      </c>
      <c r="V8" t="inlineStr">
        <is>
          <t>Sí</t>
        </is>
      </c>
      <c r="W8" t="inlineStr"/>
    </row>
    <row r="9">
      <c r="A9" t="n">
        <v>1415</v>
      </c>
      <c r="B9" t="inlineStr">
        <is>
          <t>TOMENO SUAREZ,FERNANDO</t>
        </is>
      </c>
      <c r="C9" t="n">
        <v>358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358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21</t>
        </is>
      </c>
      <c r="P9" t="inlineStr">
        <is>
          <t>111</t>
        </is>
      </c>
      <c r="Q9" t="inlineStr">
        <is>
          <t>2</t>
        </is>
      </c>
      <c r="R9" t="n">
        <v>1.98</v>
      </c>
      <c r="S9" t="n">
        <v>0</v>
      </c>
      <c r="T9" t="n">
        <v>1.98</v>
      </c>
      <c r="V9" t="inlineStr">
        <is>
          <t>Sí</t>
        </is>
      </c>
      <c r="W9" t="inlineStr"/>
    </row>
    <row r="10">
      <c r="A10" t="n">
        <v>1415</v>
      </c>
      <c r="B10" t="inlineStr">
        <is>
          <t>TOMENO SUAREZ,FERNANDO</t>
        </is>
      </c>
      <c r="C10" t="n">
        <v>672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672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21</t>
        </is>
      </c>
      <c r="P10" t="inlineStr">
        <is>
          <t>9</t>
        </is>
      </c>
      <c r="Q10" t="inlineStr">
        <is>
          <t>1</t>
        </is>
      </c>
      <c r="R10" t="n">
        <v>2.73</v>
      </c>
      <c r="S10" t="n">
        <v>0</v>
      </c>
      <c r="T10" t="n">
        <v>2.73</v>
      </c>
      <c r="V10" t="inlineStr">
        <is>
          <t>No</t>
        </is>
      </c>
      <c r="W10" t="inlineStr">
        <is>
          <t>ANO_NO_VALIDO</t>
        </is>
      </c>
    </row>
    <row r="11">
      <c r="A11" t="n">
        <v>1415</v>
      </c>
      <c r="B11" t="inlineStr">
        <is>
          <t>TOMENO SUAREZ,FERNANDO</t>
        </is>
      </c>
      <c r="C11" t="n">
        <v>615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615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21</t>
        </is>
      </c>
      <c r="P11" t="inlineStr">
        <is>
          <t>110</t>
        </is>
      </c>
      <c r="Q11" t="inlineStr">
        <is>
          <t>3</t>
        </is>
      </c>
      <c r="R11" t="n">
        <v>2.13</v>
      </c>
      <c r="S11" t="n">
        <v>0</v>
      </c>
      <c r="T11" t="n">
        <v>2.13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42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42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21</t>
        </is>
      </c>
      <c r="P12" t="inlineStr">
        <is>
          <t>13</t>
        </is>
      </c>
      <c r="Q12" t="inlineStr">
        <is>
          <t>10</t>
        </is>
      </c>
      <c r="R12" t="n">
        <v>1.35</v>
      </c>
      <c r="S12" t="n">
        <v>2.28223</v>
      </c>
      <c r="T12" t="n">
        <v>1.35</v>
      </c>
      <c r="V12" t="inlineStr">
        <is>
          <t>Sí</t>
        </is>
      </c>
      <c r="W12" t="inlineStr"/>
    </row>
    <row r="13">
      <c r="A13" t="n">
        <v>1443</v>
      </c>
      <c r="B13" t="inlineStr">
        <is>
          <t>TOMENO SUAREZ,ALBERTO</t>
        </is>
      </c>
      <c r="C13" t="n">
        <v>42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42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21</t>
        </is>
      </c>
      <c r="P13" t="inlineStr">
        <is>
          <t>13</t>
        </is>
      </c>
      <c r="Q13" t="inlineStr">
        <is>
          <t>3</t>
        </is>
      </c>
      <c r="R13" t="n">
        <v>1.28</v>
      </c>
      <c r="S13" t="n">
        <v>0</v>
      </c>
      <c r="T13" t="n">
        <v>1.28</v>
      </c>
      <c r="V13" t="inlineStr">
        <is>
          <t>Sí</t>
        </is>
      </c>
      <c r="W13" t="inlineStr"/>
    </row>
    <row r="14">
      <c r="A14" t="n">
        <v>1443</v>
      </c>
      <c r="B14" t="inlineStr">
        <is>
          <t>TOMENO SUAREZ,ALBERTO</t>
        </is>
      </c>
      <c r="C14" t="n">
        <v>46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46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21</t>
        </is>
      </c>
      <c r="P14" t="inlineStr">
        <is>
          <t>13</t>
        </is>
      </c>
      <c r="Q14" t="inlineStr">
        <is>
          <t>1</t>
        </is>
      </c>
      <c r="R14" t="n">
        <v>1.45</v>
      </c>
      <c r="S14" t="n">
        <v>1.449891</v>
      </c>
      <c r="T14" t="n">
        <v>1.45</v>
      </c>
      <c r="V14" t="inlineStr">
        <is>
          <t>Sí</t>
        </is>
      </c>
      <c r="W14" t="inlineStr"/>
    </row>
    <row r="15">
      <c r="A15" t="n">
        <v>1443</v>
      </c>
      <c r="B15" t="inlineStr">
        <is>
          <t>TOMENO SUAREZ,ALBERTO</t>
        </is>
      </c>
      <c r="C15" t="n">
        <v>671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671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21</t>
        </is>
      </c>
      <c r="P15" t="inlineStr">
        <is>
          <t>15</t>
        </is>
      </c>
      <c r="Q15" t="inlineStr">
        <is>
          <t>1</t>
        </is>
      </c>
      <c r="R15" t="n">
        <v>2.6</v>
      </c>
      <c r="S15" t="n">
        <v>0</v>
      </c>
      <c r="T15" t="n">
        <v>2.6</v>
      </c>
      <c r="V15" t="inlineStr">
        <is>
          <t>No</t>
        </is>
      </c>
      <c r="W15" t="inlineStr">
        <is>
          <t>PLANTACION_MENOR_CINCO_ANOS</t>
        </is>
      </c>
    </row>
    <row r="16">
      <c r="A16" t="n">
        <v>1443</v>
      </c>
      <c r="B16" t="inlineStr">
        <is>
          <t>TOMENO SUAREZ,ALBERTO</t>
        </is>
      </c>
      <c r="C16" t="n">
        <v>671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671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21</t>
        </is>
      </c>
      <c r="P16" t="inlineStr">
        <is>
          <t>13</t>
        </is>
      </c>
      <c r="Q16" t="inlineStr">
        <is>
          <t>10</t>
        </is>
      </c>
      <c r="R16" t="n">
        <v>0.93</v>
      </c>
      <c r="S16" t="n">
        <v>0</v>
      </c>
      <c r="T16" t="n">
        <v>0.93</v>
      </c>
      <c r="V16" t="inlineStr">
        <is>
          <t>No</t>
        </is>
      </c>
      <c r="W16" t="inlineStr">
        <is>
          <t>PLANTACION_MENOR_CINCO_ANOS</t>
        </is>
      </c>
    </row>
    <row r="17">
      <c r="A17" t="n">
        <v>1443</v>
      </c>
      <c r="B17" t="inlineStr">
        <is>
          <t>TOMENO SUAREZ,ALBERTO</t>
        </is>
      </c>
      <c r="C17" t="n">
        <v>671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671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21</t>
        </is>
      </c>
      <c r="P17" t="inlineStr">
        <is>
          <t>13</t>
        </is>
      </c>
      <c r="Q17" t="inlineStr">
        <is>
          <t>3</t>
        </is>
      </c>
      <c r="R17" t="n">
        <v>0.88</v>
      </c>
      <c r="S17" t="n">
        <v>0</v>
      </c>
      <c r="T17" t="n">
        <v>0.88</v>
      </c>
      <c r="V17" t="inlineStr">
        <is>
          <t>No</t>
        </is>
      </c>
      <c r="W17" t="inlineStr">
        <is>
          <t>PLANTACION_MENOR_CINCO_ANOS</t>
        </is>
      </c>
    </row>
    <row r="18">
      <c r="A18" t="n">
        <v>1443</v>
      </c>
      <c r="B18" t="inlineStr">
        <is>
          <t>TOMENO SUAREZ,ALBERTO</t>
        </is>
      </c>
      <c r="C18" t="n">
        <v>611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611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15</t>
        </is>
      </c>
      <c r="P18" t="inlineStr">
        <is>
          <t>123</t>
        </is>
      </c>
      <c r="Q18" t="inlineStr">
        <is>
          <t>1</t>
        </is>
      </c>
      <c r="R18" t="n">
        <v>4.4</v>
      </c>
      <c r="S18" t="n">
        <v>0</v>
      </c>
      <c r="T18" t="n">
        <v>4.4</v>
      </c>
      <c r="V18" t="inlineStr">
        <is>
          <t>Sí</t>
        </is>
      </c>
      <c r="W18" t="inlineStr"/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612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19</t>
        </is>
      </c>
      <c r="P19" t="inlineStr">
        <is>
          <t>5</t>
        </is>
      </c>
      <c r="Q19" t="inlineStr">
        <is>
          <t>5</t>
        </is>
      </c>
      <c r="R19" t="n">
        <v>0.03</v>
      </c>
      <c r="S19" t="n">
        <v>0</v>
      </c>
      <c r="T19" t="n">
        <v>0.03</v>
      </c>
      <c r="V19" t="inlineStr">
        <is>
          <t>Sí</t>
        </is>
      </c>
      <c r="W19" t="inlineStr"/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612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19</t>
        </is>
      </c>
      <c r="P20" t="inlineStr">
        <is>
          <t>7</t>
        </is>
      </c>
      <c r="Q20" t="inlineStr">
        <is>
          <t>4</t>
        </is>
      </c>
      <c r="R20" t="n">
        <v>0.08</v>
      </c>
      <c r="S20" t="n">
        <v>0</v>
      </c>
      <c r="T20" t="n">
        <v>0.08</v>
      </c>
      <c r="V20" t="inlineStr">
        <is>
          <t>Sí</t>
        </is>
      </c>
      <c r="W20" t="inlineStr"/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612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19</t>
        </is>
      </c>
      <c r="P21" t="inlineStr">
        <is>
          <t>6</t>
        </is>
      </c>
      <c r="Q21" t="inlineStr">
        <is>
          <t>1</t>
        </is>
      </c>
      <c r="R21" t="n">
        <v>1.92</v>
      </c>
      <c r="S21" t="n">
        <v>0</v>
      </c>
      <c r="T21" t="n">
        <v>1.92</v>
      </c>
      <c r="V21" t="inlineStr">
        <is>
          <t>Sí</t>
        </is>
      </c>
      <c r="W21" t="inlineStr"/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612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19</t>
        </is>
      </c>
      <c r="P22" t="inlineStr">
        <is>
          <t>6</t>
        </is>
      </c>
      <c r="Q22" t="inlineStr">
        <is>
          <t>3</t>
        </is>
      </c>
      <c r="R22" t="n">
        <v>1.58</v>
      </c>
      <c r="S22" t="n">
        <v>0</v>
      </c>
      <c r="T22" t="n">
        <v>1.58</v>
      </c>
      <c r="V22" t="inlineStr">
        <is>
          <t>Sí</t>
        </is>
      </c>
      <c r="W22" t="inlineStr"/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612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19</t>
        </is>
      </c>
      <c r="P23" t="inlineStr">
        <is>
          <t>7</t>
        </is>
      </c>
      <c r="Q23" t="inlineStr">
        <is>
          <t>1</t>
        </is>
      </c>
      <c r="R23" t="n">
        <v>3.91</v>
      </c>
      <c r="S23" t="n">
        <v>0</v>
      </c>
      <c r="T23" t="n">
        <v>3.91</v>
      </c>
      <c r="V23" t="inlineStr">
        <is>
          <t>Sí</t>
        </is>
      </c>
      <c r="W23" t="inlineStr"/>
    </row>
    <row r="24">
      <c r="A24" t="n">
        <v>1443</v>
      </c>
      <c r="B24" t="inlineStr">
        <is>
          <t>TOMENO SUAREZ,ALBERTO</t>
        </is>
      </c>
      <c r="C24" t="n">
        <v>612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612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19</t>
        </is>
      </c>
      <c r="P24" t="inlineStr">
        <is>
          <t>7</t>
        </is>
      </c>
      <c r="Q24" t="inlineStr">
        <is>
          <t>2</t>
        </is>
      </c>
      <c r="R24" t="n">
        <v>0.5600000000000001</v>
      </c>
      <c r="S24" t="n">
        <v>0</v>
      </c>
      <c r="T24" t="n">
        <v>0.5600000000000001</v>
      </c>
      <c r="V24" t="inlineStr">
        <is>
          <t>Sí</t>
        </is>
      </c>
      <c r="W24" t="inlineStr"/>
    </row>
    <row r="25">
      <c r="A25" t="n">
        <v>1443</v>
      </c>
      <c r="B25" t="inlineStr">
        <is>
          <t>TOMENO SUAREZ,ALBERTO</t>
        </is>
      </c>
      <c r="C25" t="n">
        <v>612</v>
      </c>
      <c r="D25" t="inlineStr">
        <is>
          <t>MANDARINA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612</v>
      </c>
      <c r="K25" t="n">
        <v>2026</v>
      </c>
      <c r="L25" t="inlineStr">
        <is>
          <t>1</t>
        </is>
      </c>
      <c r="M25" t="inlineStr">
        <is>
          <t>MANDARINA</t>
        </is>
      </c>
      <c r="N25" t="inlineStr">
        <is>
          <t>41055</t>
        </is>
      </c>
      <c r="O25" t="inlineStr">
        <is>
          <t>19</t>
        </is>
      </c>
      <c r="P25" t="inlineStr">
        <is>
          <t>24</t>
        </is>
      </c>
      <c r="Q25" t="inlineStr">
        <is>
          <t>2</t>
        </is>
      </c>
      <c r="R25" t="n">
        <v>0.29</v>
      </c>
      <c r="S25" t="n">
        <v>0</v>
      </c>
      <c r="T25" t="n">
        <v>0.29</v>
      </c>
      <c r="V25" t="inlineStr">
        <is>
          <t>Sí</t>
        </is>
      </c>
      <c r="W25" t="inlineStr"/>
    </row>
    <row r="26">
      <c r="A26" t="n">
        <v>1443</v>
      </c>
      <c r="B26" t="inlineStr">
        <is>
          <t>TOMENO SUAREZ,ALBERTO</t>
        </is>
      </c>
      <c r="C26" t="n">
        <v>612</v>
      </c>
      <c r="D26" t="inlineStr">
        <is>
          <t>MANDARINA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612</v>
      </c>
      <c r="K26" t="n">
        <v>2026</v>
      </c>
      <c r="L26" t="inlineStr">
        <is>
          <t>1</t>
        </is>
      </c>
      <c r="M26" t="inlineStr">
        <is>
          <t>MANDARINA</t>
        </is>
      </c>
      <c r="N26" t="inlineStr">
        <is>
          <t>41055</t>
        </is>
      </c>
      <c r="O26" t="inlineStr">
        <is>
          <t>19</t>
        </is>
      </c>
      <c r="P26" t="inlineStr">
        <is>
          <t>7</t>
        </is>
      </c>
      <c r="Q26" t="inlineStr">
        <is>
          <t>5</t>
        </is>
      </c>
      <c r="R26" t="n">
        <v>0.23</v>
      </c>
      <c r="S26" t="n">
        <v>0</v>
      </c>
      <c r="T26" t="n">
        <v>0.23</v>
      </c>
      <c r="V26" t="inlineStr">
        <is>
          <t>Sí</t>
        </is>
      </c>
      <c r="W26" t="inlineStr"/>
    </row>
    <row r="27">
      <c r="A27" t="n">
        <v>1478</v>
      </c>
      <c r="B27" t="inlineStr">
        <is>
          <t>AGROSERVICIOS LA CATRIA S.L.</t>
        </is>
      </c>
      <c r="C27" t="n">
        <v>604</v>
      </c>
      <c r="D27" t="inlineStr">
        <is>
          <t>MANDARINA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604</v>
      </c>
      <c r="K27" t="n">
        <v>2026</v>
      </c>
      <c r="L27" t="inlineStr">
        <is>
          <t>1</t>
        </is>
      </c>
      <c r="M27" t="inlineStr">
        <is>
          <t>MANDARINA</t>
        </is>
      </c>
      <c r="N27" t="inlineStr">
        <is>
          <t>41055</t>
        </is>
      </c>
      <c r="O27" t="inlineStr">
        <is>
          <t>29</t>
        </is>
      </c>
      <c r="P27" t="inlineStr">
        <is>
          <t>74</t>
        </is>
      </c>
      <c r="Q27" t="inlineStr">
        <is>
          <t>2</t>
        </is>
      </c>
      <c r="R27" t="n">
        <v>5.67</v>
      </c>
      <c r="S27" t="n">
        <v>0</v>
      </c>
      <c r="T27" t="n">
        <v>5.67</v>
      </c>
      <c r="V27" t="inlineStr">
        <is>
          <t>Sí</t>
        </is>
      </c>
      <c r="W27" t="inlineStr"/>
    </row>
    <row r="28">
      <c r="A28" t="n">
        <v>1478</v>
      </c>
      <c r="B28" t="inlineStr">
        <is>
          <t>AGROSERVICIOS LA CATRIA S.L.</t>
        </is>
      </c>
      <c r="C28" t="n">
        <v>623</v>
      </c>
      <c r="D28" t="inlineStr">
        <is>
          <t>MANDARINA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623</v>
      </c>
      <c r="K28" t="n">
        <v>2026</v>
      </c>
      <c r="L28" t="inlineStr">
        <is>
          <t>1</t>
        </is>
      </c>
      <c r="M28" t="inlineStr">
        <is>
          <t>MANDARINA</t>
        </is>
      </c>
      <c r="N28" t="inlineStr">
        <is>
          <t>41055</t>
        </is>
      </c>
      <c r="O28" t="inlineStr">
        <is>
          <t>23</t>
        </is>
      </c>
      <c r="P28" t="inlineStr">
        <is>
          <t>123</t>
        </is>
      </c>
      <c r="Q28" t="inlineStr">
        <is>
          <t>4</t>
        </is>
      </c>
      <c r="R28" t="n">
        <v>4.41</v>
      </c>
      <c r="S28" t="n">
        <v>0</v>
      </c>
      <c r="T28" t="n">
        <v>3.7</v>
      </c>
      <c r="V28" t="inlineStr">
        <is>
          <t>Sí</t>
        </is>
      </c>
      <c r="W28" t="inlineStr"/>
    </row>
    <row r="29">
      <c r="A29" t="n">
        <v>1478</v>
      </c>
      <c r="B29" t="inlineStr">
        <is>
          <t>AGROSERVICIOS LA CATRIA S.L.</t>
        </is>
      </c>
      <c r="C29" t="n">
        <v>652</v>
      </c>
      <c r="D29" t="inlineStr">
        <is>
          <t>MANDARINA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652</v>
      </c>
      <c r="K29" t="n">
        <v>2026</v>
      </c>
      <c r="L29" t="inlineStr">
        <is>
          <t>1</t>
        </is>
      </c>
      <c r="M29" t="inlineStr">
        <is>
          <t>MANDARINA</t>
        </is>
      </c>
      <c r="N29" t="inlineStr">
        <is>
          <t>41055</t>
        </is>
      </c>
      <c r="O29" t="inlineStr">
        <is>
          <t>23</t>
        </is>
      </c>
      <c r="P29" t="inlineStr">
        <is>
          <t>70</t>
        </is>
      </c>
      <c r="Q29" t="inlineStr">
        <is>
          <t>1</t>
        </is>
      </c>
      <c r="R29" t="n">
        <v>2.94</v>
      </c>
      <c r="S29" t="n">
        <v>0</v>
      </c>
      <c r="T29" t="n">
        <v>0</v>
      </c>
      <c r="V29" t="inlineStr">
        <is>
          <t>Sí</t>
        </is>
      </c>
      <c r="W29" t="inlineStr"/>
    </row>
    <row r="30">
      <c r="A30" t="n">
        <v>1478</v>
      </c>
      <c r="B30" t="inlineStr">
        <is>
          <t>AGROSERVICIOS LA CATRIA S.L.</t>
        </is>
      </c>
      <c r="C30" t="n">
        <v>652</v>
      </c>
      <c r="D30" t="inlineStr">
        <is>
          <t>MANDARINA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652</v>
      </c>
      <c r="K30" t="n">
        <v>2026</v>
      </c>
      <c r="L30" t="inlineStr">
        <is>
          <t>1</t>
        </is>
      </c>
      <c r="M30" t="inlineStr">
        <is>
          <t>MANDARINA</t>
        </is>
      </c>
      <c r="N30" t="inlineStr">
        <is>
          <t>41055</t>
        </is>
      </c>
      <c r="O30" t="inlineStr">
        <is>
          <t>29</t>
        </is>
      </c>
      <c r="P30" t="inlineStr">
        <is>
          <t>74</t>
        </is>
      </c>
      <c r="Q30" t="inlineStr">
        <is>
          <t>7</t>
        </is>
      </c>
      <c r="R30" t="n">
        <v>0.8</v>
      </c>
      <c r="S30" t="n">
        <v>0</v>
      </c>
      <c r="T30" t="n">
        <v>0</v>
      </c>
      <c r="V30" t="inlineStr">
        <is>
          <t>Sí</t>
        </is>
      </c>
      <c r="W30" t="inlineStr"/>
    </row>
    <row r="31">
      <c r="A31" t="n">
        <v>1523</v>
      </c>
      <c r="B31" t="inlineStr">
        <is>
          <t>RODRIGUEZ MEJÍAS, JOSE ANTONIO</t>
        </is>
      </c>
      <c r="C31" t="n">
        <v>686</v>
      </c>
      <c r="D31" t="inlineStr">
        <is>
          <t>CITRICOS</t>
        </is>
      </c>
      <c r="E31" t="n">
        <v>2026</v>
      </c>
      <c r="F31" t="n">
        <v>1</v>
      </c>
      <c r="G31" t="n">
        <v>0</v>
      </c>
      <c r="H31" t="inlineStr">
        <is>
          <t>No</t>
        </is>
      </c>
      <c r="V31" t="inlineStr">
        <is>
          <t>No</t>
        </is>
      </c>
      <c r="W31" t="inlineStr">
        <is>
          <t>CHA_NO_SELECCIONADO; CHA_NO_ACTIVO</t>
        </is>
      </c>
    </row>
    <row r="32">
      <c r="A32" t="n">
        <v>1523</v>
      </c>
      <c r="B32" t="inlineStr">
        <is>
          <t>RODRIGUEZ MEJÍAS, JOSE ANTONIO</t>
        </is>
      </c>
      <c r="C32" t="n">
        <v>765</v>
      </c>
      <c r="D32" t="inlineStr">
        <is>
          <t>CITRICOS</t>
        </is>
      </c>
      <c r="E32" t="n">
        <v>2026</v>
      </c>
      <c r="F32" t="n">
        <v>1</v>
      </c>
      <c r="G32" t="n">
        <v>0</v>
      </c>
      <c r="H32" t="inlineStr">
        <is>
          <t>No</t>
        </is>
      </c>
      <c r="V32" t="inlineStr">
        <is>
          <t>No</t>
        </is>
      </c>
      <c r="W32" t="inlineStr">
        <is>
          <t>CHA_NO_SELECCIONADO; CHA_NO_ACTIVO</t>
        </is>
      </c>
    </row>
    <row r="33">
      <c r="A33" t="n">
        <v>1523</v>
      </c>
      <c r="B33" t="inlineStr">
        <is>
          <t>RODRIGUEZ MEJÍAS, JOSE ANTONIO</t>
        </is>
      </c>
      <c r="C33" t="n">
        <v>62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62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41055</t>
        </is>
      </c>
      <c r="O33" t="inlineStr">
        <is>
          <t>3</t>
        </is>
      </c>
      <c r="P33" t="inlineStr">
        <is>
          <t>23</t>
        </is>
      </c>
      <c r="Q33" t="inlineStr">
        <is>
          <t>1</t>
        </is>
      </c>
      <c r="R33" t="n">
        <v>3.1</v>
      </c>
      <c r="S33" t="n">
        <v>3.103226</v>
      </c>
      <c r="T33" t="n">
        <v>3.06</v>
      </c>
      <c r="V33" t="inlineStr">
        <is>
          <t>Sí</t>
        </is>
      </c>
      <c r="W33" t="inlineStr"/>
    </row>
    <row r="34">
      <c r="A34" t="n">
        <v>1523</v>
      </c>
      <c r="B34" t="inlineStr">
        <is>
          <t>RODRIGUEZ MEJÍAS, JOSE ANTONIO</t>
        </is>
      </c>
      <c r="C34" t="n">
        <v>340</v>
      </c>
      <c r="D34" t="inlineStr">
        <is>
          <t>CITRICOS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340</v>
      </c>
      <c r="K34" t="n">
        <v>2026</v>
      </c>
      <c r="L34" t="inlineStr">
        <is>
          <t>1</t>
        </is>
      </c>
      <c r="M34" t="inlineStr">
        <is>
          <t>CITRICOS</t>
        </is>
      </c>
      <c r="N34" t="inlineStr">
        <is>
          <t>41055</t>
        </is>
      </c>
      <c r="O34" t="inlineStr">
        <is>
          <t>11</t>
        </is>
      </c>
      <c r="P34" t="inlineStr">
        <is>
          <t>162</t>
        </is>
      </c>
      <c r="Q34" t="inlineStr">
        <is>
          <t>5</t>
        </is>
      </c>
      <c r="R34" t="n">
        <v>2.09</v>
      </c>
      <c r="S34" t="n">
        <v>0</v>
      </c>
      <c r="T34" t="n">
        <v>2.09</v>
      </c>
      <c r="V34" t="inlineStr">
        <is>
          <t>Sí</t>
        </is>
      </c>
      <c r="W34" t="inlineStr"/>
    </row>
    <row r="35">
      <c r="A35" t="n">
        <v>1523</v>
      </c>
      <c r="B35" t="inlineStr">
        <is>
          <t>RODRIGUEZ MEJÍAS, JOSE ANTONIO</t>
        </is>
      </c>
      <c r="C35" t="n">
        <v>356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356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13</t>
        </is>
      </c>
      <c r="P35" t="inlineStr">
        <is>
          <t>303</t>
        </is>
      </c>
      <c r="Q35" t="inlineStr">
        <is>
          <t>1</t>
        </is>
      </c>
      <c r="R35" t="n">
        <v>0.08</v>
      </c>
      <c r="S35" t="n">
        <v>0</v>
      </c>
      <c r="T35" t="n">
        <v>0.08</v>
      </c>
      <c r="V35" t="inlineStr">
        <is>
          <t>Sí</t>
        </is>
      </c>
      <c r="W35" t="inlineStr"/>
    </row>
    <row r="36">
      <c r="A36" t="n">
        <v>1523</v>
      </c>
      <c r="B36" t="inlineStr">
        <is>
          <t>RODRIGUEZ MEJÍAS, JOSE ANTONIO</t>
        </is>
      </c>
      <c r="C36" t="n">
        <v>356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356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13</t>
        </is>
      </c>
      <c r="P36" t="inlineStr">
        <is>
          <t>7</t>
        </is>
      </c>
      <c r="Q36" t="inlineStr">
        <is>
          <t>5</t>
        </is>
      </c>
      <c r="R36" t="n">
        <v>0.6</v>
      </c>
      <c r="S36" t="n">
        <v>0</v>
      </c>
      <c r="T36" t="n">
        <v>0.6</v>
      </c>
      <c r="V36" t="inlineStr">
        <is>
          <t>Sí</t>
        </is>
      </c>
      <c r="W36" t="inlineStr"/>
    </row>
    <row r="37">
      <c r="A37" t="n">
        <v>1523</v>
      </c>
      <c r="B37" t="inlineStr">
        <is>
          <t>RODRIGUEZ MEJÍAS, JOSE ANTONIO</t>
        </is>
      </c>
      <c r="C37" t="n">
        <v>356</v>
      </c>
      <c r="D37" t="inlineStr">
        <is>
          <t>CITRICOS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356</v>
      </c>
      <c r="K37" t="n">
        <v>2026</v>
      </c>
      <c r="L37" t="inlineStr">
        <is>
          <t>1</t>
        </is>
      </c>
      <c r="M37" t="inlineStr">
        <is>
          <t>CITRICOS</t>
        </is>
      </c>
      <c r="N37" t="inlineStr">
        <is>
          <t>41055</t>
        </is>
      </c>
      <c r="O37" t="inlineStr">
        <is>
          <t>13</t>
        </is>
      </c>
      <c r="P37" t="inlineStr">
        <is>
          <t>19</t>
        </is>
      </c>
      <c r="Q37" t="inlineStr">
        <is>
          <t>5</t>
        </is>
      </c>
      <c r="R37" t="n">
        <v>1.65</v>
      </c>
      <c r="S37" t="n">
        <v>0</v>
      </c>
      <c r="T37" t="n">
        <v>1.65</v>
      </c>
      <c r="V37" t="inlineStr">
        <is>
          <t>Sí</t>
        </is>
      </c>
      <c r="W37" t="inlineStr"/>
    </row>
    <row r="38">
      <c r="A38" t="n">
        <v>1523</v>
      </c>
      <c r="B38" t="inlineStr">
        <is>
          <t>RODRIGUEZ MEJÍAS, JOSE ANTONIO</t>
        </is>
      </c>
      <c r="C38" t="n">
        <v>580</v>
      </c>
      <c r="D38" t="inlineStr">
        <is>
          <t>CITRICOS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580</v>
      </c>
      <c r="K38" t="n">
        <v>2026</v>
      </c>
      <c r="L38" t="inlineStr">
        <is>
          <t>1</t>
        </is>
      </c>
      <c r="M38" t="inlineStr">
        <is>
          <t>CITRICOS</t>
        </is>
      </c>
      <c r="N38" t="inlineStr">
        <is>
          <t>41055</t>
        </is>
      </c>
      <c r="O38" t="inlineStr">
        <is>
          <t>11</t>
        </is>
      </c>
      <c r="P38" t="inlineStr">
        <is>
          <t>162</t>
        </is>
      </c>
      <c r="Q38" t="inlineStr">
        <is>
          <t>7</t>
        </is>
      </c>
      <c r="R38" t="n">
        <v>4.92</v>
      </c>
      <c r="S38" t="n">
        <v>0</v>
      </c>
      <c r="T38" t="n">
        <v>4.79</v>
      </c>
      <c r="V38" t="inlineStr">
        <is>
          <t>Sí</t>
        </is>
      </c>
      <c r="W38" t="inlineStr"/>
    </row>
    <row r="39">
      <c r="A39" t="n">
        <v>1523</v>
      </c>
      <c r="B39" t="inlineStr">
        <is>
          <t>RODRIGUEZ MEJÍAS, JOSE ANTONIO</t>
        </is>
      </c>
      <c r="C39" t="n">
        <v>587</v>
      </c>
      <c r="D39" t="inlineStr">
        <is>
          <t>CITRICOS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587</v>
      </c>
      <c r="K39" t="n">
        <v>2026</v>
      </c>
      <c r="L39" t="inlineStr">
        <is>
          <t>1</t>
        </is>
      </c>
      <c r="M39" t="inlineStr">
        <is>
          <t>CITRICOS</t>
        </is>
      </c>
      <c r="N39" t="inlineStr">
        <is>
          <t>41055</t>
        </is>
      </c>
      <c r="O39" t="inlineStr">
        <is>
          <t>11</t>
        </is>
      </c>
      <c r="P39" t="inlineStr">
        <is>
          <t>162</t>
        </is>
      </c>
      <c r="Q39" t="inlineStr">
        <is>
          <t>7</t>
        </is>
      </c>
      <c r="R39" t="n">
        <v>4.97</v>
      </c>
      <c r="S39" t="n">
        <v>0</v>
      </c>
      <c r="T39" t="n">
        <v>4.97</v>
      </c>
      <c r="V39" t="inlineStr">
        <is>
          <t>Sí</t>
        </is>
      </c>
      <c r="W39" t="inlineStr"/>
    </row>
    <row r="40">
      <c r="A40" t="n">
        <v>1523</v>
      </c>
      <c r="B40" t="inlineStr">
        <is>
          <t>RODRIGUEZ MEJÍAS, JOSE ANTONIO</t>
        </is>
      </c>
      <c r="C40" t="n">
        <v>608</v>
      </c>
      <c r="D40" t="inlineStr">
        <is>
          <t>MANDARINA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608</v>
      </c>
      <c r="K40" t="n">
        <v>2026</v>
      </c>
      <c r="L40" t="inlineStr">
        <is>
          <t>1</t>
        </is>
      </c>
      <c r="M40" t="inlineStr">
        <is>
          <t>MANDARINA</t>
        </is>
      </c>
      <c r="N40" t="inlineStr">
        <is>
          <t>41055</t>
        </is>
      </c>
      <c r="O40" t="inlineStr">
        <is>
          <t>11</t>
        </is>
      </c>
      <c r="P40" t="inlineStr">
        <is>
          <t>162</t>
        </is>
      </c>
      <c r="Q40" t="inlineStr">
        <is>
          <t>7</t>
        </is>
      </c>
      <c r="R40" t="n">
        <v>2.03</v>
      </c>
      <c r="S40" t="n">
        <v>6.09</v>
      </c>
      <c r="T40" t="n">
        <v>1.94</v>
      </c>
      <c r="V40" t="inlineStr">
        <is>
          <t>Sí</t>
        </is>
      </c>
      <c r="W40" t="inlineStr"/>
    </row>
    <row r="41">
      <c r="A41" t="n">
        <v>1523</v>
      </c>
      <c r="B41" t="inlineStr">
        <is>
          <t>RODRIGUEZ MEJÍAS, JOSE ANTONIO</t>
        </is>
      </c>
      <c r="C41" t="n">
        <v>608</v>
      </c>
      <c r="D41" t="inlineStr">
        <is>
          <t>MANDARINA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608</v>
      </c>
      <c r="K41" t="n">
        <v>2026</v>
      </c>
      <c r="L41" t="inlineStr">
        <is>
          <t>1</t>
        </is>
      </c>
      <c r="M41" t="inlineStr">
        <is>
          <t>MANDARINA</t>
        </is>
      </c>
      <c r="N41" t="inlineStr">
        <is>
          <t>41055</t>
        </is>
      </c>
      <c r="O41" t="inlineStr">
        <is>
          <t>11</t>
        </is>
      </c>
      <c r="P41" t="inlineStr">
        <is>
          <t>162</t>
        </is>
      </c>
      <c r="Q41" t="inlineStr">
        <is>
          <t>7</t>
        </is>
      </c>
      <c r="R41" t="n">
        <v>2.19</v>
      </c>
      <c r="S41" t="n">
        <v>6.09</v>
      </c>
      <c r="T41" t="n">
        <v>2.06</v>
      </c>
      <c r="V41" t="inlineStr">
        <is>
          <t>Sí</t>
        </is>
      </c>
      <c r="W41" t="inlineStr"/>
    </row>
    <row r="42">
      <c r="A42" t="n">
        <v>1561</v>
      </c>
      <c r="B42" t="inlineStr">
        <is>
          <t>SUAREZ SANCHEZ, Mª DEL PILAR</t>
        </is>
      </c>
      <c r="C42" t="n">
        <v>962</v>
      </c>
      <c r="D42" t="inlineStr">
        <is>
          <t>CITRICOS</t>
        </is>
      </c>
      <c r="E42" t="n">
        <v>2026</v>
      </c>
      <c r="F42" t="n">
        <v>1</v>
      </c>
      <c r="G42" t="n">
        <v>0</v>
      </c>
      <c r="H42" t="inlineStr">
        <is>
          <t>No</t>
        </is>
      </c>
      <c r="V42" t="inlineStr">
        <is>
          <t>No</t>
        </is>
      </c>
      <c r="W42" t="inlineStr">
        <is>
          <t>CHA_NO_SELECCIONADO; CHA_NO_ACTIVO</t>
        </is>
      </c>
    </row>
    <row r="43">
      <c r="A43" t="n">
        <v>1561</v>
      </c>
      <c r="B43" t="inlineStr">
        <is>
          <t>SUAREZ SANCHEZ, Mª DEL PILAR</t>
        </is>
      </c>
      <c r="C43" t="n">
        <v>593</v>
      </c>
      <c r="D43" t="inlineStr">
        <is>
          <t>CITRICOS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593</v>
      </c>
      <c r="K43" t="n">
        <v>2026</v>
      </c>
      <c r="L43" t="inlineStr">
        <is>
          <t>1</t>
        </is>
      </c>
      <c r="M43" t="inlineStr">
        <is>
          <t>CITRICOS</t>
        </is>
      </c>
      <c r="N43" t="inlineStr">
        <is>
          <t>41055</t>
        </is>
      </c>
      <c r="O43" t="inlineStr">
        <is>
          <t>18</t>
        </is>
      </c>
      <c r="P43" t="inlineStr">
        <is>
          <t>4</t>
        </is>
      </c>
      <c r="Q43" t="inlineStr">
        <is>
          <t>30</t>
        </is>
      </c>
      <c r="R43" t="n">
        <v>0.83</v>
      </c>
      <c r="S43" t="n">
        <v>0</v>
      </c>
      <c r="T43" t="n">
        <v>0.83</v>
      </c>
      <c r="V43" t="inlineStr">
        <is>
          <t>Sí</t>
        </is>
      </c>
      <c r="W43" t="inlineStr"/>
    </row>
    <row r="44">
      <c r="A44" t="n">
        <v>1561</v>
      </c>
      <c r="B44" t="inlineStr">
        <is>
          <t>SUAREZ SANCHEZ, Mª DEL PILAR</t>
        </is>
      </c>
      <c r="C44" t="n">
        <v>593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593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41055</t>
        </is>
      </c>
      <c r="O44" t="inlineStr">
        <is>
          <t>18</t>
        </is>
      </c>
      <c r="P44" t="inlineStr">
        <is>
          <t>18</t>
        </is>
      </c>
      <c r="Q44" t="inlineStr">
        <is>
          <t>51</t>
        </is>
      </c>
      <c r="R44" t="n">
        <v>3.38</v>
      </c>
      <c r="S44" t="n">
        <v>27.67</v>
      </c>
      <c r="T44" t="n">
        <v>3.38</v>
      </c>
      <c r="V44" t="inlineStr">
        <is>
          <t>Sí</t>
        </is>
      </c>
      <c r="W44" t="inlineStr"/>
    </row>
    <row r="45">
      <c r="A45" t="n">
        <v>1561</v>
      </c>
      <c r="B45" t="inlineStr">
        <is>
          <t>SUAREZ SANCHEZ, Mª DEL PILAR</t>
        </is>
      </c>
      <c r="C45" t="n">
        <v>670</v>
      </c>
      <c r="D45" t="inlineStr">
        <is>
          <t>CITRICOS</t>
        </is>
      </c>
      <c r="E45" t="n">
        <v>2026</v>
      </c>
      <c r="F45" t="n">
        <v>1</v>
      </c>
      <c r="G45" t="n">
        <v>1</v>
      </c>
      <c r="H45" t="inlineStr">
        <is>
          <t>Sí</t>
        </is>
      </c>
      <c r="J45" t="n">
        <v>670</v>
      </c>
      <c r="K45" t="n">
        <v>2026</v>
      </c>
      <c r="L45" t="inlineStr">
        <is>
          <t>1</t>
        </is>
      </c>
      <c r="M45" t="inlineStr">
        <is>
          <t>CITRICOS</t>
        </is>
      </c>
      <c r="N45" t="inlineStr">
        <is>
          <t>41055</t>
        </is>
      </c>
      <c r="O45" t="inlineStr">
        <is>
          <t>18</t>
        </is>
      </c>
      <c r="P45" t="inlineStr">
        <is>
          <t>18</t>
        </is>
      </c>
      <c r="Q45" t="inlineStr">
        <is>
          <t>122</t>
        </is>
      </c>
      <c r="R45" t="n">
        <v>6.09</v>
      </c>
      <c r="S45" t="n">
        <v>0</v>
      </c>
      <c r="T45" t="n">
        <v>6.09</v>
      </c>
      <c r="V45" t="inlineStr">
        <is>
          <t>No</t>
        </is>
      </c>
      <c r="W45" t="inlineStr">
        <is>
          <t>PLANTACION_MENOR_CINCO_ANOS</t>
        </is>
      </c>
    </row>
    <row r="46">
      <c r="A46" t="n">
        <v>1561</v>
      </c>
      <c r="B46" t="inlineStr">
        <is>
          <t>SUAREZ SANCHEZ, Mª DEL PILAR</t>
        </is>
      </c>
      <c r="C46" t="n">
        <v>670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670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41055</t>
        </is>
      </c>
      <c r="O46" t="inlineStr">
        <is>
          <t>18</t>
        </is>
      </c>
      <c r="P46" t="inlineStr">
        <is>
          <t>18</t>
        </is>
      </c>
      <c r="Q46" t="inlineStr">
        <is>
          <t>119</t>
        </is>
      </c>
      <c r="R46" t="n">
        <v>0.36</v>
      </c>
      <c r="S46" t="n">
        <v>0</v>
      </c>
      <c r="T46" t="n">
        <v>0.36</v>
      </c>
      <c r="V46" t="inlineStr">
        <is>
          <t>No</t>
        </is>
      </c>
      <c r="W46" t="inlineStr">
        <is>
          <t>PLANTACION_MENOR_CINCO_ANOS</t>
        </is>
      </c>
    </row>
    <row r="47">
      <c r="A47" t="n">
        <v>1561</v>
      </c>
      <c r="B47" t="inlineStr">
        <is>
          <t>SUAREZ SANCHEZ, Mª DEL PILAR</t>
        </is>
      </c>
      <c r="C47" t="n">
        <v>670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670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41055</t>
        </is>
      </c>
      <c r="O47" t="inlineStr">
        <is>
          <t>18</t>
        </is>
      </c>
      <c r="P47" t="inlineStr">
        <is>
          <t>18</t>
        </is>
      </c>
      <c r="Q47" t="inlineStr">
        <is>
          <t>115</t>
        </is>
      </c>
      <c r="R47" t="n">
        <v>0.12</v>
      </c>
      <c r="S47" t="n">
        <v>0</v>
      </c>
      <c r="T47" t="n">
        <v>0.12</v>
      </c>
      <c r="V47" t="inlineStr">
        <is>
          <t>No</t>
        </is>
      </c>
      <c r="W47" t="inlineStr">
        <is>
          <t>PLANTACION_MENOR_CINCO_ANOS</t>
        </is>
      </c>
    </row>
    <row r="48">
      <c r="A48" t="n">
        <v>1561</v>
      </c>
      <c r="B48" t="inlineStr">
        <is>
          <t>SUAREZ SANCHEZ, Mª DEL PILAR</t>
        </is>
      </c>
      <c r="C48" t="n">
        <v>670</v>
      </c>
      <c r="D48" t="inlineStr">
        <is>
          <t>CITRICOS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670</v>
      </c>
      <c r="K48" t="n">
        <v>2026</v>
      </c>
      <c r="L48" t="inlineStr">
        <is>
          <t>1</t>
        </is>
      </c>
      <c r="M48" t="inlineStr">
        <is>
          <t>CITRICOS</t>
        </is>
      </c>
      <c r="N48" t="inlineStr">
        <is>
          <t>41055</t>
        </is>
      </c>
      <c r="O48" t="inlineStr">
        <is>
          <t>18</t>
        </is>
      </c>
      <c r="P48" t="inlineStr">
        <is>
          <t>18</t>
        </is>
      </c>
      <c r="Q48" t="inlineStr">
        <is>
          <t>10</t>
        </is>
      </c>
      <c r="R48" t="n">
        <v>6.37</v>
      </c>
      <c r="S48" t="n">
        <v>0</v>
      </c>
      <c r="T48" t="n">
        <v>6.37</v>
      </c>
      <c r="V48" t="inlineStr">
        <is>
          <t>No</t>
        </is>
      </c>
      <c r="W48" t="inlineStr">
        <is>
          <t>PLANTACION_MENOR_CINCO_ANOS</t>
        </is>
      </c>
    </row>
    <row r="49">
      <c r="A49" t="n">
        <v>1561</v>
      </c>
      <c r="B49" t="inlineStr">
        <is>
          <t>SUAREZ SANCHEZ, Mª DEL PILAR</t>
        </is>
      </c>
      <c r="C49" t="n">
        <v>616</v>
      </c>
      <c r="D49" t="inlineStr">
        <is>
          <t>MANDARINA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616</v>
      </c>
      <c r="K49" t="n">
        <v>2026</v>
      </c>
      <c r="L49" t="inlineStr">
        <is>
          <t>1</t>
        </is>
      </c>
      <c r="M49" t="inlineStr">
        <is>
          <t>MANDARINA</t>
        </is>
      </c>
      <c r="N49" t="inlineStr">
        <is>
          <t>41055</t>
        </is>
      </c>
      <c r="O49" t="inlineStr">
        <is>
          <t>1</t>
        </is>
      </c>
      <c r="P49" t="inlineStr">
        <is>
          <t>5</t>
        </is>
      </c>
      <c r="Q49" t="inlineStr">
        <is>
          <t>30</t>
        </is>
      </c>
      <c r="R49" t="n">
        <v>0.07000000000000001</v>
      </c>
      <c r="S49" t="n">
        <v>0</v>
      </c>
      <c r="T49" t="n">
        <v>0.07000000000000001</v>
      </c>
      <c r="V49" t="inlineStr">
        <is>
          <t>Sí</t>
        </is>
      </c>
      <c r="W49" t="inlineStr"/>
    </row>
    <row r="50">
      <c r="A50" t="n">
        <v>1561</v>
      </c>
      <c r="B50" t="inlineStr">
        <is>
          <t>SUAREZ SANCHEZ, Mª DEL PILAR</t>
        </is>
      </c>
      <c r="C50" t="n">
        <v>616</v>
      </c>
      <c r="D50" t="inlineStr">
        <is>
          <t>MANDARINA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616</v>
      </c>
      <c r="K50" t="n">
        <v>2026</v>
      </c>
      <c r="L50" t="inlineStr">
        <is>
          <t>1</t>
        </is>
      </c>
      <c r="M50" t="inlineStr">
        <is>
          <t>MANDARINA</t>
        </is>
      </c>
      <c r="N50" t="inlineStr">
        <is>
          <t>41055</t>
        </is>
      </c>
      <c r="O50" t="inlineStr">
        <is>
          <t>1</t>
        </is>
      </c>
      <c r="P50" t="inlineStr">
        <is>
          <t>5</t>
        </is>
      </c>
      <c r="Q50" t="inlineStr">
        <is>
          <t>77</t>
        </is>
      </c>
      <c r="R50" t="n">
        <v>0.23</v>
      </c>
      <c r="S50" t="n">
        <v>0</v>
      </c>
      <c r="T50" t="n">
        <v>0.23</v>
      </c>
      <c r="V50" t="inlineStr">
        <is>
          <t>Sí</t>
        </is>
      </c>
      <c r="W50" t="inlineStr"/>
    </row>
    <row r="51">
      <c r="A51" t="n">
        <v>1561</v>
      </c>
      <c r="B51" t="inlineStr">
        <is>
          <t>SUAREZ SANCHEZ, Mª DEL PILAR</t>
        </is>
      </c>
      <c r="C51" t="n">
        <v>616</v>
      </c>
      <c r="D51" t="inlineStr">
        <is>
          <t>MANDARINA</t>
        </is>
      </c>
      <c r="E51" t="n">
        <v>2026</v>
      </c>
      <c r="F51" t="n">
        <v>1</v>
      </c>
      <c r="G51" t="n">
        <v>1</v>
      </c>
      <c r="H51" t="inlineStr">
        <is>
          <t>Sí</t>
        </is>
      </c>
      <c r="J51" t="n">
        <v>616</v>
      </c>
      <c r="K51" t="n">
        <v>2026</v>
      </c>
      <c r="L51" t="inlineStr">
        <is>
          <t>1</t>
        </is>
      </c>
      <c r="M51" t="inlineStr">
        <is>
          <t>MANDARINA</t>
        </is>
      </c>
      <c r="N51" t="inlineStr">
        <is>
          <t>41055</t>
        </is>
      </c>
      <c r="O51" t="inlineStr">
        <is>
          <t>1</t>
        </is>
      </c>
      <c r="P51" t="inlineStr">
        <is>
          <t>30</t>
        </is>
      </c>
      <c r="Q51" t="inlineStr">
        <is>
          <t>1</t>
        </is>
      </c>
      <c r="R51" t="n">
        <v>3.56</v>
      </c>
      <c r="S51" t="n">
        <v>0</v>
      </c>
      <c r="T51" t="n">
        <v>3.56</v>
      </c>
      <c r="V51" t="inlineStr">
        <is>
          <t>Sí</t>
        </is>
      </c>
      <c r="W51" t="inlineStr"/>
    </row>
    <row r="52">
      <c r="A52" t="n">
        <v>1561</v>
      </c>
      <c r="B52" t="inlineStr">
        <is>
          <t>SUAREZ SANCHEZ, Mª DEL PILAR</t>
        </is>
      </c>
      <c r="C52" t="n">
        <v>616</v>
      </c>
      <c r="D52" t="inlineStr">
        <is>
          <t>MANDARINA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616</v>
      </c>
      <c r="K52" t="n">
        <v>2026</v>
      </c>
      <c r="L52" t="inlineStr">
        <is>
          <t>1</t>
        </is>
      </c>
      <c r="M52" t="inlineStr">
        <is>
          <t>MANDARINA</t>
        </is>
      </c>
      <c r="N52" t="inlineStr">
        <is>
          <t>41055</t>
        </is>
      </c>
      <c r="O52" t="inlineStr">
        <is>
          <t>1</t>
        </is>
      </c>
      <c r="P52" t="inlineStr">
        <is>
          <t>30</t>
        </is>
      </c>
      <c r="Q52" t="inlineStr">
        <is>
          <t>29</t>
        </is>
      </c>
      <c r="R52" t="n">
        <v>3.2</v>
      </c>
      <c r="S52" t="n">
        <v>0</v>
      </c>
      <c r="T52" t="n">
        <v>3.2</v>
      </c>
      <c r="V52" t="inlineStr">
        <is>
          <t>Sí</t>
        </is>
      </c>
      <c r="W52" t="inlineStr"/>
    </row>
    <row r="53">
      <c r="A53" t="n">
        <v>1561</v>
      </c>
      <c r="B53" t="inlineStr">
        <is>
          <t>SUAREZ SANCHEZ, Mª DEL PILAR</t>
        </is>
      </c>
      <c r="C53" t="n">
        <v>616</v>
      </c>
      <c r="D53" t="inlineStr">
        <is>
          <t>MANDARINA</t>
        </is>
      </c>
      <c r="E53" t="n">
        <v>2026</v>
      </c>
      <c r="F53" t="n">
        <v>1</v>
      </c>
      <c r="G53" t="n">
        <v>1</v>
      </c>
      <c r="H53" t="inlineStr">
        <is>
          <t>Sí</t>
        </is>
      </c>
      <c r="J53" t="n">
        <v>616</v>
      </c>
      <c r="K53" t="n">
        <v>2026</v>
      </c>
      <c r="L53" t="inlineStr">
        <is>
          <t>1</t>
        </is>
      </c>
      <c r="M53" t="inlineStr">
        <is>
          <t>MANDARINA</t>
        </is>
      </c>
      <c r="N53" t="inlineStr">
        <is>
          <t>41055</t>
        </is>
      </c>
      <c r="O53" t="inlineStr">
        <is>
          <t>1</t>
        </is>
      </c>
      <c r="P53" t="inlineStr">
        <is>
          <t>30</t>
        </is>
      </c>
      <c r="Q53" t="inlineStr">
        <is>
          <t>29</t>
        </is>
      </c>
      <c r="R53" t="n">
        <v>0.61</v>
      </c>
      <c r="S53" t="n">
        <v>0</v>
      </c>
      <c r="T53" t="n">
        <v>0.61</v>
      </c>
      <c r="V53" t="inlineStr">
        <is>
          <t>Sí</t>
        </is>
      </c>
      <c r="W53" t="inlineStr"/>
    </row>
    <row r="54">
      <c r="A54" t="n">
        <v>1561</v>
      </c>
      <c r="B54" t="inlineStr">
        <is>
          <t>SUAREZ SANCHEZ, Mª DEL PILAR</t>
        </is>
      </c>
      <c r="C54" t="n">
        <v>616</v>
      </c>
      <c r="D54" t="inlineStr">
        <is>
          <t>MANDARINA</t>
        </is>
      </c>
      <c r="E54" t="n">
        <v>2026</v>
      </c>
      <c r="F54" t="n">
        <v>1</v>
      </c>
      <c r="G54" t="n">
        <v>1</v>
      </c>
      <c r="H54" t="inlineStr">
        <is>
          <t>Sí</t>
        </is>
      </c>
      <c r="J54" t="n">
        <v>616</v>
      </c>
      <c r="K54" t="n">
        <v>2026</v>
      </c>
      <c r="L54" t="inlineStr">
        <is>
          <t>1</t>
        </is>
      </c>
      <c r="M54" t="inlineStr">
        <is>
          <t>MANDARINA</t>
        </is>
      </c>
      <c r="N54" t="inlineStr">
        <is>
          <t>41055</t>
        </is>
      </c>
      <c r="O54" t="inlineStr">
        <is>
          <t>1</t>
        </is>
      </c>
      <c r="P54" t="inlineStr">
        <is>
          <t>30</t>
        </is>
      </c>
      <c r="Q54" t="inlineStr">
        <is>
          <t>30</t>
        </is>
      </c>
      <c r="R54" t="n">
        <v>0.35</v>
      </c>
      <c r="S54" t="n">
        <v>0</v>
      </c>
      <c r="T54" t="n">
        <v>0.35</v>
      </c>
      <c r="V54" t="inlineStr">
        <is>
          <t>Sí</t>
        </is>
      </c>
      <c r="W54" t="inlineStr"/>
    </row>
    <row r="55">
      <c r="A55" t="n">
        <v>1561</v>
      </c>
      <c r="B55" t="inlineStr">
        <is>
          <t>SUAREZ SANCHEZ, Mª DEL PILAR</t>
        </is>
      </c>
      <c r="C55" t="n">
        <v>616</v>
      </c>
      <c r="D55" t="inlineStr">
        <is>
          <t>MANDARINA</t>
        </is>
      </c>
      <c r="E55" t="n">
        <v>2026</v>
      </c>
      <c r="F55" t="n">
        <v>1</v>
      </c>
      <c r="G55" t="n">
        <v>1</v>
      </c>
      <c r="H55" t="inlineStr">
        <is>
          <t>Sí</t>
        </is>
      </c>
      <c r="J55" t="n">
        <v>616</v>
      </c>
      <c r="K55" t="n">
        <v>2026</v>
      </c>
      <c r="L55" t="inlineStr">
        <is>
          <t>1</t>
        </is>
      </c>
      <c r="M55" t="inlineStr">
        <is>
          <t>MANDARINA</t>
        </is>
      </c>
      <c r="N55" t="inlineStr">
        <is>
          <t>41055</t>
        </is>
      </c>
      <c r="O55" t="inlineStr">
        <is>
          <t>1</t>
        </is>
      </c>
      <c r="P55" t="inlineStr">
        <is>
          <t>30</t>
        </is>
      </c>
      <c r="Q55" t="inlineStr">
        <is>
          <t>48</t>
        </is>
      </c>
      <c r="R55" t="n">
        <v>0.55</v>
      </c>
      <c r="S55" t="n">
        <v>0</v>
      </c>
      <c r="T55" t="n">
        <v>0.55</v>
      </c>
      <c r="V55" t="inlineStr">
        <is>
          <t>Sí</t>
        </is>
      </c>
      <c r="W55" t="inlineStr"/>
    </row>
    <row r="56">
      <c r="A56" t="n">
        <v>1561</v>
      </c>
      <c r="B56" t="inlineStr">
        <is>
          <t>SUAREZ SANCHEZ, Mª DEL PILAR</t>
        </is>
      </c>
      <c r="C56" t="n">
        <v>616</v>
      </c>
      <c r="D56" t="inlineStr">
        <is>
          <t>MANDARINA</t>
        </is>
      </c>
      <c r="E56" t="n">
        <v>2026</v>
      </c>
      <c r="F56" t="n">
        <v>1</v>
      </c>
      <c r="G56" t="n">
        <v>1</v>
      </c>
      <c r="H56" t="inlineStr">
        <is>
          <t>Sí</t>
        </is>
      </c>
      <c r="J56" t="n">
        <v>616</v>
      </c>
      <c r="K56" t="n">
        <v>2026</v>
      </c>
      <c r="L56" t="inlineStr">
        <is>
          <t>1</t>
        </is>
      </c>
      <c r="M56" t="inlineStr">
        <is>
          <t>MANDARINA</t>
        </is>
      </c>
      <c r="N56" t="inlineStr">
        <is>
          <t>41055</t>
        </is>
      </c>
      <c r="O56" t="inlineStr">
        <is>
          <t>1</t>
        </is>
      </c>
      <c r="P56" t="inlineStr">
        <is>
          <t>30</t>
        </is>
      </c>
      <c r="Q56" t="inlineStr">
        <is>
          <t>50</t>
        </is>
      </c>
      <c r="R56" t="n">
        <v>0.33</v>
      </c>
      <c r="S56" t="n">
        <v>0</v>
      </c>
      <c r="T56" t="n">
        <v>0.33</v>
      </c>
      <c r="V56" t="inlineStr">
        <is>
          <t>Sí</t>
        </is>
      </c>
      <c r="W56" t="inlineStr"/>
    </row>
    <row r="57">
      <c r="A57" t="n">
        <v>1561</v>
      </c>
      <c r="B57" t="inlineStr">
        <is>
          <t>SUAREZ SANCHEZ, Mª DEL PILAR</t>
        </is>
      </c>
      <c r="C57" t="n">
        <v>616</v>
      </c>
      <c r="D57" t="inlineStr">
        <is>
          <t>MANDARINA</t>
        </is>
      </c>
      <c r="E57" t="n">
        <v>2026</v>
      </c>
      <c r="F57" t="n">
        <v>1</v>
      </c>
      <c r="G57" t="n">
        <v>1</v>
      </c>
      <c r="H57" t="inlineStr">
        <is>
          <t>Sí</t>
        </is>
      </c>
      <c r="J57" t="n">
        <v>616</v>
      </c>
      <c r="K57" t="n">
        <v>2026</v>
      </c>
      <c r="L57" t="inlineStr">
        <is>
          <t>1</t>
        </is>
      </c>
      <c r="M57" t="inlineStr">
        <is>
          <t>MANDARINA</t>
        </is>
      </c>
      <c r="N57" t="inlineStr">
        <is>
          <t>41055</t>
        </is>
      </c>
      <c r="O57" t="inlineStr">
        <is>
          <t>1</t>
        </is>
      </c>
      <c r="P57" t="inlineStr">
        <is>
          <t>30</t>
        </is>
      </c>
      <c r="Q57" t="inlineStr">
        <is>
          <t>53</t>
        </is>
      </c>
      <c r="R57" t="n">
        <v>0.16</v>
      </c>
      <c r="S57" t="n">
        <v>0</v>
      </c>
      <c r="T57" t="n">
        <v>0.16</v>
      </c>
      <c r="V57" t="inlineStr">
        <is>
          <t>Sí</t>
        </is>
      </c>
      <c r="W57" t="inlineStr"/>
    </row>
    <row r="58">
      <c r="A58" t="n">
        <v>1561</v>
      </c>
      <c r="B58" t="inlineStr">
        <is>
          <t>SUAREZ SANCHEZ, Mª DEL PILAR</t>
        </is>
      </c>
      <c r="C58" t="n">
        <v>616</v>
      </c>
      <c r="D58" t="inlineStr">
        <is>
          <t>MANDARINA</t>
        </is>
      </c>
      <c r="E58" t="n">
        <v>2026</v>
      </c>
      <c r="F58" t="n">
        <v>1</v>
      </c>
      <c r="G58" t="n">
        <v>1</v>
      </c>
      <c r="H58" t="inlineStr">
        <is>
          <t>Sí</t>
        </is>
      </c>
      <c r="J58" t="n">
        <v>616</v>
      </c>
      <c r="K58" t="n">
        <v>2026</v>
      </c>
      <c r="L58" t="inlineStr">
        <is>
          <t>1</t>
        </is>
      </c>
      <c r="M58" t="inlineStr">
        <is>
          <t>MANDARINA</t>
        </is>
      </c>
      <c r="N58" t="inlineStr">
        <is>
          <t>41055</t>
        </is>
      </c>
      <c r="O58" t="inlineStr">
        <is>
          <t>1</t>
        </is>
      </c>
      <c r="P58" t="inlineStr">
        <is>
          <t>30</t>
        </is>
      </c>
      <c r="Q58" t="inlineStr">
        <is>
          <t>55</t>
        </is>
      </c>
      <c r="R58" t="n">
        <v>0.06</v>
      </c>
      <c r="S58" t="n">
        <v>0</v>
      </c>
      <c r="T58" t="n">
        <v>0.06</v>
      </c>
      <c r="V58" t="inlineStr">
        <is>
          <t>Sí</t>
        </is>
      </c>
      <c r="W58" t="inlineStr"/>
    </row>
    <row r="59">
      <c r="A59" t="n">
        <v>1561</v>
      </c>
      <c r="B59" t="inlineStr">
        <is>
          <t>SUAREZ SANCHEZ, Mª DEL PILAR</t>
        </is>
      </c>
      <c r="C59" t="n">
        <v>616</v>
      </c>
      <c r="D59" t="inlineStr">
        <is>
          <t>MANDARINA</t>
        </is>
      </c>
      <c r="E59" t="n">
        <v>2026</v>
      </c>
      <c r="F59" t="n">
        <v>1</v>
      </c>
      <c r="G59" t="n">
        <v>1</v>
      </c>
      <c r="H59" t="inlineStr">
        <is>
          <t>Sí</t>
        </is>
      </c>
      <c r="J59" t="n">
        <v>616</v>
      </c>
      <c r="K59" t="n">
        <v>2026</v>
      </c>
      <c r="L59" t="inlineStr">
        <is>
          <t>1</t>
        </is>
      </c>
      <c r="M59" t="inlineStr">
        <is>
          <t>MANDARINA</t>
        </is>
      </c>
      <c r="N59" t="inlineStr">
        <is>
          <t>41055</t>
        </is>
      </c>
      <c r="O59" t="inlineStr">
        <is>
          <t>1</t>
        </is>
      </c>
      <c r="P59" t="inlineStr">
        <is>
          <t>30</t>
        </is>
      </c>
      <c r="Q59" t="inlineStr">
        <is>
          <t>56</t>
        </is>
      </c>
      <c r="R59" t="n">
        <v>0.15</v>
      </c>
      <c r="S59" t="n">
        <v>0</v>
      </c>
      <c r="T59" t="n">
        <v>0.15</v>
      </c>
      <c r="V59" t="inlineStr">
        <is>
          <t>Sí</t>
        </is>
      </c>
      <c r="W59" t="inlineStr"/>
    </row>
    <row r="60">
      <c r="A60" t="n">
        <v>1561</v>
      </c>
      <c r="B60" t="inlineStr">
        <is>
          <t>SUAREZ SANCHEZ, Mª DEL PILAR</t>
        </is>
      </c>
      <c r="C60" t="n">
        <v>632</v>
      </c>
      <c r="D60" t="inlineStr">
        <is>
          <t>MANDARINA</t>
        </is>
      </c>
      <c r="E60" t="n">
        <v>2026</v>
      </c>
      <c r="F60" t="n">
        <v>1</v>
      </c>
      <c r="G60" t="n">
        <v>1</v>
      </c>
      <c r="H60" t="inlineStr">
        <is>
          <t>Sí</t>
        </is>
      </c>
      <c r="J60" t="n">
        <v>632</v>
      </c>
      <c r="K60" t="n">
        <v>2026</v>
      </c>
      <c r="L60" t="inlineStr">
        <is>
          <t>1</t>
        </is>
      </c>
      <c r="M60" t="inlineStr">
        <is>
          <t>MANDARINA</t>
        </is>
      </c>
      <c r="N60" t="inlineStr">
        <is>
          <t>41055</t>
        </is>
      </c>
      <c r="O60" t="inlineStr">
        <is>
          <t>1</t>
        </is>
      </c>
      <c r="P60" t="inlineStr">
        <is>
          <t>30</t>
        </is>
      </c>
      <c r="R60" t="n">
        <v>4.23</v>
      </c>
      <c r="S60" t="n">
        <v>0</v>
      </c>
      <c r="T60" t="n">
        <v>4.23</v>
      </c>
      <c r="V60" t="inlineStr">
        <is>
          <t>Sí</t>
        </is>
      </c>
      <c r="W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inlineStr">
        <is>
          <t>calculated</t>
        </is>
      </c>
      <c r="E2" t="n">
        <v>10.97</v>
      </c>
      <c r="F2" t="n">
        <v>2139.15</v>
      </c>
      <c r="G2" t="n">
        <v>235605</v>
      </c>
      <c r="H2" t="n">
        <v>0.009079391354173299</v>
      </c>
      <c r="I2" t="n">
        <v>18104</v>
      </c>
      <c r="J2" t="n">
        <v>164.37</v>
      </c>
      <c r="K2" t="inlineStr">
        <is>
          <t>No existe tarifa BonCalidad para socio=1214 campaña=2026 empresa=1 cultivo=MANDARINA.; No existe fuente acumulada disponible; saldo informativo calculado con cuota ya aplicada = 0.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calculated</t>
        </is>
      </c>
      <c r="E3" t="n">
        <v>2.48</v>
      </c>
      <c r="F3" t="n">
        <v>483.6</v>
      </c>
      <c r="G3" t="n">
        <v>139490</v>
      </c>
      <c r="H3" t="n">
        <v>0.003466915191053122</v>
      </c>
      <c r="I3" t="n">
        <v>99440</v>
      </c>
      <c r="J3" t="n">
        <v>344.75</v>
      </c>
      <c r="K3" t="inlineStr">
        <is>
          <t>No existe tarifa BonCalidad para socio=1324 campaña=2026 empresa=1 cultivo=MANDARINA.; El socio 1324 figura certificado GlobalGAP en MANDARINA, SANDIA pero no en SANDIA. Se ha aplicado la certificación global del socio. Revise DEEPP.; No existe fuente acumulada disponible; saldo informativo calculado con cuota ya aplicada = 0.</t>
        </is>
      </c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inlineStr">
        <is>
          <t>calculated</t>
        </is>
      </c>
      <c r="E4" t="n">
        <v>7.49</v>
      </c>
      <c r="F4" t="n">
        <v>1460.55</v>
      </c>
      <c r="G4" t="n">
        <v>414468</v>
      </c>
      <c r="H4" t="n">
        <v>0.003523914994643736</v>
      </c>
      <c r="I4" t="n">
        <v>24726</v>
      </c>
      <c r="J4" t="n">
        <v>87.13</v>
      </c>
      <c r="K4" t="inlineStr">
        <is>
          <t>No existe tarifa BonCalidad para socio=1415 campaña=2026 empresa=1 cultivo=MANDARINA.; No existe fuente acumulada disponible; saldo informativo calculado con cuota ya aplicada = 0.</t>
        </is>
      </c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inlineStr">
        <is>
          <t>calculated</t>
        </is>
      </c>
      <c r="E5" t="n">
        <v>17.08</v>
      </c>
      <c r="F5" t="n">
        <v>3330.6</v>
      </c>
      <c r="G5" t="n">
        <v>538619</v>
      </c>
      <c r="H5" t="n">
        <v>0.006183591741100852</v>
      </c>
      <c r="I5" t="n">
        <v>58340</v>
      </c>
      <c r="J5" t="n">
        <v>360.75</v>
      </c>
      <c r="K5" t="inlineStr">
        <is>
          <t>No existe tarifa BonCalidad para socio=1443 campaña=2026 empresa=1 cultivo=MANDARINA.; No existe fuente acumulada disponible; saldo informativo calculado con cuota ya aplicada = 0.</t>
        </is>
      </c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inlineStr">
        <is>
          <t>calculated</t>
        </is>
      </c>
      <c r="E6" t="n">
        <v>13.82</v>
      </c>
      <c r="F6" t="n">
        <v>2694.9</v>
      </c>
      <c r="G6" t="n">
        <v>109865</v>
      </c>
      <c r="H6" t="n">
        <v>0.02452919492103946</v>
      </c>
      <c r="I6" t="n">
        <v>19050</v>
      </c>
      <c r="J6" t="n">
        <v>467.28</v>
      </c>
      <c r="K6" t="inlineStr">
        <is>
          <t>No existe tarifa BonCalidad para socio=1478 campaña=2026 empresa=1 cultivo=MANDARINA.; No existe fuente acumulada disponible; saldo informativo calculado con cuota ya aplicada = 0.</t>
        </is>
      </c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inlineStr">
        <is>
          <t>calculated</t>
        </is>
      </c>
      <c r="E7" t="n">
        <v>21.63</v>
      </c>
      <c r="F7" t="n">
        <v>4217.85</v>
      </c>
      <c r="G7" t="n">
        <v>580520</v>
      </c>
      <c r="H7" t="n">
        <v>0.007265641149314408</v>
      </c>
      <c r="I7" t="n">
        <v>19718</v>
      </c>
      <c r="J7" t="n">
        <v>143.26</v>
      </c>
      <c r="K7" t="inlineStr">
        <is>
          <t>No existe tarifa BonCalidad para socio=1523 campaña=2026 empresa=1 cultivo=MANDARINA.;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  <row r="8">
      <c r="A8" t="n">
        <v>1561</v>
      </c>
      <c r="B8" t="inlineStr">
        <is>
          <t>SUAREZ SANCHEZ, Mª DEL PILAR</t>
        </is>
      </c>
      <c r="C8" t="inlineStr">
        <is>
          <t>TANGO</t>
        </is>
      </c>
      <c r="D8" t="inlineStr">
        <is>
          <t>calculated</t>
        </is>
      </c>
      <c r="E8" t="n">
        <v>17.71</v>
      </c>
      <c r="F8" t="n">
        <v>3453.45</v>
      </c>
      <c r="G8" t="n">
        <v>424745</v>
      </c>
      <c r="H8" t="n">
        <v>0.008130643091737395</v>
      </c>
      <c r="I8" t="n">
        <v>37224</v>
      </c>
      <c r="J8" t="n">
        <v>302.66</v>
      </c>
      <c r="K8" t="inlineStr">
        <is>
          <t>No existe tarifa BonCalidad para socio=1561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18104</v>
      </c>
      <c r="R2" t="n">
        <v>17177.09</v>
      </c>
      <c r="S2" t="n">
        <v>17177.09</v>
      </c>
      <c r="T2" t="n">
        <v>309.7</v>
      </c>
      <c r="U2" t="n">
        <v>309.7</v>
      </c>
      <c r="V2" t="n">
        <v>309.7</v>
      </c>
      <c r="W2" t="n">
        <v>309.7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SÍ</t>
        </is>
      </c>
      <c r="J3" t="inlineStr">
        <is>
          <t>MANDARINA, SANDIA</t>
        </is>
      </c>
      <c r="K3" t="inlineStr">
        <is>
          <t>SANDIA</t>
        </is>
      </c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99440</v>
      </c>
      <c r="R3" t="n">
        <v>94575.85012</v>
      </c>
      <c r="S3" t="n">
        <v>94575.85012</v>
      </c>
      <c r="T3" t="n">
        <v>1705.2</v>
      </c>
      <c r="U3" t="n">
        <v>1705.2</v>
      </c>
      <c r="V3" t="n">
        <v>1705.2</v>
      </c>
      <c r="W3" t="n">
        <v>1705.2</v>
      </c>
      <c r="X3" t="inlineStr">
        <is>
          <t>calculated</t>
        </is>
      </c>
      <c r="Y3" t="inlineStr">
        <is>
          <t>El socio 1324 figura certificado GlobalGAP en MANDARINA, SANDIA pero no en SANDIA. Se ha aplicado la certificación global del socio. Revise DEEPP.</t>
        </is>
      </c>
      <c r="Z3" t="inlineStr">
        <is>
          <t>SÍ</t>
        </is>
      </c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CITRICOS, MANDARINA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24726</v>
      </c>
      <c r="R4" t="n">
        <v>23629.89352</v>
      </c>
      <c r="S4" t="n">
        <v>23629.89352</v>
      </c>
      <c r="T4" t="n">
        <v>426.05</v>
      </c>
      <c r="U4" t="n">
        <v>426.05</v>
      </c>
      <c r="V4" t="n">
        <v>426.05</v>
      </c>
      <c r="W4" t="n">
        <v>426.05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inlineStr">
        <is>
          <t>2026</t>
        </is>
      </c>
      <c r="E5" t="inlineStr">
        <is>
          <t>1</t>
        </is>
      </c>
      <c r="F5" t="inlineStr">
        <is>
          <t>MANDARINA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CITRICOS, KAKIS, MANDARINA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58340</v>
      </c>
      <c r="R5" t="n">
        <v>55459.11789</v>
      </c>
      <c r="S5" t="n">
        <v>55459.11789</v>
      </c>
      <c r="T5" t="n">
        <v>999.9299999999999</v>
      </c>
      <c r="U5" t="n">
        <v>999.9299999999999</v>
      </c>
      <c r="V5" t="n">
        <v>999.9299999999999</v>
      </c>
      <c r="W5" t="n">
        <v>999.9299999999999</v>
      </c>
      <c r="X5" t="inlineStr">
        <is>
          <t>calculated</t>
        </is>
      </c>
      <c r="Y5" t="inlineStr"/>
      <c r="Z5" t="inlineStr">
        <is>
          <t>SÍ</t>
        </is>
      </c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inlineStr">
        <is>
          <t>2026</t>
        </is>
      </c>
      <c r="E6" t="inlineStr">
        <is>
          <t>1</t>
        </is>
      </c>
      <c r="F6" t="inlineStr">
        <is>
          <t>MANDARINA</t>
        </is>
      </c>
      <c r="G6" t="inlineStr">
        <is>
          <t>SÍ</t>
        </is>
      </c>
      <c r="H6" t="inlineStr">
        <is>
          <t>SÍ</t>
        </is>
      </c>
      <c r="I6" t="inlineStr">
        <is>
          <t>NO</t>
        </is>
      </c>
      <c r="J6" t="inlineStr">
        <is>
          <t>KAKIS, MANDARINA, SANDIA</t>
        </is>
      </c>
      <c r="K6" t="inlineStr"/>
      <c r="L6" t="inlineStr">
        <is>
          <t>ORO</t>
        </is>
      </c>
      <c r="M6" t="n">
        <v>1</v>
      </c>
      <c r="N6" t="n">
        <v>0.01803</v>
      </c>
      <c r="O6" t="n">
        <v>0</v>
      </c>
      <c r="P6" t="inlineStr">
        <is>
          <t>neto_comercial</t>
        </is>
      </c>
      <c r="Q6" t="n">
        <v>19050</v>
      </c>
      <c r="R6" t="n">
        <v>16822</v>
      </c>
      <c r="S6" t="n">
        <v>16822</v>
      </c>
      <c r="T6" t="n">
        <v>303.3</v>
      </c>
      <c r="U6" t="n">
        <v>303.3</v>
      </c>
      <c r="V6" t="n">
        <v>303.3</v>
      </c>
      <c r="W6" t="n">
        <v>303.3</v>
      </c>
      <c r="X6" t="inlineStr">
        <is>
          <t>calculated</t>
        </is>
      </c>
      <c r="Y6" t="inlineStr"/>
      <c r="Z6" t="inlineStr">
        <is>
          <t>SÍ</t>
        </is>
      </c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inlineStr">
        <is>
          <t>2026</t>
        </is>
      </c>
      <c r="E7" t="inlineStr">
        <is>
          <t>1</t>
        </is>
      </c>
      <c r="F7" t="inlineStr">
        <is>
          <t>MANDARINA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CITRICOS, KAKIS, MANDARINA</t>
        </is>
      </c>
      <c r="K7" t="inlineStr">
        <is>
          <t>CITRICOS</t>
        </is>
      </c>
      <c r="L7" t="inlineStr">
        <is>
          <t>ORO</t>
        </is>
      </c>
      <c r="M7" t="n">
        <v>1</v>
      </c>
      <c r="N7" t="n">
        <v>0.01803</v>
      </c>
      <c r="O7" t="n">
        <v>0</v>
      </c>
      <c r="P7" t="inlineStr">
        <is>
          <t>neto_comercial</t>
        </is>
      </c>
      <c r="Q7" t="n">
        <v>19718</v>
      </c>
      <c r="R7" t="n">
        <v>18730</v>
      </c>
      <c r="S7" t="n">
        <v>18730</v>
      </c>
      <c r="T7" t="n">
        <v>337.7</v>
      </c>
      <c r="U7" t="n">
        <v>337.7</v>
      </c>
      <c r="V7" t="n">
        <v>337.7</v>
      </c>
      <c r="W7" t="n">
        <v>337.7</v>
      </c>
      <c r="X7" t="inlineStr">
        <is>
          <t>calculated</t>
        </is>
      </c>
      <c r="Y7" t="inlineStr">
        <is>
          <t>El socio 1523 figura certificado GlobalGAP en CITRICOS, KAKIS, MANDARINA pero no en CITRICOS. Se ha aplicado la certificación global del socio. Revise DEEPP.</t>
        </is>
      </c>
      <c r="Z7" t="inlineStr">
        <is>
          <t>SÍ</t>
        </is>
      </c>
    </row>
    <row r="8">
      <c r="A8" t="n">
        <v>1561</v>
      </c>
      <c r="B8" t="inlineStr">
        <is>
          <t>SUAREZ SANCHEZ, Mª DEL PILAR</t>
        </is>
      </c>
      <c r="C8" t="inlineStr">
        <is>
          <t>TANGO</t>
        </is>
      </c>
      <c r="D8" t="inlineStr">
        <is>
          <t>2026</t>
        </is>
      </c>
      <c r="E8" t="inlineStr">
        <is>
          <t>1</t>
        </is>
      </c>
      <c r="F8" t="inlineStr">
        <is>
          <t>MANDARINA</t>
        </is>
      </c>
      <c r="G8" t="inlineStr">
        <is>
          <t>SÍ</t>
        </is>
      </c>
      <c r="H8" t="inlineStr">
        <is>
          <t>SÍ</t>
        </is>
      </c>
      <c r="I8" t="inlineStr">
        <is>
          <t>NO</t>
        </is>
      </c>
      <c r="J8" t="inlineStr">
        <is>
          <t>CITRICOS, MANDARINA</t>
        </is>
      </c>
      <c r="K8" t="inlineStr"/>
      <c r="L8" t="inlineStr">
        <is>
          <t>ORO</t>
        </is>
      </c>
      <c r="M8" t="n">
        <v>1</v>
      </c>
      <c r="N8" t="n">
        <v>0.01803</v>
      </c>
      <c r="O8" t="n">
        <v>0</v>
      </c>
      <c r="P8" t="inlineStr">
        <is>
          <t>neto_comercial</t>
        </is>
      </c>
      <c r="Q8" t="n">
        <v>37224</v>
      </c>
      <c r="R8" t="n">
        <v>35881.60457</v>
      </c>
      <c r="S8" t="n">
        <v>35881.60457</v>
      </c>
      <c r="T8" t="n">
        <v>646.95</v>
      </c>
      <c r="U8" t="n">
        <v>646.95</v>
      </c>
      <c r="V8" t="n">
        <v>646.95</v>
      </c>
      <c r="W8" t="n">
        <v>646.95</v>
      </c>
      <c r="X8" t="inlineStr">
        <is>
          <t>calculated</t>
        </is>
      </c>
      <c r="Y8" t="inlineStr"/>
      <c r="Z8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3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n">
        <v>14207.77</v>
      </c>
      <c r="E2" t="n">
        <v>14207.77</v>
      </c>
      <c r="F2" t="n">
        <v>2263</v>
      </c>
      <c r="G2" t="n">
        <v>164.37</v>
      </c>
      <c r="H2" t="n">
        <v>0</v>
      </c>
      <c r="I2" t="n">
        <v>0</v>
      </c>
      <c r="J2" t="n">
        <v>309.7</v>
      </c>
      <c r="K2" t="n">
        <v>12090.1</v>
      </c>
      <c r="L2" t="n">
        <v>12090.1</v>
      </c>
      <c r="M2" t="n">
        <v>12090.1</v>
      </c>
      <c r="N2" t="n">
        <v>0</v>
      </c>
      <c r="O2" t="n">
        <v>0.66781</v>
      </c>
      <c r="P2" t="n">
        <v>0.73299</v>
      </c>
      <c r="Q2" t="inlineStr">
        <is>
          <t>SÍ</t>
        </is>
      </c>
      <c r="R2" t="inlineStr"/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80750.06</v>
      </c>
      <c r="E3" t="n">
        <v>80750.06</v>
      </c>
      <c r="F3" t="n">
        <v>12430.01</v>
      </c>
      <c r="G3" t="n">
        <v>344.75</v>
      </c>
      <c r="H3" t="n">
        <v>0</v>
      </c>
      <c r="I3" t="n">
        <v>0</v>
      </c>
      <c r="J3" t="n">
        <v>1705.2</v>
      </c>
      <c r="K3" t="n">
        <v>69680.5</v>
      </c>
      <c r="L3" t="n">
        <v>69680.5</v>
      </c>
      <c r="M3" t="n">
        <v>69680.5</v>
      </c>
      <c r="N3" t="n">
        <v>0</v>
      </c>
      <c r="O3" t="n">
        <v>0.70073</v>
      </c>
      <c r="P3" t="n">
        <v>0.76912</v>
      </c>
      <c r="Q3" t="inlineStr">
        <is>
          <t>SÍ</t>
        </is>
      </c>
      <c r="R3" t="inlineStr"/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n">
        <v>20038.48</v>
      </c>
      <c r="E4" t="n">
        <v>20038.48</v>
      </c>
      <c r="F4" t="n">
        <v>0</v>
      </c>
      <c r="G4" t="n">
        <v>87.13</v>
      </c>
      <c r="H4" t="n">
        <v>0</v>
      </c>
      <c r="I4" t="n">
        <v>0</v>
      </c>
      <c r="J4" t="n">
        <v>426.05</v>
      </c>
      <c r="K4" t="n">
        <v>20377.4</v>
      </c>
      <c r="L4" t="n">
        <v>20377.4</v>
      </c>
      <c r="M4" t="n">
        <v>20377.4</v>
      </c>
      <c r="N4" t="n">
        <v>0</v>
      </c>
      <c r="O4" t="n">
        <v>0.82413</v>
      </c>
      <c r="P4" t="n">
        <v>0.90456</v>
      </c>
      <c r="Q4" t="inlineStr">
        <is>
          <t>SÍ</t>
        </is>
      </c>
      <c r="R4" t="inlineStr"/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n">
        <v>46782.33</v>
      </c>
      <c r="E5" t="n">
        <v>46782.33</v>
      </c>
      <c r="F5" t="n">
        <v>0</v>
      </c>
      <c r="G5" t="n">
        <v>360.75</v>
      </c>
      <c r="H5" t="n">
        <v>0</v>
      </c>
      <c r="I5" t="n">
        <v>0</v>
      </c>
      <c r="J5" t="n">
        <v>999.9299999999999</v>
      </c>
      <c r="K5" t="n">
        <v>47421.51</v>
      </c>
      <c r="L5" t="n">
        <v>47421.51</v>
      </c>
      <c r="M5" t="n">
        <v>47421.51</v>
      </c>
      <c r="N5" t="n">
        <v>0</v>
      </c>
      <c r="O5" t="n">
        <v>0.81285</v>
      </c>
      <c r="P5" t="n">
        <v>0.89218</v>
      </c>
      <c r="Q5" t="inlineStr">
        <is>
          <t>SÍ</t>
        </is>
      </c>
      <c r="R5" t="inlineStr"/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n">
        <v>14248.28</v>
      </c>
      <c r="E6" t="n">
        <v>14248.28</v>
      </c>
      <c r="F6" t="n">
        <v>2381.25</v>
      </c>
      <c r="G6" t="n">
        <v>467.28</v>
      </c>
      <c r="H6" t="n">
        <v>0</v>
      </c>
      <c r="I6" t="n">
        <v>0</v>
      </c>
      <c r="J6" t="n">
        <v>303.3</v>
      </c>
      <c r="K6" t="n">
        <v>11703.05</v>
      </c>
      <c r="L6" t="n">
        <v>11703.05</v>
      </c>
      <c r="M6" t="n">
        <v>11703.05</v>
      </c>
      <c r="N6" t="n">
        <v>0</v>
      </c>
      <c r="O6" t="n">
        <v>0.61433</v>
      </c>
      <c r="P6" t="n">
        <v>0.63891</v>
      </c>
      <c r="Q6" t="inlineStr">
        <is>
          <t>SÍ</t>
        </is>
      </c>
      <c r="R6" t="inlineStr"/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n">
        <v>15852.83</v>
      </c>
      <c r="E7" t="n">
        <v>15852.83</v>
      </c>
      <c r="F7" t="n">
        <v>2464.75</v>
      </c>
      <c r="G7" t="n">
        <v>143.26</v>
      </c>
      <c r="H7" t="n">
        <v>0</v>
      </c>
      <c r="I7" t="n">
        <v>0</v>
      </c>
      <c r="J7" t="n">
        <v>337.7</v>
      </c>
      <c r="K7" t="n">
        <v>13582.52</v>
      </c>
      <c r="L7" t="n">
        <v>13582.52</v>
      </c>
      <c r="M7" t="n">
        <v>13582.52</v>
      </c>
      <c r="N7" t="n">
        <v>0</v>
      </c>
      <c r="O7" t="n">
        <v>0.68884</v>
      </c>
      <c r="P7" t="n">
        <v>0.75607</v>
      </c>
      <c r="Q7" t="inlineStr">
        <is>
          <t>SÍ</t>
        </is>
      </c>
      <c r="R7" t="inlineStr"/>
    </row>
    <row r="8">
      <c r="A8" t="n">
        <v>1561</v>
      </c>
      <c r="B8" t="inlineStr">
        <is>
          <t>SUAREZ SANCHEZ, Mª DEL PILAR</t>
        </is>
      </c>
      <c r="C8" t="inlineStr">
        <is>
          <t>TANGO</t>
        </is>
      </c>
      <c r="D8" t="n">
        <v>31235.58</v>
      </c>
      <c r="E8" t="n">
        <v>31235.58</v>
      </c>
      <c r="F8" t="n">
        <v>0</v>
      </c>
      <c r="G8" t="n">
        <v>302.66</v>
      </c>
      <c r="H8" t="n">
        <v>0</v>
      </c>
      <c r="I8" t="n">
        <v>0</v>
      </c>
      <c r="J8" t="n">
        <v>646.95</v>
      </c>
      <c r="K8" t="n">
        <v>31579.87</v>
      </c>
      <c r="L8" t="n">
        <v>31579.87</v>
      </c>
      <c r="M8" t="n">
        <v>31579.87</v>
      </c>
      <c r="N8" t="n">
        <v>0</v>
      </c>
      <c r="O8" t="n">
        <v>0.84837</v>
      </c>
      <c r="P8" t="n">
        <v>0.93118</v>
      </c>
      <c r="Q8" t="inlineStr">
        <is>
          <t>SÍ</t>
        </is>
      </c>
      <c r="R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n">
        <v>12090.1</v>
      </c>
      <c r="E2" t="n">
        <v>12</v>
      </c>
      <c r="F2" t="n">
        <v>1.12</v>
      </c>
      <c r="G2" t="n">
        <v>1450.81</v>
      </c>
      <c r="H2" t="n">
        <v>13540.91</v>
      </c>
      <c r="I2" t="n">
        <v>2</v>
      </c>
      <c r="J2" t="n">
        <v>0.98</v>
      </c>
      <c r="K2" t="n">
        <v>270.82</v>
      </c>
      <c r="L2" t="n">
        <v>13270.09</v>
      </c>
      <c r="M2" t="n">
        <v>13270.09</v>
      </c>
      <c r="N2" t="n">
        <v>13270.09</v>
      </c>
      <c r="O2" t="n">
        <v>18104</v>
      </c>
      <c r="P2" t="n">
        <v>0.73299</v>
      </c>
      <c r="Q2" t="n">
        <v>0.73299</v>
      </c>
      <c r="R2" t="n">
        <v>0.73299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69680.5</v>
      </c>
      <c r="E3" t="n">
        <v>12</v>
      </c>
      <c r="F3" t="n">
        <v>1.12</v>
      </c>
      <c r="G3" t="n">
        <v>8361.66</v>
      </c>
      <c r="H3" t="n">
        <v>78042.16</v>
      </c>
      <c r="I3" t="n">
        <v>2</v>
      </c>
      <c r="J3" t="n">
        <v>0.98</v>
      </c>
      <c r="K3" t="n">
        <v>1560.84</v>
      </c>
      <c r="L3" t="n">
        <v>76481.32000000001</v>
      </c>
      <c r="M3" t="n">
        <v>76481.32000000001</v>
      </c>
      <c r="N3" t="n">
        <v>76481.32000000001</v>
      </c>
      <c r="O3" t="n">
        <v>99440</v>
      </c>
      <c r="P3" t="n">
        <v>0.76912</v>
      </c>
      <c r="Q3" t="n">
        <v>0.76912</v>
      </c>
      <c r="R3" t="n">
        <v>0.76912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n">
        <v>20377.4</v>
      </c>
      <c r="E4" t="n">
        <v>12</v>
      </c>
      <c r="F4" t="n">
        <v>1.12</v>
      </c>
      <c r="G4" t="n">
        <v>2445.29</v>
      </c>
      <c r="H4" t="n">
        <v>22822.69</v>
      </c>
      <c r="I4" t="n">
        <v>2</v>
      </c>
      <c r="J4" t="n">
        <v>0.98</v>
      </c>
      <c r="K4" t="n">
        <v>456.45</v>
      </c>
      <c r="L4" t="n">
        <v>22366.23</v>
      </c>
      <c r="M4" t="n">
        <v>22366.23</v>
      </c>
      <c r="N4" t="n">
        <v>22366.23</v>
      </c>
      <c r="O4" t="n">
        <v>24726</v>
      </c>
      <c r="P4" t="n">
        <v>0.90456</v>
      </c>
      <c r="Q4" t="n">
        <v>0.90456</v>
      </c>
      <c r="R4" t="n">
        <v>0.90456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n">
        <v>47421.51</v>
      </c>
      <c r="E5" t="n">
        <v>12</v>
      </c>
      <c r="F5" t="n">
        <v>1.12</v>
      </c>
      <c r="G5" t="n">
        <v>5690.58</v>
      </c>
      <c r="H5" t="n">
        <v>53112.09</v>
      </c>
      <c r="I5" t="n">
        <v>2</v>
      </c>
      <c r="J5" t="n">
        <v>0.98</v>
      </c>
      <c r="K5" t="n">
        <v>1062.24</v>
      </c>
      <c r="L5" t="n">
        <v>52049.85</v>
      </c>
      <c r="M5" t="n">
        <v>52049.85</v>
      </c>
      <c r="N5" t="n">
        <v>52049.85</v>
      </c>
      <c r="O5" t="n">
        <v>58340</v>
      </c>
      <c r="P5" t="n">
        <v>0.89218</v>
      </c>
      <c r="Q5" t="n">
        <v>0.89218</v>
      </c>
      <c r="R5" t="n">
        <v>0.89218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n">
        <v>11703.05</v>
      </c>
      <c r="E6" t="n">
        <v>4</v>
      </c>
      <c r="F6" t="n">
        <v>1.04</v>
      </c>
      <c r="G6" t="n">
        <v>468.12</v>
      </c>
      <c r="H6" t="n">
        <v>12171.17</v>
      </c>
      <c r="I6" t="n">
        <v>0</v>
      </c>
      <c r="J6" t="n">
        <v>1</v>
      </c>
      <c r="K6" t="n">
        <v>0</v>
      </c>
      <c r="L6" t="n">
        <v>12171.17</v>
      </c>
      <c r="M6" t="n">
        <v>12171.17</v>
      </c>
      <c r="N6" t="n">
        <v>12171.17</v>
      </c>
      <c r="O6" t="n">
        <v>19050</v>
      </c>
      <c r="P6" t="n">
        <v>0.63891</v>
      </c>
      <c r="Q6" t="n">
        <v>0.63891</v>
      </c>
      <c r="R6" t="n">
        <v>0.63891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n">
        <v>13582.52</v>
      </c>
      <c r="E7" t="n">
        <v>12</v>
      </c>
      <c r="F7" t="n">
        <v>1.12</v>
      </c>
      <c r="G7" t="n">
        <v>1629.9</v>
      </c>
      <c r="H7" t="n">
        <v>15212.42</v>
      </c>
      <c r="I7" t="n">
        <v>2</v>
      </c>
      <c r="J7" t="n">
        <v>0.98</v>
      </c>
      <c r="K7" t="n">
        <v>304.25</v>
      </c>
      <c r="L7" t="n">
        <v>14908.17</v>
      </c>
      <c r="M7" t="n">
        <v>14908.17</v>
      </c>
      <c r="N7" t="n">
        <v>14908.17</v>
      </c>
      <c r="O7" t="n">
        <v>19718</v>
      </c>
      <c r="P7" t="n">
        <v>0.75607</v>
      </c>
      <c r="Q7" t="n">
        <v>0.75607</v>
      </c>
      <c r="R7" t="n">
        <v>0.75607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1561</v>
      </c>
      <c r="B8" t="inlineStr">
        <is>
          <t>SUAREZ SANCHEZ, Mª DEL PILAR</t>
        </is>
      </c>
      <c r="C8" t="inlineStr">
        <is>
          <t>TANGO</t>
        </is>
      </c>
      <c r="D8" t="n">
        <v>31579.87</v>
      </c>
      <c r="E8" t="n">
        <v>12</v>
      </c>
      <c r="F8" t="n">
        <v>1.12</v>
      </c>
      <c r="G8" t="n">
        <v>3789.58</v>
      </c>
      <c r="H8" t="n">
        <v>35369.45</v>
      </c>
      <c r="I8" t="n">
        <v>2</v>
      </c>
      <c r="J8" t="n">
        <v>0.98</v>
      </c>
      <c r="K8" t="n">
        <v>707.39</v>
      </c>
      <c r="L8" t="n">
        <v>34662.07</v>
      </c>
      <c r="M8" t="n">
        <v>34662.07</v>
      </c>
      <c r="N8" t="n">
        <v>34662.07</v>
      </c>
      <c r="O8" t="n">
        <v>37224</v>
      </c>
      <c r="P8" t="n">
        <v>0.93118</v>
      </c>
      <c r="Q8" t="n">
        <v>0.93118</v>
      </c>
      <c r="R8" t="n">
        <v>0.93118</v>
      </c>
      <c r="S8" t="n">
        <v>0</v>
      </c>
      <c r="T8" t="n">
        <v>0</v>
      </c>
      <c r="U8" t="inlineStr">
        <is>
          <t>SÍ</t>
        </is>
      </c>
      <c r="V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10.97</v>
      </c>
      <c r="M2" t="n">
        <v>195</v>
      </c>
      <c r="N2" t="n">
        <v>2139.15</v>
      </c>
      <c r="O2" t="n">
        <v>235605</v>
      </c>
      <c r="P2" t="n">
        <v>0.009079391354173299</v>
      </c>
      <c r="Q2" t="n">
        <v>18104</v>
      </c>
      <c r="R2" t="n">
        <v>164.37</v>
      </c>
      <c r="S2" t="n">
        <v>0</v>
      </c>
      <c r="T2" t="n">
        <v>164.37</v>
      </c>
      <c r="U2" t="n">
        <v>1974.78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socio=1214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2</v>
      </c>
      <c r="J3" t="n">
        <v>0</v>
      </c>
      <c r="K3" t="n">
        <v>0</v>
      </c>
      <c r="L3" t="n">
        <v>2.48</v>
      </c>
      <c r="M3" t="n">
        <v>195</v>
      </c>
      <c r="N3" t="n">
        <v>483.6</v>
      </c>
      <c r="O3" t="n">
        <v>139490</v>
      </c>
      <c r="P3" t="n">
        <v>0.003466915191053122</v>
      </c>
      <c r="Q3" t="n">
        <v>99440</v>
      </c>
      <c r="R3" t="n">
        <v>344.75</v>
      </c>
      <c r="S3" t="n">
        <v>0</v>
      </c>
      <c r="T3" t="n">
        <v>344.75</v>
      </c>
      <c r="U3" t="n">
        <v>138.85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socio=1324 campaña=2026 empresa=1 cultivo=MANDARINA.; El socio 1324 figura certificado GlobalGAP en MANDARINA, SANDIA pero no en SANDIA. Se ha aplicado la certificación global del socio. Revise DEEPP.; No existe fuente acumulada disponible; saldo informativo calculado con cuota ya aplicada = 0.</t>
        </is>
      </c>
      <c r="Y3" t="inlineStr">
        <is>
          <t>SÍ</t>
        </is>
      </c>
    </row>
    <row r="4">
      <c r="A4" t="n">
        <v>1415</v>
      </c>
      <c r="B4" t="inlineStr">
        <is>
          <t>TOMENO SUAREZ,FERNANDO</t>
        </is>
      </c>
      <c r="C4" t="inlineStr">
        <is>
          <t>TANGO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5</v>
      </c>
      <c r="H4" t="n">
        <v>4</v>
      </c>
      <c r="I4" t="n">
        <v>4</v>
      </c>
      <c r="J4" t="n">
        <v>0</v>
      </c>
      <c r="K4" t="n">
        <v>0</v>
      </c>
      <c r="L4" t="n">
        <v>7.49</v>
      </c>
      <c r="M4" t="n">
        <v>195</v>
      </c>
      <c r="N4" t="n">
        <v>1460.55</v>
      </c>
      <c r="O4" t="n">
        <v>414468</v>
      </c>
      <c r="P4" t="n">
        <v>0.003523914994643736</v>
      </c>
      <c r="Q4" t="n">
        <v>24726</v>
      </c>
      <c r="R4" t="n">
        <v>87.13</v>
      </c>
      <c r="S4" t="n">
        <v>0</v>
      </c>
      <c r="T4" t="n">
        <v>87.13</v>
      </c>
      <c r="U4" t="n">
        <v>1373.42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socio=1415 campaña=2026 empresa=1 cultivo=MANDARINA.; No existe fuente acumulada disponible; saldo informativo calculado con cuota ya aplicada = 0.</t>
        </is>
      </c>
      <c r="Y4" t="inlineStr">
        <is>
          <t>SÍ</t>
        </is>
      </c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5</v>
      </c>
      <c r="H5" t="n">
        <v>5</v>
      </c>
      <c r="I5" t="n">
        <v>12</v>
      </c>
      <c r="J5" t="n">
        <v>3</v>
      </c>
      <c r="K5" t="n">
        <v>0</v>
      </c>
      <c r="L5" t="n">
        <v>17.08</v>
      </c>
      <c r="M5" t="n">
        <v>195</v>
      </c>
      <c r="N5" t="n">
        <v>3330.6</v>
      </c>
      <c r="O5" t="n">
        <v>538619</v>
      </c>
      <c r="P5" t="n">
        <v>0.006183591741100852</v>
      </c>
      <c r="Q5" t="n">
        <v>58340</v>
      </c>
      <c r="R5" t="n">
        <v>360.75</v>
      </c>
      <c r="S5" t="n">
        <v>0</v>
      </c>
      <c r="T5" t="n">
        <v>360.75</v>
      </c>
      <c r="U5" t="n">
        <v>2969.85</v>
      </c>
      <c r="V5" t="inlineStr">
        <is>
          <t>OPEN</t>
        </is>
      </c>
      <c r="W5" t="inlineStr">
        <is>
          <t>calculated</t>
        </is>
      </c>
      <c r="X5" t="inlineStr">
        <is>
          <t>No existe tarifa BonCalidad para socio=1443 campaña=2026 empresa=1 cultivo=MANDARINA.; No existe fuente acumulada disponible; saldo informativo calculado con cuota ya aplicada = 0.</t>
        </is>
      </c>
      <c r="Y5" t="inlineStr">
        <is>
          <t>SÍ</t>
        </is>
      </c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3</v>
      </c>
      <c r="H6" t="n">
        <v>3</v>
      </c>
      <c r="I6" t="n">
        <v>4</v>
      </c>
      <c r="J6" t="n">
        <v>0</v>
      </c>
      <c r="K6" t="n">
        <v>0</v>
      </c>
      <c r="L6" t="n">
        <v>13.82</v>
      </c>
      <c r="M6" t="n">
        <v>195</v>
      </c>
      <c r="N6" t="n">
        <v>2694.9</v>
      </c>
      <c r="O6" t="n">
        <v>109865</v>
      </c>
      <c r="P6" t="n">
        <v>0.02452919492103946</v>
      </c>
      <c r="Q6" t="n">
        <v>19050</v>
      </c>
      <c r="R6" t="n">
        <v>467.28</v>
      </c>
      <c r="S6" t="n">
        <v>0</v>
      </c>
      <c r="T6" t="n">
        <v>467.28</v>
      </c>
      <c r="U6" t="n">
        <v>2227.62</v>
      </c>
      <c r="V6" t="inlineStr">
        <is>
          <t>OPEN</t>
        </is>
      </c>
      <c r="W6" t="inlineStr">
        <is>
          <t>calculated</t>
        </is>
      </c>
      <c r="X6" t="inlineStr">
        <is>
          <t>No existe tarifa BonCalidad para socio=1478 campaña=2026 empresa=1 cultivo=MANDARINA.; No existe fuente acumulada disponible; saldo informativo calculado con cuota ya aplicada = 0.</t>
        </is>
      </c>
      <c r="Y6" t="inlineStr">
        <is>
          <t>SÍ</t>
        </is>
      </c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8</v>
      </c>
      <c r="H7" t="n">
        <v>6</v>
      </c>
      <c r="I7" t="n">
        <v>9</v>
      </c>
      <c r="J7" t="n">
        <v>0</v>
      </c>
      <c r="K7" t="n">
        <v>0</v>
      </c>
      <c r="L7" t="n">
        <v>21.63</v>
      </c>
      <c r="M7" t="n">
        <v>195</v>
      </c>
      <c r="N7" t="n">
        <v>4217.85</v>
      </c>
      <c r="O7" t="n">
        <v>580520</v>
      </c>
      <c r="P7" t="n">
        <v>0.007265641149314408</v>
      </c>
      <c r="Q7" t="n">
        <v>19718</v>
      </c>
      <c r="R7" t="n">
        <v>143.26</v>
      </c>
      <c r="S7" t="n">
        <v>0</v>
      </c>
      <c r="T7" t="n">
        <v>143.26</v>
      </c>
      <c r="U7" t="n">
        <v>4074.59</v>
      </c>
      <c r="V7" t="inlineStr">
        <is>
          <t>OPEN</t>
        </is>
      </c>
      <c r="W7" t="inlineStr">
        <is>
          <t>calculated</t>
        </is>
      </c>
      <c r="X7" t="inlineStr">
        <is>
          <t>No existe tarifa BonCalidad para socio=1523 campaña=2026 empresa=1 cultivo=MANDARINA.;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7" t="inlineStr">
        <is>
          <t>SÍ</t>
        </is>
      </c>
    </row>
    <row r="8">
      <c r="A8" t="n">
        <v>1561</v>
      </c>
      <c r="B8" t="inlineStr">
        <is>
          <t>SUAREZ SANCHEZ, Mª DEL PILAR</t>
        </is>
      </c>
      <c r="C8" t="inlineStr">
        <is>
          <t>TANGO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5</v>
      </c>
      <c r="H8" t="n">
        <v>4</v>
      </c>
      <c r="I8" t="n">
        <v>14</v>
      </c>
      <c r="J8" t="n">
        <v>4</v>
      </c>
      <c r="K8" t="n">
        <v>0</v>
      </c>
      <c r="L8" t="n">
        <v>17.71</v>
      </c>
      <c r="M8" t="n">
        <v>195</v>
      </c>
      <c r="N8" t="n">
        <v>3453.45</v>
      </c>
      <c r="O8" t="n">
        <v>424745</v>
      </c>
      <c r="P8" t="n">
        <v>0.008130643091737395</v>
      </c>
      <c r="Q8" t="n">
        <v>37224</v>
      </c>
      <c r="R8" t="n">
        <v>302.66</v>
      </c>
      <c r="S8" t="n">
        <v>0</v>
      </c>
      <c r="T8" t="n">
        <v>302.66</v>
      </c>
      <c r="U8" t="n">
        <v>3150.79</v>
      </c>
      <c r="V8" t="inlineStr">
        <is>
          <t>OPEN</t>
        </is>
      </c>
      <c r="W8" t="inlineStr">
        <is>
          <t>calculated</t>
        </is>
      </c>
      <c r="X8" t="inlineStr">
        <is>
          <t>No existe tarifa BonCalidad para socio=1561 campaña=2026 empresa=1 cultivo=MANDARINA.; No existe fuente acumulada disponible; saldo informativo calculado con cuota ya aplicada = 0.</t>
        </is>
      </c>
      <c r="Y8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6455</t>
        </is>
      </c>
      <c r="E2" t="inlineStr">
        <is>
          <t>20</t>
        </is>
      </c>
      <c r="F2" t="inlineStr">
        <is>
          <t>9</t>
        </is>
      </c>
      <c r="G2" t="inlineStr">
        <is>
          <t>1</t>
        </is>
      </c>
      <c r="H2" t="n">
        <v>2016</v>
      </c>
      <c r="I2" t="n">
        <v>4.98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10.97</v>
      </c>
      <c r="P2" t="n">
        <v>2139.15</v>
      </c>
      <c r="Q2" t="n">
        <v>235605</v>
      </c>
      <c r="R2" t="n">
        <v>0.009079391354173299</v>
      </c>
      <c r="S2" t="n">
        <v>18104</v>
      </c>
      <c r="T2" t="n">
        <v>164.37</v>
      </c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6456</t>
        </is>
      </c>
      <c r="E3" t="inlineStr">
        <is>
          <t>19</t>
        </is>
      </c>
      <c r="F3" t="inlineStr">
        <is>
          <t>10</t>
        </is>
      </c>
      <c r="G3" t="inlineStr">
        <is>
          <t>5</t>
        </is>
      </c>
      <c r="H3" t="n">
        <v>2019</v>
      </c>
      <c r="I3" t="n">
        <v>5.99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10.97</v>
      </c>
      <c r="P3" t="n">
        <v>2139.15</v>
      </c>
      <c r="Q3" t="n">
        <v>235605</v>
      </c>
      <c r="R3" t="n">
        <v>0.009079391354173299</v>
      </c>
      <c r="S3" t="n">
        <v>18104</v>
      </c>
      <c r="T3" t="n">
        <v>164.37</v>
      </c>
    </row>
    <row r="4">
      <c r="A4" t="n">
        <v>1324</v>
      </c>
      <c r="B4" t="inlineStr">
        <is>
          <t>CANO MANZANARES,LUIS</t>
        </is>
      </c>
      <c r="C4" t="n">
        <v>607</v>
      </c>
      <c r="D4" t="inlineStr">
        <is>
          <t>6458</t>
        </is>
      </c>
      <c r="E4" t="inlineStr">
        <is>
          <t>29</t>
        </is>
      </c>
      <c r="F4" t="inlineStr">
        <is>
          <t>143</t>
        </is>
      </c>
      <c r="G4" t="inlineStr">
        <is>
          <t>2</t>
        </is>
      </c>
      <c r="H4" t="n">
        <v>2016</v>
      </c>
      <c r="I4" t="n">
        <v>1.21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2.48</v>
      </c>
      <c r="P4" t="n">
        <v>483.6</v>
      </c>
      <c r="Q4" t="n">
        <v>139490</v>
      </c>
      <c r="R4" t="n">
        <v>0.003466915191053122</v>
      </c>
      <c r="S4" t="n">
        <v>99440</v>
      </c>
      <c r="T4" t="n">
        <v>344.75</v>
      </c>
    </row>
    <row r="5">
      <c r="A5" t="n">
        <v>1324</v>
      </c>
      <c r="B5" t="inlineStr">
        <is>
          <t>CANO MANZANARES,LUIS</t>
        </is>
      </c>
      <c r="C5" t="n">
        <v>607</v>
      </c>
      <c r="D5" t="inlineStr">
        <is>
          <t>6459</t>
        </is>
      </c>
      <c r="E5" t="inlineStr">
        <is>
          <t>29</t>
        </is>
      </c>
      <c r="F5" t="inlineStr">
        <is>
          <t>71</t>
        </is>
      </c>
      <c r="G5" t="inlineStr">
        <is>
          <t>1</t>
        </is>
      </c>
      <c r="H5" t="n">
        <v>2016</v>
      </c>
      <c r="I5" t="n">
        <v>1.27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2.48</v>
      </c>
      <c r="P5" t="n">
        <v>483.6</v>
      </c>
      <c r="Q5" t="n">
        <v>139490</v>
      </c>
      <c r="R5" t="n">
        <v>0.003466915191053122</v>
      </c>
      <c r="S5" t="n">
        <v>99440</v>
      </c>
      <c r="T5" t="n">
        <v>344.75</v>
      </c>
    </row>
    <row r="6">
      <c r="A6" t="n">
        <v>1415</v>
      </c>
      <c r="B6" t="inlineStr">
        <is>
          <t>TOMENO SUAREZ,FERNANDO</t>
        </is>
      </c>
      <c r="C6" t="n">
        <v>708</v>
      </c>
      <c r="I6" t="n">
        <v>1.33</v>
      </c>
      <c r="J6" t="n">
        <v>0</v>
      </c>
      <c r="M6" t="inlineStr">
        <is>
          <t>No</t>
        </is>
      </c>
      <c r="N6" t="inlineStr">
        <is>
          <t>CHA_NO_SELECCIONADO; CHA_NO_ACTIVO</t>
        </is>
      </c>
      <c r="O6" t="n">
        <v>7.49</v>
      </c>
      <c r="P6" t="n">
        <v>1460.55</v>
      </c>
      <c r="Q6" t="n">
        <v>414468</v>
      </c>
      <c r="R6" t="n">
        <v>0.003523914994643736</v>
      </c>
      <c r="S6" t="n">
        <v>24726</v>
      </c>
      <c r="T6" t="n">
        <v>87.13</v>
      </c>
    </row>
    <row r="7">
      <c r="A7" t="n">
        <v>1415</v>
      </c>
      <c r="B7" t="inlineStr">
        <is>
          <t>TOMENO SUAREZ,FERNANDO</t>
        </is>
      </c>
      <c r="C7" t="n">
        <v>168</v>
      </c>
      <c r="D7" t="inlineStr">
        <is>
          <t>8790</t>
        </is>
      </c>
      <c r="E7" t="inlineStr">
        <is>
          <t>23</t>
        </is>
      </c>
      <c r="F7" t="inlineStr">
        <is>
          <t>60</t>
        </is>
      </c>
      <c r="G7" t="inlineStr">
        <is>
          <t>5</t>
        </is>
      </c>
      <c r="H7" t="n">
        <v>1990</v>
      </c>
      <c r="I7" t="n">
        <v>3.31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7.49</v>
      </c>
      <c r="P7" t="n">
        <v>1460.55</v>
      </c>
      <c r="Q7" t="n">
        <v>414468</v>
      </c>
      <c r="R7" t="n">
        <v>0.003523914994643736</v>
      </c>
      <c r="S7" t="n">
        <v>24726</v>
      </c>
      <c r="T7" t="n">
        <v>87.13</v>
      </c>
    </row>
    <row r="8">
      <c r="A8" t="n">
        <v>1415</v>
      </c>
      <c r="B8" t="inlineStr">
        <is>
          <t>TOMENO SUAREZ,FERNANDO</t>
        </is>
      </c>
      <c r="C8" t="n">
        <v>358</v>
      </c>
      <c r="D8" t="inlineStr">
        <is>
          <t>8791</t>
        </is>
      </c>
      <c r="E8" t="inlineStr">
        <is>
          <t>21</t>
        </is>
      </c>
      <c r="F8" t="inlineStr">
        <is>
          <t>110</t>
        </is>
      </c>
      <c r="G8" t="inlineStr">
        <is>
          <t>3</t>
        </is>
      </c>
      <c r="H8" t="n">
        <v>2006</v>
      </c>
      <c r="I8" t="n">
        <v>0.07000000000000001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7.49</v>
      </c>
      <c r="P8" t="n">
        <v>1460.55</v>
      </c>
      <c r="Q8" t="n">
        <v>414468</v>
      </c>
      <c r="R8" t="n">
        <v>0.003523914994643736</v>
      </c>
      <c r="S8" t="n">
        <v>24726</v>
      </c>
      <c r="T8" t="n">
        <v>87.13</v>
      </c>
    </row>
    <row r="9">
      <c r="A9" t="n">
        <v>1415</v>
      </c>
      <c r="B9" t="inlineStr">
        <is>
          <t>TOMENO SUAREZ,FERNANDO</t>
        </is>
      </c>
      <c r="C9" t="n">
        <v>358</v>
      </c>
      <c r="D9" t="inlineStr">
        <is>
          <t>8792</t>
        </is>
      </c>
      <c r="E9" t="inlineStr">
        <is>
          <t>21</t>
        </is>
      </c>
      <c r="F9" t="inlineStr">
        <is>
          <t>111</t>
        </is>
      </c>
      <c r="G9" t="inlineStr">
        <is>
          <t>2</t>
        </is>
      </c>
      <c r="H9" t="n">
        <v>2006</v>
      </c>
      <c r="I9" t="n">
        <v>1.98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7.49</v>
      </c>
      <c r="P9" t="n">
        <v>1460.55</v>
      </c>
      <c r="Q9" t="n">
        <v>414468</v>
      </c>
      <c r="R9" t="n">
        <v>0.003523914994643736</v>
      </c>
      <c r="S9" t="n">
        <v>24726</v>
      </c>
      <c r="T9" t="n">
        <v>87.13</v>
      </c>
    </row>
    <row r="10">
      <c r="A10" t="n">
        <v>1415</v>
      </c>
      <c r="B10" t="inlineStr">
        <is>
          <t>TOMENO SUAREZ,FERNANDO</t>
        </is>
      </c>
      <c r="C10" t="n">
        <v>672</v>
      </c>
      <c r="D10" t="inlineStr">
        <is>
          <t>8789</t>
        </is>
      </c>
      <c r="E10" t="inlineStr">
        <is>
          <t>21</t>
        </is>
      </c>
      <c r="F10" t="inlineStr">
        <is>
          <t>9</t>
        </is>
      </c>
      <c r="G10" t="inlineStr">
        <is>
          <t>1</t>
        </is>
      </c>
      <c r="I10" t="n">
        <v>2.73</v>
      </c>
      <c r="J10" t="n">
        <v>1</v>
      </c>
      <c r="L10" t="inlineStr">
        <is>
          <t>No</t>
        </is>
      </c>
      <c r="M10" t="inlineStr">
        <is>
          <t>No</t>
        </is>
      </c>
      <c r="N10" t="inlineStr">
        <is>
          <t>ANO_NO_VALIDO</t>
        </is>
      </c>
      <c r="O10" t="n">
        <v>7.49</v>
      </c>
      <c r="P10" t="n">
        <v>1460.55</v>
      </c>
      <c r="Q10" t="n">
        <v>414468</v>
      </c>
      <c r="R10" t="n">
        <v>0.003523914994643736</v>
      </c>
      <c r="S10" t="n">
        <v>24726</v>
      </c>
      <c r="T10" t="n">
        <v>87.13</v>
      </c>
    </row>
    <row r="11">
      <c r="A11" t="n">
        <v>1415</v>
      </c>
      <c r="B11" t="inlineStr">
        <is>
          <t>TOMENO SUAREZ,FERNANDO</t>
        </is>
      </c>
      <c r="C11" t="n">
        <v>615</v>
      </c>
      <c r="D11" t="inlineStr">
        <is>
          <t>6460</t>
        </is>
      </c>
      <c r="E11" t="inlineStr">
        <is>
          <t>21</t>
        </is>
      </c>
      <c r="F11" t="inlineStr">
        <is>
          <t>110</t>
        </is>
      </c>
      <c r="G11" t="inlineStr">
        <is>
          <t>3</t>
        </is>
      </c>
      <c r="H11" t="n">
        <v>2016</v>
      </c>
      <c r="I11" t="n">
        <v>2.13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7.49</v>
      </c>
      <c r="P11" t="n">
        <v>1460.55</v>
      </c>
      <c r="Q11" t="n">
        <v>414468</v>
      </c>
      <c r="R11" t="n">
        <v>0.003523914994643736</v>
      </c>
      <c r="S11" t="n">
        <v>24726</v>
      </c>
      <c r="T11" t="n">
        <v>87.13</v>
      </c>
    </row>
    <row r="12">
      <c r="A12" t="n">
        <v>1443</v>
      </c>
      <c r="B12" t="inlineStr">
        <is>
          <t>TOMENO SUAREZ,ALBERTO</t>
        </is>
      </c>
      <c r="C12" t="n">
        <v>42</v>
      </c>
      <c r="D12" t="inlineStr">
        <is>
          <t>9005</t>
        </is>
      </c>
      <c r="E12" t="inlineStr">
        <is>
          <t>21</t>
        </is>
      </c>
      <c r="F12" t="inlineStr">
        <is>
          <t>13</t>
        </is>
      </c>
      <c r="G12" t="inlineStr">
        <is>
          <t>10</t>
        </is>
      </c>
      <c r="H12" t="n">
        <v>2010</v>
      </c>
      <c r="I12" t="n">
        <v>1.35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58340</v>
      </c>
      <c r="T12" t="n">
        <v>360.75</v>
      </c>
    </row>
    <row r="13">
      <c r="A13" t="n">
        <v>1443</v>
      </c>
      <c r="B13" t="inlineStr">
        <is>
          <t>TOMENO SUAREZ,ALBERTO</t>
        </is>
      </c>
      <c r="C13" t="n">
        <v>42</v>
      </c>
      <c r="D13" t="inlineStr">
        <is>
          <t>9006</t>
        </is>
      </c>
      <c r="E13" t="inlineStr">
        <is>
          <t>21</t>
        </is>
      </c>
      <c r="F13" t="inlineStr">
        <is>
          <t>13</t>
        </is>
      </c>
      <c r="G13" t="inlineStr">
        <is>
          <t>3</t>
        </is>
      </c>
      <c r="H13" t="n">
        <v>2010</v>
      </c>
      <c r="I13" t="n">
        <v>1.28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58340</v>
      </c>
      <c r="T13" t="n">
        <v>360.75</v>
      </c>
    </row>
    <row r="14">
      <c r="A14" t="n">
        <v>1443</v>
      </c>
      <c r="B14" t="inlineStr">
        <is>
          <t>TOMENO SUAREZ,ALBERTO</t>
        </is>
      </c>
      <c r="C14" t="n">
        <v>46</v>
      </c>
      <c r="D14" t="inlineStr">
        <is>
          <t>9007</t>
        </is>
      </c>
      <c r="E14" t="inlineStr">
        <is>
          <t>21</t>
        </is>
      </c>
      <c r="F14" t="inlineStr">
        <is>
          <t>13</t>
        </is>
      </c>
      <c r="G14" t="inlineStr">
        <is>
          <t>1</t>
        </is>
      </c>
      <c r="H14" t="n">
        <v>2007</v>
      </c>
      <c r="I14" t="n">
        <v>1.45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58340</v>
      </c>
      <c r="T14" t="n">
        <v>360.75</v>
      </c>
    </row>
    <row r="15">
      <c r="A15" t="n">
        <v>1443</v>
      </c>
      <c r="B15" t="inlineStr">
        <is>
          <t>TOMENO SUAREZ,ALBERTO</t>
        </is>
      </c>
      <c r="C15" t="n">
        <v>671</v>
      </c>
      <c r="D15" t="inlineStr">
        <is>
          <t>6368</t>
        </is>
      </c>
      <c r="E15" t="inlineStr">
        <is>
          <t>21</t>
        </is>
      </c>
      <c r="F15" t="inlineStr">
        <is>
          <t>15</t>
        </is>
      </c>
      <c r="G15" t="inlineStr">
        <is>
          <t>1</t>
        </is>
      </c>
      <c r="H15" t="n">
        <v>2024</v>
      </c>
      <c r="I15" t="n">
        <v>2.6</v>
      </c>
      <c r="J15" t="n">
        <v>1</v>
      </c>
      <c r="L15" t="inlineStr">
        <is>
          <t>No</t>
        </is>
      </c>
      <c r="M15" t="inlineStr">
        <is>
          <t>No</t>
        </is>
      </c>
      <c r="N15" t="inlineStr">
        <is>
          <t>PLANTACION_MENOR_CINCO_ANOS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58340</v>
      </c>
      <c r="T15" t="n">
        <v>360.75</v>
      </c>
    </row>
    <row r="16">
      <c r="A16" t="n">
        <v>1443</v>
      </c>
      <c r="B16" t="inlineStr">
        <is>
          <t>TOMENO SUAREZ,ALBERTO</t>
        </is>
      </c>
      <c r="C16" t="n">
        <v>671</v>
      </c>
      <c r="D16" t="inlineStr">
        <is>
          <t>9003</t>
        </is>
      </c>
      <c r="E16" t="inlineStr">
        <is>
          <t>21</t>
        </is>
      </c>
      <c r="F16" t="inlineStr">
        <is>
          <t>13</t>
        </is>
      </c>
      <c r="G16" t="inlineStr">
        <is>
          <t>10</t>
        </is>
      </c>
      <c r="H16" t="n">
        <v>2023</v>
      </c>
      <c r="I16" t="n">
        <v>0.93</v>
      </c>
      <c r="J16" t="n">
        <v>1</v>
      </c>
      <c r="L16" t="inlineStr">
        <is>
          <t>No</t>
        </is>
      </c>
      <c r="M16" t="inlineStr">
        <is>
          <t>No</t>
        </is>
      </c>
      <c r="N16" t="inlineStr">
        <is>
          <t>PLANTACION_MENOR_CINCO_ANOS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58340</v>
      </c>
      <c r="T16" t="n">
        <v>360.75</v>
      </c>
    </row>
    <row r="17">
      <c r="A17" t="n">
        <v>1443</v>
      </c>
      <c r="B17" t="inlineStr">
        <is>
          <t>TOMENO SUAREZ,ALBERTO</t>
        </is>
      </c>
      <c r="C17" t="n">
        <v>671</v>
      </c>
      <c r="D17" t="inlineStr">
        <is>
          <t>9004</t>
        </is>
      </c>
      <c r="E17" t="inlineStr">
        <is>
          <t>21</t>
        </is>
      </c>
      <c r="F17" t="inlineStr">
        <is>
          <t>13</t>
        </is>
      </c>
      <c r="G17" t="inlineStr">
        <is>
          <t>3</t>
        </is>
      </c>
      <c r="H17" t="n">
        <v>2023</v>
      </c>
      <c r="I17" t="n">
        <v>0.88</v>
      </c>
      <c r="J17" t="n">
        <v>1</v>
      </c>
      <c r="L17" t="inlineStr">
        <is>
          <t>No</t>
        </is>
      </c>
      <c r="M17" t="inlineStr">
        <is>
          <t>No</t>
        </is>
      </c>
      <c r="N17" t="inlineStr">
        <is>
          <t>PLANTACION_MENOR_CINCO_ANOS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58340</v>
      </c>
      <c r="T17" t="n">
        <v>360.75</v>
      </c>
    </row>
    <row r="18">
      <c r="A18" t="n">
        <v>1443</v>
      </c>
      <c r="B18" t="inlineStr">
        <is>
          <t>TOMENO SUAREZ,ALBERTO</t>
        </is>
      </c>
      <c r="C18" t="n">
        <v>611</v>
      </c>
      <c r="D18" t="inlineStr">
        <is>
          <t>6473</t>
        </is>
      </c>
      <c r="E18" t="inlineStr">
        <is>
          <t>15</t>
        </is>
      </c>
      <c r="F18" t="inlineStr">
        <is>
          <t>123</t>
        </is>
      </c>
      <c r="G18" t="inlineStr">
        <is>
          <t>1</t>
        </is>
      </c>
      <c r="H18" t="n">
        <v>2016</v>
      </c>
      <c r="I18" t="n">
        <v>4.4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58340</v>
      </c>
      <c r="T18" t="n">
        <v>360.75</v>
      </c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6474</t>
        </is>
      </c>
      <c r="E19" t="inlineStr">
        <is>
          <t>19</t>
        </is>
      </c>
      <c r="F19" t="inlineStr">
        <is>
          <t>5</t>
        </is>
      </c>
      <c r="G19" t="inlineStr">
        <is>
          <t>5</t>
        </is>
      </c>
      <c r="H19" t="n">
        <v>2017</v>
      </c>
      <c r="I19" t="n">
        <v>0.03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17.08</v>
      </c>
      <c r="P19" t="n">
        <v>3330.6</v>
      </c>
      <c r="Q19" t="n">
        <v>538619</v>
      </c>
      <c r="R19" t="n">
        <v>0.006183591741100852</v>
      </c>
      <c r="S19" t="n">
        <v>58340</v>
      </c>
      <c r="T19" t="n">
        <v>360.75</v>
      </c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6475</t>
        </is>
      </c>
      <c r="E20" t="inlineStr">
        <is>
          <t>19</t>
        </is>
      </c>
      <c r="F20" t="inlineStr">
        <is>
          <t>7</t>
        </is>
      </c>
      <c r="G20" t="inlineStr">
        <is>
          <t>4</t>
        </is>
      </c>
      <c r="H20" t="n">
        <v>2017</v>
      </c>
      <c r="I20" t="n">
        <v>0.08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17.08</v>
      </c>
      <c r="P20" t="n">
        <v>3330.6</v>
      </c>
      <c r="Q20" t="n">
        <v>538619</v>
      </c>
      <c r="R20" t="n">
        <v>0.006183591741100852</v>
      </c>
      <c r="S20" t="n">
        <v>58340</v>
      </c>
      <c r="T20" t="n">
        <v>360.75</v>
      </c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9581</t>
        </is>
      </c>
      <c r="E21" t="inlineStr">
        <is>
          <t>19</t>
        </is>
      </c>
      <c r="F21" t="inlineStr">
        <is>
          <t>6</t>
        </is>
      </c>
      <c r="G21" t="inlineStr">
        <is>
          <t>1</t>
        </is>
      </c>
      <c r="H21" t="n">
        <v>2017</v>
      </c>
      <c r="I21" t="n">
        <v>1.92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17.08</v>
      </c>
      <c r="P21" t="n">
        <v>3330.6</v>
      </c>
      <c r="Q21" t="n">
        <v>538619</v>
      </c>
      <c r="R21" t="n">
        <v>0.006183591741100852</v>
      </c>
      <c r="S21" t="n">
        <v>58340</v>
      </c>
      <c r="T21" t="n">
        <v>360.75</v>
      </c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9582</t>
        </is>
      </c>
      <c r="E22" t="inlineStr">
        <is>
          <t>19</t>
        </is>
      </c>
      <c r="F22" t="inlineStr">
        <is>
          <t>6</t>
        </is>
      </c>
      <c r="G22" t="inlineStr">
        <is>
          <t>3</t>
        </is>
      </c>
      <c r="H22" t="n">
        <v>2017</v>
      </c>
      <c r="I22" t="n">
        <v>1.58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17.08</v>
      </c>
      <c r="P22" t="n">
        <v>3330.6</v>
      </c>
      <c r="Q22" t="n">
        <v>538619</v>
      </c>
      <c r="R22" t="n">
        <v>0.006183591741100852</v>
      </c>
      <c r="S22" t="n">
        <v>58340</v>
      </c>
      <c r="T22" t="n">
        <v>360.75</v>
      </c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9583</t>
        </is>
      </c>
      <c r="E23" t="inlineStr">
        <is>
          <t>19</t>
        </is>
      </c>
      <c r="F23" t="inlineStr">
        <is>
          <t>7</t>
        </is>
      </c>
      <c r="G23" t="inlineStr">
        <is>
          <t>1</t>
        </is>
      </c>
      <c r="H23" t="n">
        <v>2017</v>
      </c>
      <c r="I23" t="n">
        <v>3.91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17.08</v>
      </c>
      <c r="P23" t="n">
        <v>3330.6</v>
      </c>
      <c r="Q23" t="n">
        <v>538619</v>
      </c>
      <c r="R23" t="n">
        <v>0.006183591741100852</v>
      </c>
      <c r="S23" t="n">
        <v>58340</v>
      </c>
      <c r="T23" t="n">
        <v>360.75</v>
      </c>
    </row>
    <row r="24">
      <c r="A24" t="n">
        <v>1443</v>
      </c>
      <c r="B24" t="inlineStr">
        <is>
          <t>TOMENO SUAREZ,ALBERTO</t>
        </is>
      </c>
      <c r="C24" t="n">
        <v>612</v>
      </c>
      <c r="D24" t="inlineStr">
        <is>
          <t>9584</t>
        </is>
      </c>
      <c r="E24" t="inlineStr">
        <is>
          <t>19</t>
        </is>
      </c>
      <c r="F24" t="inlineStr">
        <is>
          <t>7</t>
        </is>
      </c>
      <c r="G24" t="inlineStr">
        <is>
          <t>2</t>
        </is>
      </c>
      <c r="H24" t="n">
        <v>2017</v>
      </c>
      <c r="I24" t="n">
        <v>0.5600000000000001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17.08</v>
      </c>
      <c r="P24" t="n">
        <v>3330.6</v>
      </c>
      <c r="Q24" t="n">
        <v>538619</v>
      </c>
      <c r="R24" t="n">
        <v>0.006183591741100852</v>
      </c>
      <c r="S24" t="n">
        <v>58340</v>
      </c>
      <c r="T24" t="n">
        <v>360.75</v>
      </c>
    </row>
    <row r="25">
      <c r="A25" t="n">
        <v>1443</v>
      </c>
      <c r="B25" t="inlineStr">
        <is>
          <t>TOMENO SUAREZ,ALBERTO</t>
        </is>
      </c>
      <c r="C25" t="n">
        <v>612</v>
      </c>
      <c r="D25" t="inlineStr">
        <is>
          <t>9585</t>
        </is>
      </c>
      <c r="E25" t="inlineStr">
        <is>
          <t>19</t>
        </is>
      </c>
      <c r="F25" t="inlineStr">
        <is>
          <t>24</t>
        </is>
      </c>
      <c r="G25" t="inlineStr">
        <is>
          <t>2</t>
        </is>
      </c>
      <c r="H25" t="n">
        <v>2017</v>
      </c>
      <c r="I25" t="n">
        <v>0.29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17.08</v>
      </c>
      <c r="P25" t="n">
        <v>3330.6</v>
      </c>
      <c r="Q25" t="n">
        <v>538619</v>
      </c>
      <c r="R25" t="n">
        <v>0.006183591741100852</v>
      </c>
      <c r="S25" t="n">
        <v>58340</v>
      </c>
      <c r="T25" t="n">
        <v>360.75</v>
      </c>
    </row>
    <row r="26">
      <c r="A26" t="n">
        <v>1443</v>
      </c>
      <c r="B26" t="inlineStr">
        <is>
          <t>TOMENO SUAREZ,ALBERTO</t>
        </is>
      </c>
      <c r="C26" t="n">
        <v>612</v>
      </c>
      <c r="D26" t="inlineStr">
        <is>
          <t>9586</t>
        </is>
      </c>
      <c r="E26" t="inlineStr">
        <is>
          <t>19</t>
        </is>
      </c>
      <c r="F26" t="inlineStr">
        <is>
          <t>7</t>
        </is>
      </c>
      <c r="G26" t="inlineStr">
        <is>
          <t>5</t>
        </is>
      </c>
      <c r="H26" t="n">
        <v>2017</v>
      </c>
      <c r="I26" t="n">
        <v>0.23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17.08</v>
      </c>
      <c r="P26" t="n">
        <v>3330.6</v>
      </c>
      <c r="Q26" t="n">
        <v>538619</v>
      </c>
      <c r="R26" t="n">
        <v>0.006183591741100852</v>
      </c>
      <c r="S26" t="n">
        <v>58340</v>
      </c>
      <c r="T26" t="n">
        <v>360.75</v>
      </c>
    </row>
    <row r="27">
      <c r="A27" t="n">
        <v>1478</v>
      </c>
      <c r="B27" t="inlineStr">
        <is>
          <t>AGROSERVICIOS LA CATRIA S.L.</t>
        </is>
      </c>
      <c r="C27" t="n">
        <v>604</v>
      </c>
      <c r="D27" t="inlineStr">
        <is>
          <t>9603</t>
        </is>
      </c>
      <c r="E27" t="inlineStr">
        <is>
          <t>29</t>
        </is>
      </c>
      <c r="F27" t="inlineStr">
        <is>
          <t>74</t>
        </is>
      </c>
      <c r="G27" t="inlineStr">
        <is>
          <t>2</t>
        </is>
      </c>
      <c r="H27" t="n">
        <v>2016</v>
      </c>
      <c r="I27" t="n">
        <v>5.67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13.82</v>
      </c>
      <c r="P27" t="n">
        <v>2694.9</v>
      </c>
      <c r="Q27" t="n">
        <v>109865</v>
      </c>
      <c r="R27" t="n">
        <v>0.02452919492103946</v>
      </c>
      <c r="S27" t="n">
        <v>19050</v>
      </c>
      <c r="T27" t="n">
        <v>467.28</v>
      </c>
    </row>
    <row r="28">
      <c r="A28" t="n">
        <v>1478</v>
      </c>
      <c r="B28" t="inlineStr">
        <is>
          <t>AGROSERVICIOS LA CATRIA S.L.</t>
        </is>
      </c>
      <c r="C28" t="n">
        <v>623</v>
      </c>
      <c r="D28" t="inlineStr">
        <is>
          <t>9602</t>
        </is>
      </c>
      <c r="E28" t="inlineStr">
        <is>
          <t>23</t>
        </is>
      </c>
      <c r="F28" t="inlineStr">
        <is>
          <t>123</t>
        </is>
      </c>
      <c r="G28" t="inlineStr">
        <is>
          <t>4</t>
        </is>
      </c>
      <c r="H28" t="n">
        <v>2018</v>
      </c>
      <c r="I28" t="n">
        <v>4.41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13.82</v>
      </c>
      <c r="P28" t="n">
        <v>2694.9</v>
      </c>
      <c r="Q28" t="n">
        <v>109865</v>
      </c>
      <c r="R28" t="n">
        <v>0.02452919492103946</v>
      </c>
      <c r="S28" t="n">
        <v>19050</v>
      </c>
      <c r="T28" t="n">
        <v>467.28</v>
      </c>
    </row>
    <row r="29">
      <c r="A29" t="n">
        <v>1478</v>
      </c>
      <c r="B29" t="inlineStr">
        <is>
          <t>AGROSERVICIOS LA CATRIA S.L.</t>
        </is>
      </c>
      <c r="C29" t="n">
        <v>652</v>
      </c>
      <c r="D29" t="inlineStr">
        <is>
          <t>9604</t>
        </is>
      </c>
      <c r="E29" t="inlineStr">
        <is>
          <t>23</t>
        </is>
      </c>
      <c r="F29" t="inlineStr">
        <is>
          <t>70</t>
        </is>
      </c>
      <c r="G29" t="inlineStr">
        <is>
          <t>1</t>
        </is>
      </c>
      <c r="H29" t="n">
        <v>2021</v>
      </c>
      <c r="I29" t="n">
        <v>2.94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13.82</v>
      </c>
      <c r="P29" t="n">
        <v>2694.9</v>
      </c>
      <c r="Q29" t="n">
        <v>109865</v>
      </c>
      <c r="R29" t="n">
        <v>0.02452919492103946</v>
      </c>
      <c r="S29" t="n">
        <v>19050</v>
      </c>
      <c r="T29" t="n">
        <v>467.28</v>
      </c>
    </row>
    <row r="30">
      <c r="A30" t="n">
        <v>1478</v>
      </c>
      <c r="B30" t="inlineStr">
        <is>
          <t>AGROSERVICIOS LA CATRIA S.L.</t>
        </is>
      </c>
      <c r="C30" t="n">
        <v>652</v>
      </c>
      <c r="D30" t="inlineStr">
        <is>
          <t>9629</t>
        </is>
      </c>
      <c r="E30" t="inlineStr">
        <is>
          <t>29</t>
        </is>
      </c>
      <c r="F30" t="inlineStr">
        <is>
          <t>74</t>
        </is>
      </c>
      <c r="G30" t="inlineStr">
        <is>
          <t>7</t>
        </is>
      </c>
      <c r="H30" t="n">
        <v>2021</v>
      </c>
      <c r="I30" t="n">
        <v>0.8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13.82</v>
      </c>
      <c r="P30" t="n">
        <v>2694.9</v>
      </c>
      <c r="Q30" t="n">
        <v>109865</v>
      </c>
      <c r="R30" t="n">
        <v>0.02452919492103946</v>
      </c>
      <c r="S30" t="n">
        <v>19050</v>
      </c>
      <c r="T30" t="n">
        <v>467.28</v>
      </c>
    </row>
    <row r="31">
      <c r="A31" t="n">
        <v>1523</v>
      </c>
      <c r="B31" t="inlineStr">
        <is>
          <t>RODRIGUEZ MEJÍAS, JOSE ANTONIO</t>
        </is>
      </c>
      <c r="C31" t="n">
        <v>686</v>
      </c>
      <c r="I31" t="n">
        <v>3.16</v>
      </c>
      <c r="J31" t="n">
        <v>0</v>
      </c>
      <c r="M31" t="inlineStr">
        <is>
          <t>No</t>
        </is>
      </c>
      <c r="N31" t="inlineStr">
        <is>
          <t>CHA_NO_SELECCIONADO; CHA_NO_ACTIVO</t>
        </is>
      </c>
      <c r="O31" t="n">
        <v>21.63</v>
      </c>
      <c r="P31" t="n">
        <v>4217.85</v>
      </c>
      <c r="Q31" t="n">
        <v>580520</v>
      </c>
      <c r="R31" t="n">
        <v>0.007265641149314408</v>
      </c>
      <c r="S31" t="n">
        <v>19718</v>
      </c>
      <c r="T31" t="n">
        <v>143.26</v>
      </c>
    </row>
    <row r="32">
      <c r="A32" t="n">
        <v>1523</v>
      </c>
      <c r="B32" t="inlineStr">
        <is>
          <t>RODRIGUEZ MEJÍAS, JOSE ANTONIO</t>
        </is>
      </c>
      <c r="C32" t="n">
        <v>765</v>
      </c>
      <c r="I32" t="n">
        <v>3.59</v>
      </c>
      <c r="J32" t="n">
        <v>0</v>
      </c>
      <c r="M32" t="inlineStr">
        <is>
          <t>No</t>
        </is>
      </c>
      <c r="N32" t="inlineStr">
        <is>
          <t>CHA_NO_SELECCIONADO; CHA_NO_ACTIVO</t>
        </is>
      </c>
      <c r="O32" t="n">
        <v>21.63</v>
      </c>
      <c r="P32" t="n">
        <v>4217.85</v>
      </c>
      <c r="Q32" t="n">
        <v>580520</v>
      </c>
      <c r="R32" t="n">
        <v>0.007265641149314408</v>
      </c>
      <c r="S32" t="n">
        <v>19718</v>
      </c>
      <c r="T32" t="n">
        <v>143.26</v>
      </c>
    </row>
    <row r="33">
      <c r="A33" t="n">
        <v>1523</v>
      </c>
      <c r="B33" t="inlineStr">
        <is>
          <t>RODRIGUEZ MEJÍAS, JOSE ANTONIO</t>
        </is>
      </c>
      <c r="C33" t="n">
        <v>62</v>
      </c>
      <c r="D33" t="inlineStr">
        <is>
          <t>9288</t>
        </is>
      </c>
      <c r="E33" t="inlineStr">
        <is>
          <t>3</t>
        </is>
      </c>
      <c r="F33" t="inlineStr">
        <is>
          <t>23</t>
        </is>
      </c>
      <c r="G33" t="inlineStr">
        <is>
          <t>1</t>
        </is>
      </c>
      <c r="H33" t="n">
        <v>2005</v>
      </c>
      <c r="I33" t="n">
        <v>3.1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21.63</v>
      </c>
      <c r="P33" t="n">
        <v>4217.85</v>
      </c>
      <c r="Q33" t="n">
        <v>580520</v>
      </c>
      <c r="R33" t="n">
        <v>0.007265641149314408</v>
      </c>
      <c r="S33" t="n">
        <v>19718</v>
      </c>
      <c r="T33" t="n">
        <v>143.26</v>
      </c>
    </row>
    <row r="34">
      <c r="A34" t="n">
        <v>1523</v>
      </c>
      <c r="B34" t="inlineStr">
        <is>
          <t>RODRIGUEZ MEJÍAS, JOSE ANTONIO</t>
        </is>
      </c>
      <c r="C34" t="n">
        <v>340</v>
      </c>
      <c r="D34" t="inlineStr">
        <is>
          <t>9292</t>
        </is>
      </c>
      <c r="E34" t="inlineStr">
        <is>
          <t>11</t>
        </is>
      </c>
      <c r="F34" t="inlineStr">
        <is>
          <t>162</t>
        </is>
      </c>
      <c r="G34" t="inlineStr">
        <is>
          <t>5</t>
        </is>
      </c>
      <c r="H34" t="n">
        <v>2015</v>
      </c>
      <c r="I34" t="n">
        <v>2.09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21.63</v>
      </c>
      <c r="P34" t="n">
        <v>4217.85</v>
      </c>
      <c r="Q34" t="n">
        <v>580520</v>
      </c>
      <c r="R34" t="n">
        <v>0.007265641149314408</v>
      </c>
      <c r="S34" t="n">
        <v>19718</v>
      </c>
      <c r="T34" t="n">
        <v>143.26</v>
      </c>
    </row>
    <row r="35">
      <c r="A35" t="n">
        <v>1523</v>
      </c>
      <c r="B35" t="inlineStr">
        <is>
          <t>RODRIGUEZ MEJÍAS, JOSE ANTONIO</t>
        </is>
      </c>
      <c r="C35" t="n">
        <v>356</v>
      </c>
      <c r="D35" t="inlineStr">
        <is>
          <t>9289</t>
        </is>
      </c>
      <c r="E35" t="inlineStr">
        <is>
          <t>13</t>
        </is>
      </c>
      <c r="F35" t="inlineStr">
        <is>
          <t>303</t>
        </is>
      </c>
      <c r="G35" t="inlineStr">
        <is>
          <t>1</t>
        </is>
      </c>
      <c r="H35" t="n">
        <v>2017</v>
      </c>
      <c r="I35" t="n">
        <v>0.08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21.63</v>
      </c>
      <c r="P35" t="n">
        <v>4217.85</v>
      </c>
      <c r="Q35" t="n">
        <v>580520</v>
      </c>
      <c r="R35" t="n">
        <v>0.007265641149314408</v>
      </c>
      <c r="S35" t="n">
        <v>19718</v>
      </c>
      <c r="T35" t="n">
        <v>143.26</v>
      </c>
    </row>
    <row r="36">
      <c r="A36" t="n">
        <v>1523</v>
      </c>
      <c r="B36" t="inlineStr">
        <is>
          <t>RODRIGUEZ MEJÍAS, JOSE ANTONIO</t>
        </is>
      </c>
      <c r="C36" t="n">
        <v>356</v>
      </c>
      <c r="D36" t="inlineStr">
        <is>
          <t>9290</t>
        </is>
      </c>
      <c r="E36" t="inlineStr">
        <is>
          <t>13</t>
        </is>
      </c>
      <c r="F36" t="inlineStr">
        <is>
          <t>7</t>
        </is>
      </c>
      <c r="G36" t="inlineStr">
        <is>
          <t>5</t>
        </is>
      </c>
      <c r="H36" t="n">
        <v>2017</v>
      </c>
      <c r="I36" t="n">
        <v>0.6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21.63</v>
      </c>
      <c r="P36" t="n">
        <v>4217.85</v>
      </c>
      <c r="Q36" t="n">
        <v>580520</v>
      </c>
      <c r="R36" t="n">
        <v>0.007265641149314408</v>
      </c>
      <c r="S36" t="n">
        <v>19718</v>
      </c>
      <c r="T36" t="n">
        <v>143.26</v>
      </c>
    </row>
    <row r="37">
      <c r="A37" t="n">
        <v>1523</v>
      </c>
      <c r="B37" t="inlineStr">
        <is>
          <t>RODRIGUEZ MEJÍAS, JOSE ANTONIO</t>
        </is>
      </c>
      <c r="C37" t="n">
        <v>356</v>
      </c>
      <c r="D37" t="inlineStr">
        <is>
          <t>9291</t>
        </is>
      </c>
      <c r="E37" t="inlineStr">
        <is>
          <t>13</t>
        </is>
      </c>
      <c r="F37" t="inlineStr">
        <is>
          <t>19</t>
        </is>
      </c>
      <c r="G37" t="inlineStr">
        <is>
          <t>5</t>
        </is>
      </c>
      <c r="H37" t="n">
        <v>2017</v>
      </c>
      <c r="I37" t="n">
        <v>1.65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21.63</v>
      </c>
      <c r="P37" t="n">
        <v>4217.85</v>
      </c>
      <c r="Q37" t="n">
        <v>580520</v>
      </c>
      <c r="R37" t="n">
        <v>0.007265641149314408</v>
      </c>
      <c r="S37" t="n">
        <v>19718</v>
      </c>
      <c r="T37" t="n">
        <v>143.26</v>
      </c>
    </row>
    <row r="38">
      <c r="A38" t="n">
        <v>1523</v>
      </c>
      <c r="B38" t="inlineStr">
        <is>
          <t>RODRIGUEZ MEJÍAS, JOSE ANTONIO</t>
        </is>
      </c>
      <c r="C38" t="n">
        <v>580</v>
      </c>
      <c r="D38" t="inlineStr">
        <is>
          <t>9293</t>
        </is>
      </c>
      <c r="E38" t="inlineStr">
        <is>
          <t>11</t>
        </is>
      </c>
      <c r="F38" t="inlineStr">
        <is>
          <t>162</t>
        </is>
      </c>
      <c r="G38" t="inlineStr">
        <is>
          <t>7</t>
        </is>
      </c>
      <c r="H38" t="n">
        <v>2019</v>
      </c>
      <c r="I38" t="n">
        <v>4.92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21.63</v>
      </c>
      <c r="P38" t="n">
        <v>4217.85</v>
      </c>
      <c r="Q38" t="n">
        <v>580520</v>
      </c>
      <c r="R38" t="n">
        <v>0.007265641149314408</v>
      </c>
      <c r="S38" t="n">
        <v>19718</v>
      </c>
      <c r="T38" t="n">
        <v>143.26</v>
      </c>
    </row>
    <row r="39">
      <c r="A39" t="n">
        <v>1523</v>
      </c>
      <c r="B39" t="inlineStr">
        <is>
          <t>RODRIGUEZ MEJÍAS, JOSE ANTONIO</t>
        </is>
      </c>
      <c r="C39" t="n">
        <v>587</v>
      </c>
      <c r="D39" t="inlineStr">
        <is>
          <t>9294</t>
        </is>
      </c>
      <c r="E39" t="inlineStr">
        <is>
          <t>11</t>
        </is>
      </c>
      <c r="F39" t="inlineStr">
        <is>
          <t>162</t>
        </is>
      </c>
      <c r="G39" t="inlineStr">
        <is>
          <t>7</t>
        </is>
      </c>
      <c r="H39" t="n">
        <v>2019</v>
      </c>
      <c r="I39" t="n">
        <v>4.97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21.63</v>
      </c>
      <c r="P39" t="n">
        <v>4217.85</v>
      </c>
      <c r="Q39" t="n">
        <v>580520</v>
      </c>
      <c r="R39" t="n">
        <v>0.007265641149314408</v>
      </c>
      <c r="S39" t="n">
        <v>19718</v>
      </c>
      <c r="T39" t="n">
        <v>143.26</v>
      </c>
    </row>
    <row r="40">
      <c r="A40" t="n">
        <v>1523</v>
      </c>
      <c r="B40" t="inlineStr">
        <is>
          <t>RODRIGUEZ MEJÍAS, JOSE ANTONIO</t>
        </is>
      </c>
      <c r="C40" t="n">
        <v>608</v>
      </c>
      <c r="D40" t="inlineStr">
        <is>
          <t>9631</t>
        </is>
      </c>
      <c r="E40" t="inlineStr">
        <is>
          <t>11</t>
        </is>
      </c>
      <c r="F40" t="inlineStr">
        <is>
          <t>162</t>
        </is>
      </c>
      <c r="G40" t="inlineStr">
        <is>
          <t>7</t>
        </is>
      </c>
      <c r="H40" t="n">
        <v>2016</v>
      </c>
      <c r="I40" t="n">
        <v>2.03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21.63</v>
      </c>
      <c r="P40" t="n">
        <v>4217.85</v>
      </c>
      <c r="Q40" t="n">
        <v>580520</v>
      </c>
      <c r="R40" t="n">
        <v>0.007265641149314408</v>
      </c>
      <c r="S40" t="n">
        <v>19718</v>
      </c>
      <c r="T40" t="n">
        <v>143.26</v>
      </c>
    </row>
    <row r="41">
      <c r="A41" t="n">
        <v>1523</v>
      </c>
      <c r="B41" t="inlineStr">
        <is>
          <t>RODRIGUEZ MEJÍAS, JOSE ANTONIO</t>
        </is>
      </c>
      <c r="C41" t="n">
        <v>608</v>
      </c>
      <c r="D41" t="inlineStr">
        <is>
          <t>9632</t>
        </is>
      </c>
      <c r="E41" t="inlineStr">
        <is>
          <t>11</t>
        </is>
      </c>
      <c r="F41" t="inlineStr">
        <is>
          <t>162</t>
        </is>
      </c>
      <c r="G41" t="inlineStr">
        <is>
          <t>7</t>
        </is>
      </c>
      <c r="H41" t="n">
        <v>2016</v>
      </c>
      <c r="I41" t="n">
        <v>2.19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21.63</v>
      </c>
      <c r="P41" t="n">
        <v>4217.85</v>
      </c>
      <c r="Q41" t="n">
        <v>580520</v>
      </c>
      <c r="R41" t="n">
        <v>0.007265641149314408</v>
      </c>
      <c r="S41" t="n">
        <v>19718</v>
      </c>
      <c r="T41" t="n">
        <v>143.26</v>
      </c>
    </row>
    <row r="42">
      <c r="A42" t="n">
        <v>1561</v>
      </c>
      <c r="B42" t="inlineStr">
        <is>
          <t>SUAREZ SANCHEZ, Mª DEL PILAR</t>
        </is>
      </c>
      <c r="C42" t="n">
        <v>962</v>
      </c>
      <c r="I42" t="n">
        <v>12.94</v>
      </c>
      <c r="J42" t="n">
        <v>0</v>
      </c>
      <c r="M42" t="inlineStr">
        <is>
          <t>No</t>
        </is>
      </c>
      <c r="N42" t="inlineStr">
        <is>
          <t>CHA_NO_SELECCIONADO; CHA_NO_ACTIVO</t>
        </is>
      </c>
      <c r="O42" t="n">
        <v>17.71</v>
      </c>
      <c r="P42" t="n">
        <v>3453.45</v>
      </c>
      <c r="Q42" t="n">
        <v>424745</v>
      </c>
      <c r="R42" t="n">
        <v>0.008130643091737395</v>
      </c>
      <c r="S42" t="n">
        <v>37224</v>
      </c>
      <c r="T42" t="n">
        <v>302.66</v>
      </c>
    </row>
    <row r="43">
      <c r="A43" t="n">
        <v>1561</v>
      </c>
      <c r="B43" t="inlineStr">
        <is>
          <t>SUAREZ SANCHEZ, Mª DEL PILAR</t>
        </is>
      </c>
      <c r="C43" t="n">
        <v>593</v>
      </c>
      <c r="D43" t="inlineStr">
        <is>
          <t>9495</t>
        </is>
      </c>
      <c r="E43" t="inlineStr">
        <is>
          <t>18</t>
        </is>
      </c>
      <c r="F43" t="inlineStr">
        <is>
          <t>4</t>
        </is>
      </c>
      <c r="G43" t="inlineStr">
        <is>
          <t>30</t>
        </is>
      </c>
      <c r="H43" t="n">
        <v>2008</v>
      </c>
      <c r="I43" t="n">
        <v>0.83</v>
      </c>
      <c r="J43" t="n">
        <v>1</v>
      </c>
      <c r="L43" t="inlineStr">
        <is>
          <t>Sí</t>
        </is>
      </c>
      <c r="M43" t="inlineStr">
        <is>
          <t>Sí</t>
        </is>
      </c>
      <c r="N43" t="inlineStr">
        <is>
          <t>VALIDA</t>
        </is>
      </c>
      <c r="O43" t="n">
        <v>17.71</v>
      </c>
      <c r="P43" t="n">
        <v>3453.45</v>
      </c>
      <c r="Q43" t="n">
        <v>424745</v>
      </c>
      <c r="R43" t="n">
        <v>0.008130643091737395</v>
      </c>
      <c r="S43" t="n">
        <v>37224</v>
      </c>
      <c r="T43" t="n">
        <v>302.66</v>
      </c>
    </row>
    <row r="44">
      <c r="A44" t="n">
        <v>1561</v>
      </c>
      <c r="B44" t="inlineStr">
        <is>
          <t>SUAREZ SANCHEZ, Mª DEL PILAR</t>
        </is>
      </c>
      <c r="C44" t="n">
        <v>593</v>
      </c>
      <c r="D44" t="inlineStr">
        <is>
          <t>9496</t>
        </is>
      </c>
      <c r="E44" t="inlineStr">
        <is>
          <t>18</t>
        </is>
      </c>
      <c r="F44" t="inlineStr">
        <is>
          <t>18</t>
        </is>
      </c>
      <c r="G44" t="inlineStr">
        <is>
          <t>51</t>
        </is>
      </c>
      <c r="H44" t="n">
        <v>2008</v>
      </c>
      <c r="I44" t="n">
        <v>3.38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17.71</v>
      </c>
      <c r="P44" t="n">
        <v>3453.45</v>
      </c>
      <c r="Q44" t="n">
        <v>424745</v>
      </c>
      <c r="R44" t="n">
        <v>0.008130643091737395</v>
      </c>
      <c r="S44" t="n">
        <v>37224</v>
      </c>
      <c r="T44" t="n">
        <v>302.66</v>
      </c>
    </row>
    <row r="45">
      <c r="A45" t="n">
        <v>1561</v>
      </c>
      <c r="B45" t="inlineStr">
        <is>
          <t>SUAREZ SANCHEZ, Mª DEL PILAR</t>
        </is>
      </c>
      <c r="C45" t="n">
        <v>670</v>
      </c>
      <c r="D45" t="inlineStr">
        <is>
          <t>9491</t>
        </is>
      </c>
      <c r="E45" t="inlineStr">
        <is>
          <t>18</t>
        </is>
      </c>
      <c r="F45" t="inlineStr">
        <is>
          <t>18</t>
        </is>
      </c>
      <c r="G45" t="inlineStr">
        <is>
          <t>122</t>
        </is>
      </c>
      <c r="H45" t="n">
        <v>2023</v>
      </c>
      <c r="I45" t="n">
        <v>6.09</v>
      </c>
      <c r="J45" t="n">
        <v>1</v>
      </c>
      <c r="L45" t="inlineStr">
        <is>
          <t>No</t>
        </is>
      </c>
      <c r="M45" t="inlineStr">
        <is>
          <t>No</t>
        </is>
      </c>
      <c r="N45" t="inlineStr">
        <is>
          <t>PLANTACION_MENOR_CINCO_ANOS</t>
        </is>
      </c>
      <c r="O45" t="n">
        <v>17.71</v>
      </c>
      <c r="P45" t="n">
        <v>3453.45</v>
      </c>
      <c r="Q45" t="n">
        <v>424745</v>
      </c>
      <c r="R45" t="n">
        <v>0.008130643091737395</v>
      </c>
      <c r="S45" t="n">
        <v>37224</v>
      </c>
      <c r="T45" t="n">
        <v>302.66</v>
      </c>
    </row>
    <row r="46">
      <c r="A46" t="n">
        <v>1561</v>
      </c>
      <c r="B46" t="inlineStr">
        <is>
          <t>SUAREZ SANCHEZ, Mª DEL PILAR</t>
        </is>
      </c>
      <c r="C46" t="n">
        <v>670</v>
      </c>
      <c r="D46" t="inlineStr">
        <is>
          <t>9492</t>
        </is>
      </c>
      <c r="E46" t="inlineStr">
        <is>
          <t>18</t>
        </is>
      </c>
      <c r="F46" t="inlineStr">
        <is>
          <t>18</t>
        </is>
      </c>
      <c r="G46" t="inlineStr">
        <is>
          <t>119</t>
        </is>
      </c>
      <c r="H46" t="n">
        <v>2023</v>
      </c>
      <c r="I46" t="n">
        <v>0.36</v>
      </c>
      <c r="J46" t="n">
        <v>1</v>
      </c>
      <c r="L46" t="inlineStr">
        <is>
          <t>No</t>
        </is>
      </c>
      <c r="M46" t="inlineStr">
        <is>
          <t>No</t>
        </is>
      </c>
      <c r="N46" t="inlineStr">
        <is>
          <t>PLANTACION_MENOR_CINCO_ANOS</t>
        </is>
      </c>
      <c r="O46" t="n">
        <v>17.71</v>
      </c>
      <c r="P46" t="n">
        <v>3453.45</v>
      </c>
      <c r="Q46" t="n">
        <v>424745</v>
      </c>
      <c r="R46" t="n">
        <v>0.008130643091737395</v>
      </c>
      <c r="S46" t="n">
        <v>37224</v>
      </c>
      <c r="T46" t="n">
        <v>302.66</v>
      </c>
    </row>
    <row r="47">
      <c r="A47" t="n">
        <v>1561</v>
      </c>
      <c r="B47" t="inlineStr">
        <is>
          <t>SUAREZ SANCHEZ, Mª DEL PILAR</t>
        </is>
      </c>
      <c r="C47" t="n">
        <v>670</v>
      </c>
      <c r="D47" t="inlineStr">
        <is>
          <t>9493</t>
        </is>
      </c>
      <c r="E47" t="inlineStr">
        <is>
          <t>18</t>
        </is>
      </c>
      <c r="F47" t="inlineStr">
        <is>
          <t>18</t>
        </is>
      </c>
      <c r="G47" t="inlineStr">
        <is>
          <t>115</t>
        </is>
      </c>
      <c r="H47" t="n">
        <v>2023</v>
      </c>
      <c r="I47" t="n">
        <v>0.12</v>
      </c>
      <c r="J47" t="n">
        <v>1</v>
      </c>
      <c r="L47" t="inlineStr">
        <is>
          <t>No</t>
        </is>
      </c>
      <c r="M47" t="inlineStr">
        <is>
          <t>No</t>
        </is>
      </c>
      <c r="N47" t="inlineStr">
        <is>
          <t>PLANTACION_MENOR_CINCO_ANOS</t>
        </is>
      </c>
      <c r="O47" t="n">
        <v>17.71</v>
      </c>
      <c r="P47" t="n">
        <v>3453.45</v>
      </c>
      <c r="Q47" t="n">
        <v>424745</v>
      </c>
      <c r="R47" t="n">
        <v>0.008130643091737395</v>
      </c>
      <c r="S47" t="n">
        <v>37224</v>
      </c>
      <c r="T47" t="n">
        <v>302.66</v>
      </c>
    </row>
    <row r="48">
      <c r="A48" t="n">
        <v>1561</v>
      </c>
      <c r="B48" t="inlineStr">
        <is>
          <t>SUAREZ SANCHEZ, Mª DEL PILAR</t>
        </is>
      </c>
      <c r="C48" t="n">
        <v>670</v>
      </c>
      <c r="D48" t="inlineStr">
        <is>
          <t>9494</t>
        </is>
      </c>
      <c r="E48" t="inlineStr">
        <is>
          <t>18</t>
        </is>
      </c>
      <c r="F48" t="inlineStr">
        <is>
          <t>18</t>
        </is>
      </c>
      <c r="G48" t="inlineStr">
        <is>
          <t>10</t>
        </is>
      </c>
      <c r="H48" t="n">
        <v>2023</v>
      </c>
      <c r="I48" t="n">
        <v>6.37</v>
      </c>
      <c r="J48" t="n">
        <v>1</v>
      </c>
      <c r="L48" t="inlineStr">
        <is>
          <t>No</t>
        </is>
      </c>
      <c r="M48" t="inlineStr">
        <is>
          <t>No</t>
        </is>
      </c>
      <c r="N48" t="inlineStr">
        <is>
          <t>PLANTACION_MENOR_CINCO_ANOS</t>
        </is>
      </c>
      <c r="O48" t="n">
        <v>17.71</v>
      </c>
      <c r="P48" t="n">
        <v>3453.45</v>
      </c>
      <c r="Q48" t="n">
        <v>424745</v>
      </c>
      <c r="R48" t="n">
        <v>0.008130643091737395</v>
      </c>
      <c r="S48" t="n">
        <v>37224</v>
      </c>
      <c r="T48" t="n">
        <v>302.66</v>
      </c>
    </row>
    <row r="49">
      <c r="A49" t="n">
        <v>1561</v>
      </c>
      <c r="B49" t="inlineStr">
        <is>
          <t>SUAREZ SANCHEZ, Mª DEL PILAR</t>
        </is>
      </c>
      <c r="C49" t="n">
        <v>616</v>
      </c>
      <c r="D49" t="inlineStr">
        <is>
          <t>6461</t>
        </is>
      </c>
      <c r="E49" t="inlineStr">
        <is>
          <t>1</t>
        </is>
      </c>
      <c r="F49" t="inlineStr">
        <is>
          <t>5</t>
        </is>
      </c>
      <c r="G49" t="inlineStr">
        <is>
          <t>30</t>
        </is>
      </c>
      <c r="H49" t="n">
        <v>2017</v>
      </c>
      <c r="I49" t="n">
        <v>0.07000000000000001</v>
      </c>
      <c r="J49" t="n">
        <v>1</v>
      </c>
      <c r="L49" t="inlineStr">
        <is>
          <t>Sí</t>
        </is>
      </c>
      <c r="M49" t="inlineStr">
        <is>
          <t>Sí</t>
        </is>
      </c>
      <c r="N49" t="inlineStr">
        <is>
          <t>VALIDA</t>
        </is>
      </c>
      <c r="O49" t="n">
        <v>17.71</v>
      </c>
      <c r="P49" t="n">
        <v>3453.45</v>
      </c>
      <c r="Q49" t="n">
        <v>424745</v>
      </c>
      <c r="R49" t="n">
        <v>0.008130643091737395</v>
      </c>
      <c r="S49" t="n">
        <v>37224</v>
      </c>
      <c r="T49" t="n">
        <v>302.66</v>
      </c>
    </row>
    <row r="50">
      <c r="A50" t="n">
        <v>1561</v>
      </c>
      <c r="B50" t="inlineStr">
        <is>
          <t>SUAREZ SANCHEZ, Mª DEL PILAR</t>
        </is>
      </c>
      <c r="C50" t="n">
        <v>616</v>
      </c>
      <c r="D50" t="inlineStr">
        <is>
          <t>6462</t>
        </is>
      </c>
      <c r="E50" t="inlineStr">
        <is>
          <t>1</t>
        </is>
      </c>
      <c r="F50" t="inlineStr">
        <is>
          <t>5</t>
        </is>
      </c>
      <c r="G50" t="inlineStr">
        <is>
          <t>77</t>
        </is>
      </c>
      <c r="H50" t="n">
        <v>2017</v>
      </c>
      <c r="I50" t="n">
        <v>0.23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17.71</v>
      </c>
      <c r="P50" t="n">
        <v>3453.45</v>
      </c>
      <c r="Q50" t="n">
        <v>424745</v>
      </c>
      <c r="R50" t="n">
        <v>0.008130643091737395</v>
      </c>
      <c r="S50" t="n">
        <v>37224</v>
      </c>
      <c r="T50" t="n">
        <v>302.66</v>
      </c>
    </row>
    <row r="51">
      <c r="A51" t="n">
        <v>1561</v>
      </c>
      <c r="B51" t="inlineStr">
        <is>
          <t>SUAREZ SANCHEZ, Mª DEL PILAR</t>
        </is>
      </c>
      <c r="C51" t="n">
        <v>616</v>
      </c>
      <c r="D51" t="inlineStr">
        <is>
          <t>6463</t>
        </is>
      </c>
      <c r="E51" t="inlineStr">
        <is>
          <t>1</t>
        </is>
      </c>
      <c r="F51" t="inlineStr">
        <is>
          <t>30</t>
        </is>
      </c>
      <c r="G51" t="inlineStr">
        <is>
          <t>1</t>
        </is>
      </c>
      <c r="H51" t="n">
        <v>2017</v>
      </c>
      <c r="I51" t="n">
        <v>3.56</v>
      </c>
      <c r="J51" t="n">
        <v>1</v>
      </c>
      <c r="L51" t="inlineStr">
        <is>
          <t>Sí</t>
        </is>
      </c>
      <c r="M51" t="inlineStr">
        <is>
          <t>Sí</t>
        </is>
      </c>
      <c r="N51" t="inlineStr">
        <is>
          <t>VALIDA</t>
        </is>
      </c>
      <c r="O51" t="n">
        <v>17.71</v>
      </c>
      <c r="P51" t="n">
        <v>3453.45</v>
      </c>
      <c r="Q51" t="n">
        <v>424745</v>
      </c>
      <c r="R51" t="n">
        <v>0.008130643091737395</v>
      </c>
      <c r="S51" t="n">
        <v>37224</v>
      </c>
      <c r="T51" t="n">
        <v>302.66</v>
      </c>
    </row>
    <row r="52">
      <c r="A52" t="n">
        <v>1561</v>
      </c>
      <c r="B52" t="inlineStr">
        <is>
          <t>SUAREZ SANCHEZ, Mª DEL PILAR</t>
        </is>
      </c>
      <c r="C52" t="n">
        <v>616</v>
      </c>
      <c r="D52" t="inlineStr">
        <is>
          <t>6464</t>
        </is>
      </c>
      <c r="E52" t="inlineStr">
        <is>
          <t>1</t>
        </is>
      </c>
      <c r="F52" t="inlineStr">
        <is>
          <t>30</t>
        </is>
      </c>
      <c r="G52" t="inlineStr">
        <is>
          <t>29</t>
        </is>
      </c>
      <c r="H52" t="n">
        <v>2017</v>
      </c>
      <c r="I52" t="n">
        <v>3.2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17.71</v>
      </c>
      <c r="P52" t="n">
        <v>3453.45</v>
      </c>
      <c r="Q52" t="n">
        <v>424745</v>
      </c>
      <c r="R52" t="n">
        <v>0.008130643091737395</v>
      </c>
      <c r="S52" t="n">
        <v>37224</v>
      </c>
      <c r="T52" t="n">
        <v>302.66</v>
      </c>
    </row>
    <row r="53">
      <c r="A53" t="n">
        <v>1561</v>
      </c>
      <c r="B53" t="inlineStr">
        <is>
          <t>SUAREZ SANCHEZ, Mª DEL PILAR</t>
        </is>
      </c>
      <c r="C53" t="n">
        <v>616</v>
      </c>
      <c r="D53" t="inlineStr">
        <is>
          <t>6465</t>
        </is>
      </c>
      <c r="E53" t="inlineStr">
        <is>
          <t>1</t>
        </is>
      </c>
      <c r="F53" t="inlineStr">
        <is>
          <t>30</t>
        </is>
      </c>
      <c r="G53" t="inlineStr">
        <is>
          <t>29</t>
        </is>
      </c>
      <c r="H53" t="n">
        <v>2017</v>
      </c>
      <c r="I53" t="n">
        <v>0.61</v>
      </c>
      <c r="J53" t="n">
        <v>1</v>
      </c>
      <c r="L53" t="inlineStr">
        <is>
          <t>Sí</t>
        </is>
      </c>
      <c r="M53" t="inlineStr">
        <is>
          <t>Sí</t>
        </is>
      </c>
      <c r="N53" t="inlineStr">
        <is>
          <t>VALIDA</t>
        </is>
      </c>
      <c r="O53" t="n">
        <v>17.71</v>
      </c>
      <c r="P53" t="n">
        <v>3453.45</v>
      </c>
      <c r="Q53" t="n">
        <v>424745</v>
      </c>
      <c r="R53" t="n">
        <v>0.008130643091737395</v>
      </c>
      <c r="S53" t="n">
        <v>37224</v>
      </c>
      <c r="T53" t="n">
        <v>302.66</v>
      </c>
    </row>
    <row r="54">
      <c r="A54" t="n">
        <v>1561</v>
      </c>
      <c r="B54" t="inlineStr">
        <is>
          <t>SUAREZ SANCHEZ, Mª DEL PILAR</t>
        </is>
      </c>
      <c r="C54" t="n">
        <v>616</v>
      </c>
      <c r="D54" t="inlineStr">
        <is>
          <t>6466</t>
        </is>
      </c>
      <c r="E54" t="inlineStr">
        <is>
          <t>1</t>
        </is>
      </c>
      <c r="F54" t="inlineStr">
        <is>
          <t>30</t>
        </is>
      </c>
      <c r="G54" t="inlineStr">
        <is>
          <t>30</t>
        </is>
      </c>
      <c r="H54" t="n">
        <v>2017</v>
      </c>
      <c r="I54" t="n">
        <v>0.35</v>
      </c>
      <c r="J54" t="n">
        <v>1</v>
      </c>
      <c r="L54" t="inlineStr">
        <is>
          <t>Sí</t>
        </is>
      </c>
      <c r="M54" t="inlineStr">
        <is>
          <t>Sí</t>
        </is>
      </c>
      <c r="N54" t="inlineStr">
        <is>
          <t>VALIDA</t>
        </is>
      </c>
      <c r="O54" t="n">
        <v>17.71</v>
      </c>
      <c r="P54" t="n">
        <v>3453.45</v>
      </c>
      <c r="Q54" t="n">
        <v>424745</v>
      </c>
      <c r="R54" t="n">
        <v>0.008130643091737395</v>
      </c>
      <c r="S54" t="n">
        <v>37224</v>
      </c>
      <c r="T54" t="n">
        <v>302.66</v>
      </c>
    </row>
    <row r="55">
      <c r="A55" t="n">
        <v>1561</v>
      </c>
      <c r="B55" t="inlineStr">
        <is>
          <t>SUAREZ SANCHEZ, Mª DEL PILAR</t>
        </is>
      </c>
      <c r="C55" t="n">
        <v>616</v>
      </c>
      <c r="D55" t="inlineStr">
        <is>
          <t>6467</t>
        </is>
      </c>
      <c r="E55" t="inlineStr">
        <is>
          <t>1</t>
        </is>
      </c>
      <c r="F55" t="inlineStr">
        <is>
          <t>30</t>
        </is>
      </c>
      <c r="G55" t="inlineStr">
        <is>
          <t>48</t>
        </is>
      </c>
      <c r="H55" t="n">
        <v>2017</v>
      </c>
      <c r="I55" t="n">
        <v>0.55</v>
      </c>
      <c r="J55" t="n">
        <v>1</v>
      </c>
      <c r="L55" t="inlineStr">
        <is>
          <t>Sí</t>
        </is>
      </c>
      <c r="M55" t="inlineStr">
        <is>
          <t>Sí</t>
        </is>
      </c>
      <c r="N55" t="inlineStr">
        <is>
          <t>VALIDA</t>
        </is>
      </c>
      <c r="O55" t="n">
        <v>17.71</v>
      </c>
      <c r="P55" t="n">
        <v>3453.45</v>
      </c>
      <c r="Q55" t="n">
        <v>424745</v>
      </c>
      <c r="R55" t="n">
        <v>0.008130643091737395</v>
      </c>
      <c r="S55" t="n">
        <v>37224</v>
      </c>
      <c r="T55" t="n">
        <v>302.66</v>
      </c>
    </row>
    <row r="56">
      <c r="A56" t="n">
        <v>1561</v>
      </c>
      <c r="B56" t="inlineStr">
        <is>
          <t>SUAREZ SANCHEZ, Mª DEL PILAR</t>
        </is>
      </c>
      <c r="C56" t="n">
        <v>616</v>
      </c>
      <c r="D56" t="inlineStr">
        <is>
          <t>6468</t>
        </is>
      </c>
      <c r="E56" t="inlineStr">
        <is>
          <t>1</t>
        </is>
      </c>
      <c r="F56" t="inlineStr">
        <is>
          <t>30</t>
        </is>
      </c>
      <c r="G56" t="inlineStr">
        <is>
          <t>50</t>
        </is>
      </c>
      <c r="H56" t="n">
        <v>2017</v>
      </c>
      <c r="I56" t="n">
        <v>0.33</v>
      </c>
      <c r="J56" t="n">
        <v>1</v>
      </c>
      <c r="L56" t="inlineStr">
        <is>
          <t>Sí</t>
        </is>
      </c>
      <c r="M56" t="inlineStr">
        <is>
          <t>Sí</t>
        </is>
      </c>
      <c r="N56" t="inlineStr">
        <is>
          <t>VALIDA</t>
        </is>
      </c>
      <c r="O56" t="n">
        <v>17.71</v>
      </c>
      <c r="P56" t="n">
        <v>3453.45</v>
      </c>
      <c r="Q56" t="n">
        <v>424745</v>
      </c>
      <c r="R56" t="n">
        <v>0.008130643091737395</v>
      </c>
      <c r="S56" t="n">
        <v>37224</v>
      </c>
      <c r="T56" t="n">
        <v>302.66</v>
      </c>
    </row>
    <row r="57">
      <c r="A57" t="n">
        <v>1561</v>
      </c>
      <c r="B57" t="inlineStr">
        <is>
          <t>SUAREZ SANCHEZ, Mª DEL PILAR</t>
        </is>
      </c>
      <c r="C57" t="n">
        <v>616</v>
      </c>
      <c r="D57" t="inlineStr">
        <is>
          <t>6469</t>
        </is>
      </c>
      <c r="E57" t="inlineStr">
        <is>
          <t>1</t>
        </is>
      </c>
      <c r="F57" t="inlineStr">
        <is>
          <t>30</t>
        </is>
      </c>
      <c r="G57" t="inlineStr">
        <is>
          <t>53</t>
        </is>
      </c>
      <c r="H57" t="n">
        <v>2017</v>
      </c>
      <c r="I57" t="n">
        <v>0.16</v>
      </c>
      <c r="J57" t="n">
        <v>1</v>
      </c>
      <c r="L57" t="inlineStr">
        <is>
          <t>Sí</t>
        </is>
      </c>
      <c r="M57" t="inlineStr">
        <is>
          <t>Sí</t>
        </is>
      </c>
      <c r="N57" t="inlineStr">
        <is>
          <t>VALIDA</t>
        </is>
      </c>
      <c r="O57" t="n">
        <v>17.71</v>
      </c>
      <c r="P57" t="n">
        <v>3453.45</v>
      </c>
      <c r="Q57" t="n">
        <v>424745</v>
      </c>
      <c r="R57" t="n">
        <v>0.008130643091737395</v>
      </c>
      <c r="S57" t="n">
        <v>37224</v>
      </c>
      <c r="T57" t="n">
        <v>302.66</v>
      </c>
    </row>
    <row r="58">
      <c r="A58" t="n">
        <v>1561</v>
      </c>
      <c r="B58" t="inlineStr">
        <is>
          <t>SUAREZ SANCHEZ, Mª DEL PILAR</t>
        </is>
      </c>
      <c r="C58" t="n">
        <v>616</v>
      </c>
      <c r="D58" t="inlineStr">
        <is>
          <t>6470</t>
        </is>
      </c>
      <c r="E58" t="inlineStr">
        <is>
          <t>1</t>
        </is>
      </c>
      <c r="F58" t="inlineStr">
        <is>
          <t>30</t>
        </is>
      </c>
      <c r="G58" t="inlineStr">
        <is>
          <t>55</t>
        </is>
      </c>
      <c r="H58" t="n">
        <v>2017</v>
      </c>
      <c r="I58" t="n">
        <v>0.06</v>
      </c>
      <c r="J58" t="n">
        <v>1</v>
      </c>
      <c r="L58" t="inlineStr">
        <is>
          <t>Sí</t>
        </is>
      </c>
      <c r="M58" t="inlineStr">
        <is>
          <t>Sí</t>
        </is>
      </c>
      <c r="N58" t="inlineStr">
        <is>
          <t>VALIDA</t>
        </is>
      </c>
      <c r="O58" t="n">
        <v>17.71</v>
      </c>
      <c r="P58" t="n">
        <v>3453.45</v>
      </c>
      <c r="Q58" t="n">
        <v>424745</v>
      </c>
      <c r="R58" t="n">
        <v>0.008130643091737395</v>
      </c>
      <c r="S58" t="n">
        <v>37224</v>
      </c>
      <c r="T58" t="n">
        <v>302.66</v>
      </c>
    </row>
    <row r="59">
      <c r="A59" t="n">
        <v>1561</v>
      </c>
      <c r="B59" t="inlineStr">
        <is>
          <t>SUAREZ SANCHEZ, Mª DEL PILAR</t>
        </is>
      </c>
      <c r="C59" t="n">
        <v>616</v>
      </c>
      <c r="D59" t="inlineStr">
        <is>
          <t>6471</t>
        </is>
      </c>
      <c r="E59" t="inlineStr">
        <is>
          <t>1</t>
        </is>
      </c>
      <c r="F59" t="inlineStr">
        <is>
          <t>30</t>
        </is>
      </c>
      <c r="G59" t="inlineStr">
        <is>
          <t>56</t>
        </is>
      </c>
      <c r="H59" t="n">
        <v>2017</v>
      </c>
      <c r="I59" t="n">
        <v>0.15</v>
      </c>
      <c r="J59" t="n">
        <v>1</v>
      </c>
      <c r="L59" t="inlineStr">
        <is>
          <t>Sí</t>
        </is>
      </c>
      <c r="M59" t="inlineStr">
        <is>
          <t>Sí</t>
        </is>
      </c>
      <c r="N59" t="inlineStr">
        <is>
          <t>VALIDA</t>
        </is>
      </c>
      <c r="O59" t="n">
        <v>17.71</v>
      </c>
      <c r="P59" t="n">
        <v>3453.45</v>
      </c>
      <c r="Q59" t="n">
        <v>424745</v>
      </c>
      <c r="R59" t="n">
        <v>0.008130643091737395</v>
      </c>
      <c r="S59" t="n">
        <v>37224</v>
      </c>
      <c r="T59" t="n">
        <v>302.66</v>
      </c>
    </row>
    <row r="60">
      <c r="A60" t="n">
        <v>1561</v>
      </c>
      <c r="B60" t="inlineStr">
        <is>
          <t>SUAREZ SANCHEZ, Mª DEL PILAR</t>
        </is>
      </c>
      <c r="C60" t="n">
        <v>632</v>
      </c>
      <c r="D60" t="inlineStr">
        <is>
          <t>9636</t>
        </is>
      </c>
      <c r="E60" t="inlineStr">
        <is>
          <t>1</t>
        </is>
      </c>
      <c r="F60" t="inlineStr">
        <is>
          <t>30</t>
        </is>
      </c>
      <c r="H60" t="n">
        <v>2017</v>
      </c>
      <c r="I60" t="n">
        <v>4.23</v>
      </c>
      <c r="J60" t="n">
        <v>1</v>
      </c>
      <c r="L60" t="inlineStr">
        <is>
          <t>Sí</t>
        </is>
      </c>
      <c r="M60" t="inlineStr">
        <is>
          <t>Sí</t>
        </is>
      </c>
      <c r="N60" t="inlineStr">
        <is>
          <t>VALIDA</t>
        </is>
      </c>
      <c r="O60" t="n">
        <v>17.71</v>
      </c>
      <c r="P60" t="n">
        <v>3453.45</v>
      </c>
      <c r="Q60" t="n">
        <v>424745</v>
      </c>
      <c r="R60" t="n">
        <v>0.008130643091737395</v>
      </c>
      <c r="S60" t="n">
        <v>37224</v>
      </c>
      <c r="T60" t="n">
        <v>302.66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1214</v>
      </c>
      <c r="B2" t="inlineStr">
        <is>
          <t>CALZADA GAMIZ,JOSE ANTONIO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613</v>
      </c>
      <c r="J2" t="n">
        <v>11804</v>
      </c>
      <c r="K2" t="n">
        <v>0</v>
      </c>
      <c r="L2" t="n">
        <v>11804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1214</v>
      </c>
      <c r="B3" t="inlineStr">
        <is>
          <t>CALZADA GAMIZ,JOSE ANTONIO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613</v>
      </c>
      <c r="J3" t="n">
        <v>12044</v>
      </c>
      <c r="K3" t="n">
        <v>10930</v>
      </c>
      <c r="L3" t="n">
        <v>10930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1214</v>
      </c>
      <c r="B4" t="inlineStr">
        <is>
          <t>CALZADA GAMIZ,JOSE ANTONIO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NADORCOTT</t>
        </is>
      </c>
      <c r="I4" t="n">
        <v>613</v>
      </c>
      <c r="J4" t="n">
        <v>1009</v>
      </c>
      <c r="K4" t="n">
        <v>0</v>
      </c>
      <c r="L4" t="n">
        <v>1009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1214</v>
      </c>
      <c r="B5" t="inlineStr">
        <is>
          <t>CALZADA GAMIZ,JOSE ANTONIO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NADORCOTT</t>
        </is>
      </c>
      <c r="I5" t="n">
        <v>613</v>
      </c>
      <c r="J5" t="n">
        <v>11932</v>
      </c>
      <c r="K5" t="n">
        <v>0</v>
      </c>
      <c r="L5" t="n">
        <v>11932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1214</v>
      </c>
      <c r="B6" t="inlineStr">
        <is>
          <t>CALZADA GAMIZ,JOSE ANTONIO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NADORCOTT</t>
        </is>
      </c>
      <c r="I6" t="n">
        <v>613</v>
      </c>
      <c r="J6" t="n">
        <v>12848</v>
      </c>
      <c r="K6" t="n">
        <v>5962</v>
      </c>
      <c r="L6" t="n">
        <v>5962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1214</v>
      </c>
      <c r="B7" t="inlineStr">
        <is>
          <t>CALZADA GAMIZ,JOSE ANTONIO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613</v>
      </c>
      <c r="J7" t="n">
        <v>18944</v>
      </c>
      <c r="K7" t="n">
        <v>0</v>
      </c>
      <c r="L7" t="n">
        <v>18944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1214</v>
      </c>
      <c r="B8" t="inlineStr">
        <is>
          <t>CALZADA GAMIZ,JOSE ANTONIO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613</v>
      </c>
      <c r="J8" t="n">
        <v>1824</v>
      </c>
      <c r="K8" t="n">
        <v>0</v>
      </c>
      <c r="L8" t="n">
        <v>1824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1214</v>
      </c>
      <c r="B9" t="inlineStr">
        <is>
          <t>CALZADA GAMIZ,JOSE ANTONIO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613</v>
      </c>
      <c r="J9" t="n">
        <v>11983</v>
      </c>
      <c r="K9" t="n">
        <v>4877</v>
      </c>
      <c r="L9" t="n">
        <v>4877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1214</v>
      </c>
      <c r="B10" t="inlineStr">
        <is>
          <t>CALZADA GAMIZ,JOSE ANTONIO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613</v>
      </c>
      <c r="J10" t="n">
        <v>20502</v>
      </c>
      <c r="K10" t="n">
        <v>0</v>
      </c>
      <c r="L10" t="n">
        <v>20502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1214</v>
      </c>
      <c r="B11" t="inlineStr">
        <is>
          <t>CALZADA GAMIZ,JOSE ANTONIO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NADORCOTT</t>
        </is>
      </c>
      <c r="I11" t="n">
        <v>613</v>
      </c>
      <c r="J11" t="n">
        <v>20060</v>
      </c>
      <c r="K11" t="n">
        <v>0</v>
      </c>
      <c r="L11" t="n">
        <v>20060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1214</v>
      </c>
      <c r="B12" t="inlineStr">
        <is>
          <t>CALZADA GAMIZ,JOSE ANTONIO</t>
        </is>
      </c>
      <c r="E12" t="n">
        <v>2026</v>
      </c>
      <c r="F12" t="n">
        <v>1</v>
      </c>
      <c r="G12" t="inlineStr">
        <is>
          <t>MANDARINA</t>
        </is>
      </c>
      <c r="H12" t="inlineStr">
        <is>
          <t>NADORCOTT</t>
        </is>
      </c>
      <c r="I12" t="n">
        <v>613</v>
      </c>
      <c r="J12" t="n">
        <v>11785</v>
      </c>
      <c r="K12" t="n">
        <v>6149</v>
      </c>
      <c r="L12" t="n">
        <v>6149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1214</v>
      </c>
      <c r="B13" t="inlineStr">
        <is>
          <t>CALZADA GAMIZ,JOSE ANTONIO</t>
        </is>
      </c>
      <c r="E13" t="n">
        <v>2026</v>
      </c>
      <c r="F13" t="n">
        <v>1</v>
      </c>
      <c r="G13" t="inlineStr">
        <is>
          <t>MANDARINA</t>
        </is>
      </c>
      <c r="H13" t="inlineStr">
        <is>
          <t>NADORCOTT</t>
        </is>
      </c>
      <c r="I13" t="n">
        <v>613</v>
      </c>
      <c r="J13" t="n">
        <v>10476</v>
      </c>
      <c r="K13" t="n">
        <v>5926</v>
      </c>
      <c r="L13" t="n">
        <v>5926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1214</v>
      </c>
      <c r="B14" t="inlineStr">
        <is>
          <t>CALZADA GAMIZ,JOSE ANTONIO</t>
        </is>
      </c>
      <c r="E14" t="n">
        <v>2026</v>
      </c>
      <c r="F14" t="n">
        <v>1</v>
      </c>
      <c r="G14" t="inlineStr">
        <is>
          <t>MANDARINA</t>
        </is>
      </c>
      <c r="H14" t="inlineStr">
        <is>
          <t>NADORCOTT</t>
        </is>
      </c>
      <c r="I14" t="n">
        <v>613</v>
      </c>
      <c r="J14" t="n">
        <v>3890</v>
      </c>
      <c r="K14" t="n">
        <v>0</v>
      </c>
      <c r="L14" t="n">
        <v>3890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1214</v>
      </c>
      <c r="B15" t="inlineStr">
        <is>
          <t>CALZADA GAMIZ,JOSE ANTONIO</t>
        </is>
      </c>
      <c r="E15" t="n">
        <v>2026</v>
      </c>
      <c r="F15" t="n">
        <v>1</v>
      </c>
      <c r="G15" t="inlineStr">
        <is>
          <t>MANDARINA</t>
        </is>
      </c>
      <c r="H15" t="inlineStr">
        <is>
          <t>NADORCOTT</t>
        </is>
      </c>
      <c r="I15" t="n">
        <v>613</v>
      </c>
      <c r="J15" t="n">
        <v>9676</v>
      </c>
      <c r="K15" t="n">
        <v>0</v>
      </c>
      <c r="L15" t="n">
        <v>9676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1214</v>
      </c>
      <c r="B16" t="inlineStr">
        <is>
          <t>CALZADA GAMIZ,JOSE ANTONIO</t>
        </is>
      </c>
      <c r="E16" t="n">
        <v>2026</v>
      </c>
      <c r="F16" t="n">
        <v>1</v>
      </c>
      <c r="G16" t="inlineStr">
        <is>
          <t>MANDARINA</t>
        </is>
      </c>
      <c r="H16" t="inlineStr">
        <is>
          <t>NADORCOTT</t>
        </is>
      </c>
      <c r="I16" t="n">
        <v>613</v>
      </c>
      <c r="J16" t="n">
        <v>20140</v>
      </c>
      <c r="K16" t="n">
        <v>0</v>
      </c>
      <c r="L16" t="n">
        <v>20140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1214</v>
      </c>
      <c r="B17" t="inlineStr">
        <is>
          <t>CALZADA GAMIZ,JOSE ANTONIO</t>
        </is>
      </c>
      <c r="E17" t="n">
        <v>2026</v>
      </c>
      <c r="F17" t="n">
        <v>1</v>
      </c>
      <c r="G17" t="inlineStr">
        <is>
          <t>MANDARINA</t>
        </is>
      </c>
      <c r="H17" t="inlineStr">
        <is>
          <t>TANGO</t>
        </is>
      </c>
      <c r="I17" t="n">
        <v>621</v>
      </c>
      <c r="J17" t="n">
        <v>18104</v>
      </c>
      <c r="K17" t="n">
        <v>0</v>
      </c>
      <c r="L17" t="n">
        <v>18104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1214</v>
      </c>
      <c r="B18" t="inlineStr">
        <is>
          <t>CALZADA GAMIZ,JOSE ANTONIO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621</v>
      </c>
      <c r="J18" t="n">
        <v>18936</v>
      </c>
      <c r="K18" t="n">
        <v>0</v>
      </c>
      <c r="L18" t="n">
        <v>18936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1214</v>
      </c>
      <c r="B19" t="inlineStr">
        <is>
          <t>CALZADA GAMIZ,JOSE ANTONIO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NADORCOTT</t>
        </is>
      </c>
      <c r="I19" t="n">
        <v>613</v>
      </c>
      <c r="J19" t="n">
        <v>11044</v>
      </c>
      <c r="K19" t="n">
        <v>0</v>
      </c>
      <c r="L19" t="n">
        <v>11044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1214</v>
      </c>
      <c r="B20" t="inlineStr">
        <is>
          <t>CALZADA GAMIZ,JOSE ANTONIO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NADORCOTT</t>
        </is>
      </c>
      <c r="I20" t="n">
        <v>613</v>
      </c>
      <c r="J20" t="n">
        <v>8812</v>
      </c>
      <c r="K20" t="n">
        <v>6121</v>
      </c>
      <c r="L20" t="n">
        <v>6121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1214</v>
      </c>
      <c r="B21" t="inlineStr">
        <is>
          <t>CALZADA GAMIZ,JOSE ANTONIO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NADORCOTT</t>
        </is>
      </c>
      <c r="I21" t="n">
        <v>613</v>
      </c>
      <c r="J21" t="n">
        <v>9472</v>
      </c>
      <c r="K21" t="n">
        <v>2295</v>
      </c>
      <c r="L21" t="n">
        <v>2295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1214</v>
      </c>
      <c r="B22" t="inlineStr">
        <is>
          <t>CALZADA GAMIZ,JOSE ANTONIO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621</v>
      </c>
      <c r="J22" t="n">
        <v>18436</v>
      </c>
      <c r="K22" t="n">
        <v>0</v>
      </c>
      <c r="L22" t="n">
        <v>18436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1214</v>
      </c>
      <c r="B23" t="inlineStr">
        <is>
          <t>CALZADA GAMIZ,JOSE ANTONIO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621</v>
      </c>
      <c r="J23" t="n">
        <v>1082</v>
      </c>
      <c r="K23" t="n">
        <v>0</v>
      </c>
      <c r="L23" t="n">
        <v>1082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1324</v>
      </c>
      <c r="B24" t="inlineStr">
        <is>
          <t>CANO MANZANARES,LUIS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TANGO</t>
        </is>
      </c>
      <c r="I24" t="n">
        <v>607</v>
      </c>
      <c r="J24" t="n">
        <v>19650</v>
      </c>
      <c r="K24" t="n">
        <v>0</v>
      </c>
      <c r="L24" t="n">
        <v>19650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1324</v>
      </c>
      <c r="B25" t="inlineStr">
        <is>
          <t>CANO MANZANARES,LUIS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TANGO</t>
        </is>
      </c>
      <c r="I25" t="n">
        <v>607</v>
      </c>
      <c r="J25" t="n">
        <v>20153</v>
      </c>
      <c r="K25" t="n">
        <v>0</v>
      </c>
      <c r="L25" t="n">
        <v>20153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1324</v>
      </c>
      <c r="B26" t="inlineStr">
        <is>
          <t>CANO MANZANARES,LUIS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TANGO</t>
        </is>
      </c>
      <c r="I26" t="n">
        <v>607</v>
      </c>
      <c r="J26" t="n">
        <v>18341</v>
      </c>
      <c r="K26" t="n">
        <v>0</v>
      </c>
      <c r="L26" t="n">
        <v>18341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1324</v>
      </c>
      <c r="B27" t="inlineStr">
        <is>
          <t>CANO MANZANARES,LUIS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TANGO</t>
        </is>
      </c>
      <c r="I27" t="n">
        <v>607</v>
      </c>
      <c r="J27" t="n">
        <v>20480</v>
      </c>
      <c r="K27" t="n">
        <v>0</v>
      </c>
      <c r="L27" t="n">
        <v>20480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1324</v>
      </c>
      <c r="B28" t="inlineStr">
        <is>
          <t>CANO MANZANARES,LUIS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TANGO</t>
        </is>
      </c>
      <c r="I28" t="n">
        <v>607</v>
      </c>
      <c r="J28" t="n">
        <v>20796</v>
      </c>
      <c r="K28" t="n">
        <v>0</v>
      </c>
      <c r="L28" t="n">
        <v>20796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1324</v>
      </c>
      <c r="B29" t="inlineStr">
        <is>
          <t>CANO MANZANARES,LUIS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TANGO</t>
        </is>
      </c>
      <c r="I29" t="n">
        <v>607</v>
      </c>
      <c r="J29" t="n">
        <v>19670</v>
      </c>
      <c r="K29" t="n">
        <v>0</v>
      </c>
      <c r="L29" t="n">
        <v>19670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1324</v>
      </c>
      <c r="B30" t="inlineStr">
        <is>
          <t>CANO MANZANARES,LUIS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TANGO</t>
        </is>
      </c>
      <c r="I30" t="n">
        <v>607</v>
      </c>
      <c r="J30" t="n">
        <v>20400</v>
      </c>
      <c r="K30" t="n">
        <v>0</v>
      </c>
      <c r="L30" t="n">
        <v>20400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1415</v>
      </c>
      <c r="B31" t="inlineStr">
        <is>
          <t>TOMENO SUAREZ,FERNANDO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358</v>
      </c>
      <c r="J31" t="n">
        <v>14650</v>
      </c>
      <c r="K31" t="n">
        <v>0</v>
      </c>
      <c r="L31" t="n">
        <v>14650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1415</v>
      </c>
      <c r="B32" t="inlineStr">
        <is>
          <t>TOMENO SUAREZ,FERNANDO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LANE LATE</t>
        </is>
      </c>
      <c r="I32" t="n">
        <v>358</v>
      </c>
      <c r="J32" t="n">
        <v>13952</v>
      </c>
      <c r="K32" t="n">
        <v>896</v>
      </c>
      <c r="L32" t="n">
        <v>896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1415</v>
      </c>
      <c r="B33" t="inlineStr">
        <is>
          <t>TOMENO SUAREZ,FERNANDO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LANE LATE</t>
        </is>
      </c>
      <c r="I33" t="n">
        <v>358</v>
      </c>
      <c r="J33" t="n">
        <v>13304</v>
      </c>
      <c r="K33" t="n">
        <v>6274</v>
      </c>
      <c r="L33" t="n">
        <v>6274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1415</v>
      </c>
      <c r="B34" t="inlineStr">
        <is>
          <t>TOMENO SUAREZ,FERNANDO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LANE LATE</t>
        </is>
      </c>
      <c r="I34" t="n">
        <v>358</v>
      </c>
      <c r="J34" t="n">
        <v>13412</v>
      </c>
      <c r="K34" t="n">
        <v>5378</v>
      </c>
      <c r="L34" t="n">
        <v>5378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1415</v>
      </c>
      <c r="B35" t="inlineStr">
        <is>
          <t>TOMENO SUAREZ,FERNANDO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LANE LATE</t>
        </is>
      </c>
      <c r="I35" t="n">
        <v>358</v>
      </c>
      <c r="J35" t="n">
        <v>14700</v>
      </c>
      <c r="K35" t="n">
        <v>0</v>
      </c>
      <c r="L35" t="n">
        <v>14700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1415</v>
      </c>
      <c r="B36" t="inlineStr">
        <is>
          <t>TOMENO SUAREZ,FERNANDO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LANE LATE</t>
        </is>
      </c>
      <c r="I36" t="n">
        <v>358</v>
      </c>
      <c r="J36" t="n">
        <v>14850</v>
      </c>
      <c r="K36" t="n">
        <v>14065</v>
      </c>
      <c r="L36" t="n">
        <v>14065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1415</v>
      </c>
      <c r="B37" t="inlineStr">
        <is>
          <t>TOMENO SUAREZ,FERNANDO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BARNFIELD</t>
        </is>
      </c>
      <c r="I37" t="n">
        <v>672</v>
      </c>
      <c r="J37" t="n">
        <v>14540</v>
      </c>
      <c r="K37" t="n">
        <v>0</v>
      </c>
      <c r="L37" t="n">
        <v>14540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1415</v>
      </c>
      <c r="B38" t="inlineStr">
        <is>
          <t>TOMENO SUAREZ,FERNANDO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BARNFIELD</t>
        </is>
      </c>
      <c r="I38" t="n">
        <v>672</v>
      </c>
      <c r="J38" t="n">
        <v>14805</v>
      </c>
      <c r="K38" t="n">
        <v>13618</v>
      </c>
      <c r="L38" t="n">
        <v>13618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1415</v>
      </c>
      <c r="B39" t="inlineStr">
        <is>
          <t>TOMENO SUAREZ,FERNANDO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BARNFIELD</t>
        </is>
      </c>
      <c r="I39" t="n">
        <v>672</v>
      </c>
      <c r="J39" t="n">
        <v>14050</v>
      </c>
      <c r="K39" t="n">
        <v>13288</v>
      </c>
      <c r="L39" t="n">
        <v>13288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1415</v>
      </c>
      <c r="B40" t="inlineStr">
        <is>
          <t>TOMENO SUAREZ,FERNANDO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BARNFIELD</t>
        </is>
      </c>
      <c r="I40" t="n">
        <v>672</v>
      </c>
      <c r="J40" t="n">
        <v>14820</v>
      </c>
      <c r="K40" t="n">
        <v>0</v>
      </c>
      <c r="L40" t="n">
        <v>14820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1415</v>
      </c>
      <c r="B41" t="inlineStr">
        <is>
          <t>TOMENO SUAREZ,FERNANDO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BARNFIELD</t>
        </is>
      </c>
      <c r="I41" t="n">
        <v>672</v>
      </c>
      <c r="J41" t="n">
        <v>14180</v>
      </c>
      <c r="K41" t="n">
        <v>0</v>
      </c>
      <c r="L41" t="n">
        <v>14180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1415</v>
      </c>
      <c r="B42" t="inlineStr">
        <is>
          <t>TOMENO SUAREZ,FERNANDO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BARNFIELD</t>
        </is>
      </c>
      <c r="I42" t="n">
        <v>672</v>
      </c>
      <c r="J42" t="n">
        <v>14510</v>
      </c>
      <c r="K42" t="n">
        <v>0</v>
      </c>
      <c r="L42" t="n">
        <v>14510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1415</v>
      </c>
      <c r="B43" t="inlineStr">
        <is>
          <t>TOMENO SUAREZ,FERNANDO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BARNFIELD</t>
        </is>
      </c>
      <c r="I43" t="n">
        <v>672</v>
      </c>
      <c r="J43" t="n">
        <v>981</v>
      </c>
      <c r="K43" t="n">
        <v>0</v>
      </c>
      <c r="L43" t="n">
        <v>981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1415</v>
      </c>
      <c r="B44" t="inlineStr">
        <is>
          <t>TOMENO SUAREZ,FERNANDO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SALUSTIANA</t>
        </is>
      </c>
      <c r="I44" t="n">
        <v>168</v>
      </c>
      <c r="J44" t="n">
        <v>22640</v>
      </c>
      <c r="K44" t="n">
        <v>0</v>
      </c>
      <c r="L44" t="n">
        <v>22640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1415</v>
      </c>
      <c r="B45" t="inlineStr">
        <is>
          <t>TOMENO SUAREZ,FERNANDO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SALUSTIANA</t>
        </is>
      </c>
      <c r="I45" t="n">
        <v>168</v>
      </c>
      <c r="J45" t="n">
        <v>14940</v>
      </c>
      <c r="K45" t="n">
        <v>0</v>
      </c>
      <c r="L45" t="n">
        <v>14940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1415</v>
      </c>
      <c r="B46" t="inlineStr">
        <is>
          <t>TOMENO SUAREZ,FERNANDO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SALUSTIANA</t>
        </is>
      </c>
      <c r="I46" t="n">
        <v>168</v>
      </c>
      <c r="J46" t="n">
        <v>22980</v>
      </c>
      <c r="K46" t="n">
        <v>0</v>
      </c>
      <c r="L46" t="n">
        <v>22980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1415</v>
      </c>
      <c r="B47" t="inlineStr">
        <is>
          <t>TOMENO SUAREZ,FERNANDO</t>
        </is>
      </c>
      <c r="E47" t="n">
        <v>2026</v>
      </c>
      <c r="F47" t="n">
        <v>1</v>
      </c>
      <c r="G47" t="inlineStr">
        <is>
          <t>DIRECTO</t>
        </is>
      </c>
      <c r="H47" t="inlineStr">
        <is>
          <t>SALUSTIANA</t>
        </is>
      </c>
      <c r="I47" t="n">
        <v>168</v>
      </c>
      <c r="J47" t="n">
        <v>23620</v>
      </c>
      <c r="K47" t="n">
        <v>0</v>
      </c>
      <c r="L47" t="n">
        <v>23620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1415</v>
      </c>
      <c r="B48" t="inlineStr">
        <is>
          <t>TOMENO SUAREZ,FERNANDO</t>
        </is>
      </c>
      <c r="E48" t="n">
        <v>2026</v>
      </c>
      <c r="F48" t="n">
        <v>1</v>
      </c>
      <c r="G48" t="inlineStr">
        <is>
          <t>DIRECTO</t>
        </is>
      </c>
      <c r="H48" t="inlineStr">
        <is>
          <t>SALUSTIANA</t>
        </is>
      </c>
      <c r="I48" t="n">
        <v>168</v>
      </c>
      <c r="J48" t="n">
        <v>22620</v>
      </c>
      <c r="K48" t="n">
        <v>0</v>
      </c>
      <c r="L48" t="n">
        <v>22620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1415</v>
      </c>
      <c r="B49" t="inlineStr">
        <is>
          <t>TOMENO SUAREZ,FERNANDO</t>
        </is>
      </c>
      <c r="E49" t="n">
        <v>2026</v>
      </c>
      <c r="F49" t="n">
        <v>1</v>
      </c>
      <c r="G49" t="inlineStr">
        <is>
          <t>DIRECTO</t>
        </is>
      </c>
      <c r="H49" t="inlineStr">
        <is>
          <t>SALUSTIANA</t>
        </is>
      </c>
      <c r="I49" t="n">
        <v>168</v>
      </c>
      <c r="J49" t="n">
        <v>23220</v>
      </c>
      <c r="K49" t="n">
        <v>0</v>
      </c>
      <c r="L49" t="n">
        <v>23220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1415</v>
      </c>
      <c r="B50" t="inlineStr">
        <is>
          <t>TOMENO SUAREZ,FERNANDO</t>
        </is>
      </c>
      <c r="E50" t="n">
        <v>2026</v>
      </c>
      <c r="F50" t="n">
        <v>1</v>
      </c>
      <c r="G50" t="inlineStr">
        <is>
          <t>DIRECTO</t>
        </is>
      </c>
      <c r="H50" t="inlineStr">
        <is>
          <t>BARBERINA</t>
        </is>
      </c>
      <c r="I50" t="n">
        <v>708</v>
      </c>
      <c r="J50" t="n">
        <v>21500</v>
      </c>
      <c r="K50" t="n">
        <v>0</v>
      </c>
      <c r="L50" t="n">
        <v>21500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1415</v>
      </c>
      <c r="B51" t="inlineStr">
        <is>
          <t>TOMENO SUAREZ,FERNANDO</t>
        </is>
      </c>
      <c r="E51" t="n">
        <v>2026</v>
      </c>
      <c r="F51" t="n">
        <v>1</v>
      </c>
      <c r="G51" t="inlineStr">
        <is>
          <t>DIRECTO</t>
        </is>
      </c>
      <c r="H51" t="inlineStr">
        <is>
          <t>BARBERINA</t>
        </is>
      </c>
      <c r="I51" t="n">
        <v>708</v>
      </c>
      <c r="J51" t="n">
        <v>21200</v>
      </c>
      <c r="K51" t="n">
        <v>0</v>
      </c>
      <c r="L51" t="n">
        <v>21200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1415</v>
      </c>
      <c r="B52" t="inlineStr">
        <is>
          <t>TOMENO SUAREZ,FERNANDO</t>
        </is>
      </c>
      <c r="E52" t="n">
        <v>2026</v>
      </c>
      <c r="F52" t="n">
        <v>1</v>
      </c>
      <c r="G52" t="inlineStr">
        <is>
          <t>DIRECTO</t>
        </is>
      </c>
      <c r="H52" t="inlineStr">
        <is>
          <t>BARBERINA</t>
        </is>
      </c>
      <c r="I52" t="n">
        <v>708</v>
      </c>
      <c r="J52" t="n">
        <v>21340</v>
      </c>
      <c r="K52" t="n">
        <v>0</v>
      </c>
      <c r="L52" t="n">
        <v>21340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1415</v>
      </c>
      <c r="B53" t="inlineStr">
        <is>
          <t>TOMENO SUAREZ,FERNANDO</t>
        </is>
      </c>
      <c r="E53" t="n">
        <v>2026</v>
      </c>
      <c r="F53" t="n">
        <v>1</v>
      </c>
      <c r="G53" t="inlineStr">
        <is>
          <t>DIRECTO</t>
        </is>
      </c>
      <c r="H53" t="inlineStr">
        <is>
          <t>BARBERINA</t>
        </is>
      </c>
      <c r="I53" t="n">
        <v>708</v>
      </c>
      <c r="J53" t="n">
        <v>20180</v>
      </c>
      <c r="K53" t="n">
        <v>0</v>
      </c>
      <c r="L53" t="n">
        <v>20180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1415</v>
      </c>
      <c r="B54" t="inlineStr">
        <is>
          <t>TOMENO SUAREZ,FERNANDO</t>
        </is>
      </c>
      <c r="E54" t="n">
        <v>2026</v>
      </c>
      <c r="F54" t="n">
        <v>1</v>
      </c>
      <c r="G54" t="inlineStr">
        <is>
          <t>DIRECTO</t>
        </is>
      </c>
      <c r="H54" t="inlineStr">
        <is>
          <t>SALUSTIANA</t>
        </is>
      </c>
      <c r="I54" t="n">
        <v>168</v>
      </c>
      <c r="J54" t="n">
        <v>0</v>
      </c>
      <c r="K54" t="n">
        <v>6543</v>
      </c>
      <c r="L54" t="n">
        <v>6543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1415</v>
      </c>
      <c r="B55" t="inlineStr">
        <is>
          <t>TOMENO SUAREZ,FERNANDO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LANE LATE</t>
        </is>
      </c>
      <c r="I55" t="n">
        <v>358</v>
      </c>
      <c r="J55" t="n">
        <v>2475</v>
      </c>
      <c r="K55" t="n">
        <v>0</v>
      </c>
      <c r="L55" t="n">
        <v>2475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1415</v>
      </c>
      <c r="B56" t="inlineStr">
        <is>
          <t>TOMENO SUAREZ,FERNANDO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LANE LATE</t>
        </is>
      </c>
      <c r="I56" t="n">
        <v>358</v>
      </c>
      <c r="J56" t="n">
        <v>3530</v>
      </c>
      <c r="K56" t="n">
        <v>0</v>
      </c>
      <c r="L56" t="n">
        <v>3530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1415</v>
      </c>
      <c r="B57" t="inlineStr">
        <is>
          <t>TOMENO SUAREZ,FERNANDO</t>
        </is>
      </c>
      <c r="E57" t="n">
        <v>2026</v>
      </c>
      <c r="F57" t="n">
        <v>1</v>
      </c>
      <c r="G57" t="inlineStr">
        <is>
          <t>INDUSTRIA</t>
        </is>
      </c>
      <c r="H57" t="inlineStr">
        <is>
          <t>LANE LATE</t>
        </is>
      </c>
      <c r="I57" t="n">
        <v>358</v>
      </c>
      <c r="J57" t="n">
        <v>14710</v>
      </c>
      <c r="K57" t="n">
        <v>715</v>
      </c>
      <c r="L57" t="n">
        <v>715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1415</v>
      </c>
      <c r="B58" t="inlineStr">
        <is>
          <t>TOMENO SUAREZ,FERNANDO</t>
        </is>
      </c>
      <c r="E58" t="n">
        <v>2026</v>
      </c>
      <c r="F58" t="n">
        <v>1</v>
      </c>
      <c r="G58" t="inlineStr">
        <is>
          <t>INDUSTRIA</t>
        </is>
      </c>
      <c r="H58" t="inlineStr">
        <is>
          <t>BARNFIELD</t>
        </is>
      </c>
      <c r="I58" t="n">
        <v>672</v>
      </c>
      <c r="J58" t="n">
        <v>14595</v>
      </c>
      <c r="K58" t="n">
        <v>1082</v>
      </c>
      <c r="L58" t="n">
        <v>1082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1415</v>
      </c>
      <c r="B59" t="inlineStr">
        <is>
          <t>TOMENO SUAREZ,FERNANDO</t>
        </is>
      </c>
      <c r="E59" t="n">
        <v>2026</v>
      </c>
      <c r="F59" t="n">
        <v>1</v>
      </c>
      <c r="G59" t="inlineStr">
        <is>
          <t>INDUSTRIA</t>
        </is>
      </c>
      <c r="H59" t="inlineStr">
        <is>
          <t>BARNFIELD</t>
        </is>
      </c>
      <c r="I59" t="n">
        <v>672</v>
      </c>
      <c r="J59" t="n">
        <v>13910</v>
      </c>
      <c r="K59" t="n">
        <v>692</v>
      </c>
      <c r="L59" t="n">
        <v>692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1415</v>
      </c>
      <c r="B60" t="inlineStr">
        <is>
          <t>TOMENO SUAREZ,FERNANDO</t>
        </is>
      </c>
      <c r="E60" t="n">
        <v>2026</v>
      </c>
      <c r="F60" t="n">
        <v>1</v>
      </c>
      <c r="G60" t="inlineStr">
        <is>
          <t>INDUSTRIA</t>
        </is>
      </c>
      <c r="H60" t="inlineStr">
        <is>
          <t>BARNFIELD</t>
        </is>
      </c>
      <c r="I60" t="n">
        <v>672</v>
      </c>
      <c r="J60" t="n">
        <v>2855</v>
      </c>
      <c r="K60" t="n">
        <v>1769</v>
      </c>
      <c r="L60" t="n">
        <v>1769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1415</v>
      </c>
      <c r="B61" t="inlineStr">
        <is>
          <t>TOMENO SUAREZ,FERNANDO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TANGO</t>
        </is>
      </c>
      <c r="I61" t="n">
        <v>615</v>
      </c>
      <c r="J61" t="n">
        <v>16796</v>
      </c>
      <c r="K61" t="n">
        <v>0</v>
      </c>
      <c r="L61" t="n">
        <v>16796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1415</v>
      </c>
      <c r="B62" t="inlineStr">
        <is>
          <t>TOMENO SUAREZ,FERNANDO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TANGO</t>
        </is>
      </c>
      <c r="I62" t="n">
        <v>615</v>
      </c>
      <c r="J62" t="n">
        <v>11431</v>
      </c>
      <c r="K62" t="n">
        <v>0</v>
      </c>
      <c r="L62" t="n">
        <v>11431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1415</v>
      </c>
      <c r="B63" t="inlineStr">
        <is>
          <t>TOMENO SUAREZ,FERNANDO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TANGO</t>
        </is>
      </c>
      <c r="I63" t="n">
        <v>615</v>
      </c>
      <c r="J63" t="n">
        <v>13295</v>
      </c>
      <c r="K63" t="n">
        <v>0</v>
      </c>
      <c r="L63" t="n">
        <v>13295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NAVELINA</t>
        </is>
      </c>
      <c r="I64" t="n">
        <v>42</v>
      </c>
      <c r="J64" t="n">
        <v>23260</v>
      </c>
      <c r="K64" t="n">
        <v>0</v>
      </c>
      <c r="L64" t="n">
        <v>23260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NAVELINA</t>
        </is>
      </c>
      <c r="I65" t="n">
        <v>42</v>
      </c>
      <c r="J65" t="n">
        <v>11350</v>
      </c>
      <c r="K65" t="n">
        <v>10850</v>
      </c>
      <c r="L65" t="n">
        <v>10850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NAVELINA</t>
        </is>
      </c>
      <c r="I66" t="n">
        <v>42</v>
      </c>
      <c r="J66" t="n">
        <v>23130</v>
      </c>
      <c r="K66" t="n">
        <v>16814</v>
      </c>
      <c r="L66" t="n">
        <v>16814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NAVELINA</t>
        </is>
      </c>
      <c r="I67" t="n">
        <v>42</v>
      </c>
      <c r="J67" t="n">
        <v>24425</v>
      </c>
      <c r="K67" t="n">
        <v>4616</v>
      </c>
      <c r="L67" t="n">
        <v>4616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46</v>
      </c>
      <c r="J68" t="n">
        <v>11800</v>
      </c>
      <c r="K68" t="n">
        <v>8040</v>
      </c>
      <c r="L68" t="n">
        <v>8040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46</v>
      </c>
      <c r="J69" t="n">
        <v>12784</v>
      </c>
      <c r="K69" t="n">
        <v>818</v>
      </c>
      <c r="L69" t="n">
        <v>818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46</v>
      </c>
      <c r="J70" t="n">
        <v>12416</v>
      </c>
      <c r="K70" t="n">
        <v>3216</v>
      </c>
      <c r="L70" t="n">
        <v>3216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46</v>
      </c>
      <c r="J71" t="n">
        <v>11542</v>
      </c>
      <c r="K71" t="n">
        <v>10220</v>
      </c>
      <c r="L71" t="n">
        <v>10220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1443</v>
      </c>
      <c r="B72" t="inlineStr">
        <is>
          <t>TOMENO SUAREZ,ALBERTO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SALUSTIANA</t>
        </is>
      </c>
      <c r="I72" t="n">
        <v>46</v>
      </c>
      <c r="J72" t="n">
        <v>11928</v>
      </c>
      <c r="K72" t="n">
        <v>0</v>
      </c>
      <c r="L72" t="n">
        <v>11928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1443</v>
      </c>
      <c r="B73" t="inlineStr">
        <is>
          <t>TOMENO SUAREZ,ALBERTO</t>
        </is>
      </c>
      <c r="E73" t="n">
        <v>2026</v>
      </c>
      <c r="F73" t="n">
        <v>1</v>
      </c>
      <c r="G73" t="inlineStr">
        <is>
          <t>INDUSTRIA</t>
        </is>
      </c>
      <c r="H73" t="inlineStr">
        <is>
          <t>NAVELINA</t>
        </is>
      </c>
      <c r="I73" t="n">
        <v>42</v>
      </c>
      <c r="J73" t="n">
        <v>22360</v>
      </c>
      <c r="K73" t="n">
        <v>1070</v>
      </c>
      <c r="L73" t="n">
        <v>1070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1443</v>
      </c>
      <c r="B74" t="inlineStr">
        <is>
          <t>TOMENO SUAREZ,ALBERTO</t>
        </is>
      </c>
      <c r="E74" t="n">
        <v>2026</v>
      </c>
      <c r="F74" t="n">
        <v>1</v>
      </c>
      <c r="G74" t="inlineStr">
        <is>
          <t>INDUSTRIA</t>
        </is>
      </c>
      <c r="H74" t="inlineStr">
        <is>
          <t>NAVELINA</t>
        </is>
      </c>
      <c r="I74" t="n">
        <v>42</v>
      </c>
      <c r="J74" t="n">
        <v>9985</v>
      </c>
      <c r="K74" t="n">
        <v>430</v>
      </c>
      <c r="L74" t="n">
        <v>430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1443</v>
      </c>
      <c r="B75" t="inlineStr">
        <is>
          <t>TOMENO SUAREZ,ALBERTO</t>
        </is>
      </c>
      <c r="E75" t="n">
        <v>2026</v>
      </c>
      <c r="F75" t="n">
        <v>1</v>
      </c>
      <c r="G75" t="inlineStr">
        <is>
          <t>INDUSTRIA</t>
        </is>
      </c>
      <c r="H75" t="inlineStr">
        <is>
          <t>SALUSTIANA</t>
        </is>
      </c>
      <c r="I75" t="n">
        <v>46</v>
      </c>
      <c r="J75" t="n">
        <v>11322</v>
      </c>
      <c r="K75" t="n">
        <v>342</v>
      </c>
      <c r="L75" t="n">
        <v>342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1443</v>
      </c>
      <c r="B76" t="inlineStr">
        <is>
          <t>TOMENO SUAREZ,ALBERTO</t>
        </is>
      </c>
      <c r="E76" t="n">
        <v>2026</v>
      </c>
      <c r="F76" t="n">
        <v>1</v>
      </c>
      <c r="G76" t="inlineStr">
        <is>
          <t>MANDARINA</t>
        </is>
      </c>
      <c r="H76" t="inlineStr">
        <is>
          <t>NADORCOTT</t>
        </is>
      </c>
      <c r="I76" t="n">
        <v>612</v>
      </c>
      <c r="J76" t="n">
        <v>11996</v>
      </c>
      <c r="K76" t="n">
        <v>6402</v>
      </c>
      <c r="L76" t="n">
        <v>6402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1443</v>
      </c>
      <c r="B77" t="inlineStr">
        <is>
          <t>TOMENO SUAREZ,ALBERTO</t>
        </is>
      </c>
      <c r="E77" t="n">
        <v>2026</v>
      </c>
      <c r="F77" t="n">
        <v>1</v>
      </c>
      <c r="G77" t="inlineStr">
        <is>
          <t>MANDARINA</t>
        </is>
      </c>
      <c r="H77" t="inlineStr">
        <is>
          <t>NADORCOTT</t>
        </is>
      </c>
      <c r="I77" t="n">
        <v>612</v>
      </c>
      <c r="J77" t="n">
        <v>11112</v>
      </c>
      <c r="K77" t="n">
        <v>0</v>
      </c>
      <c r="L77" t="n">
        <v>11112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1443</v>
      </c>
      <c r="B78" t="inlineStr">
        <is>
          <t>TOMENO SUAREZ,ALBERTO</t>
        </is>
      </c>
      <c r="E78" t="n">
        <v>2026</v>
      </c>
      <c r="F78" t="n">
        <v>1</v>
      </c>
      <c r="G78" t="inlineStr">
        <is>
          <t>MANDARINA</t>
        </is>
      </c>
      <c r="H78" t="inlineStr">
        <is>
          <t>NADORCOTT</t>
        </is>
      </c>
      <c r="I78" t="n">
        <v>612</v>
      </c>
      <c r="J78" t="n">
        <v>12260</v>
      </c>
      <c r="K78" t="n">
        <v>4802</v>
      </c>
      <c r="L78" t="n">
        <v>4802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1443</v>
      </c>
      <c r="B79" t="inlineStr">
        <is>
          <t>TOMENO SUAREZ,ALBERTO</t>
        </is>
      </c>
      <c r="E79" t="n">
        <v>2026</v>
      </c>
      <c r="F79" t="n">
        <v>1</v>
      </c>
      <c r="G79" t="inlineStr">
        <is>
          <t>MANDARINA</t>
        </is>
      </c>
      <c r="H79" t="inlineStr">
        <is>
          <t>NADORCOTT</t>
        </is>
      </c>
      <c r="I79" t="n">
        <v>612</v>
      </c>
      <c r="J79" t="n">
        <v>11644</v>
      </c>
      <c r="K79" t="n">
        <v>0</v>
      </c>
      <c r="L79" t="n">
        <v>11644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1443</v>
      </c>
      <c r="B80" t="inlineStr">
        <is>
          <t>TOMENO SUAREZ,ALBERTO</t>
        </is>
      </c>
      <c r="E80" t="n">
        <v>2026</v>
      </c>
      <c r="F80" t="n">
        <v>1</v>
      </c>
      <c r="G80" t="inlineStr">
        <is>
          <t>MANDARINA</t>
        </is>
      </c>
      <c r="H80" t="inlineStr">
        <is>
          <t>NADORCOTT</t>
        </is>
      </c>
      <c r="I80" t="n">
        <v>612</v>
      </c>
      <c r="J80" t="n">
        <v>11904</v>
      </c>
      <c r="K80" t="n">
        <v>7228</v>
      </c>
      <c r="L80" t="n">
        <v>7228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1443</v>
      </c>
      <c r="B81" t="inlineStr">
        <is>
          <t>TOMENO SUAREZ,ALBERTO</t>
        </is>
      </c>
      <c r="E81" t="n">
        <v>2026</v>
      </c>
      <c r="F81" t="n">
        <v>1</v>
      </c>
      <c r="G81" t="inlineStr">
        <is>
          <t>MANDARINA</t>
        </is>
      </c>
      <c r="H81" t="inlineStr">
        <is>
          <t>NADORCOTT</t>
        </is>
      </c>
      <c r="I81" t="n">
        <v>612</v>
      </c>
      <c r="J81" t="n">
        <v>12432</v>
      </c>
      <c r="K81" t="n">
        <v>4016</v>
      </c>
      <c r="L81" t="n">
        <v>4016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1443</v>
      </c>
      <c r="B82" t="inlineStr">
        <is>
          <t>TOMENO SUAREZ,ALBERTO</t>
        </is>
      </c>
      <c r="E82" t="n">
        <v>2026</v>
      </c>
      <c r="F82" t="n">
        <v>1</v>
      </c>
      <c r="G82" t="inlineStr">
        <is>
          <t>MANDARINA</t>
        </is>
      </c>
      <c r="H82" t="inlineStr">
        <is>
          <t>NADORCOTT</t>
        </is>
      </c>
      <c r="I82" t="n">
        <v>612</v>
      </c>
      <c r="J82" t="n">
        <v>11412</v>
      </c>
      <c r="K82" t="n">
        <v>0</v>
      </c>
      <c r="L82" t="n">
        <v>11412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1443</v>
      </c>
      <c r="B83" t="inlineStr">
        <is>
          <t>TOMENO SUAREZ,ALBERTO</t>
        </is>
      </c>
      <c r="E83" t="n">
        <v>2026</v>
      </c>
      <c r="F83" t="n">
        <v>1</v>
      </c>
      <c r="G83" t="inlineStr">
        <is>
          <t>MANDARINA</t>
        </is>
      </c>
      <c r="H83" t="inlineStr">
        <is>
          <t>NADORCOTT</t>
        </is>
      </c>
      <c r="I83" t="n">
        <v>612</v>
      </c>
      <c r="J83" t="n">
        <v>11150</v>
      </c>
      <c r="K83" t="n">
        <v>0</v>
      </c>
      <c r="L83" t="n">
        <v>11150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1443</v>
      </c>
      <c r="B84" t="inlineStr">
        <is>
          <t>TOMENO SUAREZ,ALBERTO</t>
        </is>
      </c>
      <c r="E84" t="n">
        <v>2026</v>
      </c>
      <c r="F84" t="n">
        <v>1</v>
      </c>
      <c r="G84" t="inlineStr">
        <is>
          <t>MANDARINA</t>
        </is>
      </c>
      <c r="H84" t="inlineStr">
        <is>
          <t>TANGO</t>
        </is>
      </c>
      <c r="I84" t="n">
        <v>611</v>
      </c>
      <c r="J84" t="n">
        <v>20660</v>
      </c>
      <c r="K84" t="n">
        <v>0</v>
      </c>
      <c r="L84" t="n">
        <v>20660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1443</v>
      </c>
      <c r="B85" t="inlineStr">
        <is>
          <t>TOMENO SUAREZ,ALBERTO</t>
        </is>
      </c>
      <c r="E85" t="n">
        <v>2026</v>
      </c>
      <c r="F85" t="n">
        <v>1</v>
      </c>
      <c r="G85" t="inlineStr">
        <is>
          <t>MANDARINA</t>
        </is>
      </c>
      <c r="H85" t="inlineStr">
        <is>
          <t>NADORCOTT</t>
        </is>
      </c>
      <c r="I85" t="n">
        <v>612</v>
      </c>
      <c r="J85" t="n">
        <v>12028</v>
      </c>
      <c r="K85" t="n">
        <v>5739</v>
      </c>
      <c r="L85" t="n">
        <v>5739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1443</v>
      </c>
      <c r="B86" t="inlineStr">
        <is>
          <t>TOMENO SUAREZ,ALBERTO</t>
        </is>
      </c>
      <c r="E86" t="n">
        <v>2026</v>
      </c>
      <c r="F86" t="n">
        <v>1</v>
      </c>
      <c r="G86" t="inlineStr">
        <is>
          <t>MANDARINA</t>
        </is>
      </c>
      <c r="H86" t="inlineStr">
        <is>
          <t>NADORCOTT</t>
        </is>
      </c>
      <c r="I86" t="n">
        <v>612</v>
      </c>
      <c r="J86" t="n">
        <v>5365</v>
      </c>
      <c r="K86" t="n">
        <v>0</v>
      </c>
      <c r="L86" t="n">
        <v>5365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1443</v>
      </c>
      <c r="B87" t="inlineStr">
        <is>
          <t>TOMENO SUAREZ,ALBERTO</t>
        </is>
      </c>
      <c r="E87" t="n">
        <v>2026</v>
      </c>
      <c r="F87" t="n">
        <v>1</v>
      </c>
      <c r="G87" t="inlineStr">
        <is>
          <t>MANDARINA</t>
        </is>
      </c>
      <c r="H87" t="inlineStr">
        <is>
          <t>NADORCOTT</t>
        </is>
      </c>
      <c r="I87" t="n">
        <v>612</v>
      </c>
      <c r="J87" t="n">
        <v>10248</v>
      </c>
      <c r="K87" t="n">
        <v>3064</v>
      </c>
      <c r="L87" t="n">
        <v>3064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1443</v>
      </c>
      <c r="B88" t="inlineStr">
        <is>
          <t>TOMENO SUAREZ,ALBERTO</t>
        </is>
      </c>
      <c r="E88" t="n">
        <v>2026</v>
      </c>
      <c r="F88" t="n">
        <v>1</v>
      </c>
      <c r="G88" t="inlineStr">
        <is>
          <t>MANDARINA</t>
        </is>
      </c>
      <c r="H88" t="inlineStr">
        <is>
          <t>NADORCOTT</t>
        </is>
      </c>
      <c r="I88" t="n">
        <v>612</v>
      </c>
      <c r="J88" t="n">
        <v>9720</v>
      </c>
      <c r="K88" t="n">
        <v>6128</v>
      </c>
      <c r="L88" t="n">
        <v>6128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1443</v>
      </c>
      <c r="B89" t="inlineStr">
        <is>
          <t>TOMENO SUAREZ,ALBERTO</t>
        </is>
      </c>
      <c r="E89" t="n">
        <v>2026</v>
      </c>
      <c r="F89" t="n">
        <v>1</v>
      </c>
      <c r="G89" t="inlineStr">
        <is>
          <t>MANDARINA</t>
        </is>
      </c>
      <c r="H89" t="inlineStr">
        <is>
          <t>NADORCOTT</t>
        </is>
      </c>
      <c r="I89" t="n">
        <v>612</v>
      </c>
      <c r="J89" t="n">
        <v>19192</v>
      </c>
      <c r="K89" t="n">
        <v>0</v>
      </c>
      <c r="L89" t="n">
        <v>19192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1443</v>
      </c>
      <c r="B90" t="inlineStr">
        <is>
          <t>TOMENO SUAREZ,ALBERTO</t>
        </is>
      </c>
      <c r="E90" t="n">
        <v>2026</v>
      </c>
      <c r="F90" t="n">
        <v>1</v>
      </c>
      <c r="G90" t="inlineStr">
        <is>
          <t>MANDARINA</t>
        </is>
      </c>
      <c r="H90" t="inlineStr">
        <is>
          <t>NADORCOTT</t>
        </is>
      </c>
      <c r="I90" t="n">
        <v>612</v>
      </c>
      <c r="J90" t="n">
        <v>11744</v>
      </c>
      <c r="K90" t="n">
        <v>0</v>
      </c>
      <c r="L90" t="n">
        <v>11744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1443</v>
      </c>
      <c r="B91" t="inlineStr">
        <is>
          <t>TOMENO SUAREZ,ALBERTO</t>
        </is>
      </c>
      <c r="E91" t="n">
        <v>2026</v>
      </c>
      <c r="F91" t="n">
        <v>1</v>
      </c>
      <c r="G91" t="inlineStr">
        <is>
          <t>MANDARINA</t>
        </is>
      </c>
      <c r="H91" t="inlineStr">
        <is>
          <t>TANGO</t>
        </is>
      </c>
      <c r="I91" t="n">
        <v>611</v>
      </c>
      <c r="J91" t="n">
        <v>17520</v>
      </c>
      <c r="K91" t="n">
        <v>0</v>
      </c>
      <c r="L91" t="n">
        <v>17520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1443</v>
      </c>
      <c r="B92" t="inlineStr">
        <is>
          <t>TOMENO SUAREZ,ALBERTO</t>
        </is>
      </c>
      <c r="E92" t="n">
        <v>2026</v>
      </c>
      <c r="F92" t="n">
        <v>1</v>
      </c>
      <c r="G92" t="inlineStr">
        <is>
          <t>MANDARINA</t>
        </is>
      </c>
      <c r="H92" t="inlineStr">
        <is>
          <t>NADORCOTT</t>
        </is>
      </c>
      <c r="I92" t="n">
        <v>612</v>
      </c>
      <c r="J92" t="n">
        <v>12980</v>
      </c>
      <c r="K92" t="n">
        <v>4211</v>
      </c>
      <c r="L92" t="n">
        <v>4211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1443</v>
      </c>
      <c r="B93" t="inlineStr">
        <is>
          <t>TOMENO SUAREZ,ALBERTO</t>
        </is>
      </c>
      <c r="E93" t="n">
        <v>2026</v>
      </c>
      <c r="F93" t="n">
        <v>1</v>
      </c>
      <c r="G93" t="inlineStr">
        <is>
          <t>MANDARINA</t>
        </is>
      </c>
      <c r="H93" t="inlineStr">
        <is>
          <t>TANGO</t>
        </is>
      </c>
      <c r="I93" t="n">
        <v>611</v>
      </c>
      <c r="J93" t="n">
        <v>20160</v>
      </c>
      <c r="K93" t="n">
        <v>0</v>
      </c>
      <c r="L93" t="n">
        <v>20160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1443</v>
      </c>
      <c r="B94" t="inlineStr">
        <is>
          <t>TOMENO SUAREZ,ALBERTO</t>
        </is>
      </c>
      <c r="E94" t="n">
        <v>2026</v>
      </c>
      <c r="F94" t="n">
        <v>1</v>
      </c>
      <c r="G94" t="inlineStr">
        <is>
          <t>MANDARINA</t>
        </is>
      </c>
      <c r="H94" t="inlineStr">
        <is>
          <t>TANGO</t>
        </is>
      </c>
      <c r="I94" t="n">
        <v>611</v>
      </c>
      <c r="J94" t="n">
        <v>19656</v>
      </c>
      <c r="K94" t="n">
        <v>0</v>
      </c>
      <c r="L94" t="n">
        <v>19656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1443</v>
      </c>
      <c r="B95" t="inlineStr">
        <is>
          <t>TOMENO SUAREZ,ALBERTO</t>
        </is>
      </c>
      <c r="E95" t="n">
        <v>2026</v>
      </c>
      <c r="F95" t="n">
        <v>1</v>
      </c>
      <c r="G95" t="inlineStr">
        <is>
          <t>MANDARINA</t>
        </is>
      </c>
      <c r="H95" t="inlineStr">
        <is>
          <t>NADORCOTT</t>
        </is>
      </c>
      <c r="I95" t="n">
        <v>612</v>
      </c>
      <c r="J95" t="n">
        <v>19462</v>
      </c>
      <c r="K95" t="n">
        <v>0</v>
      </c>
      <c r="L95" t="n">
        <v>19462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1443</v>
      </c>
      <c r="B96" t="inlineStr">
        <is>
          <t>TOMENO SUAREZ,ALBERTO</t>
        </is>
      </c>
      <c r="E96" t="n">
        <v>2026</v>
      </c>
      <c r="F96" t="n">
        <v>1</v>
      </c>
      <c r="G96" t="inlineStr">
        <is>
          <t>MANDARINA</t>
        </is>
      </c>
      <c r="H96" t="inlineStr">
        <is>
          <t>NADORCOTT</t>
        </is>
      </c>
      <c r="I96" t="n">
        <v>612</v>
      </c>
      <c r="J96" t="n">
        <v>17956</v>
      </c>
      <c r="K96" t="n">
        <v>0</v>
      </c>
      <c r="L96" t="n">
        <v>17956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1443</v>
      </c>
      <c r="B97" t="inlineStr">
        <is>
          <t>TOMENO SUAREZ,ALBERTO</t>
        </is>
      </c>
      <c r="E97" t="n">
        <v>2026</v>
      </c>
      <c r="F97" t="n">
        <v>1</v>
      </c>
      <c r="G97" t="inlineStr">
        <is>
          <t>MANDARINA</t>
        </is>
      </c>
      <c r="H97" t="inlineStr">
        <is>
          <t>TANGO</t>
        </is>
      </c>
      <c r="I97" t="n">
        <v>611</v>
      </c>
      <c r="J97" t="n">
        <v>19970</v>
      </c>
      <c r="K97" t="n">
        <v>0</v>
      </c>
      <c r="L97" t="n">
        <v>19970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1443</v>
      </c>
      <c r="B98" t="inlineStr">
        <is>
          <t>TOMENO SUAREZ,ALBERTO</t>
        </is>
      </c>
      <c r="E98" t="n">
        <v>2026</v>
      </c>
      <c r="F98" t="n">
        <v>1</v>
      </c>
      <c r="G98" t="inlineStr">
        <is>
          <t>MANDARINA</t>
        </is>
      </c>
      <c r="H98" t="inlineStr">
        <is>
          <t>TANGO</t>
        </is>
      </c>
      <c r="I98" t="n">
        <v>611</v>
      </c>
      <c r="J98" t="n">
        <v>19810</v>
      </c>
      <c r="K98" t="n">
        <v>0</v>
      </c>
      <c r="L98" t="n">
        <v>19810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1443</v>
      </c>
      <c r="B99" t="inlineStr">
        <is>
          <t>TOMENO SUAREZ,ALBERTO</t>
        </is>
      </c>
      <c r="E99" t="n">
        <v>2026</v>
      </c>
      <c r="F99" t="n">
        <v>1</v>
      </c>
      <c r="G99" t="inlineStr">
        <is>
          <t>MANDARINA</t>
        </is>
      </c>
      <c r="H99" t="inlineStr">
        <is>
          <t>NADORCOTT</t>
        </is>
      </c>
      <c r="I99" t="n">
        <v>612</v>
      </c>
      <c r="J99" t="n">
        <v>12452</v>
      </c>
      <c r="K99" t="n">
        <v>7581</v>
      </c>
      <c r="L99" t="n">
        <v>7581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1443</v>
      </c>
      <c r="B100" t="inlineStr">
        <is>
          <t>TOMENO SUAREZ,ALBERTO</t>
        </is>
      </c>
      <c r="E100" t="n">
        <v>2026</v>
      </c>
      <c r="F100" t="n">
        <v>1</v>
      </c>
      <c r="G100" t="inlineStr">
        <is>
          <t>MANDARINA</t>
        </is>
      </c>
      <c r="H100" t="inlineStr">
        <is>
          <t>TANGO</t>
        </is>
      </c>
      <c r="I100" t="n">
        <v>611</v>
      </c>
      <c r="J100" t="n">
        <v>20220</v>
      </c>
      <c r="K100" t="n">
        <v>0</v>
      </c>
      <c r="L100" t="n">
        <v>20220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1443</v>
      </c>
      <c r="B101" t="inlineStr">
        <is>
          <t>TOMENO SUAREZ,ALBERTO</t>
        </is>
      </c>
      <c r="E101" t="n">
        <v>2026</v>
      </c>
      <c r="F101" t="n">
        <v>1</v>
      </c>
      <c r="G101" t="inlineStr">
        <is>
          <t>MANDARINA</t>
        </is>
      </c>
      <c r="H101" t="inlineStr">
        <is>
          <t>TANGO</t>
        </is>
      </c>
      <c r="I101" t="n">
        <v>611</v>
      </c>
      <c r="J101" t="n">
        <v>18664</v>
      </c>
      <c r="K101" t="n">
        <v>0</v>
      </c>
      <c r="L101" t="n">
        <v>18664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1443</v>
      </c>
      <c r="B102" t="inlineStr">
        <is>
          <t>TOMENO SUAREZ,ALBERTO</t>
        </is>
      </c>
      <c r="E102" t="n">
        <v>2026</v>
      </c>
      <c r="F102" t="n">
        <v>1</v>
      </c>
      <c r="G102" t="inlineStr">
        <is>
          <t>MANDARINA</t>
        </is>
      </c>
      <c r="H102" t="inlineStr">
        <is>
          <t>NADORCOTT</t>
        </is>
      </c>
      <c r="I102" t="n">
        <v>612</v>
      </c>
      <c r="J102" t="n">
        <v>21576</v>
      </c>
      <c r="K102" t="n">
        <v>0</v>
      </c>
      <c r="L102" t="n">
        <v>21576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1443</v>
      </c>
      <c r="B103" t="inlineStr">
        <is>
          <t>TOMENO SUAREZ,ALBERTO</t>
        </is>
      </c>
      <c r="E103" t="n">
        <v>2026</v>
      </c>
      <c r="F103" t="n">
        <v>1</v>
      </c>
      <c r="G103" t="inlineStr">
        <is>
          <t>MANDARINA</t>
        </is>
      </c>
      <c r="H103" t="inlineStr">
        <is>
          <t>NADORCOTT</t>
        </is>
      </c>
      <c r="I103" t="n">
        <v>612</v>
      </c>
      <c r="J103" t="n">
        <v>17769</v>
      </c>
      <c r="K103" t="n">
        <v>0</v>
      </c>
      <c r="L103" t="n">
        <v>17769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1443</v>
      </c>
      <c r="B104" t="inlineStr">
        <is>
          <t>TOMENO SUAREZ,ALBERTO</t>
        </is>
      </c>
      <c r="E104" t="n">
        <v>2026</v>
      </c>
      <c r="F104" t="n">
        <v>1</v>
      </c>
      <c r="G104" t="inlineStr">
        <is>
          <t>MANDARINA</t>
        </is>
      </c>
      <c r="H104" t="inlineStr">
        <is>
          <t>NADORCOTT</t>
        </is>
      </c>
      <c r="I104" t="n">
        <v>612</v>
      </c>
      <c r="J104" t="n">
        <v>11132</v>
      </c>
      <c r="K104" t="n">
        <v>0</v>
      </c>
      <c r="L104" t="n">
        <v>11132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1443</v>
      </c>
      <c r="B105" t="inlineStr">
        <is>
          <t>TOMENO SUAREZ,ALBERTO</t>
        </is>
      </c>
      <c r="E105" t="n">
        <v>2026</v>
      </c>
      <c r="F105" t="n">
        <v>1</v>
      </c>
      <c r="G105" t="inlineStr">
        <is>
          <t>MANDARINA</t>
        </is>
      </c>
      <c r="H105" t="inlineStr">
        <is>
          <t>NADORCOTT</t>
        </is>
      </c>
      <c r="I105" t="n">
        <v>612</v>
      </c>
      <c r="J105" t="n">
        <v>374</v>
      </c>
      <c r="K105" t="n">
        <v>0</v>
      </c>
      <c r="L105" t="n">
        <v>374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1443</v>
      </c>
      <c r="B106" t="inlineStr">
        <is>
          <t>TOMENO SUAREZ,ALBERTO</t>
        </is>
      </c>
      <c r="E106" t="n">
        <v>2026</v>
      </c>
      <c r="F106" t="n">
        <v>1</v>
      </c>
      <c r="G106" t="inlineStr">
        <is>
          <t>MANDARINA</t>
        </is>
      </c>
      <c r="H106" t="inlineStr">
        <is>
          <t>NADORCOTT</t>
        </is>
      </c>
      <c r="I106" t="n">
        <v>612</v>
      </c>
      <c r="J106" t="n">
        <v>8070</v>
      </c>
      <c r="K106" t="n">
        <v>0</v>
      </c>
      <c r="L106" t="n">
        <v>8070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1443</v>
      </c>
      <c r="B107" t="inlineStr">
        <is>
          <t>TOMENO SUAREZ,ALBERTO</t>
        </is>
      </c>
      <c r="E107" t="n">
        <v>2026</v>
      </c>
      <c r="F107" t="n">
        <v>1</v>
      </c>
      <c r="G107" t="inlineStr">
        <is>
          <t>MANDARINA</t>
        </is>
      </c>
      <c r="H107" t="inlineStr">
        <is>
          <t>NADORCOTT</t>
        </is>
      </c>
      <c r="I107" t="n">
        <v>612</v>
      </c>
      <c r="J107" t="n">
        <v>2998</v>
      </c>
      <c r="K107" t="n">
        <v>0</v>
      </c>
      <c r="L107" t="n">
        <v>2998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1443</v>
      </c>
      <c r="B108" t="inlineStr">
        <is>
          <t>TOMENO SUAREZ,ALBERTO</t>
        </is>
      </c>
      <c r="E108" t="n">
        <v>2026</v>
      </c>
      <c r="F108" t="n">
        <v>1</v>
      </c>
      <c r="G108" t="inlineStr">
        <is>
          <t>MANDARINA</t>
        </is>
      </c>
      <c r="H108" t="inlineStr">
        <is>
          <t>NADORCOTT</t>
        </is>
      </c>
      <c r="I108" t="n">
        <v>612</v>
      </c>
      <c r="J108" t="n">
        <v>14214</v>
      </c>
      <c r="K108" t="n">
        <v>0</v>
      </c>
      <c r="L108" t="n">
        <v>14214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1443</v>
      </c>
      <c r="B109" t="inlineStr">
        <is>
          <t>TOMENO SUAREZ,ALBERTO</t>
        </is>
      </c>
      <c r="E109" t="n">
        <v>2026</v>
      </c>
      <c r="F109" t="n">
        <v>1</v>
      </c>
      <c r="G109" t="inlineStr">
        <is>
          <t>MANDARINA</t>
        </is>
      </c>
      <c r="H109" t="inlineStr">
        <is>
          <t>TANGO</t>
        </is>
      </c>
      <c r="I109" t="n">
        <v>611</v>
      </c>
      <c r="J109" t="n">
        <v>20180</v>
      </c>
      <c r="K109" t="n">
        <v>0</v>
      </c>
      <c r="L109" t="n">
        <v>20180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1443</v>
      </c>
      <c r="B110" t="inlineStr">
        <is>
          <t>TOMENO SUAREZ,ALBERTO</t>
        </is>
      </c>
      <c r="E110" t="n">
        <v>2026</v>
      </c>
      <c r="F110" t="n">
        <v>1</v>
      </c>
      <c r="G110" t="inlineStr">
        <is>
          <t>MANDARINA</t>
        </is>
      </c>
      <c r="H110" t="inlineStr">
        <is>
          <t>TANGO</t>
        </is>
      </c>
      <c r="I110" t="n">
        <v>611</v>
      </c>
      <c r="J110" t="n">
        <v>21096</v>
      </c>
      <c r="K110" t="n">
        <v>0</v>
      </c>
      <c r="L110" t="n">
        <v>21096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1443</v>
      </c>
      <c r="B111" t="inlineStr">
        <is>
          <t>TOMENO SUAREZ,ALBERTO</t>
        </is>
      </c>
      <c r="E111" t="n">
        <v>2026</v>
      </c>
      <c r="F111" t="n">
        <v>1</v>
      </c>
      <c r="G111" t="inlineStr">
        <is>
          <t>MANDARINA</t>
        </is>
      </c>
      <c r="H111" t="inlineStr">
        <is>
          <t>TANGO</t>
        </is>
      </c>
      <c r="I111" t="n">
        <v>611</v>
      </c>
      <c r="J111" t="n">
        <v>4738</v>
      </c>
      <c r="K111" t="n">
        <v>0</v>
      </c>
      <c r="L111" t="n">
        <v>4738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1478</v>
      </c>
      <c r="B112" t="inlineStr">
        <is>
          <t>AGROSERVICIOS LA CATRIA S.L.</t>
        </is>
      </c>
      <c r="E112" t="n">
        <v>2026</v>
      </c>
      <c r="F112" t="n">
        <v>1</v>
      </c>
      <c r="G112" t="inlineStr">
        <is>
          <t>MANDARINA</t>
        </is>
      </c>
      <c r="H112" t="inlineStr">
        <is>
          <t>NADORCOTT</t>
        </is>
      </c>
      <c r="I112" t="n">
        <v>604</v>
      </c>
      <c r="J112" t="n">
        <v>13548</v>
      </c>
      <c r="K112" t="n">
        <v>0</v>
      </c>
      <c r="L112" t="n">
        <v>13548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1478</v>
      </c>
      <c r="B113" t="inlineStr">
        <is>
          <t>AGROSERVICIOS LA CATRIA S.L.</t>
        </is>
      </c>
      <c r="E113" t="n">
        <v>2026</v>
      </c>
      <c r="F113" t="n">
        <v>1</v>
      </c>
      <c r="G113" t="inlineStr">
        <is>
          <t>MANDARINA</t>
        </is>
      </c>
      <c r="H113" t="inlineStr">
        <is>
          <t>NADORCOTT</t>
        </is>
      </c>
      <c r="I113" t="n">
        <v>604</v>
      </c>
      <c r="J113" t="n">
        <v>8041</v>
      </c>
      <c r="K113" t="n">
        <v>0</v>
      </c>
      <c r="L113" t="n">
        <v>8041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1478</v>
      </c>
      <c r="B114" t="inlineStr">
        <is>
          <t>AGROSERVICIOS LA CATRIA S.L.</t>
        </is>
      </c>
      <c r="E114" t="n">
        <v>2026</v>
      </c>
      <c r="F114" t="n">
        <v>1</v>
      </c>
      <c r="G114" t="inlineStr">
        <is>
          <t>MANDARINA</t>
        </is>
      </c>
      <c r="H114" t="inlineStr">
        <is>
          <t>TANGO</t>
        </is>
      </c>
      <c r="I114" t="n">
        <v>623</v>
      </c>
      <c r="J114" t="n">
        <v>19050</v>
      </c>
      <c r="K114" t="n">
        <v>0</v>
      </c>
      <c r="L114" t="n">
        <v>19050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1478</v>
      </c>
      <c r="B115" t="inlineStr">
        <is>
          <t>AGROSERVICIOS LA CATRIA S.L.</t>
        </is>
      </c>
      <c r="E115" t="n">
        <v>2026</v>
      </c>
      <c r="F115" t="n">
        <v>1</v>
      </c>
      <c r="G115" t="inlineStr">
        <is>
          <t>MANDARINA</t>
        </is>
      </c>
      <c r="H115" t="inlineStr">
        <is>
          <t>TANGO</t>
        </is>
      </c>
      <c r="I115" t="n">
        <v>623</v>
      </c>
      <c r="J115" t="n">
        <v>19660</v>
      </c>
      <c r="K115" t="n">
        <v>0</v>
      </c>
      <c r="L115" t="n">
        <v>19660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1478</v>
      </c>
      <c r="B116" t="inlineStr">
        <is>
          <t>AGROSERVICIOS LA CATRIA S.L.</t>
        </is>
      </c>
      <c r="E116" t="n">
        <v>2026</v>
      </c>
      <c r="F116" t="n">
        <v>1</v>
      </c>
      <c r="G116" t="inlineStr">
        <is>
          <t>MANDARINA</t>
        </is>
      </c>
      <c r="H116" t="inlineStr">
        <is>
          <t>TANGO</t>
        </is>
      </c>
      <c r="I116" t="n">
        <v>623</v>
      </c>
      <c r="J116" t="n">
        <v>19550</v>
      </c>
      <c r="K116" t="n">
        <v>0</v>
      </c>
      <c r="L116" t="n">
        <v>19550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1478</v>
      </c>
      <c r="B117" t="inlineStr">
        <is>
          <t>AGROSERVICIOS LA CATRIA S.L.</t>
        </is>
      </c>
      <c r="E117" t="n">
        <v>2026</v>
      </c>
      <c r="F117" t="n">
        <v>1</v>
      </c>
      <c r="G117" t="inlineStr">
        <is>
          <t>MANDARINA</t>
        </is>
      </c>
      <c r="H117" t="inlineStr">
        <is>
          <t>NADORCOTT</t>
        </is>
      </c>
      <c r="I117" t="n">
        <v>652</v>
      </c>
      <c r="J117" t="n">
        <v>3338</v>
      </c>
      <c r="K117" t="n">
        <v>0</v>
      </c>
      <c r="L117" t="n">
        <v>3338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1478</v>
      </c>
      <c r="B118" t="inlineStr">
        <is>
          <t>AGROSERVICIOS LA CATRIA S.L.</t>
        </is>
      </c>
      <c r="E118" t="n">
        <v>2026</v>
      </c>
      <c r="F118" t="n">
        <v>1</v>
      </c>
      <c r="G118" t="inlineStr">
        <is>
          <t>MANDARINA</t>
        </is>
      </c>
      <c r="H118" t="inlineStr">
        <is>
          <t>NADORCOTT</t>
        </is>
      </c>
      <c r="I118" t="n">
        <v>604</v>
      </c>
      <c r="J118" t="n">
        <v>15680</v>
      </c>
      <c r="K118" t="n">
        <v>3524</v>
      </c>
      <c r="L118" t="n">
        <v>3524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1478</v>
      </c>
      <c r="B119" t="inlineStr">
        <is>
          <t>AGROSERVICIOS LA CATRIA S.L.</t>
        </is>
      </c>
      <c r="E119" t="n">
        <v>2026</v>
      </c>
      <c r="F119" t="n">
        <v>1</v>
      </c>
      <c r="G119" t="inlineStr">
        <is>
          <t>MANDARINA</t>
        </is>
      </c>
      <c r="H119" t="inlineStr">
        <is>
          <t>NADORCOTT</t>
        </is>
      </c>
      <c r="I119" t="n">
        <v>604</v>
      </c>
      <c r="J119" t="n">
        <v>14624</v>
      </c>
      <c r="K119" t="n">
        <v>10572</v>
      </c>
      <c r="L119" t="n">
        <v>10572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1478</v>
      </c>
      <c r="B120" t="inlineStr">
        <is>
          <t>AGROSERVICIOS LA CATRIA S.L.</t>
        </is>
      </c>
      <c r="E120" t="n">
        <v>2026</v>
      </c>
      <c r="F120" t="n">
        <v>1</v>
      </c>
      <c r="G120" t="inlineStr">
        <is>
          <t>MANDARINA</t>
        </is>
      </c>
      <c r="H120" t="inlineStr">
        <is>
          <t>NADORCOTT</t>
        </is>
      </c>
      <c r="I120" t="n">
        <v>604</v>
      </c>
      <c r="J120" t="n">
        <v>12738</v>
      </c>
      <c r="K120" t="n">
        <v>11720</v>
      </c>
      <c r="L120" t="n">
        <v>11720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1478</v>
      </c>
      <c r="B121" t="inlineStr">
        <is>
          <t>AGROSERVICIOS LA CATRIA S.L.</t>
        </is>
      </c>
      <c r="E121" t="n">
        <v>2026</v>
      </c>
      <c r="F121" t="n">
        <v>1</v>
      </c>
      <c r="G121" t="inlineStr">
        <is>
          <t>MANDARINA</t>
        </is>
      </c>
      <c r="H121" t="inlineStr">
        <is>
          <t>TANGO</t>
        </is>
      </c>
      <c r="I121" t="n">
        <v>623</v>
      </c>
      <c r="J121" t="n">
        <v>862</v>
      </c>
      <c r="K121" t="n">
        <v>0</v>
      </c>
      <c r="L121" t="n">
        <v>862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1523</v>
      </c>
      <c r="B122" t="inlineStr">
        <is>
          <t>RODRIGUEZ MEJÍAS, JOSE ANTONIO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SALUSTIANA</t>
        </is>
      </c>
      <c r="I122" t="n">
        <v>356</v>
      </c>
      <c r="J122" t="n">
        <v>11740</v>
      </c>
      <c r="K122" t="n">
        <v>0</v>
      </c>
      <c r="L122" t="n">
        <v>11740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1523</v>
      </c>
      <c r="B123" t="inlineStr">
        <is>
          <t>RODRIGUEZ MEJÍAS, JOSE ANTONIO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SALUSTIANA</t>
        </is>
      </c>
      <c r="I123" t="n">
        <v>356</v>
      </c>
      <c r="J123" t="n">
        <v>12675</v>
      </c>
      <c r="K123" t="n">
        <v>4975</v>
      </c>
      <c r="L123" t="n">
        <v>4975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1523</v>
      </c>
      <c r="B124" t="inlineStr">
        <is>
          <t>RODRIGUEZ MEJÍAS, JOSE ANTONIO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SALUSTIANA</t>
        </is>
      </c>
      <c r="I124" t="n">
        <v>356</v>
      </c>
      <c r="J124" t="n">
        <v>12075</v>
      </c>
      <c r="K124" t="n">
        <v>11875</v>
      </c>
      <c r="L124" t="n">
        <v>11875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1523</v>
      </c>
      <c r="B125" t="inlineStr">
        <is>
          <t>RODRIGUEZ MEJÍAS, JOSE ANTONIO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SALUSTIANA</t>
        </is>
      </c>
      <c r="I125" t="n">
        <v>356</v>
      </c>
      <c r="J125" t="n">
        <v>12250</v>
      </c>
      <c r="K125" t="n">
        <v>5810</v>
      </c>
      <c r="L125" t="n">
        <v>5810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1523</v>
      </c>
      <c r="B126" t="inlineStr">
        <is>
          <t>RODRIGUEZ MEJÍAS, JOSE ANTONIO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SALUSTIANA</t>
        </is>
      </c>
      <c r="I126" t="n">
        <v>356</v>
      </c>
      <c r="J126" t="n">
        <v>12465</v>
      </c>
      <c r="K126" t="n">
        <v>6965</v>
      </c>
      <c r="L126" t="n">
        <v>6965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1523</v>
      </c>
      <c r="B127" t="inlineStr">
        <is>
          <t>RODRIGUEZ MEJÍAS, JOSE ANTONIO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SALUSTIANA</t>
        </is>
      </c>
      <c r="I127" t="n">
        <v>356</v>
      </c>
      <c r="J127" t="n">
        <v>11330</v>
      </c>
      <c r="K127" t="n">
        <v>10839</v>
      </c>
      <c r="L127" t="n">
        <v>10839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1523</v>
      </c>
      <c r="B128" t="inlineStr">
        <is>
          <t>RODRIGUEZ MEJÍAS, JOSE ANTONIO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SALUSTIANA</t>
        </is>
      </c>
      <c r="I128" t="n">
        <v>356</v>
      </c>
      <c r="J128" t="n">
        <v>11500</v>
      </c>
      <c r="K128" t="n">
        <v>0</v>
      </c>
      <c r="L128" t="n">
        <v>11500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1523</v>
      </c>
      <c r="B129" t="inlineStr">
        <is>
          <t>RODRIGUEZ MEJÍAS, JOSE ANTONIO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SALUSTIANA</t>
        </is>
      </c>
      <c r="I129" t="n">
        <v>356</v>
      </c>
      <c r="J129" t="n">
        <v>11395</v>
      </c>
      <c r="K129" t="n">
        <v>11110</v>
      </c>
      <c r="L129" t="n">
        <v>11110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1523</v>
      </c>
      <c r="B130" t="inlineStr">
        <is>
          <t>RODRIGUEZ MEJÍAS, JOSE ANTONIO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SALUSTIANA</t>
        </is>
      </c>
      <c r="I130" t="n">
        <v>580</v>
      </c>
      <c r="J130" t="n">
        <v>12020</v>
      </c>
      <c r="K130" t="n">
        <v>0</v>
      </c>
      <c r="L130" t="n">
        <v>12020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1523</v>
      </c>
      <c r="B131" t="inlineStr">
        <is>
          <t>RODRIGUEZ MEJÍAS, JOSE ANTONIO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SALUSTIANA</t>
        </is>
      </c>
      <c r="I131" t="n">
        <v>580</v>
      </c>
      <c r="J131" t="n">
        <v>13180</v>
      </c>
      <c r="K131" t="n">
        <v>2708</v>
      </c>
      <c r="L131" t="n">
        <v>2708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1523</v>
      </c>
      <c r="B132" t="inlineStr">
        <is>
          <t>RODRIGUEZ MEJÍAS, JOSE ANTONIO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SALUSTIANA</t>
        </is>
      </c>
      <c r="I132" t="n">
        <v>580</v>
      </c>
      <c r="J132" t="n">
        <v>12415</v>
      </c>
      <c r="K132" t="n">
        <v>12014</v>
      </c>
      <c r="L132" t="n">
        <v>12014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1523</v>
      </c>
      <c r="B133" t="inlineStr">
        <is>
          <t>RODRIGUEZ MEJÍAS, JOSE ANTONIO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SALUSTIANA</t>
        </is>
      </c>
      <c r="I133" t="n">
        <v>580</v>
      </c>
      <c r="J133" t="n">
        <v>12050</v>
      </c>
      <c r="K133" t="n">
        <v>11520</v>
      </c>
      <c r="L133" t="n">
        <v>11520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1523</v>
      </c>
      <c r="B134" t="inlineStr">
        <is>
          <t>RODRIGUEZ MEJÍAS, JOSE ANTONIO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SALUSTIANA</t>
        </is>
      </c>
      <c r="I134" t="n">
        <v>356</v>
      </c>
      <c r="J134" t="n">
        <v>7140</v>
      </c>
      <c r="K134" t="n">
        <v>0</v>
      </c>
      <c r="L134" t="n">
        <v>7140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1523</v>
      </c>
      <c r="B135" t="inlineStr">
        <is>
          <t>RODRIGUEZ MEJÍAS, JOSE ANTONIO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SALUSTIANA</t>
        </is>
      </c>
      <c r="I135" t="n">
        <v>580</v>
      </c>
      <c r="J135" t="n">
        <v>12515</v>
      </c>
      <c r="K135" t="n">
        <v>9140</v>
      </c>
      <c r="L135" t="n">
        <v>9140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1523</v>
      </c>
      <c r="B136" t="inlineStr">
        <is>
          <t>RODRIGUEZ MEJÍAS, JOSE ANTONIO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SALUSTIANA</t>
        </is>
      </c>
      <c r="I136" t="n">
        <v>580</v>
      </c>
      <c r="J136" t="n">
        <v>12120</v>
      </c>
      <c r="K136" t="n">
        <v>0</v>
      </c>
      <c r="L136" t="n">
        <v>12120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1523</v>
      </c>
      <c r="B137" t="inlineStr">
        <is>
          <t>RODRIGUEZ MEJÍAS, JOSE ANTONIO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SALUSTIANA</t>
        </is>
      </c>
      <c r="I137" t="n">
        <v>580</v>
      </c>
      <c r="J137" t="n">
        <v>11061</v>
      </c>
      <c r="K137" t="n">
        <v>5438</v>
      </c>
      <c r="L137" t="n">
        <v>5438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1523</v>
      </c>
      <c r="B138" t="inlineStr">
        <is>
          <t>RODRIGUEZ MEJÍAS, JOSE ANTONIO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SALUSTIANA</t>
        </is>
      </c>
      <c r="I138" t="n">
        <v>580</v>
      </c>
      <c r="J138" t="n">
        <v>12095</v>
      </c>
      <c r="K138" t="n">
        <v>11895</v>
      </c>
      <c r="L138" t="n">
        <v>11895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1523</v>
      </c>
      <c r="B139" t="inlineStr">
        <is>
          <t>RODRIGUEZ MEJÍAS, JOSE ANTONIO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SALUSTIANA</t>
        </is>
      </c>
      <c r="I139" t="n">
        <v>580</v>
      </c>
      <c r="J139" t="n">
        <v>13175</v>
      </c>
      <c r="K139" t="n">
        <v>3758</v>
      </c>
      <c r="L139" t="n">
        <v>3758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1523</v>
      </c>
      <c r="B140" t="inlineStr">
        <is>
          <t>RODRIGUEZ MEJÍAS, JOSE ANTONIO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SALUSTIANA</t>
        </is>
      </c>
      <c r="I140" t="n">
        <v>580</v>
      </c>
      <c r="J140" t="n">
        <v>10464</v>
      </c>
      <c r="K140" t="n">
        <v>0</v>
      </c>
      <c r="L140" t="n">
        <v>10464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1523</v>
      </c>
      <c r="B141" t="inlineStr">
        <is>
          <t>RODRIGUEZ MEJÍAS, JOSE ANTONIO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SALUSTIANA</t>
        </is>
      </c>
      <c r="I141" t="n">
        <v>580</v>
      </c>
      <c r="J141" t="n">
        <v>12240</v>
      </c>
      <c r="K141" t="n">
        <v>0</v>
      </c>
      <c r="L141" t="n">
        <v>12240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1523</v>
      </c>
      <c r="B142" t="inlineStr">
        <is>
          <t>RODRIGUEZ MEJÍAS, JOSE ANTONIO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SALUSTIANA</t>
        </is>
      </c>
      <c r="I142" t="n">
        <v>580</v>
      </c>
      <c r="J142" t="n">
        <v>11691</v>
      </c>
      <c r="K142" t="n">
        <v>11401</v>
      </c>
      <c r="L142" t="n">
        <v>11401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1523</v>
      </c>
      <c r="B143" t="inlineStr">
        <is>
          <t>RODRIGUEZ MEJÍAS, JOSE ANTONIO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SALUSTIANA</t>
        </is>
      </c>
      <c r="I143" t="n">
        <v>580</v>
      </c>
      <c r="J143" t="n">
        <v>12580</v>
      </c>
      <c r="K143" t="n">
        <v>8107</v>
      </c>
      <c r="L143" t="n">
        <v>8107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1523</v>
      </c>
      <c r="B144" t="inlineStr">
        <is>
          <t>RODRIGUEZ MEJÍAS, JOSE ANTONIO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SALUSTIANA</t>
        </is>
      </c>
      <c r="I144" t="n">
        <v>580</v>
      </c>
      <c r="J144" t="n">
        <v>7040</v>
      </c>
      <c r="K144" t="n">
        <v>0</v>
      </c>
      <c r="L144" t="n">
        <v>7040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1523</v>
      </c>
      <c r="B145" t="inlineStr">
        <is>
          <t>RODRIGUEZ MEJÍAS, JOSE ANTONIO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SALUSTIANA</t>
        </is>
      </c>
      <c r="I145" t="n">
        <v>580</v>
      </c>
      <c r="J145" t="n">
        <v>11115</v>
      </c>
      <c r="K145" t="n">
        <v>5002</v>
      </c>
      <c r="L145" t="n">
        <v>5002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1523</v>
      </c>
      <c r="B146" t="inlineStr">
        <is>
          <t>RODRIGUEZ MEJÍAS, JOSE ANTONIO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SALUSTIANA</t>
        </is>
      </c>
      <c r="I146" t="n">
        <v>580</v>
      </c>
      <c r="J146" t="n">
        <v>8846</v>
      </c>
      <c r="K146" t="n">
        <v>8639</v>
      </c>
      <c r="L146" t="n">
        <v>8639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1523</v>
      </c>
      <c r="B147" t="inlineStr">
        <is>
          <t>RODRIGUEZ MEJÍAS, JOSE ANTONIO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SALUSTIANA</t>
        </is>
      </c>
      <c r="I147" t="n">
        <v>580</v>
      </c>
      <c r="J147" t="n">
        <v>13210</v>
      </c>
      <c r="K147" t="n">
        <v>3417</v>
      </c>
      <c r="L147" t="n">
        <v>3417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1523</v>
      </c>
      <c r="B148" t="inlineStr">
        <is>
          <t>RODRIGUEZ MEJÍAS, JOSE ANTONIO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SALUSTIANA</t>
        </is>
      </c>
      <c r="I148" t="n">
        <v>580</v>
      </c>
      <c r="J148" t="n">
        <v>13035</v>
      </c>
      <c r="K148" t="n">
        <v>5125</v>
      </c>
      <c r="L148" t="n">
        <v>5125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1523</v>
      </c>
      <c r="B149" t="inlineStr">
        <is>
          <t>RODRIGUEZ MEJÍAS, JOSE ANTONIO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SALUSTIANA</t>
        </is>
      </c>
      <c r="I149" t="n">
        <v>580</v>
      </c>
      <c r="J149" t="n">
        <v>13000</v>
      </c>
      <c r="K149" t="n">
        <v>4053</v>
      </c>
      <c r="L149" t="n">
        <v>4053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1523</v>
      </c>
      <c r="B150" t="inlineStr">
        <is>
          <t>RODRIGUEZ MEJÍAS, JOSE ANTONIO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LANE LATE</t>
        </is>
      </c>
      <c r="I150" t="n">
        <v>587</v>
      </c>
      <c r="J150" t="n">
        <v>980</v>
      </c>
      <c r="K150" t="n">
        <v>0</v>
      </c>
      <c r="L150" t="n">
        <v>980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1523</v>
      </c>
      <c r="B151" t="inlineStr">
        <is>
          <t>RODRIGUEZ MEJÍAS, JOSE ANTONIO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LANE LATE</t>
        </is>
      </c>
      <c r="I151" t="n">
        <v>587</v>
      </c>
      <c r="J151" t="n">
        <v>870</v>
      </c>
      <c r="K151" t="n">
        <v>0</v>
      </c>
      <c r="L151" t="n">
        <v>870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1523</v>
      </c>
      <c r="B152" t="inlineStr">
        <is>
          <t>RODRIGUEZ MEJÍAS, JOSE ANTONIO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CHISLETT SUMER</t>
        </is>
      </c>
      <c r="I152" t="n">
        <v>765</v>
      </c>
      <c r="J152" t="n">
        <v>6780</v>
      </c>
      <c r="K152" t="n">
        <v>0</v>
      </c>
      <c r="L152" t="n">
        <v>6780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1523</v>
      </c>
      <c r="B153" t="inlineStr">
        <is>
          <t>RODRIGUEZ MEJÍAS, JOSE ANTONIO</t>
        </is>
      </c>
      <c r="E153" t="n">
        <v>2026</v>
      </c>
      <c r="F153" t="n">
        <v>1</v>
      </c>
      <c r="G153" t="inlineStr">
        <is>
          <t>DIRECTO</t>
        </is>
      </c>
      <c r="H153" t="inlineStr">
        <is>
          <t>FUKUMOTO</t>
        </is>
      </c>
      <c r="I153" t="n">
        <v>62</v>
      </c>
      <c r="J153" t="n">
        <v>20930</v>
      </c>
      <c r="K153" t="n">
        <v>0</v>
      </c>
      <c r="L153" t="n">
        <v>20930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1523</v>
      </c>
      <c r="B154" t="inlineStr">
        <is>
          <t>RODRIGUEZ MEJÍAS, JOSE ANTONIO</t>
        </is>
      </c>
      <c r="E154" t="n">
        <v>2026</v>
      </c>
      <c r="F154" t="n">
        <v>1</v>
      </c>
      <c r="G154" t="inlineStr">
        <is>
          <t>DIRECTO</t>
        </is>
      </c>
      <c r="H154" t="inlineStr">
        <is>
          <t>FUKUMOTO</t>
        </is>
      </c>
      <c r="I154" t="n">
        <v>62</v>
      </c>
      <c r="J154" t="n">
        <v>18745</v>
      </c>
      <c r="K154" t="n">
        <v>0</v>
      </c>
      <c r="L154" t="n">
        <v>18745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1523</v>
      </c>
      <c r="B155" t="inlineStr">
        <is>
          <t>RODRIGUEZ MEJÍAS, JOSE ANTONIO</t>
        </is>
      </c>
      <c r="E155" t="n">
        <v>2026</v>
      </c>
      <c r="F155" t="n">
        <v>1</v>
      </c>
      <c r="G155" t="inlineStr">
        <is>
          <t>DIRECTO</t>
        </is>
      </c>
      <c r="H155" t="inlineStr">
        <is>
          <t>STAR RUBY</t>
        </is>
      </c>
      <c r="I155" t="n">
        <v>686</v>
      </c>
      <c r="J155" t="n">
        <v>16782</v>
      </c>
      <c r="K155" t="n">
        <v>0</v>
      </c>
      <c r="L155" t="n">
        <v>16782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1523</v>
      </c>
      <c r="B156" t="inlineStr">
        <is>
          <t>RODRIGUEZ MEJÍAS, JOSE ANTONIO</t>
        </is>
      </c>
      <c r="E156" t="n">
        <v>2026</v>
      </c>
      <c r="F156" t="n">
        <v>1</v>
      </c>
      <c r="G156" t="inlineStr">
        <is>
          <t>DIRECTO</t>
        </is>
      </c>
      <c r="H156" t="inlineStr">
        <is>
          <t>STAR RUBY</t>
        </is>
      </c>
      <c r="I156" t="n">
        <v>686</v>
      </c>
      <c r="J156" t="n">
        <v>16902</v>
      </c>
      <c r="K156" t="n">
        <v>0</v>
      </c>
      <c r="L156" t="n">
        <v>16902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1523</v>
      </c>
      <c r="B157" t="inlineStr">
        <is>
          <t>RODRIGUEZ MEJÍAS, JOSE ANTONIO</t>
        </is>
      </c>
      <c r="E157" t="n">
        <v>2026</v>
      </c>
      <c r="F157" t="n">
        <v>1</v>
      </c>
      <c r="G157" t="inlineStr">
        <is>
          <t>DIRECTO</t>
        </is>
      </c>
      <c r="H157" t="inlineStr">
        <is>
          <t>STAR RUBY</t>
        </is>
      </c>
      <c r="I157" t="n">
        <v>686</v>
      </c>
      <c r="J157" t="n">
        <v>17242</v>
      </c>
      <c r="K157" t="n">
        <v>0</v>
      </c>
      <c r="L157" t="n">
        <v>17242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1523</v>
      </c>
      <c r="B158" t="inlineStr">
        <is>
          <t>RODRIGUEZ MEJÍAS, JOSE ANTONIO</t>
        </is>
      </c>
      <c r="E158" t="n">
        <v>2026</v>
      </c>
      <c r="F158" t="n">
        <v>1</v>
      </c>
      <c r="G158" t="inlineStr">
        <is>
          <t>DIRECTO</t>
        </is>
      </c>
      <c r="H158" t="inlineStr">
        <is>
          <t>STAR RUBY</t>
        </is>
      </c>
      <c r="I158" t="n">
        <v>686</v>
      </c>
      <c r="J158" t="n">
        <v>16635</v>
      </c>
      <c r="K158" t="n">
        <v>0</v>
      </c>
      <c r="L158" t="n">
        <v>16635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1523</v>
      </c>
      <c r="B159" t="inlineStr">
        <is>
          <t>RODRIGUEZ MEJÍAS, JOSE ANTONIO</t>
        </is>
      </c>
      <c r="E159" t="n">
        <v>2026</v>
      </c>
      <c r="F159" t="n">
        <v>1</v>
      </c>
      <c r="G159" t="inlineStr">
        <is>
          <t>DIRECTO</t>
        </is>
      </c>
      <c r="H159" t="inlineStr">
        <is>
          <t>VALENCIA DELTA</t>
        </is>
      </c>
      <c r="I159" t="n">
        <v>340</v>
      </c>
      <c r="J159" t="n">
        <v>21970</v>
      </c>
      <c r="K159" t="n">
        <v>0</v>
      </c>
      <c r="L159" t="n">
        <v>21970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1523</v>
      </c>
      <c r="B160" t="inlineStr">
        <is>
          <t>RODRIGUEZ MEJÍAS, JOSE ANTONIO</t>
        </is>
      </c>
      <c r="E160" t="n">
        <v>2026</v>
      </c>
      <c r="F160" t="n">
        <v>1</v>
      </c>
      <c r="G160" t="inlineStr">
        <is>
          <t>DIRECTO</t>
        </is>
      </c>
      <c r="H160" t="inlineStr">
        <is>
          <t>VALENCIA DELTA</t>
        </is>
      </c>
      <c r="I160" t="n">
        <v>340</v>
      </c>
      <c r="J160" t="n">
        <v>22522</v>
      </c>
      <c r="K160" t="n">
        <v>0</v>
      </c>
      <c r="L160" t="n">
        <v>22522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1523</v>
      </c>
      <c r="B161" t="inlineStr">
        <is>
          <t>RODRIGUEZ MEJÍAS, JOSE ANTONIO</t>
        </is>
      </c>
      <c r="E161" t="n">
        <v>2026</v>
      </c>
      <c r="F161" t="n">
        <v>1</v>
      </c>
      <c r="G161" t="inlineStr">
        <is>
          <t>DIRECTO</t>
        </is>
      </c>
      <c r="H161" t="inlineStr">
        <is>
          <t>VALENCIA DELTA</t>
        </is>
      </c>
      <c r="I161" t="n">
        <v>340</v>
      </c>
      <c r="J161" t="n">
        <v>11820</v>
      </c>
      <c r="K161" t="n">
        <v>0</v>
      </c>
      <c r="L161" t="n">
        <v>11820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1523</v>
      </c>
      <c r="B162" t="inlineStr">
        <is>
          <t>RODRIGUEZ MEJÍAS, JOSE ANTONIO</t>
        </is>
      </c>
      <c r="E162" t="n">
        <v>2026</v>
      </c>
      <c r="F162" t="n">
        <v>1</v>
      </c>
      <c r="G162" t="inlineStr">
        <is>
          <t>DIRECTO</t>
        </is>
      </c>
      <c r="H162" t="inlineStr">
        <is>
          <t>LANE LATE</t>
        </is>
      </c>
      <c r="I162" t="n">
        <v>587</v>
      </c>
      <c r="J162" t="n">
        <v>22820</v>
      </c>
      <c r="K162" t="n">
        <v>0</v>
      </c>
      <c r="L162" t="n">
        <v>22820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1523</v>
      </c>
      <c r="B163" t="inlineStr">
        <is>
          <t>RODRIGUEZ MEJÍAS, JOSE ANTONIO</t>
        </is>
      </c>
      <c r="E163" t="n">
        <v>2026</v>
      </c>
      <c r="F163" t="n">
        <v>1</v>
      </c>
      <c r="G163" t="inlineStr">
        <is>
          <t>DIRECTO</t>
        </is>
      </c>
      <c r="H163" t="inlineStr">
        <is>
          <t>LANE LATE</t>
        </is>
      </c>
      <c r="I163" t="n">
        <v>587</v>
      </c>
      <c r="J163" t="n">
        <v>16960</v>
      </c>
      <c r="K163" t="n">
        <v>0</v>
      </c>
      <c r="L163" t="n">
        <v>16960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1523</v>
      </c>
      <c r="B164" t="inlineStr">
        <is>
          <t>RODRIGUEZ MEJÍAS, JOSE ANTONIO</t>
        </is>
      </c>
      <c r="E164" t="n">
        <v>2026</v>
      </c>
      <c r="F164" t="n">
        <v>1</v>
      </c>
      <c r="G164" t="inlineStr">
        <is>
          <t>DIRECTO</t>
        </is>
      </c>
      <c r="H164" t="inlineStr">
        <is>
          <t>LANE LATE</t>
        </is>
      </c>
      <c r="I164" t="n">
        <v>587</v>
      </c>
      <c r="J164" t="n">
        <v>19140</v>
      </c>
      <c r="K164" t="n">
        <v>0</v>
      </c>
      <c r="L164" t="n">
        <v>19140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1523</v>
      </c>
      <c r="B165" t="inlineStr">
        <is>
          <t>RODRIGUEZ MEJÍAS, JOSE ANTONIO</t>
        </is>
      </c>
      <c r="E165" t="n">
        <v>2026</v>
      </c>
      <c r="F165" t="n">
        <v>1</v>
      </c>
      <c r="G165" t="inlineStr">
        <is>
          <t>DIRECTO</t>
        </is>
      </c>
      <c r="H165" t="inlineStr">
        <is>
          <t>LANE LATE</t>
        </is>
      </c>
      <c r="I165" t="n">
        <v>587</v>
      </c>
      <c r="J165" t="n">
        <v>19640</v>
      </c>
      <c r="K165" t="n">
        <v>0</v>
      </c>
      <c r="L165" t="n">
        <v>19640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1523</v>
      </c>
      <c r="B166" t="inlineStr">
        <is>
          <t>RODRIGUEZ MEJÍAS, JOSE ANTONIO</t>
        </is>
      </c>
      <c r="E166" t="n">
        <v>2026</v>
      </c>
      <c r="F166" t="n">
        <v>1</v>
      </c>
      <c r="G166" t="inlineStr">
        <is>
          <t>DIRECTO</t>
        </is>
      </c>
      <c r="H166" t="inlineStr">
        <is>
          <t>STAR RUBY</t>
        </is>
      </c>
      <c r="I166" t="n">
        <v>686</v>
      </c>
      <c r="J166" t="n">
        <v>4072</v>
      </c>
      <c r="K166" t="n">
        <v>0</v>
      </c>
      <c r="L166" t="n">
        <v>4072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1523</v>
      </c>
      <c r="B167" t="inlineStr">
        <is>
          <t>RODRIGUEZ MEJÍAS, JOSE ANTONIO</t>
        </is>
      </c>
      <c r="E167" t="n">
        <v>2026</v>
      </c>
      <c r="F167" t="n">
        <v>1</v>
      </c>
      <c r="G167" t="inlineStr">
        <is>
          <t>INDUSTRIA</t>
        </is>
      </c>
      <c r="H167" t="inlineStr">
        <is>
          <t>SALUSTIANA</t>
        </is>
      </c>
      <c r="I167" t="n">
        <v>356</v>
      </c>
      <c r="J167" t="n">
        <v>12005</v>
      </c>
      <c r="K167" t="n">
        <v>165</v>
      </c>
      <c r="L167" t="n">
        <v>165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1523</v>
      </c>
      <c r="B168" t="inlineStr">
        <is>
          <t>RODRIGUEZ MEJÍAS, JOSE ANTONIO</t>
        </is>
      </c>
      <c r="E168" t="n">
        <v>2026</v>
      </c>
      <c r="F168" t="n">
        <v>1</v>
      </c>
      <c r="G168" t="inlineStr">
        <is>
          <t>INDUSTRIA</t>
        </is>
      </c>
      <c r="H168" t="inlineStr">
        <is>
          <t>SALUSTIANA</t>
        </is>
      </c>
      <c r="I168" t="n">
        <v>356</v>
      </c>
      <c r="J168" t="n">
        <v>11190</v>
      </c>
      <c r="K168" t="n">
        <v>421</v>
      </c>
      <c r="L168" t="n">
        <v>421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1523</v>
      </c>
      <c r="B169" t="inlineStr">
        <is>
          <t>RODRIGUEZ MEJÍAS, JOSE ANTONIO</t>
        </is>
      </c>
      <c r="E169" t="n">
        <v>2026</v>
      </c>
      <c r="F169" t="n">
        <v>1</v>
      </c>
      <c r="G169" t="inlineStr">
        <is>
          <t>INDUSTRIA</t>
        </is>
      </c>
      <c r="H169" t="inlineStr">
        <is>
          <t>SALUSTIANA</t>
        </is>
      </c>
      <c r="I169" t="n">
        <v>356</v>
      </c>
      <c r="J169" t="n">
        <v>11325</v>
      </c>
      <c r="K169" t="n">
        <v>250</v>
      </c>
      <c r="L169" t="n">
        <v>250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1523</v>
      </c>
      <c r="B170" t="inlineStr">
        <is>
          <t>RODRIGUEZ MEJÍAS, JOSE ANTONIO</t>
        </is>
      </c>
      <c r="E170" t="n">
        <v>2026</v>
      </c>
      <c r="F170" t="n">
        <v>1</v>
      </c>
      <c r="G170" t="inlineStr">
        <is>
          <t>INDUSTRIA</t>
        </is>
      </c>
      <c r="H170" t="inlineStr">
        <is>
          <t>SALUSTIANA</t>
        </is>
      </c>
      <c r="I170" t="n">
        <v>580</v>
      </c>
      <c r="J170" t="n">
        <v>12165</v>
      </c>
      <c r="K170" t="n">
        <v>352</v>
      </c>
      <c r="L170" t="n">
        <v>352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1523</v>
      </c>
      <c r="B171" t="inlineStr">
        <is>
          <t>RODRIGUEZ MEJÍAS, JOSE ANTONIO</t>
        </is>
      </c>
      <c r="E171" t="n">
        <v>2026</v>
      </c>
      <c r="F171" t="n">
        <v>1</v>
      </c>
      <c r="G171" t="inlineStr">
        <is>
          <t>INDUSTRIA</t>
        </is>
      </c>
      <c r="H171" t="inlineStr">
        <is>
          <t>SALUSTIANA</t>
        </is>
      </c>
      <c r="I171" t="n">
        <v>580</v>
      </c>
      <c r="J171" t="n">
        <v>13605</v>
      </c>
      <c r="K171" t="n">
        <v>366</v>
      </c>
      <c r="L171" t="n">
        <v>366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1523</v>
      </c>
      <c r="B172" t="inlineStr">
        <is>
          <t>RODRIGUEZ MEJÍAS, JOSE ANTONIO</t>
        </is>
      </c>
      <c r="E172" t="n">
        <v>2026</v>
      </c>
      <c r="F172" t="n">
        <v>1</v>
      </c>
      <c r="G172" t="inlineStr">
        <is>
          <t>INDUSTRIA</t>
        </is>
      </c>
      <c r="H172" t="inlineStr">
        <is>
          <t>SALUSTIANA</t>
        </is>
      </c>
      <c r="I172" t="n">
        <v>580</v>
      </c>
      <c r="J172" t="n">
        <v>11910</v>
      </c>
      <c r="K172" t="n">
        <v>460</v>
      </c>
      <c r="L172" t="n">
        <v>460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1523</v>
      </c>
      <c r="B173" t="inlineStr">
        <is>
          <t>RODRIGUEZ MEJÍAS, JOSE ANTONIO</t>
        </is>
      </c>
      <c r="E173" t="n">
        <v>2026</v>
      </c>
      <c r="F173" t="n">
        <v>1</v>
      </c>
      <c r="G173" t="inlineStr">
        <is>
          <t>INDUSTRIA</t>
        </is>
      </c>
      <c r="H173" t="inlineStr">
        <is>
          <t>SALUSTIANA</t>
        </is>
      </c>
      <c r="I173" t="n">
        <v>580</v>
      </c>
      <c r="J173" t="n">
        <v>13285</v>
      </c>
      <c r="K173" t="n">
        <v>165</v>
      </c>
      <c r="L173" t="n">
        <v>165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1523</v>
      </c>
      <c r="B174" t="inlineStr">
        <is>
          <t>RODRIGUEZ MEJÍAS, JOSE ANTONIO</t>
        </is>
      </c>
      <c r="E174" t="n">
        <v>2026</v>
      </c>
      <c r="F174" t="n">
        <v>1</v>
      </c>
      <c r="G174" t="inlineStr">
        <is>
          <t>INDUSTRIA</t>
        </is>
      </c>
      <c r="H174" t="inlineStr">
        <is>
          <t>SALUSTIANA</t>
        </is>
      </c>
      <c r="I174" t="n">
        <v>580</v>
      </c>
      <c r="J174" t="n">
        <v>12881</v>
      </c>
      <c r="K174" t="n">
        <v>255</v>
      </c>
      <c r="L174" t="n">
        <v>255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1523</v>
      </c>
      <c r="B175" t="inlineStr">
        <is>
          <t>RODRIGUEZ MEJÍAS, JOSE ANTONIO</t>
        </is>
      </c>
      <c r="E175" t="n">
        <v>2026</v>
      </c>
      <c r="F175" t="n">
        <v>1</v>
      </c>
      <c r="G175" t="inlineStr">
        <is>
          <t>INDUSTRIA</t>
        </is>
      </c>
      <c r="H175" t="inlineStr">
        <is>
          <t>SALUSTIANA</t>
        </is>
      </c>
      <c r="I175" t="n">
        <v>580</v>
      </c>
      <c r="J175" t="n">
        <v>9953</v>
      </c>
      <c r="K175" t="n">
        <v>45</v>
      </c>
      <c r="L175" t="n">
        <v>45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1523</v>
      </c>
      <c r="B176" t="inlineStr">
        <is>
          <t>RODRIGUEZ MEJÍAS, JOSE ANTONIO</t>
        </is>
      </c>
      <c r="E176" t="n">
        <v>2026</v>
      </c>
      <c r="F176" t="n">
        <v>1</v>
      </c>
      <c r="G176" t="inlineStr">
        <is>
          <t>MANDARINA</t>
        </is>
      </c>
      <c r="H176" t="inlineStr">
        <is>
          <t>TANGO</t>
        </is>
      </c>
      <c r="I176" t="n">
        <v>608</v>
      </c>
      <c r="J176" t="n">
        <v>19718</v>
      </c>
      <c r="K176" t="n">
        <v>0</v>
      </c>
      <c r="L176" t="n">
        <v>19718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1523</v>
      </c>
      <c r="B177" t="inlineStr">
        <is>
          <t>RODRIGUEZ MEJÍAS, JOSE ANTONIO</t>
        </is>
      </c>
      <c r="E177" t="n">
        <v>2026</v>
      </c>
      <c r="F177" t="n">
        <v>1</v>
      </c>
      <c r="G177" t="inlineStr">
        <is>
          <t>MANDARINA</t>
        </is>
      </c>
      <c r="H177" t="inlineStr">
        <is>
          <t>TANGO</t>
        </is>
      </c>
      <c r="I177" t="n">
        <v>608</v>
      </c>
      <c r="J177" t="n">
        <v>18958</v>
      </c>
      <c r="K177" t="n">
        <v>0</v>
      </c>
      <c r="L177" t="n">
        <v>18958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1523</v>
      </c>
      <c r="B178" t="inlineStr">
        <is>
          <t>RODRIGUEZ MEJÍAS, JOSE ANTONIO</t>
        </is>
      </c>
      <c r="E178" t="n">
        <v>2026</v>
      </c>
      <c r="F178" t="n">
        <v>1</v>
      </c>
      <c r="G178" t="inlineStr">
        <is>
          <t>MANDARINA</t>
        </is>
      </c>
      <c r="H178" t="inlineStr">
        <is>
          <t>TANGO</t>
        </is>
      </c>
      <c r="I178" t="n">
        <v>608</v>
      </c>
      <c r="J178" t="n">
        <v>19760</v>
      </c>
      <c r="K178" t="n">
        <v>0</v>
      </c>
      <c r="L178" t="n">
        <v>19760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1561</v>
      </c>
      <c r="B179" t="inlineStr">
        <is>
          <t>SUAREZ SANCHEZ, Mª DEL PILAR</t>
        </is>
      </c>
      <c r="E179" t="n">
        <v>2026</v>
      </c>
      <c r="F179" t="n">
        <v>1</v>
      </c>
      <c r="G179" t="inlineStr">
        <is>
          <t>CITRICOS</t>
        </is>
      </c>
      <c r="H179" t="inlineStr">
        <is>
          <t>SALUSTIANA</t>
        </is>
      </c>
      <c r="I179" t="n">
        <v>593</v>
      </c>
      <c r="J179" t="n">
        <v>14980</v>
      </c>
      <c r="K179" t="n">
        <v>0</v>
      </c>
      <c r="L179" t="n">
        <v>14980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1561</v>
      </c>
      <c r="B180" t="inlineStr">
        <is>
          <t>SUAREZ SANCHEZ, Mª DEL PILAR</t>
        </is>
      </c>
      <c r="E180" t="n">
        <v>2026</v>
      </c>
      <c r="F180" t="n">
        <v>1</v>
      </c>
      <c r="G180" t="inlineStr">
        <is>
          <t>CITRICOS</t>
        </is>
      </c>
      <c r="H180" t="inlineStr">
        <is>
          <t>SALUSTIANA</t>
        </is>
      </c>
      <c r="I180" t="n">
        <v>593</v>
      </c>
      <c r="J180" t="n">
        <v>15180</v>
      </c>
      <c r="K180" t="n">
        <v>12852</v>
      </c>
      <c r="L180" t="n">
        <v>12852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1561</v>
      </c>
      <c r="B181" t="inlineStr">
        <is>
          <t>SUAREZ SANCHEZ, Mª DEL PILAR</t>
        </is>
      </c>
      <c r="E181" t="n">
        <v>2026</v>
      </c>
      <c r="F181" t="n">
        <v>1</v>
      </c>
      <c r="G181" t="inlineStr">
        <is>
          <t>CITRICOS</t>
        </is>
      </c>
      <c r="H181" t="inlineStr">
        <is>
          <t>SALUSTIANA</t>
        </is>
      </c>
      <c r="I181" t="n">
        <v>593</v>
      </c>
      <c r="J181" t="n">
        <v>13966</v>
      </c>
      <c r="K181" t="n">
        <v>7459</v>
      </c>
      <c r="L181" t="n">
        <v>7459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1561</v>
      </c>
      <c r="B182" t="inlineStr">
        <is>
          <t>SUAREZ SANCHEZ, Mª DEL PILAR</t>
        </is>
      </c>
      <c r="E182" t="n">
        <v>2026</v>
      </c>
      <c r="F182" t="n">
        <v>1</v>
      </c>
      <c r="G182" t="inlineStr">
        <is>
          <t>CITRICOS</t>
        </is>
      </c>
      <c r="H182" t="inlineStr">
        <is>
          <t>SALUSTIANA</t>
        </is>
      </c>
      <c r="I182" t="n">
        <v>593</v>
      </c>
      <c r="J182" t="n">
        <v>2123</v>
      </c>
      <c r="K182" t="n">
        <v>0</v>
      </c>
      <c r="L182" t="n">
        <v>2123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1561</v>
      </c>
      <c r="B183" t="inlineStr">
        <is>
          <t>SUAREZ SANCHEZ, Mª DEL PILAR</t>
        </is>
      </c>
      <c r="E183" t="n">
        <v>2026</v>
      </c>
      <c r="F183" t="n">
        <v>1</v>
      </c>
      <c r="G183" t="inlineStr">
        <is>
          <t>CITRICOS</t>
        </is>
      </c>
      <c r="H183" t="inlineStr">
        <is>
          <t>SALUSTIANA</t>
        </is>
      </c>
      <c r="I183" t="n">
        <v>593</v>
      </c>
      <c r="J183" t="n">
        <v>16055</v>
      </c>
      <c r="K183" t="n">
        <v>362</v>
      </c>
      <c r="L183" t="n">
        <v>362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1561</v>
      </c>
      <c r="B184" t="inlineStr">
        <is>
          <t>SUAREZ SANCHEZ, Mª DEL PILAR</t>
        </is>
      </c>
      <c r="E184" t="n">
        <v>2026</v>
      </c>
      <c r="F184" t="n">
        <v>1</v>
      </c>
      <c r="G184" t="inlineStr">
        <is>
          <t>CITRICOS</t>
        </is>
      </c>
      <c r="H184" t="inlineStr">
        <is>
          <t>SALUSTIANA</t>
        </is>
      </c>
      <c r="I184" t="n">
        <v>593</v>
      </c>
      <c r="J184" t="n">
        <v>1953</v>
      </c>
      <c r="K184" t="n">
        <v>922</v>
      </c>
      <c r="L184" t="n">
        <v>922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1561</v>
      </c>
      <c r="B185" t="inlineStr">
        <is>
          <t>SUAREZ SANCHEZ, Mª DEL PILAR</t>
        </is>
      </c>
      <c r="E185" t="n">
        <v>2026</v>
      </c>
      <c r="F185" t="n">
        <v>1</v>
      </c>
      <c r="G185" t="inlineStr">
        <is>
          <t>CITRICOS</t>
        </is>
      </c>
      <c r="H185" t="inlineStr">
        <is>
          <t>SALUSTIANA</t>
        </is>
      </c>
      <c r="I185" t="n">
        <v>593</v>
      </c>
      <c r="J185" t="n">
        <v>15235</v>
      </c>
      <c r="K185" t="n">
        <v>14832</v>
      </c>
      <c r="L185" t="n">
        <v>14832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1561</v>
      </c>
      <c r="B186" t="inlineStr">
        <is>
          <t>SUAREZ SANCHEZ, Mª DEL PILAR</t>
        </is>
      </c>
      <c r="E186" t="n">
        <v>2026</v>
      </c>
      <c r="F186" t="n">
        <v>1</v>
      </c>
      <c r="G186" t="inlineStr">
        <is>
          <t>CITRICOS</t>
        </is>
      </c>
      <c r="H186" t="inlineStr">
        <is>
          <t>SALUSTIANA</t>
        </is>
      </c>
      <c r="I186" t="n">
        <v>593</v>
      </c>
      <c r="J186" t="n">
        <v>15350</v>
      </c>
      <c r="K186" t="n">
        <v>12906</v>
      </c>
      <c r="L186" t="n">
        <v>12906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1561</v>
      </c>
      <c r="B187" t="inlineStr">
        <is>
          <t>SUAREZ SANCHEZ, Mª DEL PILAR</t>
        </is>
      </c>
      <c r="E187" t="n">
        <v>2026</v>
      </c>
      <c r="F187" t="n">
        <v>1</v>
      </c>
      <c r="G187" t="inlineStr">
        <is>
          <t>CITRICOS</t>
        </is>
      </c>
      <c r="H187" t="inlineStr">
        <is>
          <t>SALUSTIANA</t>
        </is>
      </c>
      <c r="I187" t="n">
        <v>593</v>
      </c>
      <c r="J187" t="n">
        <v>7715</v>
      </c>
      <c r="K187" t="n">
        <v>7380</v>
      </c>
      <c r="L187" t="n">
        <v>7380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1561</v>
      </c>
      <c r="B188" t="inlineStr">
        <is>
          <t>SUAREZ SANCHEZ, Mª DEL PILAR</t>
        </is>
      </c>
      <c r="E188" t="n">
        <v>2026</v>
      </c>
      <c r="F188" t="n">
        <v>1</v>
      </c>
      <c r="G188" t="inlineStr">
        <is>
          <t>CITRICOS</t>
        </is>
      </c>
      <c r="H188" t="inlineStr">
        <is>
          <t>SALUSTIANA</t>
        </is>
      </c>
      <c r="I188" t="n">
        <v>593</v>
      </c>
      <c r="J188" t="n">
        <v>15075</v>
      </c>
      <c r="K188" t="n">
        <v>10487</v>
      </c>
      <c r="L188" t="n">
        <v>10487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1561</v>
      </c>
      <c r="B189" t="inlineStr">
        <is>
          <t>SUAREZ SANCHEZ, Mª DEL PILAR</t>
        </is>
      </c>
      <c r="E189" t="n">
        <v>2026</v>
      </c>
      <c r="F189" t="n">
        <v>1</v>
      </c>
      <c r="G189" t="inlineStr">
        <is>
          <t>DIRECTO</t>
        </is>
      </c>
      <c r="H189" t="inlineStr">
        <is>
          <t>TANGO</t>
        </is>
      </c>
      <c r="I189" t="n">
        <v>616</v>
      </c>
      <c r="J189" t="n">
        <v>20120</v>
      </c>
      <c r="K189" t="n">
        <v>0</v>
      </c>
      <c r="L189" t="n">
        <v>20120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1561</v>
      </c>
      <c r="B190" t="inlineStr">
        <is>
          <t>SUAREZ SANCHEZ, Mª DEL PILAR</t>
        </is>
      </c>
      <c r="E190" t="n">
        <v>2026</v>
      </c>
      <c r="F190" t="n">
        <v>1</v>
      </c>
      <c r="G190" t="inlineStr">
        <is>
          <t>DIRECTO</t>
        </is>
      </c>
      <c r="H190" t="inlineStr">
        <is>
          <t>TANGO</t>
        </is>
      </c>
      <c r="I190" t="n">
        <v>616</v>
      </c>
      <c r="J190" t="n">
        <v>21090</v>
      </c>
      <c r="K190" t="n">
        <v>21755</v>
      </c>
      <c r="L190" t="n">
        <v>21755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1561</v>
      </c>
      <c r="B191" t="inlineStr">
        <is>
          <t>SUAREZ SANCHEZ, Mª DEL PILAR</t>
        </is>
      </c>
      <c r="E191" t="n">
        <v>2026</v>
      </c>
      <c r="F191" t="n">
        <v>1</v>
      </c>
      <c r="G191" t="inlineStr">
        <is>
          <t>DIRECTO</t>
        </is>
      </c>
      <c r="H191" t="inlineStr">
        <is>
          <t>TANGO</t>
        </is>
      </c>
      <c r="I191" t="n">
        <v>616</v>
      </c>
      <c r="J191" t="n">
        <v>20430</v>
      </c>
      <c r="K191" t="n">
        <v>0</v>
      </c>
      <c r="L191" t="n">
        <v>20430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1561</v>
      </c>
      <c r="B192" t="inlineStr">
        <is>
          <t>SUAREZ SANCHEZ, Mª DEL PILAR</t>
        </is>
      </c>
      <c r="E192" t="n">
        <v>2026</v>
      </c>
      <c r="F192" t="n">
        <v>1</v>
      </c>
      <c r="G192" t="inlineStr">
        <is>
          <t>DIRECTO</t>
        </is>
      </c>
      <c r="H192" t="inlineStr">
        <is>
          <t>TANGO</t>
        </is>
      </c>
      <c r="I192" t="n">
        <v>616</v>
      </c>
      <c r="J192" t="n">
        <v>21755</v>
      </c>
      <c r="K192" t="n">
        <v>0</v>
      </c>
      <c r="L192" t="n">
        <v>21755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1561</v>
      </c>
      <c r="B193" t="inlineStr">
        <is>
          <t>SUAREZ SANCHEZ, Mª DEL PILAR</t>
        </is>
      </c>
      <c r="E193" t="n">
        <v>2026</v>
      </c>
      <c r="F193" t="n">
        <v>1</v>
      </c>
      <c r="G193" t="inlineStr">
        <is>
          <t>DIRECTO</t>
        </is>
      </c>
      <c r="H193" t="inlineStr">
        <is>
          <t>TANGO</t>
        </is>
      </c>
      <c r="I193" t="n">
        <v>616</v>
      </c>
      <c r="J193" t="n">
        <v>20675</v>
      </c>
      <c r="K193" t="n">
        <v>0</v>
      </c>
      <c r="L193" t="n">
        <v>20675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1561</v>
      </c>
      <c r="B194" t="inlineStr">
        <is>
          <t>SUAREZ SANCHEZ, Mª DEL PILAR</t>
        </is>
      </c>
      <c r="E194" t="n">
        <v>2026</v>
      </c>
      <c r="F194" t="n">
        <v>1</v>
      </c>
      <c r="G194" t="inlineStr">
        <is>
          <t>DIRECTO</t>
        </is>
      </c>
      <c r="H194" t="inlineStr">
        <is>
          <t>TANGO</t>
        </is>
      </c>
      <c r="I194" t="n">
        <v>616</v>
      </c>
      <c r="J194" t="n">
        <v>21230</v>
      </c>
      <c r="K194" t="n">
        <v>0</v>
      </c>
      <c r="L194" t="n">
        <v>21230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1561</v>
      </c>
      <c r="B195" t="inlineStr">
        <is>
          <t>SUAREZ SANCHEZ, Mª DEL PILAR</t>
        </is>
      </c>
      <c r="E195" t="n">
        <v>2026</v>
      </c>
      <c r="F195" t="n">
        <v>1</v>
      </c>
      <c r="G195" t="inlineStr">
        <is>
          <t>INDUSTRIA</t>
        </is>
      </c>
      <c r="H195" t="inlineStr">
        <is>
          <t>VALENCIA DELTA</t>
        </is>
      </c>
      <c r="I195" t="n">
        <v>670</v>
      </c>
      <c r="J195" t="n">
        <v>12008</v>
      </c>
      <c r="K195" t="n">
        <v>0</v>
      </c>
      <c r="L195" t="n">
        <v>12008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1561</v>
      </c>
      <c r="B196" t="inlineStr">
        <is>
          <t>SUAREZ SANCHEZ, Mª DEL PILAR</t>
        </is>
      </c>
      <c r="E196" t="n">
        <v>2026</v>
      </c>
      <c r="F196" t="n">
        <v>1</v>
      </c>
      <c r="G196" t="inlineStr">
        <is>
          <t>INDUSTRIA</t>
        </is>
      </c>
      <c r="H196" t="inlineStr">
        <is>
          <t>VALENCIA DELTA</t>
        </is>
      </c>
      <c r="I196" t="n">
        <v>670</v>
      </c>
      <c r="J196" t="n">
        <v>5548</v>
      </c>
      <c r="K196" t="n">
        <v>0</v>
      </c>
      <c r="L196" t="n">
        <v>5548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1561</v>
      </c>
      <c r="B197" t="inlineStr">
        <is>
          <t>SUAREZ SANCHEZ, Mª DEL PILAR</t>
        </is>
      </c>
      <c r="E197" t="n">
        <v>2026</v>
      </c>
      <c r="F197" t="n">
        <v>1</v>
      </c>
      <c r="G197" t="inlineStr">
        <is>
          <t>INDUSTRIA</t>
        </is>
      </c>
      <c r="H197" t="inlineStr">
        <is>
          <t>SALUSTIANA</t>
        </is>
      </c>
      <c r="I197" t="n">
        <v>593</v>
      </c>
      <c r="J197" t="n">
        <v>1920</v>
      </c>
      <c r="K197" t="n">
        <v>0</v>
      </c>
      <c r="L197" t="n">
        <v>1920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1561</v>
      </c>
      <c r="B198" t="inlineStr">
        <is>
          <t>SUAREZ SANCHEZ, Mª DEL PILAR</t>
        </is>
      </c>
      <c r="E198" t="n">
        <v>2026</v>
      </c>
      <c r="F198" t="n">
        <v>1</v>
      </c>
      <c r="G198" t="inlineStr">
        <is>
          <t>INDUSTRIA</t>
        </is>
      </c>
      <c r="H198" t="inlineStr">
        <is>
          <t>SALUSTIANA</t>
        </is>
      </c>
      <c r="I198" t="n">
        <v>593</v>
      </c>
      <c r="J198" t="n">
        <v>15165</v>
      </c>
      <c r="K198" t="n">
        <v>368</v>
      </c>
      <c r="L198" t="n">
        <v>368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1561</v>
      </c>
      <c r="B199" t="inlineStr">
        <is>
          <t>SUAREZ SANCHEZ, Mª DEL PILAR</t>
        </is>
      </c>
      <c r="E199" t="n">
        <v>2026</v>
      </c>
      <c r="F199" t="n">
        <v>1</v>
      </c>
      <c r="G199" t="inlineStr">
        <is>
          <t>INDUSTRIA</t>
        </is>
      </c>
      <c r="H199" t="inlineStr">
        <is>
          <t>SALUSTIANA</t>
        </is>
      </c>
      <c r="I199" t="n">
        <v>593</v>
      </c>
      <c r="J199" t="n">
        <v>14930</v>
      </c>
      <c r="K199" t="n">
        <v>2234</v>
      </c>
      <c r="L199" t="n">
        <v>2234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1561</v>
      </c>
      <c r="B200" t="inlineStr">
        <is>
          <t>SUAREZ SANCHEZ, Mª DEL PILAR</t>
        </is>
      </c>
      <c r="E200" t="n">
        <v>2026</v>
      </c>
      <c r="F200" t="n">
        <v>1</v>
      </c>
      <c r="G200" t="inlineStr">
        <is>
          <t>INDUSTRIA</t>
        </is>
      </c>
      <c r="H200" t="inlineStr">
        <is>
          <t>SALUSTIANA</t>
        </is>
      </c>
      <c r="I200" t="n">
        <v>593</v>
      </c>
      <c r="J200" t="n">
        <v>2118</v>
      </c>
      <c r="K200" t="n">
        <v>0</v>
      </c>
      <c r="L200" t="n">
        <v>2118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1561</v>
      </c>
      <c r="B201" t="inlineStr">
        <is>
          <t>SUAREZ SANCHEZ, Mª DEL PILAR</t>
        </is>
      </c>
      <c r="E201" t="n">
        <v>2026</v>
      </c>
      <c r="F201" t="n">
        <v>1</v>
      </c>
      <c r="G201" t="inlineStr">
        <is>
          <t>INDUSTRIA</t>
        </is>
      </c>
      <c r="H201" t="inlineStr">
        <is>
          <t>SALUSTIANA</t>
        </is>
      </c>
      <c r="I201" t="n">
        <v>593</v>
      </c>
      <c r="J201" t="n">
        <v>6945</v>
      </c>
      <c r="K201" t="n">
        <v>300</v>
      </c>
      <c r="L201" t="n">
        <v>300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1561</v>
      </c>
      <c r="B202" t="inlineStr">
        <is>
          <t>SUAREZ SANCHEZ, Mª DEL PILAR</t>
        </is>
      </c>
      <c r="E202" t="n">
        <v>2026</v>
      </c>
      <c r="F202" t="n">
        <v>1</v>
      </c>
      <c r="G202" t="inlineStr">
        <is>
          <t>MANDARINA</t>
        </is>
      </c>
      <c r="H202" t="inlineStr">
        <is>
          <t>TANGO</t>
        </is>
      </c>
      <c r="I202" t="n">
        <v>616</v>
      </c>
      <c r="J202" t="n">
        <v>10088</v>
      </c>
      <c r="K202" t="n">
        <v>0</v>
      </c>
      <c r="L202" t="n">
        <v>10088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1561</v>
      </c>
      <c r="B203" t="inlineStr">
        <is>
          <t>SUAREZ SANCHEZ, Mª DEL PILAR</t>
        </is>
      </c>
      <c r="E203" t="n">
        <v>2026</v>
      </c>
      <c r="F203" t="n">
        <v>1</v>
      </c>
      <c r="G203" t="inlineStr">
        <is>
          <t>MANDARINA</t>
        </is>
      </c>
      <c r="H203" t="inlineStr">
        <is>
          <t>TANGO</t>
        </is>
      </c>
      <c r="I203" t="n">
        <v>616</v>
      </c>
      <c r="J203" t="n">
        <v>19870</v>
      </c>
      <c r="K203" t="n">
        <v>0</v>
      </c>
      <c r="L203" t="n">
        <v>19870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1561</v>
      </c>
      <c r="B204" t="inlineStr">
        <is>
          <t>SUAREZ SANCHEZ, Mª DEL PILAR</t>
        </is>
      </c>
      <c r="E204" t="n">
        <v>2026</v>
      </c>
      <c r="F204" t="n">
        <v>1</v>
      </c>
      <c r="G204" t="inlineStr">
        <is>
          <t>MANDARINA</t>
        </is>
      </c>
      <c r="H204" t="inlineStr">
        <is>
          <t>TANGO</t>
        </is>
      </c>
      <c r="I204" t="n">
        <v>616</v>
      </c>
      <c r="J204" t="n">
        <v>19990</v>
      </c>
      <c r="K204" t="n">
        <v>0</v>
      </c>
      <c r="L204" t="n">
        <v>19990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1561</v>
      </c>
      <c r="B205" t="inlineStr">
        <is>
          <t>SUAREZ SANCHEZ, Mª DEL PILAR</t>
        </is>
      </c>
      <c r="E205" t="n">
        <v>2026</v>
      </c>
      <c r="F205" t="n">
        <v>1</v>
      </c>
      <c r="G205" t="inlineStr">
        <is>
          <t>MANDARINA</t>
        </is>
      </c>
      <c r="H205" t="inlineStr">
        <is>
          <t>TANGO</t>
        </is>
      </c>
      <c r="I205" t="n">
        <v>616</v>
      </c>
      <c r="J205" t="n">
        <v>19358</v>
      </c>
      <c r="K205" t="n">
        <v>0</v>
      </c>
      <c r="L205" t="n">
        <v>19358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1561</v>
      </c>
      <c r="B206" t="inlineStr">
        <is>
          <t>SUAREZ SANCHEZ, Mª DEL PILAR</t>
        </is>
      </c>
      <c r="E206" t="n">
        <v>2026</v>
      </c>
      <c r="F206" t="n">
        <v>1</v>
      </c>
      <c r="G206" t="inlineStr">
        <is>
          <t>MANDARINA</t>
        </is>
      </c>
      <c r="H206" t="inlineStr">
        <is>
          <t>TANGO</t>
        </is>
      </c>
      <c r="I206" t="n">
        <v>616</v>
      </c>
      <c r="J206" t="n">
        <v>17866</v>
      </c>
      <c r="K206" t="n">
        <v>0</v>
      </c>
      <c r="L206" t="n">
        <v>17866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1561</v>
      </c>
      <c r="B207" t="inlineStr">
        <is>
          <t>SUAREZ SANCHEZ, Mª DEL PILAR</t>
        </is>
      </c>
      <c r="E207" t="n">
        <v>2026</v>
      </c>
      <c r="F207" t="n">
        <v>1</v>
      </c>
      <c r="G207" t="inlineStr">
        <is>
          <t>MANDARINA</t>
        </is>
      </c>
      <c r="H207" t="inlineStr">
        <is>
          <t>TANGO</t>
        </is>
      </c>
      <c r="I207" t="n">
        <v>616</v>
      </c>
      <c r="J207" t="n">
        <v>20136</v>
      </c>
      <c r="K207" t="n">
        <v>0</v>
      </c>
      <c r="L207" t="n">
        <v>20136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1561</v>
      </c>
      <c r="B208" t="inlineStr">
        <is>
          <t>SUAREZ SANCHEZ, Mª DEL PILAR</t>
        </is>
      </c>
      <c r="E208" t="n">
        <v>2026</v>
      </c>
      <c r="F208" t="n">
        <v>1</v>
      </c>
      <c r="G208" t="inlineStr">
        <is>
          <t>MANDARINA</t>
        </is>
      </c>
      <c r="H208" t="inlineStr">
        <is>
          <t>TANGO</t>
        </is>
      </c>
      <c r="I208" t="n">
        <v>616</v>
      </c>
      <c r="J208" t="n">
        <v>20819</v>
      </c>
      <c r="K208" t="n">
        <v>15322</v>
      </c>
      <c r="L208" t="n">
        <v>15322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  <row r="209">
      <c r="A209" t="n">
        <v>1561</v>
      </c>
      <c r="B209" t="inlineStr">
        <is>
          <t>SUAREZ SANCHEZ, Mª DEL PILAR</t>
        </is>
      </c>
      <c r="E209" t="n">
        <v>2026</v>
      </c>
      <c r="F209" t="n">
        <v>1</v>
      </c>
      <c r="G209" t="inlineStr">
        <is>
          <t>MANDARINA</t>
        </is>
      </c>
      <c r="H209" t="inlineStr">
        <is>
          <t>TANGO</t>
        </is>
      </c>
      <c r="I209" t="n">
        <v>616</v>
      </c>
      <c r="J209" t="n">
        <v>19896</v>
      </c>
      <c r="K209" t="n">
        <v>0</v>
      </c>
      <c r="L209" t="n">
        <v>19896</v>
      </c>
      <c r="M209" t="inlineStr">
        <is>
          <t>Sí</t>
        </is>
      </c>
      <c r="N209" t="inlineStr"/>
      <c r="O209" t="inlineStr">
        <is>
          <t>Informativa</t>
        </is>
      </c>
      <c r="P209" t="inlineStr">
        <is>
          <t>No interviene en el prorrateo</t>
        </is>
      </c>
    </row>
    <row r="210">
      <c r="A210" t="n">
        <v>1561</v>
      </c>
      <c r="B210" t="inlineStr">
        <is>
          <t>SUAREZ SANCHEZ, Mª DEL PILAR</t>
        </is>
      </c>
      <c r="E210" t="n">
        <v>2026</v>
      </c>
      <c r="F210" t="n">
        <v>1</v>
      </c>
      <c r="G210" t="inlineStr">
        <is>
          <t>MANDARINA</t>
        </is>
      </c>
      <c r="H210" t="inlineStr">
        <is>
          <t>TANGO</t>
        </is>
      </c>
      <c r="I210" t="n">
        <v>616</v>
      </c>
      <c r="J210" t="n">
        <v>19856</v>
      </c>
      <c r="K210" t="n">
        <v>0</v>
      </c>
      <c r="L210" t="n">
        <v>19856</v>
      </c>
      <c r="M210" t="inlineStr">
        <is>
          <t>Sí</t>
        </is>
      </c>
      <c r="N210" t="inlineStr"/>
      <c r="O210" t="inlineStr">
        <is>
          <t>Informativa</t>
        </is>
      </c>
      <c r="P210" t="inlineStr">
        <is>
          <t>No interviene en el prorrateo</t>
        </is>
      </c>
    </row>
    <row r="211">
      <c r="A211" t="n">
        <v>1561</v>
      </c>
      <c r="B211" t="inlineStr">
        <is>
          <t>SUAREZ SANCHEZ, Mª DEL PILAR</t>
        </is>
      </c>
      <c r="E211" t="n">
        <v>2026</v>
      </c>
      <c r="F211" t="n">
        <v>1</v>
      </c>
      <c r="G211" t="inlineStr">
        <is>
          <t>MANDARINA</t>
        </is>
      </c>
      <c r="H211" t="inlineStr">
        <is>
          <t>TANGO</t>
        </is>
      </c>
      <c r="I211" t="n">
        <v>616</v>
      </c>
      <c r="J211" t="n">
        <v>19353</v>
      </c>
      <c r="K211" t="n">
        <v>0</v>
      </c>
      <c r="L211" t="n">
        <v>19353</v>
      </c>
      <c r="M211" t="inlineStr">
        <is>
          <t>Sí</t>
        </is>
      </c>
      <c r="N211" t="inlineStr"/>
      <c r="O211" t="inlineStr">
        <is>
          <t>Informativa</t>
        </is>
      </c>
      <c r="P211" t="inlineStr">
        <is>
          <t>No interviene en el prorrateo</t>
        </is>
      </c>
    </row>
    <row r="212">
      <c r="A212" t="n">
        <v>1561</v>
      </c>
      <c r="B212" t="inlineStr">
        <is>
          <t>SUAREZ SANCHEZ, Mª DEL PILAR</t>
        </is>
      </c>
      <c r="E212" t="n">
        <v>2026</v>
      </c>
      <c r="F212" t="n">
        <v>1</v>
      </c>
      <c r="G212" t="inlineStr">
        <is>
          <t>MANDARINA</t>
        </is>
      </c>
      <c r="H212" t="inlineStr">
        <is>
          <t>TANGO</t>
        </is>
      </c>
      <c r="I212" t="n">
        <v>616</v>
      </c>
      <c r="J212" t="n">
        <v>7324</v>
      </c>
      <c r="K212" t="n">
        <v>0</v>
      </c>
      <c r="L212" t="n">
        <v>7324</v>
      </c>
      <c r="M212" t="inlineStr">
        <is>
          <t>Sí</t>
        </is>
      </c>
      <c r="N212" t="inlineStr"/>
      <c r="O212" t="inlineStr">
        <is>
          <t>Informativa</t>
        </is>
      </c>
      <c r="P212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inlineStr">
        <is>
          <t>Hectáreas</t>
        </is>
      </c>
      <c r="E2" t="n">
        <v>10.97</v>
      </c>
      <c r="I2" t="inlineStr"/>
    </row>
    <row r="3">
      <c r="A3" t="n">
        <v>1214</v>
      </c>
      <c r="B3" t="inlineStr">
        <is>
          <t>CALZADA GAMIZ,JOSE ANTONIO</t>
        </is>
      </c>
      <c r="C3" t="inlineStr">
        <is>
          <t>TANGO</t>
        </is>
      </c>
      <c r="D3" t="inlineStr">
        <is>
          <t>Cuota teórica</t>
        </is>
      </c>
      <c r="E3" t="n">
        <v>2139.15</v>
      </c>
      <c r="I3" t="inlineStr"/>
    </row>
    <row r="4">
      <c r="A4" t="n">
        <v>1214</v>
      </c>
      <c r="B4" t="inlineStr">
        <is>
          <t>CALZADA GAMIZ,JOSE ANTONIO</t>
        </is>
      </c>
      <c r="C4" t="inlineStr">
        <is>
          <t>TANGO</t>
        </is>
      </c>
      <c r="D4" t="inlineStr">
        <is>
          <t>Kg campaña</t>
        </is>
      </c>
      <c r="E4" t="n">
        <v>235605</v>
      </c>
      <c r="I4" t="inlineStr"/>
    </row>
    <row r="5">
      <c r="A5" t="n">
        <v>1214</v>
      </c>
      <c r="B5" t="inlineStr">
        <is>
          <t>CALZADA GAMIZ,JOSE ANTONIO</t>
        </is>
      </c>
      <c r="C5" t="inlineStr">
        <is>
          <t>TANGO</t>
        </is>
      </c>
      <c r="D5" t="inlineStr">
        <is>
          <t>Índice</t>
        </is>
      </c>
      <c r="E5" t="n">
        <v>0.009079391354173299</v>
      </c>
      <c r="I5" t="inlineStr"/>
    </row>
    <row r="6">
      <c r="A6" t="n">
        <v>1214</v>
      </c>
      <c r="B6" t="inlineStr">
        <is>
          <t>CALZADA GAMIZ,JOSE ANTONIO</t>
        </is>
      </c>
      <c r="C6" t="inlineStr">
        <is>
          <t>TANGO</t>
        </is>
      </c>
      <c r="D6" t="inlineStr">
        <is>
          <t>Kg remesa</t>
        </is>
      </c>
      <c r="E6" t="n">
        <v>18104</v>
      </c>
      <c r="I6" t="inlineStr"/>
    </row>
    <row r="7">
      <c r="A7" t="n">
        <v>1214</v>
      </c>
      <c r="B7" t="inlineStr">
        <is>
          <t>CALZADA GAMIZ,JOSE ANTONIO</t>
        </is>
      </c>
      <c r="C7" t="inlineStr">
        <is>
          <t>TANGO</t>
        </is>
      </c>
      <c r="D7" t="inlineStr">
        <is>
          <t>Cuota parcial</t>
        </is>
      </c>
      <c r="E7" t="n">
        <v>164.37</v>
      </c>
      <c r="I7" t="inlineStr"/>
    </row>
    <row r="8">
      <c r="A8" t="n">
        <v>1214</v>
      </c>
      <c r="B8" t="inlineStr">
        <is>
          <t>CALZADA GAMIZ,JOSE ANTONIO</t>
        </is>
      </c>
      <c r="C8" t="inlineStr">
        <is>
          <t>TANGO</t>
        </is>
      </c>
      <c r="D8" t="inlineStr">
        <is>
          <t>Importe bruto</t>
        </is>
      </c>
      <c r="E8" t="n">
        <v>14207.77</v>
      </c>
      <c r="I8" t="inlineStr"/>
    </row>
    <row r="9">
      <c r="A9" t="n">
        <v>1214</v>
      </c>
      <c r="B9" t="inlineStr">
        <is>
          <t>CALZADA GAMIZ,JOSE ANTONIO</t>
        </is>
      </c>
      <c r="C9" t="inlineStr">
        <is>
          <t>TANGO</t>
        </is>
      </c>
      <c r="D9" t="inlineStr">
        <is>
          <t>Recolección</t>
        </is>
      </c>
      <c r="E9" t="n">
        <v>2263</v>
      </c>
      <c r="I9" t="inlineStr"/>
    </row>
    <row r="10">
      <c r="A10" t="n">
        <v>1214</v>
      </c>
      <c r="B10" t="inlineStr">
        <is>
          <t>CALZADA GAMIZ,JOSE ANTONIO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1214</v>
      </c>
      <c r="B11" t="inlineStr">
        <is>
          <t>CALZADA GAMIZ,JOSE ANTONIO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1214</v>
      </c>
      <c r="B12" t="inlineStr">
        <is>
          <t>CALZADA GAMIZ,JOSE ANTONIO</t>
        </is>
      </c>
      <c r="C12" t="inlineStr">
        <is>
          <t>TANGO</t>
        </is>
      </c>
      <c r="D12" t="inlineStr">
        <is>
          <t>GlobalGAP</t>
        </is>
      </c>
      <c r="E12" t="n">
        <v>309.7</v>
      </c>
      <c r="I12" t="inlineStr"/>
    </row>
    <row r="13">
      <c r="A13" t="n">
        <v>1214</v>
      </c>
      <c r="B13" t="inlineStr">
        <is>
          <t>CALZADA GAMIZ,JOSE ANTONIO</t>
        </is>
      </c>
      <c r="C13" t="inlineStr">
        <is>
          <t>TANGO</t>
        </is>
      </c>
      <c r="D13" t="inlineStr">
        <is>
          <t>Base imponible</t>
        </is>
      </c>
      <c r="E13" t="n">
        <v>12090.1</v>
      </c>
      <c r="I13" t="inlineStr"/>
    </row>
    <row r="14">
      <c r="A14" t="n">
        <v>1214</v>
      </c>
      <c r="B14" t="inlineStr">
        <is>
          <t>CALZADA GAMIZ,JOSE ANTONIO</t>
        </is>
      </c>
      <c r="C14" t="inlineStr">
        <is>
          <t>TANGO</t>
        </is>
      </c>
      <c r="D14" t="inlineStr">
        <is>
          <t>IVA</t>
        </is>
      </c>
      <c r="E14" t="n">
        <v>1450.81</v>
      </c>
      <c r="I14" t="inlineStr"/>
    </row>
    <row r="15">
      <c r="A15" t="n">
        <v>1214</v>
      </c>
      <c r="B15" t="inlineStr">
        <is>
          <t>CALZADA GAMIZ,JOSE ANTONIO</t>
        </is>
      </c>
      <c r="C15" t="inlineStr">
        <is>
          <t>TANGO</t>
        </is>
      </c>
      <c r="D15" t="inlineStr">
        <is>
          <t>Retención</t>
        </is>
      </c>
      <c r="E15" t="n">
        <v>270.82</v>
      </c>
      <c r="I15" t="inlineStr"/>
    </row>
    <row r="16">
      <c r="A16" t="n">
        <v>1214</v>
      </c>
      <c r="B16" t="inlineStr">
        <is>
          <t>CALZADA GAMIZ,JOSE ANTONIO</t>
        </is>
      </c>
      <c r="C16" t="inlineStr">
        <is>
          <t>TANGO</t>
        </is>
      </c>
      <c r="D16" t="inlineStr">
        <is>
          <t>Total</t>
        </is>
      </c>
      <c r="E16" t="n">
        <v>13270.09</v>
      </c>
      <c r="I16" t="inlineStr"/>
    </row>
    <row r="17">
      <c r="A17" t="n">
        <v>1324</v>
      </c>
      <c r="B17" t="inlineStr">
        <is>
          <t>CANO MANZANARES,LUIS</t>
        </is>
      </c>
      <c r="C17" t="inlineStr">
        <is>
          <t>TANGO</t>
        </is>
      </c>
      <c r="D17" t="inlineStr">
        <is>
          <t>Hectáreas</t>
        </is>
      </c>
      <c r="E17" t="n">
        <v>2.48</v>
      </c>
      <c r="I17" t="inlineStr"/>
    </row>
    <row r="18">
      <c r="A18" t="n">
        <v>1324</v>
      </c>
      <c r="B18" t="inlineStr">
        <is>
          <t>CANO MANZANARES,LUIS</t>
        </is>
      </c>
      <c r="C18" t="inlineStr">
        <is>
          <t>TANGO</t>
        </is>
      </c>
      <c r="D18" t="inlineStr">
        <is>
          <t>Cuota teórica</t>
        </is>
      </c>
      <c r="E18" t="n">
        <v>483.6</v>
      </c>
      <c r="I18" t="inlineStr"/>
    </row>
    <row r="19">
      <c r="A19" t="n">
        <v>1324</v>
      </c>
      <c r="B19" t="inlineStr">
        <is>
          <t>CANO MANZANARES,LUIS</t>
        </is>
      </c>
      <c r="C19" t="inlineStr">
        <is>
          <t>TANGO</t>
        </is>
      </c>
      <c r="D19" t="inlineStr">
        <is>
          <t>Kg campaña</t>
        </is>
      </c>
      <c r="E19" t="n">
        <v>139490</v>
      </c>
      <c r="I19" t="inlineStr"/>
    </row>
    <row r="20">
      <c r="A20" t="n">
        <v>1324</v>
      </c>
      <c r="B20" t="inlineStr">
        <is>
          <t>CANO MANZANARES,LUIS</t>
        </is>
      </c>
      <c r="C20" t="inlineStr">
        <is>
          <t>TANGO</t>
        </is>
      </c>
      <c r="D20" t="inlineStr">
        <is>
          <t>Índice</t>
        </is>
      </c>
      <c r="E20" t="n">
        <v>0.003466915191053122</v>
      </c>
      <c r="I20" t="inlineStr"/>
    </row>
    <row r="21">
      <c r="A21" t="n">
        <v>1324</v>
      </c>
      <c r="B21" t="inlineStr">
        <is>
          <t>CANO MANZANARES,LUIS</t>
        </is>
      </c>
      <c r="C21" t="inlineStr">
        <is>
          <t>TANGO</t>
        </is>
      </c>
      <c r="D21" t="inlineStr">
        <is>
          <t>Kg remesa</t>
        </is>
      </c>
      <c r="E21" t="n">
        <v>99440</v>
      </c>
      <c r="I21" t="inlineStr"/>
    </row>
    <row r="22">
      <c r="A22" t="n">
        <v>1324</v>
      </c>
      <c r="B22" t="inlineStr">
        <is>
          <t>CANO MANZANARES,LUIS</t>
        </is>
      </c>
      <c r="C22" t="inlineStr">
        <is>
          <t>TANGO</t>
        </is>
      </c>
      <c r="D22" t="inlineStr">
        <is>
          <t>Cuota parcial</t>
        </is>
      </c>
      <c r="E22" t="n">
        <v>344.75</v>
      </c>
      <c r="I22" t="inlineStr"/>
    </row>
    <row r="23">
      <c r="A23" t="n">
        <v>1324</v>
      </c>
      <c r="B23" t="inlineStr">
        <is>
          <t>CANO MANZANARES,LUIS</t>
        </is>
      </c>
      <c r="C23" t="inlineStr">
        <is>
          <t>TANGO</t>
        </is>
      </c>
      <c r="D23" t="inlineStr">
        <is>
          <t>Importe bruto</t>
        </is>
      </c>
      <c r="E23" t="n">
        <v>80750.06</v>
      </c>
      <c r="I23" t="inlineStr"/>
    </row>
    <row r="24">
      <c r="A24" t="n">
        <v>1324</v>
      </c>
      <c r="B24" t="inlineStr">
        <is>
          <t>CANO MANZANARES,LUIS</t>
        </is>
      </c>
      <c r="C24" t="inlineStr">
        <is>
          <t>TANGO</t>
        </is>
      </c>
      <c r="D24" t="inlineStr">
        <is>
          <t>Recolección</t>
        </is>
      </c>
      <c r="E24" t="n">
        <v>12430.01</v>
      </c>
      <c r="I24" t="inlineStr"/>
    </row>
    <row r="25">
      <c r="A25" t="n">
        <v>1324</v>
      </c>
      <c r="B25" t="inlineStr">
        <is>
          <t>CANO MANZANARES,LUIS</t>
        </is>
      </c>
      <c r="C25" t="inlineStr">
        <is>
          <t>TANGO</t>
        </is>
      </c>
      <c r="D25" t="inlineStr">
        <is>
          <t>Transporte</t>
        </is>
      </c>
      <c r="E25" t="n">
        <v>0</v>
      </c>
      <c r="I25" t="inlineStr"/>
    </row>
    <row r="26">
      <c r="A26" t="n">
        <v>1324</v>
      </c>
      <c r="B26" t="inlineStr">
        <is>
          <t>CANO MANZANARES,LUIS</t>
        </is>
      </c>
      <c r="C26" t="inlineStr">
        <is>
          <t>TANGO</t>
        </is>
      </c>
      <c r="D26" t="inlineStr">
        <is>
          <t>Calidad</t>
        </is>
      </c>
      <c r="E26" t="n">
        <v>0</v>
      </c>
      <c r="I26" t="inlineStr"/>
    </row>
    <row r="27">
      <c r="A27" t="n">
        <v>1324</v>
      </c>
      <c r="B27" t="inlineStr">
        <is>
          <t>CANO MANZANARES,LUIS</t>
        </is>
      </c>
      <c r="C27" t="inlineStr">
        <is>
          <t>TANGO</t>
        </is>
      </c>
      <c r="D27" t="inlineStr">
        <is>
          <t>GlobalGAP</t>
        </is>
      </c>
      <c r="E27" t="n">
        <v>1705.2</v>
      </c>
      <c r="I27" t="inlineStr"/>
    </row>
    <row r="28">
      <c r="A28" t="n">
        <v>1324</v>
      </c>
      <c r="B28" t="inlineStr">
        <is>
          <t>CANO MANZANARES,LUIS</t>
        </is>
      </c>
      <c r="C28" t="inlineStr">
        <is>
          <t>TANGO</t>
        </is>
      </c>
      <c r="D28" t="inlineStr">
        <is>
          <t>Base imponible</t>
        </is>
      </c>
      <c r="E28" t="n">
        <v>69680.5</v>
      </c>
      <c r="I28" t="inlineStr"/>
    </row>
    <row r="29">
      <c r="A29" t="n">
        <v>1324</v>
      </c>
      <c r="B29" t="inlineStr">
        <is>
          <t>CANO MANZANARES,LUIS</t>
        </is>
      </c>
      <c r="C29" t="inlineStr">
        <is>
          <t>TANGO</t>
        </is>
      </c>
      <c r="D29" t="inlineStr">
        <is>
          <t>IVA</t>
        </is>
      </c>
      <c r="E29" t="n">
        <v>8361.66</v>
      </c>
      <c r="I29" t="inlineStr"/>
    </row>
    <row r="30">
      <c r="A30" t="n">
        <v>1324</v>
      </c>
      <c r="B30" t="inlineStr">
        <is>
          <t>CANO MANZANARES,LUIS</t>
        </is>
      </c>
      <c r="C30" t="inlineStr">
        <is>
          <t>TANGO</t>
        </is>
      </c>
      <c r="D30" t="inlineStr">
        <is>
          <t>Retención</t>
        </is>
      </c>
      <c r="E30" t="n">
        <v>1560.84</v>
      </c>
      <c r="I30" t="inlineStr"/>
    </row>
    <row r="31">
      <c r="A31" t="n">
        <v>1324</v>
      </c>
      <c r="B31" t="inlineStr">
        <is>
          <t>CANO MANZANARES,LUIS</t>
        </is>
      </c>
      <c r="C31" t="inlineStr">
        <is>
          <t>TANGO</t>
        </is>
      </c>
      <c r="D31" t="inlineStr">
        <is>
          <t>Total</t>
        </is>
      </c>
      <c r="E31" t="n">
        <v>76481.32000000001</v>
      </c>
      <c r="I31" t="inlineStr"/>
    </row>
    <row r="32">
      <c r="A32" t="n">
        <v>1415</v>
      </c>
      <c r="B32" t="inlineStr">
        <is>
          <t>TOMENO SUAREZ,FERNANDO</t>
        </is>
      </c>
      <c r="C32" t="inlineStr">
        <is>
          <t>TANGO</t>
        </is>
      </c>
      <c r="D32" t="inlineStr">
        <is>
          <t>Hectáreas</t>
        </is>
      </c>
      <c r="E32" t="n">
        <v>7.49</v>
      </c>
      <c r="I32" t="inlineStr"/>
    </row>
    <row r="33">
      <c r="A33" t="n">
        <v>1415</v>
      </c>
      <c r="B33" t="inlineStr">
        <is>
          <t>TOMENO SUAREZ,FERNANDO</t>
        </is>
      </c>
      <c r="C33" t="inlineStr">
        <is>
          <t>TANGO</t>
        </is>
      </c>
      <c r="D33" t="inlineStr">
        <is>
          <t>Cuota teórica</t>
        </is>
      </c>
      <c r="E33" t="n">
        <v>1460.55</v>
      </c>
      <c r="I33" t="inlineStr"/>
    </row>
    <row r="34">
      <c r="A34" t="n">
        <v>1415</v>
      </c>
      <c r="B34" t="inlineStr">
        <is>
          <t>TOMENO SUAREZ,FERNANDO</t>
        </is>
      </c>
      <c r="C34" t="inlineStr">
        <is>
          <t>TANGO</t>
        </is>
      </c>
      <c r="D34" t="inlineStr">
        <is>
          <t>Kg campaña</t>
        </is>
      </c>
      <c r="E34" t="n">
        <v>414468</v>
      </c>
      <c r="I34" t="inlineStr"/>
    </row>
    <row r="35">
      <c r="A35" t="n">
        <v>1415</v>
      </c>
      <c r="B35" t="inlineStr">
        <is>
          <t>TOMENO SUAREZ,FERNANDO</t>
        </is>
      </c>
      <c r="C35" t="inlineStr">
        <is>
          <t>TANGO</t>
        </is>
      </c>
      <c r="D35" t="inlineStr">
        <is>
          <t>Índice</t>
        </is>
      </c>
      <c r="E35" t="n">
        <v>0.003523914994643736</v>
      </c>
      <c r="I35" t="inlineStr"/>
    </row>
    <row r="36">
      <c r="A36" t="n">
        <v>1415</v>
      </c>
      <c r="B36" t="inlineStr">
        <is>
          <t>TOMENO SUAREZ,FERNANDO</t>
        </is>
      </c>
      <c r="C36" t="inlineStr">
        <is>
          <t>TANGO</t>
        </is>
      </c>
      <c r="D36" t="inlineStr">
        <is>
          <t>Kg remesa</t>
        </is>
      </c>
      <c r="E36" t="n">
        <v>24726</v>
      </c>
      <c r="I36" t="inlineStr"/>
    </row>
    <row r="37">
      <c r="A37" t="n">
        <v>1415</v>
      </c>
      <c r="B37" t="inlineStr">
        <is>
          <t>TOMENO SUAREZ,FERNANDO</t>
        </is>
      </c>
      <c r="C37" t="inlineStr">
        <is>
          <t>TANGO</t>
        </is>
      </c>
      <c r="D37" t="inlineStr">
        <is>
          <t>Cuota parcial</t>
        </is>
      </c>
      <c r="E37" t="n">
        <v>87.13</v>
      </c>
      <c r="I37" t="inlineStr"/>
    </row>
    <row r="38">
      <c r="A38" t="n">
        <v>1415</v>
      </c>
      <c r="B38" t="inlineStr">
        <is>
          <t>TOMENO SUAREZ,FERNANDO</t>
        </is>
      </c>
      <c r="C38" t="inlineStr">
        <is>
          <t>TANGO</t>
        </is>
      </c>
      <c r="D38" t="inlineStr">
        <is>
          <t>Importe bruto</t>
        </is>
      </c>
      <c r="E38" t="n">
        <v>20038.48</v>
      </c>
      <c r="I38" t="inlineStr"/>
    </row>
    <row r="39">
      <c r="A39" t="n">
        <v>1415</v>
      </c>
      <c r="B39" t="inlineStr">
        <is>
          <t>TOMENO SUAREZ,FERNANDO</t>
        </is>
      </c>
      <c r="C39" t="inlineStr">
        <is>
          <t>TANGO</t>
        </is>
      </c>
      <c r="D39" t="inlineStr">
        <is>
          <t>Recolección</t>
        </is>
      </c>
      <c r="E39" t="n">
        <v>0</v>
      </c>
      <c r="I39" t="inlineStr"/>
    </row>
    <row r="40">
      <c r="A40" t="n">
        <v>1415</v>
      </c>
      <c r="B40" t="inlineStr">
        <is>
          <t>TOMENO SUAREZ,FERNANDO</t>
        </is>
      </c>
      <c r="C40" t="inlineStr">
        <is>
          <t>TANGO</t>
        </is>
      </c>
      <c r="D40" t="inlineStr">
        <is>
          <t>Transporte</t>
        </is>
      </c>
      <c r="E40" t="n">
        <v>0</v>
      </c>
      <c r="I40" t="inlineStr"/>
    </row>
    <row r="41">
      <c r="A41" t="n">
        <v>1415</v>
      </c>
      <c r="B41" t="inlineStr">
        <is>
          <t>TOMENO SUAREZ,FERNANDO</t>
        </is>
      </c>
      <c r="C41" t="inlineStr">
        <is>
          <t>TANGO</t>
        </is>
      </c>
      <c r="D41" t="inlineStr">
        <is>
          <t>Calidad</t>
        </is>
      </c>
      <c r="E41" t="n">
        <v>0</v>
      </c>
      <c r="I41" t="inlineStr"/>
    </row>
    <row r="42">
      <c r="A42" t="n">
        <v>1415</v>
      </c>
      <c r="B42" t="inlineStr">
        <is>
          <t>TOMENO SUAREZ,FERNANDO</t>
        </is>
      </c>
      <c r="C42" t="inlineStr">
        <is>
          <t>TANGO</t>
        </is>
      </c>
      <c r="D42" t="inlineStr">
        <is>
          <t>GlobalGAP</t>
        </is>
      </c>
      <c r="E42" t="n">
        <v>426.05</v>
      </c>
      <c r="I42" t="inlineStr"/>
    </row>
    <row r="43">
      <c r="A43" t="n">
        <v>1415</v>
      </c>
      <c r="B43" t="inlineStr">
        <is>
          <t>TOMENO SUAREZ,FERNANDO</t>
        </is>
      </c>
      <c r="C43" t="inlineStr">
        <is>
          <t>TANGO</t>
        </is>
      </c>
      <c r="D43" t="inlineStr">
        <is>
          <t>Base imponible</t>
        </is>
      </c>
      <c r="E43" t="n">
        <v>20377.4</v>
      </c>
      <c r="I43" t="inlineStr"/>
    </row>
    <row r="44">
      <c r="A44" t="n">
        <v>1415</v>
      </c>
      <c r="B44" t="inlineStr">
        <is>
          <t>TOMENO SUAREZ,FERNANDO</t>
        </is>
      </c>
      <c r="C44" t="inlineStr">
        <is>
          <t>TANGO</t>
        </is>
      </c>
      <c r="D44" t="inlineStr">
        <is>
          <t>IVA</t>
        </is>
      </c>
      <c r="E44" t="n">
        <v>2445.29</v>
      </c>
      <c r="I44" t="inlineStr"/>
    </row>
    <row r="45">
      <c r="A45" t="n">
        <v>1415</v>
      </c>
      <c r="B45" t="inlineStr">
        <is>
          <t>TOMENO SUAREZ,FERNANDO</t>
        </is>
      </c>
      <c r="C45" t="inlineStr">
        <is>
          <t>TANGO</t>
        </is>
      </c>
      <c r="D45" t="inlineStr">
        <is>
          <t>Retención</t>
        </is>
      </c>
      <c r="E45" t="n">
        <v>456.45</v>
      </c>
      <c r="I45" t="inlineStr"/>
    </row>
    <row r="46">
      <c r="A46" t="n">
        <v>1415</v>
      </c>
      <c r="B46" t="inlineStr">
        <is>
          <t>TOMENO SUAREZ,FERNANDO</t>
        </is>
      </c>
      <c r="C46" t="inlineStr">
        <is>
          <t>TANGO</t>
        </is>
      </c>
      <c r="D46" t="inlineStr">
        <is>
          <t>Total</t>
        </is>
      </c>
      <c r="E46" t="n">
        <v>22366.23</v>
      </c>
      <c r="I46" t="inlineStr"/>
    </row>
    <row r="47">
      <c r="A47" t="n">
        <v>1443</v>
      </c>
      <c r="B47" t="inlineStr">
        <is>
          <t>TOMENO SUAREZ,ALBERTO</t>
        </is>
      </c>
      <c r="C47" t="inlineStr">
        <is>
          <t>TANGO</t>
        </is>
      </c>
      <c r="D47" t="inlineStr">
        <is>
          <t>Hectáreas</t>
        </is>
      </c>
      <c r="E47" t="n">
        <v>17.08</v>
      </c>
      <c r="I47" t="inlineStr"/>
    </row>
    <row r="48">
      <c r="A48" t="n">
        <v>1443</v>
      </c>
      <c r="B48" t="inlineStr">
        <is>
          <t>TOMENO SUAREZ,ALBERTO</t>
        </is>
      </c>
      <c r="C48" t="inlineStr">
        <is>
          <t>TANGO</t>
        </is>
      </c>
      <c r="D48" t="inlineStr">
        <is>
          <t>Cuota teórica</t>
        </is>
      </c>
      <c r="E48" t="n">
        <v>3330.6</v>
      </c>
      <c r="I48" t="inlineStr"/>
    </row>
    <row r="49">
      <c r="A49" t="n">
        <v>1443</v>
      </c>
      <c r="B49" t="inlineStr">
        <is>
          <t>TOMENO SUAREZ,ALBERTO</t>
        </is>
      </c>
      <c r="C49" t="inlineStr">
        <is>
          <t>TANGO</t>
        </is>
      </c>
      <c r="D49" t="inlineStr">
        <is>
          <t>Kg campaña</t>
        </is>
      </c>
      <c r="E49" t="n">
        <v>538619</v>
      </c>
      <c r="I49" t="inlineStr"/>
    </row>
    <row r="50">
      <c r="A50" t="n">
        <v>1443</v>
      </c>
      <c r="B50" t="inlineStr">
        <is>
          <t>TOMENO SUAREZ,ALBERTO</t>
        </is>
      </c>
      <c r="C50" t="inlineStr">
        <is>
          <t>TANGO</t>
        </is>
      </c>
      <c r="D50" t="inlineStr">
        <is>
          <t>Índice</t>
        </is>
      </c>
      <c r="E50" t="n">
        <v>0.006183591741100852</v>
      </c>
      <c r="I50" t="inlineStr"/>
    </row>
    <row r="51">
      <c r="A51" t="n">
        <v>1443</v>
      </c>
      <c r="B51" t="inlineStr">
        <is>
          <t>TOMENO SUAREZ,ALBERTO</t>
        </is>
      </c>
      <c r="C51" t="inlineStr">
        <is>
          <t>TANGO</t>
        </is>
      </c>
      <c r="D51" t="inlineStr">
        <is>
          <t>Kg remesa</t>
        </is>
      </c>
      <c r="E51" t="n">
        <v>58340</v>
      </c>
      <c r="I51" t="inlineStr"/>
    </row>
    <row r="52">
      <c r="A52" t="n">
        <v>1443</v>
      </c>
      <c r="B52" t="inlineStr">
        <is>
          <t>TOMENO SUAREZ,ALBERTO</t>
        </is>
      </c>
      <c r="C52" t="inlineStr">
        <is>
          <t>TANGO</t>
        </is>
      </c>
      <c r="D52" t="inlineStr">
        <is>
          <t>Cuota parcial</t>
        </is>
      </c>
      <c r="E52" t="n">
        <v>360.75</v>
      </c>
      <c r="I52" t="inlineStr"/>
    </row>
    <row r="53">
      <c r="A53" t="n">
        <v>1443</v>
      </c>
      <c r="B53" t="inlineStr">
        <is>
          <t>TOMENO SUAREZ,ALBERTO</t>
        </is>
      </c>
      <c r="C53" t="inlineStr">
        <is>
          <t>TANGO</t>
        </is>
      </c>
      <c r="D53" t="inlineStr">
        <is>
          <t>Importe bruto</t>
        </is>
      </c>
      <c r="E53" t="n">
        <v>46782.33</v>
      </c>
      <c r="I53" t="inlineStr"/>
    </row>
    <row r="54">
      <c r="A54" t="n">
        <v>1443</v>
      </c>
      <c r="B54" t="inlineStr">
        <is>
          <t>TOMENO SUAREZ,ALBERTO</t>
        </is>
      </c>
      <c r="C54" t="inlineStr">
        <is>
          <t>TANGO</t>
        </is>
      </c>
      <c r="D54" t="inlineStr">
        <is>
          <t>Recolección</t>
        </is>
      </c>
      <c r="E54" t="n">
        <v>0</v>
      </c>
      <c r="I54" t="inlineStr"/>
    </row>
    <row r="55">
      <c r="A55" t="n">
        <v>1443</v>
      </c>
      <c r="B55" t="inlineStr">
        <is>
          <t>TOMENO SUAREZ,ALBERTO</t>
        </is>
      </c>
      <c r="C55" t="inlineStr">
        <is>
          <t>TANGO</t>
        </is>
      </c>
      <c r="D55" t="inlineStr">
        <is>
          <t>Transporte</t>
        </is>
      </c>
      <c r="E55" t="n">
        <v>0</v>
      </c>
      <c r="I55" t="inlineStr"/>
    </row>
    <row r="56">
      <c r="A56" t="n">
        <v>1443</v>
      </c>
      <c r="B56" t="inlineStr">
        <is>
          <t>TOMENO SUAREZ,ALBERTO</t>
        </is>
      </c>
      <c r="C56" t="inlineStr">
        <is>
          <t>TANGO</t>
        </is>
      </c>
      <c r="D56" t="inlineStr">
        <is>
          <t>Calidad</t>
        </is>
      </c>
      <c r="E56" t="n">
        <v>0</v>
      </c>
      <c r="I56" t="inlineStr"/>
    </row>
    <row r="57">
      <c r="A57" t="n">
        <v>1443</v>
      </c>
      <c r="B57" t="inlineStr">
        <is>
          <t>TOMENO SUAREZ,ALBERTO</t>
        </is>
      </c>
      <c r="C57" t="inlineStr">
        <is>
          <t>TANGO</t>
        </is>
      </c>
      <c r="D57" t="inlineStr">
        <is>
          <t>GlobalGAP</t>
        </is>
      </c>
      <c r="E57" t="n">
        <v>999.9299999999999</v>
      </c>
      <c r="I57" t="inlineStr"/>
    </row>
    <row r="58">
      <c r="A58" t="n">
        <v>1443</v>
      </c>
      <c r="B58" t="inlineStr">
        <is>
          <t>TOMENO SUAREZ,ALBERTO</t>
        </is>
      </c>
      <c r="C58" t="inlineStr">
        <is>
          <t>TANGO</t>
        </is>
      </c>
      <c r="D58" t="inlineStr">
        <is>
          <t>Base imponible</t>
        </is>
      </c>
      <c r="E58" t="n">
        <v>47421.51</v>
      </c>
      <c r="I58" t="inlineStr"/>
    </row>
    <row r="59">
      <c r="A59" t="n">
        <v>1443</v>
      </c>
      <c r="B59" t="inlineStr">
        <is>
          <t>TOMENO SUAREZ,ALBERTO</t>
        </is>
      </c>
      <c r="C59" t="inlineStr">
        <is>
          <t>TANGO</t>
        </is>
      </c>
      <c r="D59" t="inlineStr">
        <is>
          <t>IVA</t>
        </is>
      </c>
      <c r="E59" t="n">
        <v>5690.58</v>
      </c>
      <c r="I59" t="inlineStr"/>
    </row>
    <row r="60">
      <c r="A60" t="n">
        <v>1443</v>
      </c>
      <c r="B60" t="inlineStr">
        <is>
          <t>TOMENO SUAREZ,ALBERTO</t>
        </is>
      </c>
      <c r="C60" t="inlineStr">
        <is>
          <t>TANGO</t>
        </is>
      </c>
      <c r="D60" t="inlineStr">
        <is>
          <t>Retención</t>
        </is>
      </c>
      <c r="E60" t="n">
        <v>1062.24</v>
      </c>
      <c r="I60" t="inlineStr"/>
    </row>
    <row r="61">
      <c r="A61" t="n">
        <v>1443</v>
      </c>
      <c r="B61" t="inlineStr">
        <is>
          <t>TOMENO SUAREZ,ALBERTO</t>
        </is>
      </c>
      <c r="C61" t="inlineStr">
        <is>
          <t>TANGO</t>
        </is>
      </c>
      <c r="D61" t="inlineStr">
        <is>
          <t>Total</t>
        </is>
      </c>
      <c r="E61" t="n">
        <v>52049.85</v>
      </c>
      <c r="I61" t="inlineStr"/>
    </row>
    <row r="62">
      <c r="A62" t="n">
        <v>1478</v>
      </c>
      <c r="B62" t="inlineStr">
        <is>
          <t>AGROSERVICIOS LA CATRIA S.L.</t>
        </is>
      </c>
      <c r="C62" t="inlineStr">
        <is>
          <t>TANGO</t>
        </is>
      </c>
      <c r="D62" t="inlineStr">
        <is>
          <t>Hectáreas</t>
        </is>
      </c>
      <c r="E62" t="n">
        <v>13.82</v>
      </c>
      <c r="I62" t="inlineStr"/>
    </row>
    <row r="63">
      <c r="A63" t="n">
        <v>1478</v>
      </c>
      <c r="B63" t="inlineStr">
        <is>
          <t>AGROSERVICIOS LA CATRIA S.L.</t>
        </is>
      </c>
      <c r="C63" t="inlineStr">
        <is>
          <t>TANGO</t>
        </is>
      </c>
      <c r="D63" t="inlineStr">
        <is>
          <t>Cuota teórica</t>
        </is>
      </c>
      <c r="E63" t="n">
        <v>2694.9</v>
      </c>
      <c r="I63" t="inlineStr"/>
    </row>
    <row r="64">
      <c r="A64" t="n">
        <v>1478</v>
      </c>
      <c r="B64" t="inlineStr">
        <is>
          <t>AGROSERVICIOS LA CATRIA S.L.</t>
        </is>
      </c>
      <c r="C64" t="inlineStr">
        <is>
          <t>TANGO</t>
        </is>
      </c>
      <c r="D64" t="inlineStr">
        <is>
          <t>Kg campaña</t>
        </is>
      </c>
      <c r="E64" t="n">
        <v>109865</v>
      </c>
      <c r="I64" t="inlineStr"/>
    </row>
    <row r="65">
      <c r="A65" t="n">
        <v>1478</v>
      </c>
      <c r="B65" t="inlineStr">
        <is>
          <t>AGROSERVICIOS LA CATRIA S.L.</t>
        </is>
      </c>
      <c r="C65" t="inlineStr">
        <is>
          <t>TANGO</t>
        </is>
      </c>
      <c r="D65" t="inlineStr">
        <is>
          <t>Índice</t>
        </is>
      </c>
      <c r="E65" t="n">
        <v>0.02452919492103946</v>
      </c>
      <c r="I65" t="inlineStr"/>
    </row>
    <row r="66">
      <c r="A66" t="n">
        <v>1478</v>
      </c>
      <c r="B66" t="inlineStr">
        <is>
          <t>AGROSERVICIOS LA CATRIA S.L.</t>
        </is>
      </c>
      <c r="C66" t="inlineStr">
        <is>
          <t>TANGO</t>
        </is>
      </c>
      <c r="D66" t="inlineStr">
        <is>
          <t>Kg remesa</t>
        </is>
      </c>
      <c r="E66" t="n">
        <v>19050</v>
      </c>
      <c r="I66" t="inlineStr"/>
    </row>
    <row r="67">
      <c r="A67" t="n">
        <v>1478</v>
      </c>
      <c r="B67" t="inlineStr">
        <is>
          <t>AGROSERVICIOS LA CATRIA S.L.</t>
        </is>
      </c>
      <c r="C67" t="inlineStr">
        <is>
          <t>TANGO</t>
        </is>
      </c>
      <c r="D67" t="inlineStr">
        <is>
          <t>Cuota parcial</t>
        </is>
      </c>
      <c r="E67" t="n">
        <v>467.28</v>
      </c>
      <c r="I67" t="inlineStr"/>
    </row>
    <row r="68">
      <c r="A68" t="n">
        <v>1478</v>
      </c>
      <c r="B68" t="inlineStr">
        <is>
          <t>AGROSERVICIOS LA CATRIA S.L.</t>
        </is>
      </c>
      <c r="C68" t="inlineStr">
        <is>
          <t>TANGO</t>
        </is>
      </c>
      <c r="D68" t="inlineStr">
        <is>
          <t>Importe bruto</t>
        </is>
      </c>
      <c r="E68" t="n">
        <v>14248.28</v>
      </c>
      <c r="I68" t="inlineStr"/>
    </row>
    <row r="69">
      <c r="A69" t="n">
        <v>1478</v>
      </c>
      <c r="B69" t="inlineStr">
        <is>
          <t>AGROSERVICIOS LA CATRIA S.L.</t>
        </is>
      </c>
      <c r="C69" t="inlineStr">
        <is>
          <t>TANGO</t>
        </is>
      </c>
      <c r="D69" t="inlineStr">
        <is>
          <t>Recolección</t>
        </is>
      </c>
      <c r="E69" t="n">
        <v>2381.25</v>
      </c>
      <c r="I69" t="inlineStr"/>
    </row>
    <row r="70">
      <c r="A70" t="n">
        <v>1478</v>
      </c>
      <c r="B70" t="inlineStr">
        <is>
          <t>AGROSERVICIOS LA CATRIA S.L.</t>
        </is>
      </c>
      <c r="C70" t="inlineStr">
        <is>
          <t>TANGO</t>
        </is>
      </c>
      <c r="D70" t="inlineStr">
        <is>
          <t>Transporte</t>
        </is>
      </c>
      <c r="E70" t="n">
        <v>0</v>
      </c>
      <c r="I70" t="inlineStr"/>
    </row>
    <row r="71">
      <c r="A71" t="n">
        <v>1478</v>
      </c>
      <c r="B71" t="inlineStr">
        <is>
          <t>AGROSERVICIOS LA CATRIA S.L.</t>
        </is>
      </c>
      <c r="C71" t="inlineStr">
        <is>
          <t>TANGO</t>
        </is>
      </c>
      <c r="D71" t="inlineStr">
        <is>
          <t>Calidad</t>
        </is>
      </c>
      <c r="E71" t="n">
        <v>0</v>
      </c>
      <c r="I71" t="inlineStr"/>
    </row>
    <row r="72">
      <c r="A72" t="n">
        <v>1478</v>
      </c>
      <c r="B72" t="inlineStr">
        <is>
          <t>AGROSERVICIOS LA CATRIA S.L.</t>
        </is>
      </c>
      <c r="C72" t="inlineStr">
        <is>
          <t>TANGO</t>
        </is>
      </c>
      <c r="D72" t="inlineStr">
        <is>
          <t>GlobalGAP</t>
        </is>
      </c>
      <c r="E72" t="n">
        <v>303.3</v>
      </c>
      <c r="I72" t="inlineStr"/>
    </row>
    <row r="73">
      <c r="A73" t="n">
        <v>1478</v>
      </c>
      <c r="B73" t="inlineStr">
        <is>
          <t>AGROSERVICIOS LA CATRIA S.L.</t>
        </is>
      </c>
      <c r="C73" t="inlineStr">
        <is>
          <t>TANGO</t>
        </is>
      </c>
      <c r="D73" t="inlineStr">
        <is>
          <t>Base imponible</t>
        </is>
      </c>
      <c r="E73" t="n">
        <v>11703.05</v>
      </c>
      <c r="I73" t="inlineStr"/>
    </row>
    <row r="74">
      <c r="A74" t="n">
        <v>1478</v>
      </c>
      <c r="B74" t="inlineStr">
        <is>
          <t>AGROSERVICIOS LA CATRIA S.L.</t>
        </is>
      </c>
      <c r="C74" t="inlineStr">
        <is>
          <t>TANGO</t>
        </is>
      </c>
      <c r="D74" t="inlineStr">
        <is>
          <t>IVA</t>
        </is>
      </c>
      <c r="E74" t="n">
        <v>468.12</v>
      </c>
      <c r="I74" t="inlineStr"/>
    </row>
    <row r="75">
      <c r="A75" t="n">
        <v>1478</v>
      </c>
      <c r="B75" t="inlineStr">
        <is>
          <t>AGROSERVICIOS LA CATRIA S.L.</t>
        </is>
      </c>
      <c r="C75" t="inlineStr">
        <is>
          <t>TANGO</t>
        </is>
      </c>
      <c r="D75" t="inlineStr">
        <is>
          <t>Retención</t>
        </is>
      </c>
      <c r="E75" t="n">
        <v>0</v>
      </c>
      <c r="I75" t="inlineStr"/>
    </row>
    <row r="76">
      <c r="A76" t="n">
        <v>1478</v>
      </c>
      <c r="B76" t="inlineStr">
        <is>
          <t>AGROSERVICIOS LA CATRIA S.L.</t>
        </is>
      </c>
      <c r="C76" t="inlineStr">
        <is>
          <t>TANGO</t>
        </is>
      </c>
      <c r="D76" t="inlineStr">
        <is>
          <t>Total</t>
        </is>
      </c>
      <c r="E76" t="n">
        <v>12171.17</v>
      </c>
      <c r="I76" t="inlineStr"/>
    </row>
    <row r="77">
      <c r="A77" t="n">
        <v>1523</v>
      </c>
      <c r="B77" t="inlineStr">
        <is>
          <t>RODRIGUEZ MEJÍAS, JOSE ANTONIO</t>
        </is>
      </c>
      <c r="C77" t="inlineStr">
        <is>
          <t>TANGO</t>
        </is>
      </c>
      <c r="D77" t="inlineStr">
        <is>
          <t>Hectáreas</t>
        </is>
      </c>
      <c r="E77" t="n">
        <v>21.63</v>
      </c>
      <c r="I77" t="inlineStr"/>
    </row>
    <row r="78">
      <c r="A78" t="n">
        <v>1523</v>
      </c>
      <c r="B78" t="inlineStr">
        <is>
          <t>RODRIGUEZ MEJÍAS, JOSE ANTONIO</t>
        </is>
      </c>
      <c r="C78" t="inlineStr">
        <is>
          <t>TANGO</t>
        </is>
      </c>
      <c r="D78" t="inlineStr">
        <is>
          <t>Cuota teórica</t>
        </is>
      </c>
      <c r="E78" t="n">
        <v>4217.85</v>
      </c>
      <c r="I78" t="inlineStr"/>
    </row>
    <row r="79">
      <c r="A79" t="n">
        <v>1523</v>
      </c>
      <c r="B79" t="inlineStr">
        <is>
          <t>RODRIGUEZ MEJÍAS, JOSE ANTONIO</t>
        </is>
      </c>
      <c r="C79" t="inlineStr">
        <is>
          <t>TANGO</t>
        </is>
      </c>
      <c r="D79" t="inlineStr">
        <is>
          <t>Kg campaña</t>
        </is>
      </c>
      <c r="E79" t="n">
        <v>580520</v>
      </c>
      <c r="I79" t="inlineStr"/>
    </row>
    <row r="80">
      <c r="A80" t="n">
        <v>1523</v>
      </c>
      <c r="B80" t="inlineStr">
        <is>
          <t>RODRIGUEZ MEJÍAS, JOSE ANTONIO</t>
        </is>
      </c>
      <c r="C80" t="inlineStr">
        <is>
          <t>TANGO</t>
        </is>
      </c>
      <c r="D80" t="inlineStr">
        <is>
          <t>Índice</t>
        </is>
      </c>
      <c r="E80" t="n">
        <v>0.007265641149314408</v>
      </c>
      <c r="I80" t="inlineStr"/>
    </row>
    <row r="81">
      <c r="A81" t="n">
        <v>1523</v>
      </c>
      <c r="B81" t="inlineStr">
        <is>
          <t>RODRIGUEZ MEJÍAS, JOSE ANTONIO</t>
        </is>
      </c>
      <c r="C81" t="inlineStr">
        <is>
          <t>TANGO</t>
        </is>
      </c>
      <c r="D81" t="inlineStr">
        <is>
          <t>Kg remesa</t>
        </is>
      </c>
      <c r="E81" t="n">
        <v>19718</v>
      </c>
      <c r="I81" t="inlineStr"/>
    </row>
    <row r="82">
      <c r="A82" t="n">
        <v>1523</v>
      </c>
      <c r="B82" t="inlineStr">
        <is>
          <t>RODRIGUEZ MEJÍAS, JOSE ANTONIO</t>
        </is>
      </c>
      <c r="C82" t="inlineStr">
        <is>
          <t>TANGO</t>
        </is>
      </c>
      <c r="D82" t="inlineStr">
        <is>
          <t>Cuota parcial</t>
        </is>
      </c>
      <c r="E82" t="n">
        <v>143.26</v>
      </c>
      <c r="I82" t="inlineStr"/>
    </row>
    <row r="83">
      <c r="A83" t="n">
        <v>1523</v>
      </c>
      <c r="B83" t="inlineStr">
        <is>
          <t>RODRIGUEZ MEJÍAS, JOSE ANTONIO</t>
        </is>
      </c>
      <c r="C83" t="inlineStr">
        <is>
          <t>TANGO</t>
        </is>
      </c>
      <c r="D83" t="inlineStr">
        <is>
          <t>Importe bruto</t>
        </is>
      </c>
      <c r="E83" t="n">
        <v>15852.83</v>
      </c>
      <c r="I83" t="inlineStr"/>
    </row>
    <row r="84">
      <c r="A84" t="n">
        <v>1523</v>
      </c>
      <c r="B84" t="inlineStr">
        <is>
          <t>RODRIGUEZ MEJÍAS, JOSE ANTONIO</t>
        </is>
      </c>
      <c r="C84" t="inlineStr">
        <is>
          <t>TANGO</t>
        </is>
      </c>
      <c r="D84" t="inlineStr">
        <is>
          <t>Recolección</t>
        </is>
      </c>
      <c r="E84" t="n">
        <v>2464.75</v>
      </c>
      <c r="I84" t="inlineStr"/>
    </row>
    <row r="85">
      <c r="A85" t="n">
        <v>1523</v>
      </c>
      <c r="B85" t="inlineStr">
        <is>
          <t>RODRIGUEZ MEJÍAS, JOSE ANTONIO</t>
        </is>
      </c>
      <c r="C85" t="inlineStr">
        <is>
          <t>TANGO</t>
        </is>
      </c>
      <c r="D85" t="inlineStr">
        <is>
          <t>Transporte</t>
        </is>
      </c>
      <c r="E85" t="n">
        <v>0</v>
      </c>
      <c r="I85" t="inlineStr"/>
    </row>
    <row r="86">
      <c r="A86" t="n">
        <v>1523</v>
      </c>
      <c r="B86" t="inlineStr">
        <is>
          <t>RODRIGUEZ MEJÍAS, JOSE ANTONIO</t>
        </is>
      </c>
      <c r="C86" t="inlineStr">
        <is>
          <t>TANGO</t>
        </is>
      </c>
      <c r="D86" t="inlineStr">
        <is>
          <t>Calidad</t>
        </is>
      </c>
      <c r="E86" t="n">
        <v>0</v>
      </c>
      <c r="I86" t="inlineStr"/>
    </row>
    <row r="87">
      <c r="A87" t="n">
        <v>1523</v>
      </c>
      <c r="B87" t="inlineStr">
        <is>
          <t>RODRIGUEZ MEJÍAS, JOSE ANTONIO</t>
        </is>
      </c>
      <c r="C87" t="inlineStr">
        <is>
          <t>TANGO</t>
        </is>
      </c>
      <c r="D87" t="inlineStr">
        <is>
          <t>GlobalGAP</t>
        </is>
      </c>
      <c r="E87" t="n">
        <v>337.7</v>
      </c>
      <c r="I87" t="inlineStr"/>
    </row>
    <row r="88">
      <c r="A88" t="n">
        <v>1523</v>
      </c>
      <c r="B88" t="inlineStr">
        <is>
          <t>RODRIGUEZ MEJÍAS, JOSE ANTONIO</t>
        </is>
      </c>
      <c r="C88" t="inlineStr">
        <is>
          <t>TANGO</t>
        </is>
      </c>
      <c r="D88" t="inlineStr">
        <is>
          <t>Base imponible</t>
        </is>
      </c>
      <c r="E88" t="n">
        <v>13582.52</v>
      </c>
      <c r="I88" t="inlineStr"/>
    </row>
    <row r="89">
      <c r="A89" t="n">
        <v>1523</v>
      </c>
      <c r="B89" t="inlineStr">
        <is>
          <t>RODRIGUEZ MEJÍAS, JOSE ANTONIO</t>
        </is>
      </c>
      <c r="C89" t="inlineStr">
        <is>
          <t>TANGO</t>
        </is>
      </c>
      <c r="D89" t="inlineStr">
        <is>
          <t>IVA</t>
        </is>
      </c>
      <c r="E89" t="n">
        <v>1629.9</v>
      </c>
      <c r="I89" t="inlineStr"/>
    </row>
    <row r="90">
      <c r="A90" t="n">
        <v>1523</v>
      </c>
      <c r="B90" t="inlineStr">
        <is>
          <t>RODRIGUEZ MEJÍAS, JOSE ANTONIO</t>
        </is>
      </c>
      <c r="C90" t="inlineStr">
        <is>
          <t>TANGO</t>
        </is>
      </c>
      <c r="D90" t="inlineStr">
        <is>
          <t>Retención</t>
        </is>
      </c>
      <c r="E90" t="n">
        <v>304.25</v>
      </c>
      <c r="I90" t="inlineStr"/>
    </row>
    <row r="91">
      <c r="A91" t="n">
        <v>1523</v>
      </c>
      <c r="B91" t="inlineStr">
        <is>
          <t>RODRIGUEZ MEJÍAS, JOSE ANTONIO</t>
        </is>
      </c>
      <c r="C91" t="inlineStr">
        <is>
          <t>TANGO</t>
        </is>
      </c>
      <c r="D91" t="inlineStr">
        <is>
          <t>Total</t>
        </is>
      </c>
      <c r="E91" t="n">
        <v>14908.17</v>
      </c>
      <c r="I91" t="inlineStr"/>
    </row>
    <row r="92">
      <c r="A92" t="n">
        <v>1561</v>
      </c>
      <c r="B92" t="inlineStr">
        <is>
          <t>SUAREZ SANCHEZ, Mª DEL PILAR</t>
        </is>
      </c>
      <c r="C92" t="inlineStr">
        <is>
          <t>TANGO</t>
        </is>
      </c>
      <c r="D92" t="inlineStr">
        <is>
          <t>Hectáreas</t>
        </is>
      </c>
      <c r="E92" t="n">
        <v>17.71</v>
      </c>
      <c r="I92" t="inlineStr"/>
    </row>
    <row r="93">
      <c r="A93" t="n">
        <v>1561</v>
      </c>
      <c r="B93" t="inlineStr">
        <is>
          <t>SUAREZ SANCHEZ, Mª DEL PILAR</t>
        </is>
      </c>
      <c r="C93" t="inlineStr">
        <is>
          <t>TANGO</t>
        </is>
      </c>
      <c r="D93" t="inlineStr">
        <is>
          <t>Cuota teórica</t>
        </is>
      </c>
      <c r="E93" t="n">
        <v>3453.45</v>
      </c>
      <c r="I93" t="inlineStr"/>
    </row>
    <row r="94">
      <c r="A94" t="n">
        <v>1561</v>
      </c>
      <c r="B94" t="inlineStr">
        <is>
          <t>SUAREZ SANCHEZ, Mª DEL PILAR</t>
        </is>
      </c>
      <c r="C94" t="inlineStr">
        <is>
          <t>TANGO</t>
        </is>
      </c>
      <c r="D94" t="inlineStr">
        <is>
          <t>Kg campaña</t>
        </is>
      </c>
      <c r="E94" t="n">
        <v>424745</v>
      </c>
      <c r="I94" t="inlineStr"/>
    </row>
    <row r="95">
      <c r="A95" t="n">
        <v>1561</v>
      </c>
      <c r="B95" t="inlineStr">
        <is>
          <t>SUAREZ SANCHEZ, Mª DEL PILAR</t>
        </is>
      </c>
      <c r="C95" t="inlineStr">
        <is>
          <t>TANGO</t>
        </is>
      </c>
      <c r="D95" t="inlineStr">
        <is>
          <t>Índice</t>
        </is>
      </c>
      <c r="E95" t="n">
        <v>0.008130643091737395</v>
      </c>
      <c r="I95" t="inlineStr"/>
    </row>
    <row r="96">
      <c r="A96" t="n">
        <v>1561</v>
      </c>
      <c r="B96" t="inlineStr">
        <is>
          <t>SUAREZ SANCHEZ, Mª DEL PILAR</t>
        </is>
      </c>
      <c r="C96" t="inlineStr">
        <is>
          <t>TANGO</t>
        </is>
      </c>
      <c r="D96" t="inlineStr">
        <is>
          <t>Kg remesa</t>
        </is>
      </c>
      <c r="E96" t="n">
        <v>37224</v>
      </c>
      <c r="I96" t="inlineStr"/>
    </row>
    <row r="97">
      <c r="A97" t="n">
        <v>1561</v>
      </c>
      <c r="B97" t="inlineStr">
        <is>
          <t>SUAREZ SANCHEZ, Mª DEL PILAR</t>
        </is>
      </c>
      <c r="C97" t="inlineStr">
        <is>
          <t>TANGO</t>
        </is>
      </c>
      <c r="D97" t="inlineStr">
        <is>
          <t>Cuota parcial</t>
        </is>
      </c>
      <c r="E97" t="n">
        <v>302.66</v>
      </c>
      <c r="I97" t="inlineStr"/>
    </row>
    <row r="98">
      <c r="A98" t="n">
        <v>1561</v>
      </c>
      <c r="B98" t="inlineStr">
        <is>
          <t>SUAREZ SANCHEZ, Mª DEL PILAR</t>
        </is>
      </c>
      <c r="C98" t="inlineStr">
        <is>
          <t>TANGO</t>
        </is>
      </c>
      <c r="D98" t="inlineStr">
        <is>
          <t>Importe bruto</t>
        </is>
      </c>
      <c r="E98" t="n">
        <v>31235.58</v>
      </c>
      <c r="I98" t="inlineStr"/>
    </row>
    <row r="99">
      <c r="A99" t="n">
        <v>1561</v>
      </c>
      <c r="B99" t="inlineStr">
        <is>
          <t>SUAREZ SANCHEZ, Mª DEL PILAR</t>
        </is>
      </c>
      <c r="C99" t="inlineStr">
        <is>
          <t>TANGO</t>
        </is>
      </c>
      <c r="D99" t="inlineStr">
        <is>
          <t>Recolección</t>
        </is>
      </c>
      <c r="E99" t="n">
        <v>0</v>
      </c>
      <c r="I99" t="inlineStr"/>
    </row>
    <row r="100">
      <c r="A100" t="n">
        <v>1561</v>
      </c>
      <c r="B100" t="inlineStr">
        <is>
          <t>SUAREZ SANCHEZ, Mª DEL PILAR</t>
        </is>
      </c>
      <c r="C100" t="inlineStr">
        <is>
          <t>TANGO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1561</v>
      </c>
      <c r="B101" t="inlineStr">
        <is>
          <t>SUAREZ SANCHEZ, Mª DEL PILAR</t>
        </is>
      </c>
      <c r="C101" t="inlineStr">
        <is>
          <t>TANGO</t>
        </is>
      </c>
      <c r="D101" t="inlineStr">
        <is>
          <t>Calidad</t>
        </is>
      </c>
      <c r="E101" t="n">
        <v>0</v>
      </c>
      <c r="I101" t="inlineStr"/>
    </row>
    <row r="102">
      <c r="A102" t="n">
        <v>1561</v>
      </c>
      <c r="B102" t="inlineStr">
        <is>
          <t>SUAREZ SANCHEZ, Mª DEL PILAR</t>
        </is>
      </c>
      <c r="C102" t="inlineStr">
        <is>
          <t>TANGO</t>
        </is>
      </c>
      <c r="D102" t="inlineStr">
        <is>
          <t>GlobalGAP</t>
        </is>
      </c>
      <c r="E102" t="n">
        <v>646.95</v>
      </c>
      <c r="I102" t="inlineStr"/>
    </row>
    <row r="103">
      <c r="A103" t="n">
        <v>1561</v>
      </c>
      <c r="B103" t="inlineStr">
        <is>
          <t>SUAREZ SANCHEZ, Mª DEL PILAR</t>
        </is>
      </c>
      <c r="C103" t="inlineStr">
        <is>
          <t>TANGO</t>
        </is>
      </c>
      <c r="D103" t="inlineStr">
        <is>
          <t>Base imponible</t>
        </is>
      </c>
      <c r="E103" t="n">
        <v>31579.87</v>
      </c>
      <c r="I103" t="inlineStr"/>
    </row>
    <row r="104">
      <c r="A104" t="n">
        <v>1561</v>
      </c>
      <c r="B104" t="inlineStr">
        <is>
          <t>SUAREZ SANCHEZ, Mª DEL PILAR</t>
        </is>
      </c>
      <c r="C104" t="inlineStr">
        <is>
          <t>TANGO</t>
        </is>
      </c>
      <c r="D104" t="inlineStr">
        <is>
          <t>IVA</t>
        </is>
      </c>
      <c r="E104" t="n">
        <v>3789.58</v>
      </c>
      <c r="I104" t="inlineStr"/>
    </row>
    <row r="105">
      <c r="A105" t="n">
        <v>1561</v>
      </c>
      <c r="B105" t="inlineStr">
        <is>
          <t>SUAREZ SANCHEZ, Mª DEL PILAR</t>
        </is>
      </c>
      <c r="C105" t="inlineStr">
        <is>
          <t>TANGO</t>
        </is>
      </c>
      <c r="D105" t="inlineStr">
        <is>
          <t>Retención</t>
        </is>
      </c>
      <c r="E105" t="n">
        <v>707.39</v>
      </c>
      <c r="I105" t="inlineStr"/>
    </row>
    <row r="106">
      <c r="A106" t="n">
        <v>1561</v>
      </c>
      <c r="B106" t="inlineStr">
        <is>
          <t>SUAREZ SANCHEZ, Mª DEL PILAR</t>
        </is>
      </c>
      <c r="C106" t="inlineStr">
        <is>
          <t>TANGO</t>
        </is>
      </c>
      <c r="D106" t="inlineStr">
        <is>
          <t>Total</t>
        </is>
      </c>
      <c r="E106" t="n">
        <v>34662.07</v>
      </c>
      <c r="I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2026-07-28T15:54:41Z</dcterms:created>
  <dcterms:modified xmlns:dcterms="http://purl.org/dc/terms/" xmlns:xsi="http://www.w3.org/2001/XMLSchema-instance" xsi:type="dcterms:W3CDTF">2026-07-28T15:54:41Z</dcterms:modified>
</cp:coreProperties>
</file>