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1355</v>
      </c>
      <c r="B2" s="3" t="inlineStr">
        <is>
          <t>CANO MANZANARES,JUAN ANTONIO</t>
        </is>
      </c>
      <c r="C2" s="3" t="inlineStr">
        <is>
          <t>TANGO</t>
        </is>
      </c>
      <c r="D2" s="2" t="n">
        <v>17488</v>
      </c>
      <c r="E2" s="4" t="n">
        <v>11989.13</v>
      </c>
      <c r="F2" s="5" t="n">
        <v>0.6855632433668801</v>
      </c>
      <c r="G2" s="4" t="n">
        <v>2186</v>
      </c>
      <c r="H2" s="4" t="n">
        <v>68.73</v>
      </c>
      <c r="I2" s="4" t="n">
        <v>0</v>
      </c>
      <c r="J2" s="4" t="n">
        <v>0</v>
      </c>
      <c r="K2" s="4" t="n">
        <v>262.09</v>
      </c>
      <c r="L2" s="4" t="n">
        <v>9996.49</v>
      </c>
      <c r="M2" s="5" t="n">
        <v>0.62741</v>
      </c>
      <c r="N2" s="6" t="n">
        <v>12</v>
      </c>
      <c r="O2" s="6" t="n">
        <v>2</v>
      </c>
      <c r="P2" s="4" t="n">
        <v>10972.15</v>
      </c>
      <c r="Q2" s="3" t="inlineStr">
        <is>
          <t>Tango Semana 7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TANGO</t>
        </is>
      </c>
      <c r="D3" s="2" t="n">
        <v>25834</v>
      </c>
      <c r="E3" s="4" t="n">
        <v>17673.1</v>
      </c>
      <c r="F3" s="5" t="n">
        <v>0.6841023457459162</v>
      </c>
      <c r="G3" s="4" t="n">
        <v>0</v>
      </c>
      <c r="H3" s="4" t="n">
        <v>159.75</v>
      </c>
      <c r="I3" s="4" t="n">
        <v>0</v>
      </c>
      <c r="J3" s="4" t="n">
        <v>0</v>
      </c>
      <c r="K3" s="4" t="n">
        <v>398.27</v>
      </c>
      <c r="L3" s="4" t="n">
        <v>17911.62</v>
      </c>
      <c r="M3" s="5" t="n">
        <v>0.761</v>
      </c>
      <c r="N3" s="6" t="n">
        <v>12</v>
      </c>
      <c r="O3" s="6" t="n">
        <v>2</v>
      </c>
      <c r="P3" s="4" t="n">
        <v>19659.79</v>
      </c>
      <c r="Q3" s="3" t="inlineStr">
        <is>
          <t>Tango Semana 7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1561</v>
      </c>
      <c r="B4" s="3" t="inlineStr">
        <is>
          <t>SUAREZ SANCHEZ, Mª DEL PILAR</t>
        </is>
      </c>
      <c r="C4" s="3" t="inlineStr">
        <is>
          <t>TANGO</t>
        </is>
      </c>
      <c r="D4" s="2" t="n">
        <v>94563</v>
      </c>
      <c r="E4" s="4" t="n">
        <v>56263.83</v>
      </c>
      <c r="F4" s="5" t="n">
        <v>0.5949877859204974</v>
      </c>
      <c r="G4" s="4" t="n">
        <v>0</v>
      </c>
      <c r="H4" s="4" t="n">
        <v>768.86</v>
      </c>
      <c r="I4" s="4" t="n">
        <v>0</v>
      </c>
      <c r="J4" s="4" t="n">
        <v>0</v>
      </c>
      <c r="K4" s="4" t="n">
        <v>1394.63</v>
      </c>
      <c r="L4" s="4" t="n">
        <v>56889.6</v>
      </c>
      <c r="M4" s="5" t="n">
        <v>0.66032</v>
      </c>
      <c r="N4" s="6" t="n">
        <v>12</v>
      </c>
      <c r="O4" s="6" t="n">
        <v>2</v>
      </c>
      <c r="P4" s="4" t="n">
        <v>62442.02</v>
      </c>
      <c r="Q4" s="3" t="inlineStr">
        <is>
          <t>Tango Semana 7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8" t="n"/>
      <c r="B5" s="9" t="inlineStr">
        <is>
          <t>TOTAL</t>
        </is>
      </c>
      <c r="C5" s="9" t="n"/>
      <c r="D5" s="8">
        <f>SUM(D2:D4)</f>
        <v/>
      </c>
      <c r="E5" s="10">
        <f>SUM(E2:E4)</f>
        <v/>
      </c>
      <c r="F5" s="11" t="n"/>
      <c r="G5" s="10">
        <f>SUM(G2:G4)</f>
        <v/>
      </c>
      <c r="H5" s="10">
        <f>SUM(H2:H4)</f>
        <v/>
      </c>
      <c r="I5" s="10">
        <f>SUM(I2:I4)</f>
        <v/>
      </c>
      <c r="J5" s="10">
        <f>SUM(J2:J4)</f>
        <v/>
      </c>
      <c r="K5" s="10">
        <f>SUM(K2:K4)</f>
        <v/>
      </c>
      <c r="L5" s="10">
        <f>SUM(L2:L4)</f>
        <v/>
      </c>
      <c r="M5" s="11">
        <f>IFERROR(P5/D5,0)</f>
        <v/>
      </c>
      <c r="N5" s="12" t="n"/>
      <c r="O5" s="12" t="n"/>
      <c r="P5" s="10">
        <f>SUM(P2:P4)</f>
        <v/>
      </c>
      <c r="Q5" s="9" t="n"/>
      <c r="R5" s="9" t="n"/>
      <c r="S5" s="13" t="n"/>
      <c r="T5" s="13" t="n"/>
      <c r="U5" s="13" t="n"/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7.21</v>
      </c>
      <c r="G2" t="n">
        <v>195</v>
      </c>
      <c r="H2" t="n">
        <v>1405.95</v>
      </c>
      <c r="I2" t="n">
        <v>357726</v>
      </c>
      <c r="J2" t="n">
        <v>0.003930242699719897</v>
      </c>
      <c r="K2" t="n">
        <v>68.73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159.75</v>
      </c>
      <c r="L3" t="n">
        <v>0</v>
      </c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n">
        <v>0</v>
      </c>
      <c r="E4" t="inlineStr">
        <is>
          <t>not_found</t>
        </is>
      </c>
      <c r="F4" t="n">
        <v>17.71</v>
      </c>
      <c r="G4" t="n">
        <v>195</v>
      </c>
      <c r="H4" t="n">
        <v>3453.45</v>
      </c>
      <c r="I4" t="n">
        <v>424745</v>
      </c>
      <c r="J4" t="n">
        <v>0.008130643091737395</v>
      </c>
      <c r="K4" t="n">
        <v>768.86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555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45</t>
        </is>
      </c>
      <c r="Q2" t="inlineStr">
        <is>
          <t>3</t>
        </is>
      </c>
      <c r="R2" t="n">
        <v>0.51</v>
      </c>
      <c r="S2" t="n">
        <v>0</v>
      </c>
      <c r="T2" t="n">
        <v>0.51</v>
      </c>
      <c r="V2" t="inlineStr">
        <is>
          <t>Sí</t>
        </is>
      </c>
      <c r="W2" t="inlineStr"/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555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49</t>
        </is>
      </c>
      <c r="Q3" t="inlineStr">
        <is>
          <t>1</t>
        </is>
      </c>
      <c r="R3" t="n">
        <v>2.37</v>
      </c>
      <c r="S3" t="n">
        <v>0</v>
      </c>
      <c r="T3" t="n">
        <v>2.35</v>
      </c>
      <c r="V3" t="inlineStr">
        <is>
          <t>Sí</t>
        </is>
      </c>
      <c r="W3" t="inlineStr"/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555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50</t>
        </is>
      </c>
      <c r="Q4" t="inlineStr">
        <is>
          <t>2</t>
        </is>
      </c>
      <c r="R4" t="n">
        <v>1.94</v>
      </c>
      <c r="S4" t="n">
        <v>0</v>
      </c>
      <c r="T4" t="n">
        <v>1.93</v>
      </c>
      <c r="V4" t="inlineStr">
        <is>
          <t>Sí</t>
        </is>
      </c>
      <c r="W4" t="inlineStr"/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606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71</t>
        </is>
      </c>
      <c r="Q5" t="inlineStr">
        <is>
          <t>1</t>
        </is>
      </c>
      <c r="R5" t="n">
        <v>0.06</v>
      </c>
      <c r="S5" t="n">
        <v>0</v>
      </c>
      <c r="T5" t="n">
        <v>0.06</v>
      </c>
      <c r="V5" t="inlineStr">
        <is>
          <t>Sí</t>
        </is>
      </c>
      <c r="W5" t="inlineStr"/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606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41055</t>
        </is>
      </c>
      <c r="O6" t="inlineStr">
        <is>
          <t>29</t>
        </is>
      </c>
      <c r="P6" t="inlineStr">
        <is>
          <t>71</t>
        </is>
      </c>
      <c r="Q6" t="inlineStr">
        <is>
          <t>2</t>
        </is>
      </c>
      <c r="R6" t="n">
        <v>1.21</v>
      </c>
      <c r="S6" t="n">
        <v>0</v>
      </c>
      <c r="T6" t="n">
        <v>1.21</v>
      </c>
      <c r="V6" t="inlineStr">
        <is>
          <t>Sí</t>
        </is>
      </c>
      <c r="W6" t="inlineStr"/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606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29</t>
        </is>
      </c>
      <c r="P7" t="inlineStr">
        <is>
          <t>69</t>
        </is>
      </c>
      <c r="Q7" t="inlineStr">
        <is>
          <t>3</t>
        </is>
      </c>
      <c r="R7" t="n">
        <v>0.98</v>
      </c>
      <c r="S7" t="n">
        <v>0</v>
      </c>
      <c r="T7" t="n">
        <v>0.98</v>
      </c>
      <c r="V7" t="inlineStr">
        <is>
          <t>Sí</t>
        </is>
      </c>
      <c r="W7" t="inlineStr"/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MANDARINA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606</v>
      </c>
      <c r="K8" t="n">
        <v>2026</v>
      </c>
      <c r="L8" t="inlineStr">
        <is>
          <t>1</t>
        </is>
      </c>
      <c r="M8" t="inlineStr">
        <is>
          <t>MANDARINA</t>
        </is>
      </c>
      <c r="N8" t="inlineStr">
        <is>
          <t>41055</t>
        </is>
      </c>
      <c r="O8" t="inlineStr">
        <is>
          <t>29</t>
        </is>
      </c>
      <c r="P8" t="inlineStr">
        <is>
          <t>69</t>
        </is>
      </c>
      <c r="Q8" t="inlineStr">
        <is>
          <t>4</t>
        </is>
      </c>
      <c r="R8" t="n">
        <v>0.14</v>
      </c>
      <c r="S8" t="n">
        <v>0</v>
      </c>
      <c r="T8" t="n">
        <v>0.14</v>
      </c>
      <c r="V8" t="inlineStr">
        <is>
          <t>Sí</t>
        </is>
      </c>
      <c r="W8" t="inlineStr"/>
    </row>
    <row r="9">
      <c r="A9" t="n">
        <v>1443</v>
      </c>
      <c r="B9" t="inlineStr">
        <is>
          <t>TOMENO SUAREZ,ALBERTO</t>
        </is>
      </c>
      <c r="C9" t="n">
        <v>42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42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13</t>
        </is>
      </c>
      <c r="Q9" t="inlineStr">
        <is>
          <t>10</t>
        </is>
      </c>
      <c r="R9" t="n">
        <v>1.35</v>
      </c>
      <c r="S9" t="n">
        <v>2.28223</v>
      </c>
      <c r="T9" t="n">
        <v>1.35</v>
      </c>
      <c r="V9" t="inlineStr">
        <is>
          <t>Sí</t>
        </is>
      </c>
      <c r="W9" t="inlineStr"/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3</t>
        </is>
      </c>
      <c r="R10" t="n">
        <v>1.28</v>
      </c>
      <c r="S10" t="n">
        <v>0</v>
      </c>
      <c r="T10" t="n">
        <v>1.28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46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46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21</t>
        </is>
      </c>
      <c r="P11" t="inlineStr">
        <is>
          <t>13</t>
        </is>
      </c>
      <c r="Q11" t="inlineStr">
        <is>
          <t>1</t>
        </is>
      </c>
      <c r="R11" t="n">
        <v>1.45</v>
      </c>
      <c r="S11" t="n">
        <v>1.449891</v>
      </c>
      <c r="T11" t="n">
        <v>1.45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671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671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15</t>
        </is>
      </c>
      <c r="Q12" t="inlineStr">
        <is>
          <t>1</t>
        </is>
      </c>
      <c r="R12" t="n">
        <v>2.6</v>
      </c>
      <c r="S12" t="n">
        <v>0</v>
      </c>
      <c r="T12" t="n">
        <v>2.6</v>
      </c>
      <c r="V12" t="inlineStr">
        <is>
          <t>No</t>
        </is>
      </c>
      <c r="W12" t="inlineStr">
        <is>
          <t>PLANTACION_MENOR_CINCO_ANOS</t>
        </is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671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13</t>
        </is>
      </c>
      <c r="Q13" t="inlineStr">
        <is>
          <t>10</t>
        </is>
      </c>
      <c r="R13" t="n">
        <v>0.93</v>
      </c>
      <c r="S13" t="n">
        <v>0</v>
      </c>
      <c r="T13" t="n">
        <v>0.93</v>
      </c>
      <c r="V13" t="inlineStr">
        <is>
          <t>No</t>
        </is>
      </c>
      <c r="W13" t="inlineStr">
        <is>
          <t>PLANTACION_MENOR_CINCO_ANOS</t>
        </is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671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3</t>
        </is>
      </c>
      <c r="R14" t="n">
        <v>0.88</v>
      </c>
      <c r="S14" t="n">
        <v>0</v>
      </c>
      <c r="T14" t="n">
        <v>0.88</v>
      </c>
      <c r="V14" t="inlineStr">
        <is>
          <t>No</t>
        </is>
      </c>
      <c r="W14" t="inlineStr">
        <is>
          <t>PLANTACION_MENOR_CINCO_ANOS</t>
        </is>
      </c>
    </row>
    <row r="15">
      <c r="A15" t="n">
        <v>1443</v>
      </c>
      <c r="B15" t="inlineStr">
        <is>
          <t>TOMENO SUAREZ,ALBERTO</t>
        </is>
      </c>
      <c r="C15" t="n">
        <v>611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611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15</t>
        </is>
      </c>
      <c r="P15" t="inlineStr">
        <is>
          <t>123</t>
        </is>
      </c>
      <c r="Q15" t="inlineStr">
        <is>
          <t>1</t>
        </is>
      </c>
      <c r="R15" t="n">
        <v>4.4</v>
      </c>
      <c r="S15" t="n">
        <v>0</v>
      </c>
      <c r="T15" t="n">
        <v>4.4</v>
      </c>
      <c r="V15" t="inlineStr">
        <is>
          <t>Sí</t>
        </is>
      </c>
      <c r="W15" t="inlineStr"/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612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19</t>
        </is>
      </c>
      <c r="P16" t="inlineStr">
        <is>
          <t>5</t>
        </is>
      </c>
      <c r="Q16" t="inlineStr">
        <is>
          <t>5</t>
        </is>
      </c>
      <c r="R16" t="n">
        <v>0.03</v>
      </c>
      <c r="S16" t="n">
        <v>0</v>
      </c>
      <c r="T16" t="n">
        <v>0.03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7</t>
        </is>
      </c>
      <c r="Q17" t="inlineStr">
        <is>
          <t>4</t>
        </is>
      </c>
      <c r="R17" t="n">
        <v>0.08</v>
      </c>
      <c r="S17" t="n">
        <v>0</v>
      </c>
      <c r="T17" t="n">
        <v>0.08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6</t>
        </is>
      </c>
      <c r="Q18" t="inlineStr">
        <is>
          <t>1</t>
        </is>
      </c>
      <c r="R18" t="n">
        <v>1.92</v>
      </c>
      <c r="S18" t="n">
        <v>0</v>
      </c>
      <c r="T18" t="n">
        <v>1.92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6</t>
        </is>
      </c>
      <c r="Q19" t="inlineStr">
        <is>
          <t>3</t>
        </is>
      </c>
      <c r="R19" t="n">
        <v>1.58</v>
      </c>
      <c r="S19" t="n">
        <v>0</v>
      </c>
      <c r="T19" t="n">
        <v>1.58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7</t>
        </is>
      </c>
      <c r="Q20" t="inlineStr">
        <is>
          <t>1</t>
        </is>
      </c>
      <c r="R20" t="n">
        <v>3.91</v>
      </c>
      <c r="S20" t="n">
        <v>0</v>
      </c>
      <c r="T20" t="n">
        <v>3.91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7</t>
        </is>
      </c>
      <c r="Q21" t="inlineStr">
        <is>
          <t>2</t>
        </is>
      </c>
      <c r="R21" t="n">
        <v>0.5600000000000001</v>
      </c>
      <c r="S21" t="n">
        <v>0</v>
      </c>
      <c r="T21" t="n">
        <v>0.5600000000000001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24</t>
        </is>
      </c>
      <c r="Q22" t="inlineStr">
        <is>
          <t>2</t>
        </is>
      </c>
      <c r="R22" t="n">
        <v>0.29</v>
      </c>
      <c r="S22" t="n">
        <v>0</v>
      </c>
      <c r="T22" t="n">
        <v>0.29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7</t>
        </is>
      </c>
      <c r="Q23" t="inlineStr">
        <is>
          <t>5</t>
        </is>
      </c>
      <c r="R23" t="n">
        <v>0.23</v>
      </c>
      <c r="S23" t="n">
        <v>0</v>
      </c>
      <c r="T23" t="n">
        <v>0.23</v>
      </c>
      <c r="V23" t="inlineStr">
        <is>
          <t>Sí</t>
        </is>
      </c>
      <c r="W23" t="inlineStr"/>
    </row>
    <row r="24">
      <c r="A24" t="n">
        <v>1561</v>
      </c>
      <c r="B24" t="inlineStr">
        <is>
          <t>SUAREZ SANCHEZ, Mª DEL PILAR</t>
        </is>
      </c>
      <c r="C24" t="n">
        <v>962</v>
      </c>
      <c r="D24" t="inlineStr">
        <is>
          <t>CITRICOS</t>
        </is>
      </c>
      <c r="E24" t="n">
        <v>2026</v>
      </c>
      <c r="F24" t="n">
        <v>1</v>
      </c>
      <c r="G24" t="n">
        <v>0</v>
      </c>
      <c r="H24" t="inlineStr">
        <is>
          <t>No</t>
        </is>
      </c>
      <c r="V24" t="inlineStr">
        <is>
          <t>No</t>
        </is>
      </c>
      <c r="W24" t="inlineStr">
        <is>
          <t>CHA_NO_SELECCIONADO; CHA_NO_ACTIVO</t>
        </is>
      </c>
    </row>
    <row r="25">
      <c r="A25" t="n">
        <v>1561</v>
      </c>
      <c r="B25" t="inlineStr">
        <is>
          <t>SUAREZ SANCHEZ, Mª DEL PILAR</t>
        </is>
      </c>
      <c r="C25" t="n">
        <v>593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593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18</t>
        </is>
      </c>
      <c r="P25" t="inlineStr">
        <is>
          <t>4</t>
        </is>
      </c>
      <c r="Q25" t="inlineStr">
        <is>
          <t>30</t>
        </is>
      </c>
      <c r="R25" t="n">
        <v>0.83</v>
      </c>
      <c r="S25" t="n">
        <v>0</v>
      </c>
      <c r="T25" t="n">
        <v>0.83</v>
      </c>
      <c r="V25" t="inlineStr">
        <is>
          <t>Sí</t>
        </is>
      </c>
      <c r="W25" t="inlineStr"/>
    </row>
    <row r="26">
      <c r="A26" t="n">
        <v>1561</v>
      </c>
      <c r="B26" t="inlineStr">
        <is>
          <t>SUAREZ SANCHEZ, Mª DEL PILAR</t>
        </is>
      </c>
      <c r="C26" t="n">
        <v>593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593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18</t>
        </is>
      </c>
      <c r="P26" t="inlineStr">
        <is>
          <t>18</t>
        </is>
      </c>
      <c r="Q26" t="inlineStr">
        <is>
          <t>51</t>
        </is>
      </c>
      <c r="R26" t="n">
        <v>3.38</v>
      </c>
      <c r="S26" t="n">
        <v>27.67</v>
      </c>
      <c r="T26" t="n">
        <v>3.38</v>
      </c>
      <c r="V26" t="inlineStr">
        <is>
          <t>Sí</t>
        </is>
      </c>
      <c r="W26" t="inlineStr"/>
    </row>
    <row r="27">
      <c r="A27" t="n">
        <v>1561</v>
      </c>
      <c r="B27" t="inlineStr">
        <is>
          <t>SUAREZ SANCHEZ, Mª DEL PILAR</t>
        </is>
      </c>
      <c r="C27" t="n">
        <v>670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670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18</t>
        </is>
      </c>
      <c r="P27" t="inlineStr">
        <is>
          <t>18</t>
        </is>
      </c>
      <c r="Q27" t="inlineStr">
        <is>
          <t>122</t>
        </is>
      </c>
      <c r="R27" t="n">
        <v>6.09</v>
      </c>
      <c r="S27" t="n">
        <v>0</v>
      </c>
      <c r="T27" t="n">
        <v>6.09</v>
      </c>
      <c r="V27" t="inlineStr">
        <is>
          <t>No</t>
        </is>
      </c>
      <c r="W27" t="inlineStr">
        <is>
          <t>PLANTACION_MENOR_CINCO_ANOS</t>
        </is>
      </c>
    </row>
    <row r="28">
      <c r="A28" t="n">
        <v>1561</v>
      </c>
      <c r="B28" t="inlineStr">
        <is>
          <t>SUAREZ SANCHEZ, Mª DEL PILAR</t>
        </is>
      </c>
      <c r="C28" t="n">
        <v>670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670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18</t>
        </is>
      </c>
      <c r="P28" t="inlineStr">
        <is>
          <t>18</t>
        </is>
      </c>
      <c r="Q28" t="inlineStr">
        <is>
          <t>119</t>
        </is>
      </c>
      <c r="R28" t="n">
        <v>0.36</v>
      </c>
      <c r="S28" t="n">
        <v>0</v>
      </c>
      <c r="T28" t="n">
        <v>0.36</v>
      </c>
      <c r="V28" t="inlineStr">
        <is>
          <t>No</t>
        </is>
      </c>
      <c r="W28" t="inlineStr">
        <is>
          <t>PLANTACION_MENOR_CINCO_ANOS</t>
        </is>
      </c>
    </row>
    <row r="29">
      <c r="A29" t="n">
        <v>1561</v>
      </c>
      <c r="B29" t="inlineStr">
        <is>
          <t>SUAREZ SANCHEZ, Mª DEL PILAR</t>
        </is>
      </c>
      <c r="C29" t="n">
        <v>670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670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18</t>
        </is>
      </c>
      <c r="P29" t="inlineStr">
        <is>
          <t>18</t>
        </is>
      </c>
      <c r="Q29" t="inlineStr">
        <is>
          <t>115</t>
        </is>
      </c>
      <c r="R29" t="n">
        <v>0.12</v>
      </c>
      <c r="S29" t="n">
        <v>0</v>
      </c>
      <c r="T29" t="n">
        <v>0.12</v>
      </c>
      <c r="V29" t="inlineStr">
        <is>
          <t>No</t>
        </is>
      </c>
      <c r="W29" t="inlineStr">
        <is>
          <t>PLANTACION_MENOR_CINCO_ANOS</t>
        </is>
      </c>
    </row>
    <row r="30">
      <c r="A30" t="n">
        <v>1561</v>
      </c>
      <c r="B30" t="inlineStr">
        <is>
          <t>SUAREZ SANCHEZ, Mª DEL PILAR</t>
        </is>
      </c>
      <c r="C30" t="n">
        <v>670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670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18</t>
        </is>
      </c>
      <c r="P30" t="inlineStr">
        <is>
          <t>18</t>
        </is>
      </c>
      <c r="Q30" t="inlineStr">
        <is>
          <t>10</t>
        </is>
      </c>
      <c r="R30" t="n">
        <v>6.37</v>
      </c>
      <c r="S30" t="n">
        <v>0</v>
      </c>
      <c r="T30" t="n">
        <v>6.37</v>
      </c>
      <c r="V30" t="inlineStr">
        <is>
          <t>No</t>
        </is>
      </c>
      <c r="W30" t="inlineStr">
        <is>
          <t>PLANTACION_MENOR_CINCO_ANOS</t>
        </is>
      </c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MANDARINA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616</v>
      </c>
      <c r="K31" t="n">
        <v>2026</v>
      </c>
      <c r="L31" t="inlineStr">
        <is>
          <t>1</t>
        </is>
      </c>
      <c r="M31" t="inlineStr">
        <is>
          <t>MANDARINA</t>
        </is>
      </c>
      <c r="N31" t="inlineStr">
        <is>
          <t>41055</t>
        </is>
      </c>
      <c r="O31" t="inlineStr">
        <is>
          <t>1</t>
        </is>
      </c>
      <c r="P31" t="inlineStr">
        <is>
          <t>5</t>
        </is>
      </c>
      <c r="Q31" t="inlineStr">
        <is>
          <t>30</t>
        </is>
      </c>
      <c r="R31" t="n">
        <v>0.07000000000000001</v>
      </c>
      <c r="S31" t="n">
        <v>0</v>
      </c>
      <c r="T31" t="n">
        <v>0.07000000000000001</v>
      </c>
      <c r="V31" t="inlineStr">
        <is>
          <t>Sí</t>
        </is>
      </c>
      <c r="W31" t="inlineStr"/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MANDARINA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616</v>
      </c>
      <c r="K32" t="n">
        <v>2026</v>
      </c>
      <c r="L32" t="inlineStr">
        <is>
          <t>1</t>
        </is>
      </c>
      <c r="M32" t="inlineStr">
        <is>
          <t>MANDARINA</t>
        </is>
      </c>
      <c r="N32" t="inlineStr">
        <is>
          <t>41055</t>
        </is>
      </c>
      <c r="O32" t="inlineStr">
        <is>
          <t>1</t>
        </is>
      </c>
      <c r="P32" t="inlineStr">
        <is>
          <t>5</t>
        </is>
      </c>
      <c r="Q32" t="inlineStr">
        <is>
          <t>77</t>
        </is>
      </c>
      <c r="R32" t="n">
        <v>0.23</v>
      </c>
      <c r="S32" t="n">
        <v>0</v>
      </c>
      <c r="T32" t="n">
        <v>0.23</v>
      </c>
      <c r="V32" t="inlineStr">
        <is>
          <t>Sí</t>
        </is>
      </c>
      <c r="W32" t="inlineStr"/>
    </row>
    <row r="33">
      <c r="A33" t="n">
        <v>1561</v>
      </c>
      <c r="B33" t="inlineStr">
        <is>
          <t>SUAREZ SANCHEZ, Mª DEL PILAR</t>
        </is>
      </c>
      <c r="C33" t="n">
        <v>616</v>
      </c>
      <c r="D33" t="inlineStr">
        <is>
          <t>MANDARINA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616</v>
      </c>
      <c r="K33" t="n">
        <v>2026</v>
      </c>
      <c r="L33" t="inlineStr">
        <is>
          <t>1</t>
        </is>
      </c>
      <c r="M33" t="inlineStr">
        <is>
          <t>MANDARINA</t>
        </is>
      </c>
      <c r="N33" t="inlineStr">
        <is>
          <t>41055</t>
        </is>
      </c>
      <c r="O33" t="inlineStr">
        <is>
          <t>1</t>
        </is>
      </c>
      <c r="P33" t="inlineStr">
        <is>
          <t>30</t>
        </is>
      </c>
      <c r="Q33" t="inlineStr">
        <is>
          <t>1</t>
        </is>
      </c>
      <c r="R33" t="n">
        <v>3.56</v>
      </c>
      <c r="S33" t="n">
        <v>0</v>
      </c>
      <c r="T33" t="n">
        <v>3.56</v>
      </c>
      <c r="V33" t="inlineStr">
        <is>
          <t>Sí</t>
        </is>
      </c>
      <c r="W33" t="inlineStr"/>
    </row>
    <row r="34">
      <c r="A34" t="n">
        <v>1561</v>
      </c>
      <c r="B34" t="inlineStr">
        <is>
          <t>SUAREZ SANCHEZ, Mª DEL PILAR</t>
        </is>
      </c>
      <c r="C34" t="n">
        <v>616</v>
      </c>
      <c r="D34" t="inlineStr">
        <is>
          <t>MANDARINA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616</v>
      </c>
      <c r="K34" t="n">
        <v>2026</v>
      </c>
      <c r="L34" t="inlineStr">
        <is>
          <t>1</t>
        </is>
      </c>
      <c r="M34" t="inlineStr">
        <is>
          <t>MANDARINA</t>
        </is>
      </c>
      <c r="N34" t="inlineStr">
        <is>
          <t>41055</t>
        </is>
      </c>
      <c r="O34" t="inlineStr">
        <is>
          <t>1</t>
        </is>
      </c>
      <c r="P34" t="inlineStr">
        <is>
          <t>30</t>
        </is>
      </c>
      <c r="Q34" t="inlineStr">
        <is>
          <t>29</t>
        </is>
      </c>
      <c r="R34" t="n">
        <v>3.2</v>
      </c>
      <c r="S34" t="n">
        <v>0</v>
      </c>
      <c r="T34" t="n">
        <v>3.2</v>
      </c>
      <c r="V34" t="inlineStr">
        <is>
          <t>Sí</t>
        </is>
      </c>
      <c r="W34" t="inlineStr"/>
    </row>
    <row r="35">
      <c r="A35" t="n">
        <v>1561</v>
      </c>
      <c r="B35" t="inlineStr">
        <is>
          <t>SUAREZ SANCHEZ, Mª DEL PILAR</t>
        </is>
      </c>
      <c r="C35" t="n">
        <v>616</v>
      </c>
      <c r="D35" t="inlineStr">
        <is>
          <t>MANDARINA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616</v>
      </c>
      <c r="K35" t="n">
        <v>2026</v>
      </c>
      <c r="L35" t="inlineStr">
        <is>
          <t>1</t>
        </is>
      </c>
      <c r="M35" t="inlineStr">
        <is>
          <t>MANDARINA</t>
        </is>
      </c>
      <c r="N35" t="inlineStr">
        <is>
          <t>41055</t>
        </is>
      </c>
      <c r="O35" t="inlineStr">
        <is>
          <t>1</t>
        </is>
      </c>
      <c r="P35" t="inlineStr">
        <is>
          <t>30</t>
        </is>
      </c>
      <c r="Q35" t="inlineStr">
        <is>
          <t>29</t>
        </is>
      </c>
      <c r="R35" t="n">
        <v>0.61</v>
      </c>
      <c r="S35" t="n">
        <v>0</v>
      </c>
      <c r="T35" t="n">
        <v>0.61</v>
      </c>
      <c r="V35" t="inlineStr">
        <is>
          <t>Sí</t>
        </is>
      </c>
      <c r="W35" t="inlineStr"/>
    </row>
    <row r="36">
      <c r="A36" t="n">
        <v>1561</v>
      </c>
      <c r="B36" t="inlineStr">
        <is>
          <t>SUAREZ SANCHEZ, Mª DEL PILAR</t>
        </is>
      </c>
      <c r="C36" t="n">
        <v>616</v>
      </c>
      <c r="D36" t="inlineStr">
        <is>
          <t>MANDARINA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616</v>
      </c>
      <c r="K36" t="n">
        <v>2026</v>
      </c>
      <c r="L36" t="inlineStr">
        <is>
          <t>1</t>
        </is>
      </c>
      <c r="M36" t="inlineStr">
        <is>
          <t>MANDARINA</t>
        </is>
      </c>
      <c r="N36" t="inlineStr">
        <is>
          <t>41055</t>
        </is>
      </c>
      <c r="O36" t="inlineStr">
        <is>
          <t>1</t>
        </is>
      </c>
      <c r="P36" t="inlineStr">
        <is>
          <t>30</t>
        </is>
      </c>
      <c r="Q36" t="inlineStr">
        <is>
          <t>30</t>
        </is>
      </c>
      <c r="R36" t="n">
        <v>0.35</v>
      </c>
      <c r="S36" t="n">
        <v>0</v>
      </c>
      <c r="T36" t="n">
        <v>0.35</v>
      </c>
      <c r="V36" t="inlineStr">
        <is>
          <t>Sí</t>
        </is>
      </c>
      <c r="W36" t="inlineStr"/>
    </row>
    <row r="37">
      <c r="A37" t="n">
        <v>1561</v>
      </c>
      <c r="B37" t="inlineStr">
        <is>
          <t>SUAREZ SANCHEZ, Mª DEL PILAR</t>
        </is>
      </c>
      <c r="C37" t="n">
        <v>616</v>
      </c>
      <c r="D37" t="inlineStr">
        <is>
          <t>MANDARINA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616</v>
      </c>
      <c r="K37" t="n">
        <v>2026</v>
      </c>
      <c r="L37" t="inlineStr">
        <is>
          <t>1</t>
        </is>
      </c>
      <c r="M37" t="inlineStr">
        <is>
          <t>MANDARINA</t>
        </is>
      </c>
      <c r="N37" t="inlineStr">
        <is>
          <t>41055</t>
        </is>
      </c>
      <c r="O37" t="inlineStr">
        <is>
          <t>1</t>
        </is>
      </c>
      <c r="P37" t="inlineStr">
        <is>
          <t>30</t>
        </is>
      </c>
      <c r="Q37" t="inlineStr">
        <is>
          <t>48</t>
        </is>
      </c>
      <c r="R37" t="n">
        <v>0.55</v>
      </c>
      <c r="S37" t="n">
        <v>0</v>
      </c>
      <c r="T37" t="n">
        <v>0.55</v>
      </c>
      <c r="V37" t="inlineStr">
        <is>
          <t>Sí</t>
        </is>
      </c>
      <c r="W37" t="inlineStr"/>
    </row>
    <row r="38">
      <c r="A38" t="n">
        <v>1561</v>
      </c>
      <c r="B38" t="inlineStr">
        <is>
          <t>SUAREZ SANCHEZ, Mª DEL PILAR</t>
        </is>
      </c>
      <c r="C38" t="n">
        <v>616</v>
      </c>
      <c r="D38" t="inlineStr">
        <is>
          <t>MANDARINA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616</v>
      </c>
      <c r="K38" t="n">
        <v>2026</v>
      </c>
      <c r="L38" t="inlineStr">
        <is>
          <t>1</t>
        </is>
      </c>
      <c r="M38" t="inlineStr">
        <is>
          <t>MANDARINA</t>
        </is>
      </c>
      <c r="N38" t="inlineStr">
        <is>
          <t>41055</t>
        </is>
      </c>
      <c r="O38" t="inlineStr">
        <is>
          <t>1</t>
        </is>
      </c>
      <c r="P38" t="inlineStr">
        <is>
          <t>30</t>
        </is>
      </c>
      <c r="Q38" t="inlineStr">
        <is>
          <t>50</t>
        </is>
      </c>
      <c r="R38" t="n">
        <v>0.33</v>
      </c>
      <c r="S38" t="n">
        <v>0</v>
      </c>
      <c r="T38" t="n">
        <v>0.33</v>
      </c>
      <c r="V38" t="inlineStr">
        <is>
          <t>Sí</t>
        </is>
      </c>
      <c r="W38" t="inlineStr"/>
    </row>
    <row r="39">
      <c r="A39" t="n">
        <v>1561</v>
      </c>
      <c r="B39" t="inlineStr">
        <is>
          <t>SUAREZ SANCHEZ, Mª DEL PILAR</t>
        </is>
      </c>
      <c r="C39" t="n">
        <v>616</v>
      </c>
      <c r="D39" t="inlineStr">
        <is>
          <t>MANDARINA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616</v>
      </c>
      <c r="K39" t="n">
        <v>2026</v>
      </c>
      <c r="L39" t="inlineStr">
        <is>
          <t>1</t>
        </is>
      </c>
      <c r="M39" t="inlineStr">
        <is>
          <t>MANDARINA</t>
        </is>
      </c>
      <c r="N39" t="inlineStr">
        <is>
          <t>41055</t>
        </is>
      </c>
      <c r="O39" t="inlineStr">
        <is>
          <t>1</t>
        </is>
      </c>
      <c r="P39" t="inlineStr">
        <is>
          <t>30</t>
        </is>
      </c>
      <c r="Q39" t="inlineStr">
        <is>
          <t>53</t>
        </is>
      </c>
      <c r="R39" t="n">
        <v>0.16</v>
      </c>
      <c r="S39" t="n">
        <v>0</v>
      </c>
      <c r="T39" t="n">
        <v>0.16</v>
      </c>
      <c r="V39" t="inlineStr">
        <is>
          <t>Sí</t>
        </is>
      </c>
      <c r="W39" t="inlineStr"/>
    </row>
    <row r="40">
      <c r="A40" t="n">
        <v>1561</v>
      </c>
      <c r="B40" t="inlineStr">
        <is>
          <t>SUAREZ SANCHEZ, Mª DEL PILAR</t>
        </is>
      </c>
      <c r="C40" t="n">
        <v>616</v>
      </c>
      <c r="D40" t="inlineStr">
        <is>
          <t>MANDARINA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616</v>
      </c>
      <c r="K40" t="n">
        <v>2026</v>
      </c>
      <c r="L40" t="inlineStr">
        <is>
          <t>1</t>
        </is>
      </c>
      <c r="M40" t="inlineStr">
        <is>
          <t>MANDARINA</t>
        </is>
      </c>
      <c r="N40" t="inlineStr">
        <is>
          <t>41055</t>
        </is>
      </c>
      <c r="O40" t="inlineStr">
        <is>
          <t>1</t>
        </is>
      </c>
      <c r="P40" t="inlineStr">
        <is>
          <t>30</t>
        </is>
      </c>
      <c r="Q40" t="inlineStr">
        <is>
          <t>55</t>
        </is>
      </c>
      <c r="R40" t="n">
        <v>0.06</v>
      </c>
      <c r="S40" t="n">
        <v>0</v>
      </c>
      <c r="T40" t="n">
        <v>0.06</v>
      </c>
      <c r="V40" t="inlineStr">
        <is>
          <t>Sí</t>
        </is>
      </c>
      <c r="W40" t="inlineStr"/>
    </row>
    <row r="41">
      <c r="A41" t="n">
        <v>1561</v>
      </c>
      <c r="B41" t="inlineStr">
        <is>
          <t>SUAREZ SANCHEZ, Mª DEL PILAR</t>
        </is>
      </c>
      <c r="C41" t="n">
        <v>616</v>
      </c>
      <c r="D41" t="inlineStr">
        <is>
          <t>MANDARINA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616</v>
      </c>
      <c r="K41" t="n">
        <v>2026</v>
      </c>
      <c r="L41" t="inlineStr">
        <is>
          <t>1</t>
        </is>
      </c>
      <c r="M41" t="inlineStr">
        <is>
          <t>MANDARINA</t>
        </is>
      </c>
      <c r="N41" t="inlineStr">
        <is>
          <t>41055</t>
        </is>
      </c>
      <c r="O41" t="inlineStr">
        <is>
          <t>1</t>
        </is>
      </c>
      <c r="P41" t="inlineStr">
        <is>
          <t>30</t>
        </is>
      </c>
      <c r="Q41" t="inlineStr">
        <is>
          <t>56</t>
        </is>
      </c>
      <c r="R41" t="n">
        <v>0.15</v>
      </c>
      <c r="S41" t="n">
        <v>0</v>
      </c>
      <c r="T41" t="n">
        <v>0.15</v>
      </c>
      <c r="V41" t="inlineStr">
        <is>
          <t>Sí</t>
        </is>
      </c>
      <c r="W41" t="inlineStr"/>
    </row>
    <row r="42">
      <c r="A42" t="n">
        <v>1561</v>
      </c>
      <c r="B42" t="inlineStr">
        <is>
          <t>SUAREZ SANCHEZ, Mª DEL PILAR</t>
        </is>
      </c>
      <c r="C42" t="n">
        <v>632</v>
      </c>
      <c r="D42" t="inlineStr">
        <is>
          <t>MANDARINA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632</v>
      </c>
      <c r="K42" t="n">
        <v>2026</v>
      </c>
      <c r="L42" t="inlineStr">
        <is>
          <t>1</t>
        </is>
      </c>
      <c r="M42" t="inlineStr">
        <is>
          <t>MANDARINA</t>
        </is>
      </c>
      <c r="N42" t="inlineStr">
        <is>
          <t>41055</t>
        </is>
      </c>
      <c r="O42" t="inlineStr">
        <is>
          <t>1</t>
        </is>
      </c>
      <c r="P42" t="inlineStr">
        <is>
          <t>30</t>
        </is>
      </c>
      <c r="R42" t="n">
        <v>4.23</v>
      </c>
      <c r="S42" t="n">
        <v>0</v>
      </c>
      <c r="T42" t="n">
        <v>4.23</v>
      </c>
      <c r="V42" t="inlineStr">
        <is>
          <t>Sí</t>
        </is>
      </c>
      <c r="W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calculated</t>
        </is>
      </c>
      <c r="E2" t="n">
        <v>7.21</v>
      </c>
      <c r="F2" t="n">
        <v>1405.95</v>
      </c>
      <c r="G2" t="n">
        <v>357726</v>
      </c>
      <c r="H2" t="n">
        <v>0.003930242699719897</v>
      </c>
      <c r="I2" t="n">
        <v>17488</v>
      </c>
      <c r="J2" t="n">
        <v>68.73</v>
      </c>
      <c r="K2" t="inlineStr">
        <is>
          <t>No existe tarifa BonCalidad para socio=1355 campaña=2026 empresa=1 cultivo=MANDARINA.;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25834</v>
      </c>
      <c r="J3" t="n">
        <v>159.75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inlineStr">
        <is>
          <t>calculated</t>
        </is>
      </c>
      <c r="E4" t="n">
        <v>17.71</v>
      </c>
      <c r="F4" t="n">
        <v>3453.45</v>
      </c>
      <c r="G4" t="n">
        <v>424745</v>
      </c>
      <c r="H4" t="n">
        <v>0.008130643091737395</v>
      </c>
      <c r="I4" t="n">
        <v>94563</v>
      </c>
      <c r="J4" t="n">
        <v>768.86</v>
      </c>
      <c r="K4" t="inlineStr">
        <is>
          <t>No existe tarifa BonCalidad para socio=1561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17488</v>
      </c>
      <c r="R2" t="n">
        <v>14536.3185</v>
      </c>
      <c r="S2" t="n">
        <v>14536.3185</v>
      </c>
      <c r="T2" t="n">
        <v>262.09</v>
      </c>
      <c r="U2" t="n">
        <v>262.09</v>
      </c>
      <c r="V2" t="n">
        <v>262.09</v>
      </c>
      <c r="W2" t="n">
        <v>262.09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25834</v>
      </c>
      <c r="R3" t="n">
        <v>22089.2342</v>
      </c>
      <c r="S3" t="n">
        <v>22089.2342</v>
      </c>
      <c r="T3" t="n">
        <v>398.27</v>
      </c>
      <c r="U3" t="n">
        <v>398.27</v>
      </c>
      <c r="V3" t="n">
        <v>398.27</v>
      </c>
      <c r="W3" t="n">
        <v>398.27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94563</v>
      </c>
      <c r="R4" t="n">
        <v>77350.59299999999</v>
      </c>
      <c r="S4" t="n">
        <v>77350.59299999999</v>
      </c>
      <c r="T4" t="n">
        <v>1394.63</v>
      </c>
      <c r="U4" t="n">
        <v>1394.63</v>
      </c>
      <c r="V4" t="n">
        <v>1394.63</v>
      </c>
      <c r="W4" t="n">
        <v>1394.63</v>
      </c>
      <c r="X4" t="inlineStr">
        <is>
          <t>calculated</t>
        </is>
      </c>
      <c r="Y4" t="inlineStr"/>
      <c r="Z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7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11989.13</v>
      </c>
      <c r="E2" t="n">
        <v>11989.13</v>
      </c>
      <c r="F2" t="n">
        <v>2186</v>
      </c>
      <c r="G2" t="n">
        <v>68.73</v>
      </c>
      <c r="H2" t="n">
        <v>0</v>
      </c>
      <c r="I2" t="n">
        <v>0</v>
      </c>
      <c r="J2" t="n">
        <v>262.09</v>
      </c>
      <c r="K2" t="n">
        <v>9996.49</v>
      </c>
      <c r="L2" t="n">
        <v>9996.49</v>
      </c>
      <c r="M2" t="n">
        <v>9996.49</v>
      </c>
      <c r="N2" t="n">
        <v>0</v>
      </c>
      <c r="O2" t="n">
        <v>0.57162</v>
      </c>
      <c r="P2" t="n">
        <v>0.62741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17673.1</v>
      </c>
      <c r="E3" t="n">
        <v>17673.1</v>
      </c>
      <c r="F3" t="n">
        <v>0</v>
      </c>
      <c r="G3" t="n">
        <v>159.75</v>
      </c>
      <c r="H3" t="n">
        <v>0</v>
      </c>
      <c r="I3" t="n">
        <v>0</v>
      </c>
      <c r="J3" t="n">
        <v>398.27</v>
      </c>
      <c r="K3" t="n">
        <v>17911.62</v>
      </c>
      <c r="L3" t="n">
        <v>17911.62</v>
      </c>
      <c r="M3" t="n">
        <v>17911.62</v>
      </c>
      <c r="N3" t="n">
        <v>0</v>
      </c>
      <c r="O3" t="n">
        <v>0.69334</v>
      </c>
      <c r="P3" t="n">
        <v>0.761</v>
      </c>
      <c r="Q3" t="inlineStr">
        <is>
          <t>SÍ</t>
        </is>
      </c>
      <c r="R3" t="inlineStr"/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n">
        <v>56263.83</v>
      </c>
      <c r="E4" t="n">
        <v>56263.83</v>
      </c>
      <c r="F4" t="n">
        <v>0</v>
      </c>
      <c r="G4" t="n">
        <v>768.86</v>
      </c>
      <c r="H4" t="n">
        <v>0</v>
      </c>
      <c r="I4" t="n">
        <v>0</v>
      </c>
      <c r="J4" t="n">
        <v>1394.63</v>
      </c>
      <c r="K4" t="n">
        <v>56889.6</v>
      </c>
      <c r="L4" t="n">
        <v>56889.6</v>
      </c>
      <c r="M4" t="n">
        <v>56889.6</v>
      </c>
      <c r="N4" t="n">
        <v>0</v>
      </c>
      <c r="O4" t="n">
        <v>0.60161</v>
      </c>
      <c r="P4" t="n">
        <v>0.66032</v>
      </c>
      <c r="Q4" t="inlineStr">
        <is>
          <t>SÍ</t>
        </is>
      </c>
      <c r="R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9996.49</v>
      </c>
      <c r="E2" t="n">
        <v>12</v>
      </c>
      <c r="F2" t="n">
        <v>1.12</v>
      </c>
      <c r="G2" t="n">
        <v>1199.58</v>
      </c>
      <c r="H2" t="n">
        <v>11196.07</v>
      </c>
      <c r="I2" t="n">
        <v>2</v>
      </c>
      <c r="J2" t="n">
        <v>0.98</v>
      </c>
      <c r="K2" t="n">
        <v>223.92</v>
      </c>
      <c r="L2" t="n">
        <v>10972.15</v>
      </c>
      <c r="M2" t="n">
        <v>10972.15</v>
      </c>
      <c r="N2" t="n">
        <v>10972.15</v>
      </c>
      <c r="O2" t="n">
        <v>17488</v>
      </c>
      <c r="P2" t="n">
        <v>0.62741</v>
      </c>
      <c r="Q2" t="n">
        <v>0.62741</v>
      </c>
      <c r="R2" t="n">
        <v>0.62741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17911.62</v>
      </c>
      <c r="E3" t="n">
        <v>12</v>
      </c>
      <c r="F3" t="n">
        <v>1.12</v>
      </c>
      <c r="G3" t="n">
        <v>2149.39</v>
      </c>
      <c r="H3" t="n">
        <v>20061.01</v>
      </c>
      <c r="I3" t="n">
        <v>2</v>
      </c>
      <c r="J3" t="n">
        <v>0.98</v>
      </c>
      <c r="K3" t="n">
        <v>401.22</v>
      </c>
      <c r="L3" t="n">
        <v>19659.79</v>
      </c>
      <c r="M3" t="n">
        <v>19659.79</v>
      </c>
      <c r="N3" t="n">
        <v>19659.79</v>
      </c>
      <c r="O3" t="n">
        <v>25834</v>
      </c>
      <c r="P3" t="n">
        <v>0.761</v>
      </c>
      <c r="Q3" t="n">
        <v>0.761</v>
      </c>
      <c r="R3" t="n">
        <v>0.761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n">
        <v>56889.6</v>
      </c>
      <c r="E4" t="n">
        <v>12</v>
      </c>
      <c r="F4" t="n">
        <v>1.12</v>
      </c>
      <c r="G4" t="n">
        <v>6826.75</v>
      </c>
      <c r="H4" t="n">
        <v>63716.35</v>
      </c>
      <c r="I4" t="n">
        <v>2</v>
      </c>
      <c r="J4" t="n">
        <v>0.98</v>
      </c>
      <c r="K4" t="n">
        <v>1274.33</v>
      </c>
      <c r="L4" t="n">
        <v>62442.02</v>
      </c>
      <c r="M4" t="n">
        <v>62442.02</v>
      </c>
      <c r="N4" t="n">
        <v>62442.02</v>
      </c>
      <c r="O4" t="n">
        <v>94563</v>
      </c>
      <c r="P4" t="n">
        <v>0.66032</v>
      </c>
      <c r="Q4" t="n">
        <v>0.66032</v>
      </c>
      <c r="R4" t="n">
        <v>0.66032</v>
      </c>
      <c r="S4" t="n">
        <v>0</v>
      </c>
      <c r="T4" t="n">
        <v>0</v>
      </c>
      <c r="U4" t="inlineStr">
        <is>
          <t>SÍ</t>
        </is>
      </c>
      <c r="V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7</v>
      </c>
      <c r="J2" t="n">
        <v>0</v>
      </c>
      <c r="K2" t="n">
        <v>0</v>
      </c>
      <c r="L2" t="n">
        <v>7.21</v>
      </c>
      <c r="M2" t="n">
        <v>195</v>
      </c>
      <c r="N2" t="n">
        <v>1405.95</v>
      </c>
      <c r="O2" t="n">
        <v>357726</v>
      </c>
      <c r="P2" t="n">
        <v>0.003930242699719897</v>
      </c>
      <c r="Q2" t="n">
        <v>17488</v>
      </c>
      <c r="R2" t="n">
        <v>68.73</v>
      </c>
      <c r="S2" t="n">
        <v>0</v>
      </c>
      <c r="T2" t="n">
        <v>68.73</v>
      </c>
      <c r="U2" t="n">
        <v>1337.22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socio=1355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25834</v>
      </c>
      <c r="R3" t="n">
        <v>159.75</v>
      </c>
      <c r="S3" t="n">
        <v>0</v>
      </c>
      <c r="T3" t="n">
        <v>159.75</v>
      </c>
      <c r="U3" t="n">
        <v>3170.85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5</v>
      </c>
      <c r="H4" t="n">
        <v>4</v>
      </c>
      <c r="I4" t="n">
        <v>14</v>
      </c>
      <c r="J4" t="n">
        <v>4</v>
      </c>
      <c r="K4" t="n">
        <v>0</v>
      </c>
      <c r="L4" t="n">
        <v>17.71</v>
      </c>
      <c r="M4" t="n">
        <v>195</v>
      </c>
      <c r="N4" t="n">
        <v>3453.45</v>
      </c>
      <c r="O4" t="n">
        <v>424745</v>
      </c>
      <c r="P4" t="n">
        <v>0.008130643091737395</v>
      </c>
      <c r="Q4" t="n">
        <v>94563</v>
      </c>
      <c r="R4" t="n">
        <v>768.86</v>
      </c>
      <c r="S4" t="n">
        <v>0</v>
      </c>
      <c r="T4" t="n">
        <v>768.86</v>
      </c>
      <c r="U4" t="n">
        <v>2684.59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socio=1561 campaña=2026 empresa=1 cultivo=MANDARINA.; No existe fuente acumulada disponible; saldo informativo calculado con cuota ya aplicada = 0.</t>
        </is>
      </c>
      <c r="Y4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9213</t>
        </is>
      </c>
      <c r="E2" t="inlineStr">
        <is>
          <t>13</t>
        </is>
      </c>
      <c r="F2" t="inlineStr">
        <is>
          <t>45</t>
        </is>
      </c>
      <c r="G2" t="inlineStr">
        <is>
          <t>3</t>
        </is>
      </c>
      <c r="H2" t="n">
        <v>2018</v>
      </c>
      <c r="I2" t="n">
        <v>0.51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7.21</v>
      </c>
      <c r="P2" t="n">
        <v>1405.95</v>
      </c>
      <c r="Q2" t="n">
        <v>357726</v>
      </c>
      <c r="R2" t="n">
        <v>0.003930242699719897</v>
      </c>
      <c r="S2" t="n">
        <v>17488</v>
      </c>
      <c r="T2" t="n">
        <v>68.73</v>
      </c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9214</t>
        </is>
      </c>
      <c r="E3" t="inlineStr">
        <is>
          <t>13</t>
        </is>
      </c>
      <c r="F3" t="inlineStr">
        <is>
          <t>49</t>
        </is>
      </c>
      <c r="G3" t="inlineStr">
        <is>
          <t>1</t>
        </is>
      </c>
      <c r="H3" t="n">
        <v>2018</v>
      </c>
      <c r="I3" t="n">
        <v>2.37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7.21</v>
      </c>
      <c r="P3" t="n">
        <v>1405.95</v>
      </c>
      <c r="Q3" t="n">
        <v>357726</v>
      </c>
      <c r="R3" t="n">
        <v>0.003930242699719897</v>
      </c>
      <c r="S3" t="n">
        <v>17488</v>
      </c>
      <c r="T3" t="n">
        <v>68.73</v>
      </c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9215</t>
        </is>
      </c>
      <c r="E4" t="inlineStr">
        <is>
          <t>13</t>
        </is>
      </c>
      <c r="F4" t="inlineStr">
        <is>
          <t>50</t>
        </is>
      </c>
      <c r="G4" t="inlineStr">
        <is>
          <t>2</t>
        </is>
      </c>
      <c r="H4" t="n">
        <v>2018</v>
      </c>
      <c r="I4" t="n">
        <v>1.94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7.21</v>
      </c>
      <c r="P4" t="n">
        <v>1405.95</v>
      </c>
      <c r="Q4" t="n">
        <v>357726</v>
      </c>
      <c r="R4" t="n">
        <v>0.003930242699719897</v>
      </c>
      <c r="S4" t="n">
        <v>17488</v>
      </c>
      <c r="T4" t="n">
        <v>68.73</v>
      </c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9598</t>
        </is>
      </c>
      <c r="E5" t="inlineStr">
        <is>
          <t>29</t>
        </is>
      </c>
      <c r="F5" t="inlineStr">
        <is>
          <t>71</t>
        </is>
      </c>
      <c r="G5" t="inlineStr">
        <is>
          <t>1</t>
        </is>
      </c>
      <c r="H5" t="n">
        <v>2016</v>
      </c>
      <c r="I5" t="n">
        <v>0.06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7.21</v>
      </c>
      <c r="P5" t="n">
        <v>1405.95</v>
      </c>
      <c r="Q5" t="n">
        <v>357726</v>
      </c>
      <c r="R5" t="n">
        <v>0.003930242699719897</v>
      </c>
      <c r="S5" t="n">
        <v>17488</v>
      </c>
      <c r="T5" t="n">
        <v>68.73</v>
      </c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9599</t>
        </is>
      </c>
      <c r="E6" t="inlineStr">
        <is>
          <t>29</t>
        </is>
      </c>
      <c r="F6" t="inlineStr">
        <is>
          <t>71</t>
        </is>
      </c>
      <c r="G6" t="inlineStr">
        <is>
          <t>2</t>
        </is>
      </c>
      <c r="H6" t="n">
        <v>2016</v>
      </c>
      <c r="I6" t="n">
        <v>1.21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7.21</v>
      </c>
      <c r="P6" t="n">
        <v>1405.95</v>
      </c>
      <c r="Q6" t="n">
        <v>357726</v>
      </c>
      <c r="R6" t="n">
        <v>0.003930242699719897</v>
      </c>
      <c r="S6" t="n">
        <v>17488</v>
      </c>
      <c r="T6" t="n">
        <v>68.73</v>
      </c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9600</t>
        </is>
      </c>
      <c r="E7" t="inlineStr">
        <is>
          <t>29</t>
        </is>
      </c>
      <c r="F7" t="inlineStr">
        <is>
          <t>69</t>
        </is>
      </c>
      <c r="G7" t="inlineStr">
        <is>
          <t>3</t>
        </is>
      </c>
      <c r="H7" t="n">
        <v>2016</v>
      </c>
      <c r="I7" t="n">
        <v>0.98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7.21</v>
      </c>
      <c r="P7" t="n">
        <v>1405.95</v>
      </c>
      <c r="Q7" t="n">
        <v>357726</v>
      </c>
      <c r="R7" t="n">
        <v>0.003930242699719897</v>
      </c>
      <c r="S7" t="n">
        <v>17488</v>
      </c>
      <c r="T7" t="n">
        <v>68.73</v>
      </c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9601</t>
        </is>
      </c>
      <c r="E8" t="inlineStr">
        <is>
          <t>29</t>
        </is>
      </c>
      <c r="F8" t="inlineStr">
        <is>
          <t>69</t>
        </is>
      </c>
      <c r="G8" t="inlineStr">
        <is>
          <t>4</t>
        </is>
      </c>
      <c r="H8" t="n">
        <v>2016</v>
      </c>
      <c r="I8" t="n">
        <v>0.14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7.21</v>
      </c>
      <c r="P8" t="n">
        <v>1405.95</v>
      </c>
      <c r="Q8" t="n">
        <v>357726</v>
      </c>
      <c r="R8" t="n">
        <v>0.003930242699719897</v>
      </c>
      <c r="S8" t="n">
        <v>17488</v>
      </c>
      <c r="T8" t="n">
        <v>68.73</v>
      </c>
    </row>
    <row r="9">
      <c r="A9" t="n">
        <v>1443</v>
      </c>
      <c r="B9" t="inlineStr">
        <is>
          <t>TOMENO SUAREZ,ALBERTO</t>
        </is>
      </c>
      <c r="C9" t="n">
        <v>42</v>
      </c>
      <c r="D9" t="inlineStr">
        <is>
          <t>9005</t>
        </is>
      </c>
      <c r="E9" t="inlineStr">
        <is>
          <t>21</t>
        </is>
      </c>
      <c r="F9" t="inlineStr">
        <is>
          <t>13</t>
        </is>
      </c>
      <c r="G9" t="inlineStr">
        <is>
          <t>10</t>
        </is>
      </c>
      <c r="H9" t="n">
        <v>2010</v>
      </c>
      <c r="I9" t="n">
        <v>1.35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17.08</v>
      </c>
      <c r="P9" t="n">
        <v>3330.6</v>
      </c>
      <c r="Q9" t="n">
        <v>538619</v>
      </c>
      <c r="R9" t="n">
        <v>0.006183591741100852</v>
      </c>
      <c r="S9" t="n">
        <v>25834</v>
      </c>
      <c r="T9" t="n">
        <v>159.75</v>
      </c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9006</t>
        </is>
      </c>
      <c r="E10" t="inlineStr">
        <is>
          <t>21</t>
        </is>
      </c>
      <c r="F10" t="inlineStr">
        <is>
          <t>13</t>
        </is>
      </c>
      <c r="G10" t="inlineStr">
        <is>
          <t>3</t>
        </is>
      </c>
      <c r="H10" t="n">
        <v>2010</v>
      </c>
      <c r="I10" t="n">
        <v>1.28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25834</v>
      </c>
      <c r="T10" t="n">
        <v>159.75</v>
      </c>
    </row>
    <row r="11">
      <c r="A11" t="n">
        <v>1443</v>
      </c>
      <c r="B11" t="inlineStr">
        <is>
          <t>TOMENO SUAREZ,ALBERTO</t>
        </is>
      </c>
      <c r="C11" t="n">
        <v>46</v>
      </c>
      <c r="D11" t="inlineStr">
        <is>
          <t>9007</t>
        </is>
      </c>
      <c r="E11" t="inlineStr">
        <is>
          <t>21</t>
        </is>
      </c>
      <c r="F11" t="inlineStr">
        <is>
          <t>13</t>
        </is>
      </c>
      <c r="G11" t="inlineStr">
        <is>
          <t>1</t>
        </is>
      </c>
      <c r="H11" t="n">
        <v>2007</v>
      </c>
      <c r="I11" t="n">
        <v>1.45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25834</v>
      </c>
      <c r="T11" t="n">
        <v>159.75</v>
      </c>
    </row>
    <row r="12">
      <c r="A12" t="n">
        <v>1443</v>
      </c>
      <c r="B12" t="inlineStr">
        <is>
          <t>TOMENO SUAREZ,ALBERTO</t>
        </is>
      </c>
      <c r="C12" t="n">
        <v>671</v>
      </c>
      <c r="D12" t="inlineStr">
        <is>
          <t>6368</t>
        </is>
      </c>
      <c r="E12" t="inlineStr">
        <is>
          <t>21</t>
        </is>
      </c>
      <c r="F12" t="inlineStr">
        <is>
          <t>15</t>
        </is>
      </c>
      <c r="G12" t="inlineStr">
        <is>
          <t>1</t>
        </is>
      </c>
      <c r="H12" t="n">
        <v>2024</v>
      </c>
      <c r="I12" t="n">
        <v>2.6</v>
      </c>
      <c r="J12" t="n">
        <v>1</v>
      </c>
      <c r="L12" t="inlineStr">
        <is>
          <t>No</t>
        </is>
      </c>
      <c r="M12" t="inlineStr">
        <is>
          <t>No</t>
        </is>
      </c>
      <c r="N12" t="inlineStr">
        <is>
          <t>PLANTACION_MENOR_CINCO_ANOS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25834</v>
      </c>
      <c r="T12" t="n">
        <v>159.75</v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9003</t>
        </is>
      </c>
      <c r="E13" t="inlineStr">
        <is>
          <t>21</t>
        </is>
      </c>
      <c r="F13" t="inlineStr">
        <is>
          <t>13</t>
        </is>
      </c>
      <c r="G13" t="inlineStr">
        <is>
          <t>10</t>
        </is>
      </c>
      <c r="H13" t="n">
        <v>2023</v>
      </c>
      <c r="I13" t="n">
        <v>0.93</v>
      </c>
      <c r="J13" t="n">
        <v>1</v>
      </c>
      <c r="L13" t="inlineStr">
        <is>
          <t>No</t>
        </is>
      </c>
      <c r="M13" t="inlineStr">
        <is>
          <t>No</t>
        </is>
      </c>
      <c r="N13" t="inlineStr">
        <is>
          <t>PLANTACION_MENOR_CINCO_ANOS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25834</v>
      </c>
      <c r="T13" t="n">
        <v>159.75</v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9004</t>
        </is>
      </c>
      <c r="E14" t="inlineStr">
        <is>
          <t>21</t>
        </is>
      </c>
      <c r="F14" t="inlineStr">
        <is>
          <t>13</t>
        </is>
      </c>
      <c r="G14" t="inlineStr">
        <is>
          <t>3</t>
        </is>
      </c>
      <c r="H14" t="n">
        <v>2023</v>
      </c>
      <c r="I14" t="n">
        <v>0.88</v>
      </c>
      <c r="J14" t="n">
        <v>1</v>
      </c>
      <c r="L14" t="inlineStr">
        <is>
          <t>No</t>
        </is>
      </c>
      <c r="M14" t="inlineStr">
        <is>
          <t>No</t>
        </is>
      </c>
      <c r="N14" t="inlineStr">
        <is>
          <t>PLANTACION_MENOR_CINCO_ANOS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25834</v>
      </c>
      <c r="T14" t="n">
        <v>159.75</v>
      </c>
    </row>
    <row r="15">
      <c r="A15" t="n">
        <v>1443</v>
      </c>
      <c r="B15" t="inlineStr">
        <is>
          <t>TOMENO SUAREZ,ALBERTO</t>
        </is>
      </c>
      <c r="C15" t="n">
        <v>611</v>
      </c>
      <c r="D15" t="inlineStr">
        <is>
          <t>6473</t>
        </is>
      </c>
      <c r="E15" t="inlineStr">
        <is>
          <t>15</t>
        </is>
      </c>
      <c r="F15" t="inlineStr">
        <is>
          <t>123</t>
        </is>
      </c>
      <c r="G15" t="inlineStr">
        <is>
          <t>1</t>
        </is>
      </c>
      <c r="H15" t="n">
        <v>2016</v>
      </c>
      <c r="I15" t="n">
        <v>4.4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25834</v>
      </c>
      <c r="T15" t="n">
        <v>159.75</v>
      </c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6474</t>
        </is>
      </c>
      <c r="E16" t="inlineStr">
        <is>
          <t>19</t>
        </is>
      </c>
      <c r="F16" t="inlineStr">
        <is>
          <t>5</t>
        </is>
      </c>
      <c r="G16" t="inlineStr">
        <is>
          <t>5</t>
        </is>
      </c>
      <c r="H16" t="n">
        <v>2017</v>
      </c>
      <c r="I16" t="n">
        <v>0.03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25834</v>
      </c>
      <c r="T16" t="n">
        <v>159.75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6475</t>
        </is>
      </c>
      <c r="E17" t="inlineStr">
        <is>
          <t>19</t>
        </is>
      </c>
      <c r="F17" t="inlineStr">
        <is>
          <t>7</t>
        </is>
      </c>
      <c r="G17" t="inlineStr">
        <is>
          <t>4</t>
        </is>
      </c>
      <c r="H17" t="n">
        <v>2017</v>
      </c>
      <c r="I17" t="n">
        <v>0.08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25834</v>
      </c>
      <c r="T17" t="n">
        <v>159.75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9581</t>
        </is>
      </c>
      <c r="E18" t="inlineStr">
        <is>
          <t>19</t>
        </is>
      </c>
      <c r="F18" t="inlineStr">
        <is>
          <t>6</t>
        </is>
      </c>
      <c r="G18" t="inlineStr">
        <is>
          <t>1</t>
        </is>
      </c>
      <c r="H18" t="n">
        <v>2017</v>
      </c>
      <c r="I18" t="n">
        <v>1.92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25834</v>
      </c>
      <c r="T18" t="n">
        <v>159.75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9582</t>
        </is>
      </c>
      <c r="E19" t="inlineStr">
        <is>
          <t>19</t>
        </is>
      </c>
      <c r="F19" t="inlineStr">
        <is>
          <t>6</t>
        </is>
      </c>
      <c r="G19" t="inlineStr">
        <is>
          <t>3</t>
        </is>
      </c>
      <c r="H19" t="n">
        <v>2017</v>
      </c>
      <c r="I19" t="n">
        <v>1.58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25834</v>
      </c>
      <c r="T19" t="n">
        <v>159.75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9583</t>
        </is>
      </c>
      <c r="E20" t="inlineStr">
        <is>
          <t>19</t>
        </is>
      </c>
      <c r="F20" t="inlineStr">
        <is>
          <t>7</t>
        </is>
      </c>
      <c r="G20" t="inlineStr">
        <is>
          <t>1</t>
        </is>
      </c>
      <c r="H20" t="n">
        <v>2017</v>
      </c>
      <c r="I20" t="n">
        <v>3.91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25834</v>
      </c>
      <c r="T20" t="n">
        <v>159.75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9584</t>
        </is>
      </c>
      <c r="E21" t="inlineStr">
        <is>
          <t>19</t>
        </is>
      </c>
      <c r="F21" t="inlineStr">
        <is>
          <t>7</t>
        </is>
      </c>
      <c r="G21" t="inlineStr">
        <is>
          <t>2</t>
        </is>
      </c>
      <c r="H21" t="n">
        <v>2017</v>
      </c>
      <c r="I21" t="n">
        <v>0.5600000000000001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25834</v>
      </c>
      <c r="T21" t="n">
        <v>159.75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9585</t>
        </is>
      </c>
      <c r="E22" t="inlineStr">
        <is>
          <t>19</t>
        </is>
      </c>
      <c r="F22" t="inlineStr">
        <is>
          <t>24</t>
        </is>
      </c>
      <c r="G22" t="inlineStr">
        <is>
          <t>2</t>
        </is>
      </c>
      <c r="H22" t="n">
        <v>2017</v>
      </c>
      <c r="I22" t="n">
        <v>0.29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25834</v>
      </c>
      <c r="T22" t="n">
        <v>159.75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9586</t>
        </is>
      </c>
      <c r="E23" t="inlineStr">
        <is>
          <t>19</t>
        </is>
      </c>
      <c r="F23" t="inlineStr">
        <is>
          <t>7</t>
        </is>
      </c>
      <c r="G23" t="inlineStr">
        <is>
          <t>5</t>
        </is>
      </c>
      <c r="H23" t="n">
        <v>2017</v>
      </c>
      <c r="I23" t="n">
        <v>0.23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25834</v>
      </c>
      <c r="T23" t="n">
        <v>159.75</v>
      </c>
    </row>
    <row r="24">
      <c r="A24" t="n">
        <v>1561</v>
      </c>
      <c r="B24" t="inlineStr">
        <is>
          <t>SUAREZ SANCHEZ, Mª DEL PILAR</t>
        </is>
      </c>
      <c r="C24" t="n">
        <v>962</v>
      </c>
      <c r="I24" t="n">
        <v>12.94</v>
      </c>
      <c r="J24" t="n">
        <v>0</v>
      </c>
      <c r="M24" t="inlineStr">
        <is>
          <t>No</t>
        </is>
      </c>
      <c r="N24" t="inlineStr">
        <is>
          <t>CHA_NO_SELECCIONADO; CHA_NO_ACTIVO</t>
        </is>
      </c>
      <c r="O24" t="n">
        <v>17.71</v>
      </c>
      <c r="P24" t="n">
        <v>3453.45</v>
      </c>
      <c r="Q24" t="n">
        <v>424745</v>
      </c>
      <c r="R24" t="n">
        <v>0.008130643091737395</v>
      </c>
      <c r="S24" t="n">
        <v>94563</v>
      </c>
      <c r="T24" t="n">
        <v>768.86</v>
      </c>
    </row>
    <row r="25">
      <c r="A25" t="n">
        <v>1561</v>
      </c>
      <c r="B25" t="inlineStr">
        <is>
          <t>SUAREZ SANCHEZ, Mª DEL PILAR</t>
        </is>
      </c>
      <c r="C25" t="n">
        <v>593</v>
      </c>
      <c r="D25" t="inlineStr">
        <is>
          <t>9495</t>
        </is>
      </c>
      <c r="E25" t="inlineStr">
        <is>
          <t>18</t>
        </is>
      </c>
      <c r="F25" t="inlineStr">
        <is>
          <t>4</t>
        </is>
      </c>
      <c r="G25" t="inlineStr">
        <is>
          <t>30</t>
        </is>
      </c>
      <c r="H25" t="n">
        <v>2008</v>
      </c>
      <c r="I25" t="n">
        <v>0.83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17.71</v>
      </c>
      <c r="P25" t="n">
        <v>3453.45</v>
      </c>
      <c r="Q25" t="n">
        <v>424745</v>
      </c>
      <c r="R25" t="n">
        <v>0.008130643091737395</v>
      </c>
      <c r="S25" t="n">
        <v>94563</v>
      </c>
      <c r="T25" t="n">
        <v>768.86</v>
      </c>
    </row>
    <row r="26">
      <c r="A26" t="n">
        <v>1561</v>
      </c>
      <c r="B26" t="inlineStr">
        <is>
          <t>SUAREZ SANCHEZ, Mª DEL PILAR</t>
        </is>
      </c>
      <c r="C26" t="n">
        <v>593</v>
      </c>
      <c r="D26" t="inlineStr">
        <is>
          <t>9496</t>
        </is>
      </c>
      <c r="E26" t="inlineStr">
        <is>
          <t>18</t>
        </is>
      </c>
      <c r="F26" t="inlineStr">
        <is>
          <t>18</t>
        </is>
      </c>
      <c r="G26" t="inlineStr">
        <is>
          <t>51</t>
        </is>
      </c>
      <c r="H26" t="n">
        <v>2008</v>
      </c>
      <c r="I26" t="n">
        <v>3.38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17.71</v>
      </c>
      <c r="P26" t="n">
        <v>3453.45</v>
      </c>
      <c r="Q26" t="n">
        <v>424745</v>
      </c>
      <c r="R26" t="n">
        <v>0.008130643091737395</v>
      </c>
      <c r="S26" t="n">
        <v>94563</v>
      </c>
      <c r="T26" t="n">
        <v>768.86</v>
      </c>
    </row>
    <row r="27">
      <c r="A27" t="n">
        <v>1561</v>
      </c>
      <c r="B27" t="inlineStr">
        <is>
          <t>SUAREZ SANCHEZ, Mª DEL PILAR</t>
        </is>
      </c>
      <c r="C27" t="n">
        <v>670</v>
      </c>
      <c r="D27" t="inlineStr">
        <is>
          <t>9491</t>
        </is>
      </c>
      <c r="E27" t="inlineStr">
        <is>
          <t>18</t>
        </is>
      </c>
      <c r="F27" t="inlineStr">
        <is>
          <t>18</t>
        </is>
      </c>
      <c r="G27" t="inlineStr">
        <is>
          <t>122</t>
        </is>
      </c>
      <c r="H27" t="n">
        <v>2023</v>
      </c>
      <c r="I27" t="n">
        <v>6.09</v>
      </c>
      <c r="J27" t="n">
        <v>1</v>
      </c>
      <c r="L27" t="inlineStr">
        <is>
          <t>No</t>
        </is>
      </c>
      <c r="M27" t="inlineStr">
        <is>
          <t>No</t>
        </is>
      </c>
      <c r="N27" t="inlineStr">
        <is>
          <t>PLANTACION_MENOR_CINCO_ANOS</t>
        </is>
      </c>
      <c r="O27" t="n">
        <v>17.71</v>
      </c>
      <c r="P27" t="n">
        <v>3453.45</v>
      </c>
      <c r="Q27" t="n">
        <v>424745</v>
      </c>
      <c r="R27" t="n">
        <v>0.008130643091737395</v>
      </c>
      <c r="S27" t="n">
        <v>94563</v>
      </c>
      <c r="T27" t="n">
        <v>768.86</v>
      </c>
    </row>
    <row r="28">
      <c r="A28" t="n">
        <v>1561</v>
      </c>
      <c r="B28" t="inlineStr">
        <is>
          <t>SUAREZ SANCHEZ, Mª DEL PILAR</t>
        </is>
      </c>
      <c r="C28" t="n">
        <v>670</v>
      </c>
      <c r="D28" t="inlineStr">
        <is>
          <t>9492</t>
        </is>
      </c>
      <c r="E28" t="inlineStr">
        <is>
          <t>18</t>
        </is>
      </c>
      <c r="F28" t="inlineStr">
        <is>
          <t>18</t>
        </is>
      </c>
      <c r="G28" t="inlineStr">
        <is>
          <t>119</t>
        </is>
      </c>
      <c r="H28" t="n">
        <v>2023</v>
      </c>
      <c r="I28" t="n">
        <v>0.36</v>
      </c>
      <c r="J28" t="n">
        <v>1</v>
      </c>
      <c r="L28" t="inlineStr">
        <is>
          <t>No</t>
        </is>
      </c>
      <c r="M28" t="inlineStr">
        <is>
          <t>No</t>
        </is>
      </c>
      <c r="N28" t="inlineStr">
        <is>
          <t>PLANTACION_MENOR_CINCO_ANOS</t>
        </is>
      </c>
      <c r="O28" t="n">
        <v>17.71</v>
      </c>
      <c r="P28" t="n">
        <v>3453.45</v>
      </c>
      <c r="Q28" t="n">
        <v>424745</v>
      </c>
      <c r="R28" t="n">
        <v>0.008130643091737395</v>
      </c>
      <c r="S28" t="n">
        <v>94563</v>
      </c>
      <c r="T28" t="n">
        <v>768.86</v>
      </c>
    </row>
    <row r="29">
      <c r="A29" t="n">
        <v>1561</v>
      </c>
      <c r="B29" t="inlineStr">
        <is>
          <t>SUAREZ SANCHEZ, Mª DEL PILAR</t>
        </is>
      </c>
      <c r="C29" t="n">
        <v>670</v>
      </c>
      <c r="D29" t="inlineStr">
        <is>
          <t>9493</t>
        </is>
      </c>
      <c r="E29" t="inlineStr">
        <is>
          <t>18</t>
        </is>
      </c>
      <c r="F29" t="inlineStr">
        <is>
          <t>18</t>
        </is>
      </c>
      <c r="G29" t="inlineStr">
        <is>
          <t>115</t>
        </is>
      </c>
      <c r="H29" t="n">
        <v>2023</v>
      </c>
      <c r="I29" t="n">
        <v>0.12</v>
      </c>
      <c r="J29" t="n">
        <v>1</v>
      </c>
      <c r="L29" t="inlineStr">
        <is>
          <t>No</t>
        </is>
      </c>
      <c r="M29" t="inlineStr">
        <is>
          <t>No</t>
        </is>
      </c>
      <c r="N29" t="inlineStr">
        <is>
          <t>PLANTACION_MENOR_CINCO_ANOS</t>
        </is>
      </c>
      <c r="O29" t="n">
        <v>17.71</v>
      </c>
      <c r="P29" t="n">
        <v>3453.45</v>
      </c>
      <c r="Q29" t="n">
        <v>424745</v>
      </c>
      <c r="R29" t="n">
        <v>0.008130643091737395</v>
      </c>
      <c r="S29" t="n">
        <v>94563</v>
      </c>
      <c r="T29" t="n">
        <v>768.86</v>
      </c>
    </row>
    <row r="30">
      <c r="A30" t="n">
        <v>1561</v>
      </c>
      <c r="B30" t="inlineStr">
        <is>
          <t>SUAREZ SANCHEZ, Mª DEL PILAR</t>
        </is>
      </c>
      <c r="C30" t="n">
        <v>670</v>
      </c>
      <c r="D30" t="inlineStr">
        <is>
          <t>9494</t>
        </is>
      </c>
      <c r="E30" t="inlineStr">
        <is>
          <t>18</t>
        </is>
      </c>
      <c r="F30" t="inlineStr">
        <is>
          <t>18</t>
        </is>
      </c>
      <c r="G30" t="inlineStr">
        <is>
          <t>10</t>
        </is>
      </c>
      <c r="H30" t="n">
        <v>2023</v>
      </c>
      <c r="I30" t="n">
        <v>6.37</v>
      </c>
      <c r="J30" t="n">
        <v>1</v>
      </c>
      <c r="L30" t="inlineStr">
        <is>
          <t>No</t>
        </is>
      </c>
      <c r="M30" t="inlineStr">
        <is>
          <t>No</t>
        </is>
      </c>
      <c r="N30" t="inlineStr">
        <is>
          <t>PLANTACION_MENOR_CINCO_ANOS</t>
        </is>
      </c>
      <c r="O30" t="n">
        <v>17.71</v>
      </c>
      <c r="P30" t="n">
        <v>3453.45</v>
      </c>
      <c r="Q30" t="n">
        <v>424745</v>
      </c>
      <c r="R30" t="n">
        <v>0.008130643091737395</v>
      </c>
      <c r="S30" t="n">
        <v>94563</v>
      </c>
      <c r="T30" t="n">
        <v>768.86</v>
      </c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6461</t>
        </is>
      </c>
      <c r="E31" t="inlineStr">
        <is>
          <t>1</t>
        </is>
      </c>
      <c r="F31" t="inlineStr">
        <is>
          <t>5</t>
        </is>
      </c>
      <c r="G31" t="inlineStr">
        <is>
          <t>30</t>
        </is>
      </c>
      <c r="H31" t="n">
        <v>2017</v>
      </c>
      <c r="I31" t="n">
        <v>0.07000000000000001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17.71</v>
      </c>
      <c r="P31" t="n">
        <v>3453.45</v>
      </c>
      <c r="Q31" t="n">
        <v>424745</v>
      </c>
      <c r="R31" t="n">
        <v>0.008130643091737395</v>
      </c>
      <c r="S31" t="n">
        <v>94563</v>
      </c>
      <c r="T31" t="n">
        <v>768.86</v>
      </c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6462</t>
        </is>
      </c>
      <c r="E32" t="inlineStr">
        <is>
          <t>1</t>
        </is>
      </c>
      <c r="F32" t="inlineStr">
        <is>
          <t>5</t>
        </is>
      </c>
      <c r="G32" t="inlineStr">
        <is>
          <t>77</t>
        </is>
      </c>
      <c r="H32" t="n">
        <v>2017</v>
      </c>
      <c r="I32" t="n">
        <v>0.23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17.71</v>
      </c>
      <c r="P32" t="n">
        <v>3453.45</v>
      </c>
      <c r="Q32" t="n">
        <v>424745</v>
      </c>
      <c r="R32" t="n">
        <v>0.008130643091737395</v>
      </c>
      <c r="S32" t="n">
        <v>94563</v>
      </c>
      <c r="T32" t="n">
        <v>768.86</v>
      </c>
    </row>
    <row r="33">
      <c r="A33" t="n">
        <v>1561</v>
      </c>
      <c r="B33" t="inlineStr">
        <is>
          <t>SUAREZ SANCHEZ, Mª DEL PILAR</t>
        </is>
      </c>
      <c r="C33" t="n">
        <v>616</v>
      </c>
      <c r="D33" t="inlineStr">
        <is>
          <t>6463</t>
        </is>
      </c>
      <c r="E33" t="inlineStr">
        <is>
          <t>1</t>
        </is>
      </c>
      <c r="F33" t="inlineStr">
        <is>
          <t>30</t>
        </is>
      </c>
      <c r="G33" t="inlineStr">
        <is>
          <t>1</t>
        </is>
      </c>
      <c r="H33" t="n">
        <v>2017</v>
      </c>
      <c r="I33" t="n">
        <v>3.56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17.71</v>
      </c>
      <c r="P33" t="n">
        <v>3453.45</v>
      </c>
      <c r="Q33" t="n">
        <v>424745</v>
      </c>
      <c r="R33" t="n">
        <v>0.008130643091737395</v>
      </c>
      <c r="S33" t="n">
        <v>94563</v>
      </c>
      <c r="T33" t="n">
        <v>768.86</v>
      </c>
    </row>
    <row r="34">
      <c r="A34" t="n">
        <v>1561</v>
      </c>
      <c r="B34" t="inlineStr">
        <is>
          <t>SUAREZ SANCHEZ, Mª DEL PILAR</t>
        </is>
      </c>
      <c r="C34" t="n">
        <v>616</v>
      </c>
      <c r="D34" t="inlineStr">
        <is>
          <t>6464</t>
        </is>
      </c>
      <c r="E34" t="inlineStr">
        <is>
          <t>1</t>
        </is>
      </c>
      <c r="F34" t="inlineStr">
        <is>
          <t>30</t>
        </is>
      </c>
      <c r="G34" t="inlineStr">
        <is>
          <t>29</t>
        </is>
      </c>
      <c r="H34" t="n">
        <v>2017</v>
      </c>
      <c r="I34" t="n">
        <v>3.2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17.71</v>
      </c>
      <c r="P34" t="n">
        <v>3453.45</v>
      </c>
      <c r="Q34" t="n">
        <v>424745</v>
      </c>
      <c r="R34" t="n">
        <v>0.008130643091737395</v>
      </c>
      <c r="S34" t="n">
        <v>94563</v>
      </c>
      <c r="T34" t="n">
        <v>768.86</v>
      </c>
    </row>
    <row r="35">
      <c r="A35" t="n">
        <v>1561</v>
      </c>
      <c r="B35" t="inlineStr">
        <is>
          <t>SUAREZ SANCHEZ, Mª DEL PILAR</t>
        </is>
      </c>
      <c r="C35" t="n">
        <v>616</v>
      </c>
      <c r="D35" t="inlineStr">
        <is>
          <t>6465</t>
        </is>
      </c>
      <c r="E35" t="inlineStr">
        <is>
          <t>1</t>
        </is>
      </c>
      <c r="F35" t="inlineStr">
        <is>
          <t>30</t>
        </is>
      </c>
      <c r="G35" t="inlineStr">
        <is>
          <t>29</t>
        </is>
      </c>
      <c r="H35" t="n">
        <v>2017</v>
      </c>
      <c r="I35" t="n">
        <v>0.61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17.71</v>
      </c>
      <c r="P35" t="n">
        <v>3453.45</v>
      </c>
      <c r="Q35" t="n">
        <v>424745</v>
      </c>
      <c r="R35" t="n">
        <v>0.008130643091737395</v>
      </c>
      <c r="S35" t="n">
        <v>94563</v>
      </c>
      <c r="T35" t="n">
        <v>768.86</v>
      </c>
    </row>
    <row r="36">
      <c r="A36" t="n">
        <v>1561</v>
      </c>
      <c r="B36" t="inlineStr">
        <is>
          <t>SUAREZ SANCHEZ, Mª DEL PILAR</t>
        </is>
      </c>
      <c r="C36" t="n">
        <v>616</v>
      </c>
      <c r="D36" t="inlineStr">
        <is>
          <t>6466</t>
        </is>
      </c>
      <c r="E36" t="inlineStr">
        <is>
          <t>1</t>
        </is>
      </c>
      <c r="F36" t="inlineStr">
        <is>
          <t>30</t>
        </is>
      </c>
      <c r="G36" t="inlineStr">
        <is>
          <t>30</t>
        </is>
      </c>
      <c r="H36" t="n">
        <v>2017</v>
      </c>
      <c r="I36" t="n">
        <v>0.35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17.71</v>
      </c>
      <c r="P36" t="n">
        <v>3453.45</v>
      </c>
      <c r="Q36" t="n">
        <v>424745</v>
      </c>
      <c r="R36" t="n">
        <v>0.008130643091737395</v>
      </c>
      <c r="S36" t="n">
        <v>94563</v>
      </c>
      <c r="T36" t="n">
        <v>768.86</v>
      </c>
    </row>
    <row r="37">
      <c r="A37" t="n">
        <v>1561</v>
      </c>
      <c r="B37" t="inlineStr">
        <is>
          <t>SUAREZ SANCHEZ, Mª DEL PILAR</t>
        </is>
      </c>
      <c r="C37" t="n">
        <v>616</v>
      </c>
      <c r="D37" t="inlineStr">
        <is>
          <t>6467</t>
        </is>
      </c>
      <c r="E37" t="inlineStr">
        <is>
          <t>1</t>
        </is>
      </c>
      <c r="F37" t="inlineStr">
        <is>
          <t>30</t>
        </is>
      </c>
      <c r="G37" t="inlineStr">
        <is>
          <t>48</t>
        </is>
      </c>
      <c r="H37" t="n">
        <v>2017</v>
      </c>
      <c r="I37" t="n">
        <v>0.55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17.71</v>
      </c>
      <c r="P37" t="n">
        <v>3453.45</v>
      </c>
      <c r="Q37" t="n">
        <v>424745</v>
      </c>
      <c r="R37" t="n">
        <v>0.008130643091737395</v>
      </c>
      <c r="S37" t="n">
        <v>94563</v>
      </c>
      <c r="T37" t="n">
        <v>768.86</v>
      </c>
    </row>
    <row r="38">
      <c r="A38" t="n">
        <v>1561</v>
      </c>
      <c r="B38" t="inlineStr">
        <is>
          <t>SUAREZ SANCHEZ, Mª DEL PILAR</t>
        </is>
      </c>
      <c r="C38" t="n">
        <v>616</v>
      </c>
      <c r="D38" t="inlineStr">
        <is>
          <t>6468</t>
        </is>
      </c>
      <c r="E38" t="inlineStr">
        <is>
          <t>1</t>
        </is>
      </c>
      <c r="F38" t="inlineStr">
        <is>
          <t>30</t>
        </is>
      </c>
      <c r="G38" t="inlineStr">
        <is>
          <t>50</t>
        </is>
      </c>
      <c r="H38" t="n">
        <v>2017</v>
      </c>
      <c r="I38" t="n">
        <v>0.33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17.71</v>
      </c>
      <c r="P38" t="n">
        <v>3453.45</v>
      </c>
      <c r="Q38" t="n">
        <v>424745</v>
      </c>
      <c r="R38" t="n">
        <v>0.008130643091737395</v>
      </c>
      <c r="S38" t="n">
        <v>94563</v>
      </c>
      <c r="T38" t="n">
        <v>768.86</v>
      </c>
    </row>
    <row r="39">
      <c r="A39" t="n">
        <v>1561</v>
      </c>
      <c r="B39" t="inlineStr">
        <is>
          <t>SUAREZ SANCHEZ, Mª DEL PILAR</t>
        </is>
      </c>
      <c r="C39" t="n">
        <v>616</v>
      </c>
      <c r="D39" t="inlineStr">
        <is>
          <t>6469</t>
        </is>
      </c>
      <c r="E39" t="inlineStr">
        <is>
          <t>1</t>
        </is>
      </c>
      <c r="F39" t="inlineStr">
        <is>
          <t>30</t>
        </is>
      </c>
      <c r="G39" t="inlineStr">
        <is>
          <t>53</t>
        </is>
      </c>
      <c r="H39" t="n">
        <v>2017</v>
      </c>
      <c r="I39" t="n">
        <v>0.16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17.71</v>
      </c>
      <c r="P39" t="n">
        <v>3453.45</v>
      </c>
      <c r="Q39" t="n">
        <v>424745</v>
      </c>
      <c r="R39" t="n">
        <v>0.008130643091737395</v>
      </c>
      <c r="S39" t="n">
        <v>94563</v>
      </c>
      <c r="T39" t="n">
        <v>768.86</v>
      </c>
    </row>
    <row r="40">
      <c r="A40" t="n">
        <v>1561</v>
      </c>
      <c r="B40" t="inlineStr">
        <is>
          <t>SUAREZ SANCHEZ, Mª DEL PILAR</t>
        </is>
      </c>
      <c r="C40" t="n">
        <v>616</v>
      </c>
      <c r="D40" t="inlineStr">
        <is>
          <t>6470</t>
        </is>
      </c>
      <c r="E40" t="inlineStr">
        <is>
          <t>1</t>
        </is>
      </c>
      <c r="F40" t="inlineStr">
        <is>
          <t>30</t>
        </is>
      </c>
      <c r="G40" t="inlineStr">
        <is>
          <t>55</t>
        </is>
      </c>
      <c r="H40" t="n">
        <v>2017</v>
      </c>
      <c r="I40" t="n">
        <v>0.06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17.71</v>
      </c>
      <c r="P40" t="n">
        <v>3453.45</v>
      </c>
      <c r="Q40" t="n">
        <v>424745</v>
      </c>
      <c r="R40" t="n">
        <v>0.008130643091737395</v>
      </c>
      <c r="S40" t="n">
        <v>94563</v>
      </c>
      <c r="T40" t="n">
        <v>768.86</v>
      </c>
    </row>
    <row r="41">
      <c r="A41" t="n">
        <v>1561</v>
      </c>
      <c r="B41" t="inlineStr">
        <is>
          <t>SUAREZ SANCHEZ, Mª DEL PILAR</t>
        </is>
      </c>
      <c r="C41" t="n">
        <v>616</v>
      </c>
      <c r="D41" t="inlineStr">
        <is>
          <t>6471</t>
        </is>
      </c>
      <c r="E41" t="inlineStr">
        <is>
          <t>1</t>
        </is>
      </c>
      <c r="F41" t="inlineStr">
        <is>
          <t>30</t>
        </is>
      </c>
      <c r="G41" t="inlineStr">
        <is>
          <t>56</t>
        </is>
      </c>
      <c r="H41" t="n">
        <v>2017</v>
      </c>
      <c r="I41" t="n">
        <v>0.15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17.71</v>
      </c>
      <c r="P41" t="n">
        <v>3453.45</v>
      </c>
      <c r="Q41" t="n">
        <v>424745</v>
      </c>
      <c r="R41" t="n">
        <v>0.008130643091737395</v>
      </c>
      <c r="S41" t="n">
        <v>94563</v>
      </c>
      <c r="T41" t="n">
        <v>768.86</v>
      </c>
    </row>
    <row r="42">
      <c r="A42" t="n">
        <v>1561</v>
      </c>
      <c r="B42" t="inlineStr">
        <is>
          <t>SUAREZ SANCHEZ, Mª DEL PILAR</t>
        </is>
      </c>
      <c r="C42" t="n">
        <v>632</v>
      </c>
      <c r="D42" t="inlineStr">
        <is>
          <t>9636</t>
        </is>
      </c>
      <c r="E42" t="inlineStr">
        <is>
          <t>1</t>
        </is>
      </c>
      <c r="F42" t="inlineStr">
        <is>
          <t>30</t>
        </is>
      </c>
      <c r="H42" t="n">
        <v>2017</v>
      </c>
      <c r="I42" t="n">
        <v>4.23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17.71</v>
      </c>
      <c r="P42" t="n">
        <v>3453.45</v>
      </c>
      <c r="Q42" t="n">
        <v>424745</v>
      </c>
      <c r="R42" t="n">
        <v>0.008130643091737395</v>
      </c>
      <c r="S42" t="n">
        <v>94563</v>
      </c>
      <c r="T42" t="n">
        <v>768.86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1355</v>
      </c>
      <c r="B2" t="inlineStr">
        <is>
          <t>CANO MANZANARES,JUAN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555</v>
      </c>
      <c r="J2" t="n">
        <v>13720</v>
      </c>
      <c r="K2" t="n">
        <v>0</v>
      </c>
      <c r="L2" t="n">
        <v>13720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1355</v>
      </c>
      <c r="B3" t="inlineStr">
        <is>
          <t>CANO MANZANARES,JUAN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555</v>
      </c>
      <c r="J3" t="n">
        <v>13860</v>
      </c>
      <c r="K3" t="n">
        <v>0</v>
      </c>
      <c r="L3" t="n">
        <v>13860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1355</v>
      </c>
      <c r="B4" t="inlineStr">
        <is>
          <t>CANO MANZANARES,JUAN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555</v>
      </c>
      <c r="J4" t="n">
        <v>13664</v>
      </c>
      <c r="K4" t="n">
        <v>0</v>
      </c>
      <c r="L4" t="n">
        <v>13664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1355</v>
      </c>
      <c r="B5" t="inlineStr">
        <is>
          <t>CANO MANZANARES,JUAN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555</v>
      </c>
      <c r="J5" t="n">
        <v>9074</v>
      </c>
      <c r="K5" t="n">
        <v>8650</v>
      </c>
      <c r="L5" t="n">
        <v>8650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1355</v>
      </c>
      <c r="B6" t="inlineStr">
        <is>
          <t>CANO MANZANARES,JUAN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555</v>
      </c>
      <c r="J6" t="n">
        <v>14176</v>
      </c>
      <c r="K6" t="n">
        <v>13061</v>
      </c>
      <c r="L6" t="n">
        <v>13061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1355</v>
      </c>
      <c r="B7" t="inlineStr">
        <is>
          <t>CANO MANZANARES,JUAN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555</v>
      </c>
      <c r="J7" t="n">
        <v>1010</v>
      </c>
      <c r="K7" t="n">
        <v>0</v>
      </c>
      <c r="L7" t="n">
        <v>1010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1355</v>
      </c>
      <c r="B8" t="inlineStr">
        <is>
          <t>CANO MANZANARES,JUAN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555</v>
      </c>
      <c r="J8" t="n">
        <v>12157</v>
      </c>
      <c r="K8" t="n">
        <v>11227</v>
      </c>
      <c r="L8" t="n">
        <v>11227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1355</v>
      </c>
      <c r="B9" t="inlineStr">
        <is>
          <t>CANO MANZANARES,JUAN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555</v>
      </c>
      <c r="J9" t="n">
        <v>14604</v>
      </c>
      <c r="K9" t="n">
        <v>10234</v>
      </c>
      <c r="L9" t="n">
        <v>10234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1355</v>
      </c>
      <c r="B10" t="inlineStr">
        <is>
          <t>CANO MANZANARES,JUAN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555</v>
      </c>
      <c r="J10" t="n">
        <v>3950</v>
      </c>
      <c r="K10" t="n">
        <v>0</v>
      </c>
      <c r="L10" t="n">
        <v>3950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1355</v>
      </c>
      <c r="B11" t="inlineStr">
        <is>
          <t>CANO MANZANARES,JUAN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555</v>
      </c>
      <c r="J11" t="n">
        <v>13501</v>
      </c>
      <c r="K11" t="n">
        <v>12949</v>
      </c>
      <c r="L11" t="n">
        <v>12949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1355</v>
      </c>
      <c r="B12" t="inlineStr">
        <is>
          <t>CANO MANZANARES,JUAN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555</v>
      </c>
      <c r="J12" t="n">
        <v>12900</v>
      </c>
      <c r="K12" t="n">
        <v>0</v>
      </c>
      <c r="L12" t="n">
        <v>12900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1355</v>
      </c>
      <c r="B13" t="inlineStr">
        <is>
          <t>CANO MANZANARES,JUAN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555</v>
      </c>
      <c r="J13" t="n">
        <v>13856</v>
      </c>
      <c r="K13" t="n">
        <v>13051</v>
      </c>
      <c r="L13" t="n">
        <v>13051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1355</v>
      </c>
      <c r="B14" t="inlineStr">
        <is>
          <t>CANO MANZANARES,JUAN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555</v>
      </c>
      <c r="J14" t="n">
        <v>13900</v>
      </c>
      <c r="K14" t="n">
        <v>0</v>
      </c>
      <c r="L14" t="n">
        <v>13900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1355</v>
      </c>
      <c r="B15" t="inlineStr">
        <is>
          <t>CANO MANZANARES,JUAN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555</v>
      </c>
      <c r="J15" t="n">
        <v>14521</v>
      </c>
      <c r="K15" t="n">
        <v>8905</v>
      </c>
      <c r="L15" t="n">
        <v>8905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1355</v>
      </c>
      <c r="B16" t="inlineStr">
        <is>
          <t>CANO MANZANARES,JUAN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555</v>
      </c>
      <c r="J16" t="n">
        <v>15498</v>
      </c>
      <c r="K16" t="n">
        <v>2194</v>
      </c>
      <c r="L16" t="n">
        <v>2194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1355</v>
      </c>
      <c r="B17" t="inlineStr">
        <is>
          <t>CANO MANZANARES,JUAN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555</v>
      </c>
      <c r="J17" t="n">
        <v>14446</v>
      </c>
      <c r="K17" t="n">
        <v>10972</v>
      </c>
      <c r="L17" t="n">
        <v>10972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1355</v>
      </c>
      <c r="B18" t="inlineStr">
        <is>
          <t>CANO MANZANARES,JUAN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555</v>
      </c>
      <c r="J18" t="n">
        <v>15007</v>
      </c>
      <c r="K18" t="n">
        <v>4995</v>
      </c>
      <c r="L18" t="n">
        <v>4995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1355</v>
      </c>
      <c r="B19" t="inlineStr">
        <is>
          <t>CANO MANZANARES,JUAN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555</v>
      </c>
      <c r="J19" t="n">
        <v>13792</v>
      </c>
      <c r="K19" t="n">
        <v>13601</v>
      </c>
      <c r="L19" t="n">
        <v>13601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1355</v>
      </c>
      <c r="B20" t="inlineStr">
        <is>
          <t>CANO MANZANARES,JUAN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555</v>
      </c>
      <c r="J20" t="n">
        <v>13208</v>
      </c>
      <c r="K20" t="n">
        <v>0</v>
      </c>
      <c r="L20" t="n">
        <v>13208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1355</v>
      </c>
      <c r="B21" t="inlineStr">
        <is>
          <t>CANO MANZANARES,JUAN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555</v>
      </c>
      <c r="J21" t="n">
        <v>2596</v>
      </c>
      <c r="K21" t="n">
        <v>0</v>
      </c>
      <c r="L21" t="n">
        <v>2596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1355</v>
      </c>
      <c r="B22" t="inlineStr">
        <is>
          <t>CANO MANZANARES,JUAN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555</v>
      </c>
      <c r="J22" t="n">
        <v>14208</v>
      </c>
      <c r="K22" t="n">
        <v>7495</v>
      </c>
      <c r="L22" t="n">
        <v>7495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1355</v>
      </c>
      <c r="B23" t="inlineStr">
        <is>
          <t>CANO MANZANARES,JUAN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555</v>
      </c>
      <c r="J23" t="n">
        <v>14424</v>
      </c>
      <c r="K23" t="n">
        <v>5829</v>
      </c>
      <c r="L23" t="n">
        <v>5829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1355</v>
      </c>
      <c r="B24" t="inlineStr">
        <is>
          <t>CANO MANZANARES,JUAN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555</v>
      </c>
      <c r="J24" t="n">
        <v>887</v>
      </c>
      <c r="K24" t="n">
        <v>0</v>
      </c>
      <c r="L24" t="n">
        <v>887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1355</v>
      </c>
      <c r="B25" t="inlineStr">
        <is>
          <t>CANO MANZANARES,JUAN ANTONIO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SALUSTIANA</t>
        </is>
      </c>
      <c r="I25" t="n">
        <v>555</v>
      </c>
      <c r="J25" t="n">
        <v>8962</v>
      </c>
      <c r="K25" t="n">
        <v>370</v>
      </c>
      <c r="L25" t="n">
        <v>370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1355</v>
      </c>
      <c r="B26" t="inlineStr">
        <is>
          <t>CANO MANZANARES,JUAN ANTONIO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SALUSTIANA</t>
        </is>
      </c>
      <c r="I26" t="n">
        <v>555</v>
      </c>
      <c r="J26" t="n">
        <v>814</v>
      </c>
      <c r="K26" t="n">
        <v>0</v>
      </c>
      <c r="L26" t="n">
        <v>814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1355</v>
      </c>
      <c r="B27" t="inlineStr">
        <is>
          <t>CANO MANZANARES,JUAN ANTONIO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SALUSTIANA</t>
        </is>
      </c>
      <c r="I27" t="n">
        <v>555</v>
      </c>
      <c r="J27" t="n">
        <v>13339</v>
      </c>
      <c r="K27" t="n">
        <v>471</v>
      </c>
      <c r="L27" t="n">
        <v>471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1355</v>
      </c>
      <c r="B28" t="inlineStr">
        <is>
          <t>CANO MANZANARES,JUAN ANTONIO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SALUSTIANA</t>
        </is>
      </c>
      <c r="I28" t="n">
        <v>555</v>
      </c>
      <c r="J28" t="n">
        <v>13624</v>
      </c>
      <c r="K28" t="n">
        <v>689</v>
      </c>
      <c r="L28" t="n">
        <v>689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1355</v>
      </c>
      <c r="B29" t="inlineStr">
        <is>
          <t>CANO MANZANARES,JUAN ANTONIO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SALUSTIANA</t>
        </is>
      </c>
      <c r="I29" t="n">
        <v>555</v>
      </c>
      <c r="J29" t="n">
        <v>13924</v>
      </c>
      <c r="K29" t="n">
        <v>874</v>
      </c>
      <c r="L29" t="n">
        <v>874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1355</v>
      </c>
      <c r="B30" t="inlineStr">
        <is>
          <t>CANO MANZANARES,JUAN ANTONIO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606</v>
      </c>
      <c r="J30" t="n">
        <v>20360</v>
      </c>
      <c r="K30" t="n">
        <v>0</v>
      </c>
      <c r="L30" t="n">
        <v>20360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1355</v>
      </c>
      <c r="B31" t="inlineStr">
        <is>
          <t>CANO MANZANARES,JUAN ANTONIO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606</v>
      </c>
      <c r="J31" t="n">
        <v>20470</v>
      </c>
      <c r="K31" t="n">
        <v>0</v>
      </c>
      <c r="L31" t="n">
        <v>20470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1355</v>
      </c>
      <c r="B32" t="inlineStr">
        <is>
          <t>CANO MANZANARES,JUAN ANTONIO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606</v>
      </c>
      <c r="J32" t="n">
        <v>21692</v>
      </c>
      <c r="K32" t="n">
        <v>0</v>
      </c>
      <c r="L32" t="n">
        <v>21692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1355</v>
      </c>
      <c r="B33" t="inlineStr">
        <is>
          <t>CANO MANZANARES,JUAN ANTONIO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606</v>
      </c>
      <c r="J33" t="n">
        <v>20836</v>
      </c>
      <c r="K33" t="n">
        <v>0</v>
      </c>
      <c r="L33" t="n">
        <v>20836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1355</v>
      </c>
      <c r="B34" t="inlineStr">
        <is>
          <t>CANO MANZANARES,JUAN ANTONIO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606</v>
      </c>
      <c r="J34" t="n">
        <v>20156</v>
      </c>
      <c r="K34" t="n">
        <v>0</v>
      </c>
      <c r="L34" t="n">
        <v>20156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1355</v>
      </c>
      <c r="B35" t="inlineStr">
        <is>
          <t>CANO MANZANARES,JUAN ANTONIO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606</v>
      </c>
      <c r="J35" t="n">
        <v>20648</v>
      </c>
      <c r="K35" t="n">
        <v>0</v>
      </c>
      <c r="L35" t="n">
        <v>20648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1355</v>
      </c>
      <c r="B36" t="inlineStr">
        <is>
          <t>CANO MANZANARES,JUAN ANTONIO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TANGO</t>
        </is>
      </c>
      <c r="I36" t="n">
        <v>606</v>
      </c>
      <c r="J36" t="n">
        <v>17488</v>
      </c>
      <c r="K36" t="n">
        <v>0</v>
      </c>
      <c r="L36" t="n">
        <v>17488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42</v>
      </c>
      <c r="J37" t="n">
        <v>23260</v>
      </c>
      <c r="K37" t="n">
        <v>0</v>
      </c>
      <c r="L37" t="n">
        <v>23260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42</v>
      </c>
      <c r="J38" t="n">
        <v>11350</v>
      </c>
      <c r="K38" t="n">
        <v>10850</v>
      </c>
      <c r="L38" t="n">
        <v>10850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42</v>
      </c>
      <c r="J39" t="n">
        <v>23130</v>
      </c>
      <c r="K39" t="n">
        <v>16814</v>
      </c>
      <c r="L39" t="n">
        <v>16814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42</v>
      </c>
      <c r="J40" t="n">
        <v>24425</v>
      </c>
      <c r="K40" t="n">
        <v>4616</v>
      </c>
      <c r="L40" t="n">
        <v>4616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46</v>
      </c>
      <c r="J41" t="n">
        <v>11800</v>
      </c>
      <c r="K41" t="n">
        <v>8040</v>
      </c>
      <c r="L41" t="n">
        <v>8040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46</v>
      </c>
      <c r="J42" t="n">
        <v>12784</v>
      </c>
      <c r="K42" t="n">
        <v>818</v>
      </c>
      <c r="L42" t="n">
        <v>818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46</v>
      </c>
      <c r="J43" t="n">
        <v>12416</v>
      </c>
      <c r="K43" t="n">
        <v>3216</v>
      </c>
      <c r="L43" t="n">
        <v>3216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46</v>
      </c>
      <c r="J44" t="n">
        <v>11542</v>
      </c>
      <c r="K44" t="n">
        <v>10220</v>
      </c>
      <c r="L44" t="n">
        <v>10220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46</v>
      </c>
      <c r="J45" t="n">
        <v>11928</v>
      </c>
      <c r="K45" t="n">
        <v>0</v>
      </c>
      <c r="L45" t="n">
        <v>11928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INDUSTRIA</t>
        </is>
      </c>
      <c r="H46" t="inlineStr">
        <is>
          <t>NAVELINA</t>
        </is>
      </c>
      <c r="I46" t="n">
        <v>42</v>
      </c>
      <c r="J46" t="n">
        <v>22360</v>
      </c>
      <c r="K46" t="n">
        <v>1070</v>
      </c>
      <c r="L46" t="n">
        <v>1070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NAVELINA</t>
        </is>
      </c>
      <c r="I47" t="n">
        <v>42</v>
      </c>
      <c r="J47" t="n">
        <v>9985</v>
      </c>
      <c r="K47" t="n">
        <v>430</v>
      </c>
      <c r="L47" t="n">
        <v>430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46</v>
      </c>
      <c r="J48" t="n">
        <v>11322</v>
      </c>
      <c r="K48" t="n">
        <v>342</v>
      </c>
      <c r="L48" t="n">
        <v>342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11996</v>
      </c>
      <c r="K49" t="n">
        <v>6402</v>
      </c>
      <c r="L49" t="n">
        <v>6402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11112</v>
      </c>
      <c r="K50" t="n">
        <v>0</v>
      </c>
      <c r="L50" t="n">
        <v>11112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612</v>
      </c>
      <c r="J51" t="n">
        <v>12260</v>
      </c>
      <c r="K51" t="n">
        <v>4802</v>
      </c>
      <c r="L51" t="n">
        <v>4802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11644</v>
      </c>
      <c r="K52" t="n">
        <v>0</v>
      </c>
      <c r="L52" t="n">
        <v>11644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11904</v>
      </c>
      <c r="K53" t="n">
        <v>7228</v>
      </c>
      <c r="L53" t="n">
        <v>7228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612</v>
      </c>
      <c r="J54" t="n">
        <v>12432</v>
      </c>
      <c r="K54" t="n">
        <v>4016</v>
      </c>
      <c r="L54" t="n">
        <v>4016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11412</v>
      </c>
      <c r="K55" t="n">
        <v>0</v>
      </c>
      <c r="L55" t="n">
        <v>11412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11150</v>
      </c>
      <c r="K56" t="n">
        <v>0</v>
      </c>
      <c r="L56" t="n">
        <v>11150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611</v>
      </c>
      <c r="J57" t="n">
        <v>20660</v>
      </c>
      <c r="K57" t="n">
        <v>0</v>
      </c>
      <c r="L57" t="n">
        <v>20660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NADORCOTT</t>
        </is>
      </c>
      <c r="I58" t="n">
        <v>612</v>
      </c>
      <c r="J58" t="n">
        <v>12028</v>
      </c>
      <c r="K58" t="n">
        <v>5739</v>
      </c>
      <c r="L58" t="n">
        <v>5739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5365</v>
      </c>
      <c r="K59" t="n">
        <v>0</v>
      </c>
      <c r="L59" t="n">
        <v>5365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NADORCOTT</t>
        </is>
      </c>
      <c r="I60" t="n">
        <v>612</v>
      </c>
      <c r="J60" t="n">
        <v>10248</v>
      </c>
      <c r="K60" t="n">
        <v>3064</v>
      </c>
      <c r="L60" t="n">
        <v>3064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NADORCOTT</t>
        </is>
      </c>
      <c r="I61" t="n">
        <v>612</v>
      </c>
      <c r="J61" t="n">
        <v>9720</v>
      </c>
      <c r="K61" t="n">
        <v>6128</v>
      </c>
      <c r="L61" t="n">
        <v>6128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19192</v>
      </c>
      <c r="K62" t="n">
        <v>0</v>
      </c>
      <c r="L62" t="n">
        <v>19192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11744</v>
      </c>
      <c r="K63" t="n">
        <v>0</v>
      </c>
      <c r="L63" t="n">
        <v>11744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TANGO</t>
        </is>
      </c>
      <c r="I64" t="n">
        <v>611</v>
      </c>
      <c r="J64" t="n">
        <v>17520</v>
      </c>
      <c r="K64" t="n">
        <v>0</v>
      </c>
      <c r="L64" t="n">
        <v>17520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NADORCOTT</t>
        </is>
      </c>
      <c r="I65" t="n">
        <v>612</v>
      </c>
      <c r="J65" t="n">
        <v>12980</v>
      </c>
      <c r="K65" t="n">
        <v>4211</v>
      </c>
      <c r="L65" t="n">
        <v>4211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TANGO</t>
        </is>
      </c>
      <c r="I66" t="n">
        <v>611</v>
      </c>
      <c r="J66" t="n">
        <v>20160</v>
      </c>
      <c r="K66" t="n">
        <v>0</v>
      </c>
      <c r="L66" t="n">
        <v>20160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TANGO</t>
        </is>
      </c>
      <c r="I67" t="n">
        <v>611</v>
      </c>
      <c r="J67" t="n">
        <v>19656</v>
      </c>
      <c r="K67" t="n">
        <v>0</v>
      </c>
      <c r="L67" t="n">
        <v>19656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NADORCOTT</t>
        </is>
      </c>
      <c r="I68" t="n">
        <v>612</v>
      </c>
      <c r="J68" t="n">
        <v>19462</v>
      </c>
      <c r="K68" t="n">
        <v>0</v>
      </c>
      <c r="L68" t="n">
        <v>19462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NADORCOTT</t>
        </is>
      </c>
      <c r="I69" t="n">
        <v>612</v>
      </c>
      <c r="J69" t="n">
        <v>17956</v>
      </c>
      <c r="K69" t="n">
        <v>0</v>
      </c>
      <c r="L69" t="n">
        <v>17956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TANGO</t>
        </is>
      </c>
      <c r="I70" t="n">
        <v>611</v>
      </c>
      <c r="J70" t="n">
        <v>19970</v>
      </c>
      <c r="K70" t="n">
        <v>0</v>
      </c>
      <c r="L70" t="n">
        <v>19970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TANGO</t>
        </is>
      </c>
      <c r="I71" t="n">
        <v>611</v>
      </c>
      <c r="J71" t="n">
        <v>19810</v>
      </c>
      <c r="K71" t="n">
        <v>0</v>
      </c>
      <c r="L71" t="n">
        <v>19810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MANDARINA</t>
        </is>
      </c>
      <c r="H72" t="inlineStr">
        <is>
          <t>NADORCOTT</t>
        </is>
      </c>
      <c r="I72" t="n">
        <v>612</v>
      </c>
      <c r="J72" t="n">
        <v>12452</v>
      </c>
      <c r="K72" t="n">
        <v>7581</v>
      </c>
      <c r="L72" t="n">
        <v>7581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TANGO</t>
        </is>
      </c>
      <c r="I73" t="n">
        <v>611</v>
      </c>
      <c r="J73" t="n">
        <v>20220</v>
      </c>
      <c r="K73" t="n">
        <v>0</v>
      </c>
      <c r="L73" t="n">
        <v>20220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TANGO</t>
        </is>
      </c>
      <c r="I74" t="n">
        <v>611</v>
      </c>
      <c r="J74" t="n">
        <v>18664</v>
      </c>
      <c r="K74" t="n">
        <v>0</v>
      </c>
      <c r="L74" t="n">
        <v>18664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612</v>
      </c>
      <c r="J75" t="n">
        <v>21576</v>
      </c>
      <c r="K75" t="n">
        <v>0</v>
      </c>
      <c r="L75" t="n">
        <v>21576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NADORCOTT</t>
        </is>
      </c>
      <c r="I76" t="n">
        <v>612</v>
      </c>
      <c r="J76" t="n">
        <v>17769</v>
      </c>
      <c r="K76" t="n">
        <v>0</v>
      </c>
      <c r="L76" t="n">
        <v>17769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NADORCOTT</t>
        </is>
      </c>
      <c r="I77" t="n">
        <v>612</v>
      </c>
      <c r="J77" t="n">
        <v>11132</v>
      </c>
      <c r="K77" t="n">
        <v>0</v>
      </c>
      <c r="L77" t="n">
        <v>11132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NADORCOTT</t>
        </is>
      </c>
      <c r="I78" t="n">
        <v>612</v>
      </c>
      <c r="J78" t="n">
        <v>374</v>
      </c>
      <c r="K78" t="n">
        <v>0</v>
      </c>
      <c r="L78" t="n">
        <v>374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1443</v>
      </c>
      <c r="B79" t="inlineStr">
        <is>
          <t>TOMENO SUAREZ,ALBERTO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612</v>
      </c>
      <c r="J79" t="n">
        <v>8070</v>
      </c>
      <c r="K79" t="n">
        <v>0</v>
      </c>
      <c r="L79" t="n">
        <v>8070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1443</v>
      </c>
      <c r="B80" t="inlineStr">
        <is>
          <t>TOMENO SUAREZ,ALBERTO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612</v>
      </c>
      <c r="J80" t="n">
        <v>2998</v>
      </c>
      <c r="K80" t="n">
        <v>0</v>
      </c>
      <c r="L80" t="n">
        <v>2998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1443</v>
      </c>
      <c r="B81" t="inlineStr">
        <is>
          <t>TOMENO SUAREZ,ALBERTO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NADORCOTT</t>
        </is>
      </c>
      <c r="I81" t="n">
        <v>612</v>
      </c>
      <c r="J81" t="n">
        <v>14214</v>
      </c>
      <c r="K81" t="n">
        <v>0</v>
      </c>
      <c r="L81" t="n">
        <v>14214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1443</v>
      </c>
      <c r="B82" t="inlineStr">
        <is>
          <t>TOMENO SUAREZ,ALBERTO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TANGO</t>
        </is>
      </c>
      <c r="I82" t="n">
        <v>611</v>
      </c>
      <c r="J82" t="n">
        <v>20180</v>
      </c>
      <c r="K82" t="n">
        <v>0</v>
      </c>
      <c r="L82" t="n">
        <v>20180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1443</v>
      </c>
      <c r="B83" t="inlineStr">
        <is>
          <t>TOMENO SUAREZ,ALBERTO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TANGO</t>
        </is>
      </c>
      <c r="I83" t="n">
        <v>611</v>
      </c>
      <c r="J83" t="n">
        <v>21096</v>
      </c>
      <c r="K83" t="n">
        <v>0</v>
      </c>
      <c r="L83" t="n">
        <v>21096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1443</v>
      </c>
      <c r="B84" t="inlineStr">
        <is>
          <t>TOMENO SUAREZ,ALBERTO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TANGO</t>
        </is>
      </c>
      <c r="I84" t="n">
        <v>611</v>
      </c>
      <c r="J84" t="n">
        <v>4738</v>
      </c>
      <c r="K84" t="n">
        <v>0</v>
      </c>
      <c r="L84" t="n">
        <v>4738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1561</v>
      </c>
      <c r="B85" t="inlineStr">
        <is>
          <t>SUAREZ SANCHEZ, Mª DEL PILAR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593</v>
      </c>
      <c r="J85" t="n">
        <v>14980</v>
      </c>
      <c r="K85" t="n">
        <v>0</v>
      </c>
      <c r="L85" t="n">
        <v>14980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1561</v>
      </c>
      <c r="B86" t="inlineStr">
        <is>
          <t>SUAREZ SANCHEZ, Mª DEL PILAR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593</v>
      </c>
      <c r="J86" t="n">
        <v>15180</v>
      </c>
      <c r="K86" t="n">
        <v>12852</v>
      </c>
      <c r="L86" t="n">
        <v>12852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1561</v>
      </c>
      <c r="B87" t="inlineStr">
        <is>
          <t>SUAREZ SANCHEZ, Mª DEL PILAR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593</v>
      </c>
      <c r="J87" t="n">
        <v>13966</v>
      </c>
      <c r="K87" t="n">
        <v>7459</v>
      </c>
      <c r="L87" t="n">
        <v>7459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1561</v>
      </c>
      <c r="B88" t="inlineStr">
        <is>
          <t>SUAREZ SANCHEZ, Mª DEL PILAR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593</v>
      </c>
      <c r="J88" t="n">
        <v>2123</v>
      </c>
      <c r="K88" t="n">
        <v>0</v>
      </c>
      <c r="L88" t="n">
        <v>2123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1561</v>
      </c>
      <c r="B89" t="inlineStr">
        <is>
          <t>SUAREZ SANCHEZ, Mª DEL PILAR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593</v>
      </c>
      <c r="J89" t="n">
        <v>16055</v>
      </c>
      <c r="K89" t="n">
        <v>362</v>
      </c>
      <c r="L89" t="n">
        <v>362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1561</v>
      </c>
      <c r="B90" t="inlineStr">
        <is>
          <t>SUAREZ SANCHEZ, Mª DEL PILAR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593</v>
      </c>
      <c r="J90" t="n">
        <v>1953</v>
      </c>
      <c r="K90" t="n">
        <v>922</v>
      </c>
      <c r="L90" t="n">
        <v>922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1561</v>
      </c>
      <c r="B91" t="inlineStr">
        <is>
          <t>SUAREZ SANCHEZ, Mª DEL PILAR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593</v>
      </c>
      <c r="J91" t="n">
        <v>15235</v>
      </c>
      <c r="K91" t="n">
        <v>14832</v>
      </c>
      <c r="L91" t="n">
        <v>14832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1561</v>
      </c>
      <c r="B92" t="inlineStr">
        <is>
          <t>SUAREZ SANCHEZ, Mª DEL PILAR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593</v>
      </c>
      <c r="J92" t="n">
        <v>15350</v>
      </c>
      <c r="K92" t="n">
        <v>12906</v>
      </c>
      <c r="L92" t="n">
        <v>12906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1561</v>
      </c>
      <c r="B93" t="inlineStr">
        <is>
          <t>SUAREZ SANCHEZ, Mª DEL PILAR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593</v>
      </c>
      <c r="J93" t="n">
        <v>7715</v>
      </c>
      <c r="K93" t="n">
        <v>7380</v>
      </c>
      <c r="L93" t="n">
        <v>7380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1561</v>
      </c>
      <c r="B94" t="inlineStr">
        <is>
          <t>SUAREZ SANCHEZ, Mª DEL PILAR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593</v>
      </c>
      <c r="J94" t="n">
        <v>15075</v>
      </c>
      <c r="K94" t="n">
        <v>10487</v>
      </c>
      <c r="L94" t="n">
        <v>10487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1561</v>
      </c>
      <c r="B95" t="inlineStr">
        <is>
          <t>SUAREZ SANCHEZ, Mª DEL PILAR</t>
        </is>
      </c>
      <c r="E95" t="n">
        <v>2026</v>
      </c>
      <c r="F95" t="n">
        <v>1</v>
      </c>
      <c r="G95" t="inlineStr">
        <is>
          <t>DIRECTO</t>
        </is>
      </c>
      <c r="H95" t="inlineStr">
        <is>
          <t>TANGO</t>
        </is>
      </c>
      <c r="I95" t="n">
        <v>616</v>
      </c>
      <c r="J95" t="n">
        <v>20120</v>
      </c>
      <c r="K95" t="n">
        <v>0</v>
      </c>
      <c r="L95" t="n">
        <v>20120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1561</v>
      </c>
      <c r="B96" t="inlineStr">
        <is>
          <t>SUAREZ SANCHEZ, Mª DEL PILAR</t>
        </is>
      </c>
      <c r="E96" t="n">
        <v>2026</v>
      </c>
      <c r="F96" t="n">
        <v>1</v>
      </c>
      <c r="G96" t="inlineStr">
        <is>
          <t>DIRECTO</t>
        </is>
      </c>
      <c r="H96" t="inlineStr">
        <is>
          <t>TANGO</t>
        </is>
      </c>
      <c r="I96" t="n">
        <v>616</v>
      </c>
      <c r="J96" t="n">
        <v>21090</v>
      </c>
      <c r="K96" t="n">
        <v>21755</v>
      </c>
      <c r="L96" t="n">
        <v>21755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1561</v>
      </c>
      <c r="B97" t="inlineStr">
        <is>
          <t>SUAREZ SANCHEZ, Mª DEL PILAR</t>
        </is>
      </c>
      <c r="E97" t="n">
        <v>2026</v>
      </c>
      <c r="F97" t="n">
        <v>1</v>
      </c>
      <c r="G97" t="inlineStr">
        <is>
          <t>DIRECTO</t>
        </is>
      </c>
      <c r="H97" t="inlineStr">
        <is>
          <t>TANGO</t>
        </is>
      </c>
      <c r="I97" t="n">
        <v>616</v>
      </c>
      <c r="J97" t="n">
        <v>20430</v>
      </c>
      <c r="K97" t="n">
        <v>0</v>
      </c>
      <c r="L97" t="n">
        <v>20430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1561</v>
      </c>
      <c r="B98" t="inlineStr">
        <is>
          <t>SUAREZ SANCHEZ, Mª DEL PILAR</t>
        </is>
      </c>
      <c r="E98" t="n">
        <v>2026</v>
      </c>
      <c r="F98" t="n">
        <v>1</v>
      </c>
      <c r="G98" t="inlineStr">
        <is>
          <t>DIRECTO</t>
        </is>
      </c>
      <c r="H98" t="inlineStr">
        <is>
          <t>TANGO</t>
        </is>
      </c>
      <c r="I98" t="n">
        <v>616</v>
      </c>
      <c r="J98" t="n">
        <v>21755</v>
      </c>
      <c r="K98" t="n">
        <v>0</v>
      </c>
      <c r="L98" t="n">
        <v>21755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1561</v>
      </c>
      <c r="B99" t="inlineStr">
        <is>
          <t>SUAREZ SANCHEZ, Mª DEL PILAR</t>
        </is>
      </c>
      <c r="E99" t="n">
        <v>2026</v>
      </c>
      <c r="F99" t="n">
        <v>1</v>
      </c>
      <c r="G99" t="inlineStr">
        <is>
          <t>DIRECTO</t>
        </is>
      </c>
      <c r="H99" t="inlineStr">
        <is>
          <t>TANGO</t>
        </is>
      </c>
      <c r="I99" t="n">
        <v>616</v>
      </c>
      <c r="J99" t="n">
        <v>20675</v>
      </c>
      <c r="K99" t="n">
        <v>0</v>
      </c>
      <c r="L99" t="n">
        <v>20675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1561</v>
      </c>
      <c r="B100" t="inlineStr">
        <is>
          <t>SUAREZ SANCHEZ, Mª DEL PILAR</t>
        </is>
      </c>
      <c r="E100" t="n">
        <v>2026</v>
      </c>
      <c r="F100" t="n">
        <v>1</v>
      </c>
      <c r="G100" t="inlineStr">
        <is>
          <t>DIRECTO</t>
        </is>
      </c>
      <c r="H100" t="inlineStr">
        <is>
          <t>TANGO</t>
        </is>
      </c>
      <c r="I100" t="n">
        <v>616</v>
      </c>
      <c r="J100" t="n">
        <v>21230</v>
      </c>
      <c r="K100" t="n">
        <v>0</v>
      </c>
      <c r="L100" t="n">
        <v>21230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1561</v>
      </c>
      <c r="B101" t="inlineStr">
        <is>
          <t>SUAREZ SANCHEZ, Mª DEL PILAR</t>
        </is>
      </c>
      <c r="E101" t="n">
        <v>2026</v>
      </c>
      <c r="F101" t="n">
        <v>1</v>
      </c>
      <c r="G101" t="inlineStr">
        <is>
          <t>INDUSTRIA</t>
        </is>
      </c>
      <c r="H101" t="inlineStr">
        <is>
          <t>VALENCIA DELTA</t>
        </is>
      </c>
      <c r="I101" t="n">
        <v>670</v>
      </c>
      <c r="J101" t="n">
        <v>12008</v>
      </c>
      <c r="K101" t="n">
        <v>0</v>
      </c>
      <c r="L101" t="n">
        <v>12008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1561</v>
      </c>
      <c r="B102" t="inlineStr">
        <is>
          <t>SUAREZ SANCHEZ, Mª DEL PILAR</t>
        </is>
      </c>
      <c r="E102" t="n">
        <v>2026</v>
      </c>
      <c r="F102" t="n">
        <v>1</v>
      </c>
      <c r="G102" t="inlineStr">
        <is>
          <t>INDUSTRIA</t>
        </is>
      </c>
      <c r="H102" t="inlineStr">
        <is>
          <t>VALENCIA DELTA</t>
        </is>
      </c>
      <c r="I102" t="n">
        <v>670</v>
      </c>
      <c r="J102" t="n">
        <v>5548</v>
      </c>
      <c r="K102" t="n">
        <v>0</v>
      </c>
      <c r="L102" t="n">
        <v>5548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1561</v>
      </c>
      <c r="B103" t="inlineStr">
        <is>
          <t>SUAREZ SANCHEZ, Mª DEL PILAR</t>
        </is>
      </c>
      <c r="E103" t="n">
        <v>2026</v>
      </c>
      <c r="F103" t="n">
        <v>1</v>
      </c>
      <c r="G103" t="inlineStr">
        <is>
          <t>INDUSTRIA</t>
        </is>
      </c>
      <c r="H103" t="inlineStr">
        <is>
          <t>SALUSTIANA</t>
        </is>
      </c>
      <c r="I103" t="n">
        <v>593</v>
      </c>
      <c r="J103" t="n">
        <v>1920</v>
      </c>
      <c r="K103" t="n">
        <v>0</v>
      </c>
      <c r="L103" t="n">
        <v>1920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1561</v>
      </c>
      <c r="B104" t="inlineStr">
        <is>
          <t>SUAREZ SANCHEZ, Mª DEL PILAR</t>
        </is>
      </c>
      <c r="E104" t="n">
        <v>2026</v>
      </c>
      <c r="F104" t="n">
        <v>1</v>
      </c>
      <c r="G104" t="inlineStr">
        <is>
          <t>INDUSTRIA</t>
        </is>
      </c>
      <c r="H104" t="inlineStr">
        <is>
          <t>SALUSTIANA</t>
        </is>
      </c>
      <c r="I104" t="n">
        <v>593</v>
      </c>
      <c r="J104" t="n">
        <v>15165</v>
      </c>
      <c r="K104" t="n">
        <v>368</v>
      </c>
      <c r="L104" t="n">
        <v>368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1561</v>
      </c>
      <c r="B105" t="inlineStr">
        <is>
          <t>SUAREZ SANCHEZ, Mª DEL PILAR</t>
        </is>
      </c>
      <c r="E105" t="n">
        <v>2026</v>
      </c>
      <c r="F105" t="n">
        <v>1</v>
      </c>
      <c r="G105" t="inlineStr">
        <is>
          <t>INDUSTRIA</t>
        </is>
      </c>
      <c r="H105" t="inlineStr">
        <is>
          <t>SALUSTIANA</t>
        </is>
      </c>
      <c r="I105" t="n">
        <v>593</v>
      </c>
      <c r="J105" t="n">
        <v>14930</v>
      </c>
      <c r="K105" t="n">
        <v>2234</v>
      </c>
      <c r="L105" t="n">
        <v>2234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1561</v>
      </c>
      <c r="B106" t="inlineStr">
        <is>
          <t>SUAREZ SANCHEZ, Mª DEL PILAR</t>
        </is>
      </c>
      <c r="E106" t="n">
        <v>2026</v>
      </c>
      <c r="F106" t="n">
        <v>1</v>
      </c>
      <c r="G106" t="inlineStr">
        <is>
          <t>INDUSTRIA</t>
        </is>
      </c>
      <c r="H106" t="inlineStr">
        <is>
          <t>SALUSTIANA</t>
        </is>
      </c>
      <c r="I106" t="n">
        <v>593</v>
      </c>
      <c r="J106" t="n">
        <v>2118</v>
      </c>
      <c r="K106" t="n">
        <v>0</v>
      </c>
      <c r="L106" t="n">
        <v>2118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1561</v>
      </c>
      <c r="B107" t="inlineStr">
        <is>
          <t>SUAREZ SANCHEZ, Mª DEL PILAR</t>
        </is>
      </c>
      <c r="E107" t="n">
        <v>2026</v>
      </c>
      <c r="F107" t="n">
        <v>1</v>
      </c>
      <c r="G107" t="inlineStr">
        <is>
          <t>INDUSTRIA</t>
        </is>
      </c>
      <c r="H107" t="inlineStr">
        <is>
          <t>SALUSTIANA</t>
        </is>
      </c>
      <c r="I107" t="n">
        <v>593</v>
      </c>
      <c r="J107" t="n">
        <v>6945</v>
      </c>
      <c r="K107" t="n">
        <v>300</v>
      </c>
      <c r="L107" t="n">
        <v>300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1561</v>
      </c>
      <c r="B108" t="inlineStr">
        <is>
          <t>SUAREZ SANCHEZ, Mª DEL PILAR</t>
        </is>
      </c>
      <c r="E108" t="n">
        <v>2026</v>
      </c>
      <c r="F108" t="n">
        <v>1</v>
      </c>
      <c r="G108" t="inlineStr">
        <is>
          <t>MANDARINA</t>
        </is>
      </c>
      <c r="H108" t="inlineStr">
        <is>
          <t>TANGO</t>
        </is>
      </c>
      <c r="I108" t="n">
        <v>616</v>
      </c>
      <c r="J108" t="n">
        <v>10088</v>
      </c>
      <c r="K108" t="n">
        <v>0</v>
      </c>
      <c r="L108" t="n">
        <v>10088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1561</v>
      </c>
      <c r="B109" t="inlineStr">
        <is>
          <t>SUAREZ SANCHEZ, Mª DEL PILAR</t>
        </is>
      </c>
      <c r="E109" t="n">
        <v>2026</v>
      </c>
      <c r="F109" t="n">
        <v>1</v>
      </c>
      <c r="G109" t="inlineStr">
        <is>
          <t>MANDARINA</t>
        </is>
      </c>
      <c r="H109" t="inlineStr">
        <is>
          <t>TANGO</t>
        </is>
      </c>
      <c r="I109" t="n">
        <v>616</v>
      </c>
      <c r="J109" t="n">
        <v>19870</v>
      </c>
      <c r="K109" t="n">
        <v>0</v>
      </c>
      <c r="L109" t="n">
        <v>19870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1561</v>
      </c>
      <c r="B110" t="inlineStr">
        <is>
          <t>SUAREZ SANCHEZ, Mª DEL PILAR</t>
        </is>
      </c>
      <c r="E110" t="n">
        <v>2026</v>
      </c>
      <c r="F110" t="n">
        <v>1</v>
      </c>
      <c r="G110" t="inlineStr">
        <is>
          <t>MANDARINA</t>
        </is>
      </c>
      <c r="H110" t="inlineStr">
        <is>
          <t>TANGO</t>
        </is>
      </c>
      <c r="I110" t="n">
        <v>616</v>
      </c>
      <c r="J110" t="n">
        <v>19990</v>
      </c>
      <c r="K110" t="n">
        <v>0</v>
      </c>
      <c r="L110" t="n">
        <v>19990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1561</v>
      </c>
      <c r="B111" t="inlineStr">
        <is>
          <t>SUAREZ SANCHEZ, Mª DEL PILAR</t>
        </is>
      </c>
      <c r="E111" t="n">
        <v>2026</v>
      </c>
      <c r="F111" t="n">
        <v>1</v>
      </c>
      <c r="G111" t="inlineStr">
        <is>
          <t>MANDARINA</t>
        </is>
      </c>
      <c r="H111" t="inlineStr">
        <is>
          <t>TANGO</t>
        </is>
      </c>
      <c r="I111" t="n">
        <v>616</v>
      </c>
      <c r="J111" t="n">
        <v>19358</v>
      </c>
      <c r="K111" t="n">
        <v>0</v>
      </c>
      <c r="L111" t="n">
        <v>19358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1561</v>
      </c>
      <c r="B112" t="inlineStr">
        <is>
          <t>SUAREZ SANCHEZ, Mª DEL PILAR</t>
        </is>
      </c>
      <c r="E112" t="n">
        <v>2026</v>
      </c>
      <c r="F112" t="n">
        <v>1</v>
      </c>
      <c r="G112" t="inlineStr">
        <is>
          <t>MANDARINA</t>
        </is>
      </c>
      <c r="H112" t="inlineStr">
        <is>
          <t>TANGO</t>
        </is>
      </c>
      <c r="I112" t="n">
        <v>616</v>
      </c>
      <c r="J112" t="n">
        <v>17866</v>
      </c>
      <c r="K112" t="n">
        <v>0</v>
      </c>
      <c r="L112" t="n">
        <v>17866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1561</v>
      </c>
      <c r="B113" t="inlineStr">
        <is>
          <t>SUAREZ SANCHEZ, Mª DEL PILAR</t>
        </is>
      </c>
      <c r="E113" t="n">
        <v>2026</v>
      </c>
      <c r="F113" t="n">
        <v>1</v>
      </c>
      <c r="G113" t="inlineStr">
        <is>
          <t>MANDARINA</t>
        </is>
      </c>
      <c r="H113" t="inlineStr">
        <is>
          <t>TANGO</t>
        </is>
      </c>
      <c r="I113" t="n">
        <v>616</v>
      </c>
      <c r="J113" t="n">
        <v>20136</v>
      </c>
      <c r="K113" t="n">
        <v>0</v>
      </c>
      <c r="L113" t="n">
        <v>20136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1561</v>
      </c>
      <c r="B114" t="inlineStr">
        <is>
          <t>SUAREZ SANCHEZ, Mª DEL PILAR</t>
        </is>
      </c>
      <c r="E114" t="n">
        <v>2026</v>
      </c>
      <c r="F114" t="n">
        <v>1</v>
      </c>
      <c r="G114" t="inlineStr">
        <is>
          <t>MANDARINA</t>
        </is>
      </c>
      <c r="H114" t="inlineStr">
        <is>
          <t>TANGO</t>
        </is>
      </c>
      <c r="I114" t="n">
        <v>616</v>
      </c>
      <c r="J114" t="n">
        <v>20819</v>
      </c>
      <c r="K114" t="n">
        <v>15322</v>
      </c>
      <c r="L114" t="n">
        <v>15322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1561</v>
      </c>
      <c r="B115" t="inlineStr">
        <is>
          <t>SUAREZ SANCHEZ, Mª DEL PILAR</t>
        </is>
      </c>
      <c r="E115" t="n">
        <v>2026</v>
      </c>
      <c r="F115" t="n">
        <v>1</v>
      </c>
      <c r="G115" t="inlineStr">
        <is>
          <t>MANDARINA</t>
        </is>
      </c>
      <c r="H115" t="inlineStr">
        <is>
          <t>TANGO</t>
        </is>
      </c>
      <c r="I115" t="n">
        <v>616</v>
      </c>
      <c r="J115" t="n">
        <v>19896</v>
      </c>
      <c r="K115" t="n">
        <v>0</v>
      </c>
      <c r="L115" t="n">
        <v>19896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1561</v>
      </c>
      <c r="B116" t="inlineStr">
        <is>
          <t>SUAREZ SANCHEZ, Mª DEL PILAR</t>
        </is>
      </c>
      <c r="E116" t="n">
        <v>2026</v>
      </c>
      <c r="F116" t="n">
        <v>1</v>
      </c>
      <c r="G116" t="inlineStr">
        <is>
          <t>MANDARINA</t>
        </is>
      </c>
      <c r="H116" t="inlineStr">
        <is>
          <t>TANGO</t>
        </is>
      </c>
      <c r="I116" t="n">
        <v>616</v>
      </c>
      <c r="J116" t="n">
        <v>19856</v>
      </c>
      <c r="K116" t="n">
        <v>0</v>
      </c>
      <c r="L116" t="n">
        <v>19856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1561</v>
      </c>
      <c r="B117" t="inlineStr">
        <is>
          <t>SUAREZ SANCHEZ, Mª DEL PILAR</t>
        </is>
      </c>
      <c r="E117" t="n">
        <v>2026</v>
      </c>
      <c r="F117" t="n">
        <v>1</v>
      </c>
      <c r="G117" t="inlineStr">
        <is>
          <t>MANDARINA</t>
        </is>
      </c>
      <c r="H117" t="inlineStr">
        <is>
          <t>TANGO</t>
        </is>
      </c>
      <c r="I117" t="n">
        <v>616</v>
      </c>
      <c r="J117" t="n">
        <v>19353</v>
      </c>
      <c r="K117" t="n">
        <v>0</v>
      </c>
      <c r="L117" t="n">
        <v>19353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1561</v>
      </c>
      <c r="B118" t="inlineStr">
        <is>
          <t>SUAREZ SANCHEZ, Mª DEL PILAR</t>
        </is>
      </c>
      <c r="E118" t="n">
        <v>2026</v>
      </c>
      <c r="F118" t="n">
        <v>1</v>
      </c>
      <c r="G118" t="inlineStr">
        <is>
          <t>MANDARINA</t>
        </is>
      </c>
      <c r="H118" t="inlineStr">
        <is>
          <t>TANGO</t>
        </is>
      </c>
      <c r="I118" t="n">
        <v>616</v>
      </c>
      <c r="J118" t="n">
        <v>7324</v>
      </c>
      <c r="K118" t="n">
        <v>0</v>
      </c>
      <c r="L118" t="n">
        <v>7324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Hectáreas</t>
        </is>
      </c>
      <c r="E2" t="n">
        <v>7.21</v>
      </c>
      <c r="I2" t="inlineStr"/>
    </row>
    <row r="3">
      <c r="A3" t="n">
        <v>1355</v>
      </c>
      <c r="B3" t="inlineStr">
        <is>
          <t>CANO MANZANARES,JUAN ANTONIO</t>
        </is>
      </c>
      <c r="C3" t="inlineStr">
        <is>
          <t>TANGO</t>
        </is>
      </c>
      <c r="D3" t="inlineStr">
        <is>
          <t>Cuota teórica</t>
        </is>
      </c>
      <c r="E3" t="n">
        <v>1405.95</v>
      </c>
      <c r="I3" t="inlineStr"/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Kg campaña</t>
        </is>
      </c>
      <c r="E4" t="n">
        <v>357726</v>
      </c>
      <c r="I4" t="inlineStr"/>
    </row>
    <row r="5">
      <c r="A5" t="n">
        <v>1355</v>
      </c>
      <c r="B5" t="inlineStr">
        <is>
          <t>CANO MANZANARES,JUAN ANTONIO</t>
        </is>
      </c>
      <c r="C5" t="inlineStr">
        <is>
          <t>TANGO</t>
        </is>
      </c>
      <c r="D5" t="inlineStr">
        <is>
          <t>Índice</t>
        </is>
      </c>
      <c r="E5" t="n">
        <v>0.003930242699719897</v>
      </c>
      <c r="I5" t="inlineStr"/>
    </row>
    <row r="6">
      <c r="A6" t="n">
        <v>1355</v>
      </c>
      <c r="B6" t="inlineStr">
        <is>
          <t>CANO MANZANARES,JUAN ANTONIO</t>
        </is>
      </c>
      <c r="C6" t="inlineStr">
        <is>
          <t>TANGO</t>
        </is>
      </c>
      <c r="D6" t="inlineStr">
        <is>
          <t>Kg remesa</t>
        </is>
      </c>
      <c r="E6" t="n">
        <v>17488</v>
      </c>
      <c r="I6" t="inlineStr"/>
    </row>
    <row r="7">
      <c r="A7" t="n">
        <v>1355</v>
      </c>
      <c r="B7" t="inlineStr">
        <is>
          <t>CANO MANZANARES,JUAN ANTONIO</t>
        </is>
      </c>
      <c r="C7" t="inlineStr">
        <is>
          <t>TANGO</t>
        </is>
      </c>
      <c r="D7" t="inlineStr">
        <is>
          <t>Cuota parcial</t>
        </is>
      </c>
      <c r="E7" t="n">
        <v>68.73</v>
      </c>
      <c r="I7" t="inlineStr"/>
    </row>
    <row r="8">
      <c r="A8" t="n">
        <v>1355</v>
      </c>
      <c r="B8" t="inlineStr">
        <is>
          <t>CANO MANZANARES,JUAN ANTONIO</t>
        </is>
      </c>
      <c r="C8" t="inlineStr">
        <is>
          <t>TANGO</t>
        </is>
      </c>
      <c r="D8" t="inlineStr">
        <is>
          <t>Importe bruto</t>
        </is>
      </c>
      <c r="E8" t="n">
        <v>11989.13</v>
      </c>
      <c r="I8" t="inlineStr"/>
    </row>
    <row r="9">
      <c r="A9" t="n">
        <v>1355</v>
      </c>
      <c r="B9" t="inlineStr">
        <is>
          <t>CANO MANZANARES,JUAN ANTONIO</t>
        </is>
      </c>
      <c r="C9" t="inlineStr">
        <is>
          <t>TANGO</t>
        </is>
      </c>
      <c r="D9" t="inlineStr">
        <is>
          <t>Recolección</t>
        </is>
      </c>
      <c r="E9" t="n">
        <v>2186</v>
      </c>
      <c r="I9" t="inlineStr"/>
    </row>
    <row r="10">
      <c r="A10" t="n">
        <v>1355</v>
      </c>
      <c r="B10" t="inlineStr">
        <is>
          <t>CANO MANZANARES,JUAN ANTONIO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1355</v>
      </c>
      <c r="B11" t="inlineStr">
        <is>
          <t>CANO MANZANARES,JUAN ANTONIO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1355</v>
      </c>
      <c r="B12" t="inlineStr">
        <is>
          <t>CANO MANZANARES,JUAN ANTONIO</t>
        </is>
      </c>
      <c r="C12" t="inlineStr">
        <is>
          <t>TANGO</t>
        </is>
      </c>
      <c r="D12" t="inlineStr">
        <is>
          <t>GlobalGAP</t>
        </is>
      </c>
      <c r="E12" t="n">
        <v>262.09</v>
      </c>
      <c r="I12" t="inlineStr"/>
    </row>
    <row r="13">
      <c r="A13" t="n">
        <v>1355</v>
      </c>
      <c r="B13" t="inlineStr">
        <is>
          <t>CANO MANZANARES,JUAN ANTONIO</t>
        </is>
      </c>
      <c r="C13" t="inlineStr">
        <is>
          <t>TANGO</t>
        </is>
      </c>
      <c r="D13" t="inlineStr">
        <is>
          <t>Base imponible</t>
        </is>
      </c>
      <c r="E13" t="n">
        <v>9996.49</v>
      </c>
      <c r="I13" t="inlineStr"/>
    </row>
    <row r="14">
      <c r="A14" t="n">
        <v>1355</v>
      </c>
      <c r="B14" t="inlineStr">
        <is>
          <t>CANO MANZANARES,JUAN ANTONIO</t>
        </is>
      </c>
      <c r="C14" t="inlineStr">
        <is>
          <t>TANGO</t>
        </is>
      </c>
      <c r="D14" t="inlineStr">
        <is>
          <t>IVA</t>
        </is>
      </c>
      <c r="E14" t="n">
        <v>1199.58</v>
      </c>
      <c r="I14" t="inlineStr"/>
    </row>
    <row r="15">
      <c r="A15" t="n">
        <v>1355</v>
      </c>
      <c r="B15" t="inlineStr">
        <is>
          <t>CANO MANZANARES,JUAN ANTONIO</t>
        </is>
      </c>
      <c r="C15" t="inlineStr">
        <is>
          <t>TANGO</t>
        </is>
      </c>
      <c r="D15" t="inlineStr">
        <is>
          <t>Retención</t>
        </is>
      </c>
      <c r="E15" t="n">
        <v>223.92</v>
      </c>
      <c r="I15" t="inlineStr"/>
    </row>
    <row r="16">
      <c r="A16" t="n">
        <v>1355</v>
      </c>
      <c r="B16" t="inlineStr">
        <is>
          <t>CANO MANZANARES,JUAN ANTONIO</t>
        </is>
      </c>
      <c r="C16" t="inlineStr">
        <is>
          <t>TANGO</t>
        </is>
      </c>
      <c r="D16" t="inlineStr">
        <is>
          <t>Total</t>
        </is>
      </c>
      <c r="E16" t="n">
        <v>10972.15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TANGO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TANGO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TANGO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TANGO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TANGO</t>
        </is>
      </c>
      <c r="D21" t="inlineStr">
        <is>
          <t>Kg remesa</t>
        </is>
      </c>
      <c r="E21" t="n">
        <v>25834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TANGO</t>
        </is>
      </c>
      <c r="D22" t="inlineStr">
        <is>
          <t>Cuota parcial</t>
        </is>
      </c>
      <c r="E22" t="n">
        <v>159.75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TANGO</t>
        </is>
      </c>
      <c r="D23" t="inlineStr">
        <is>
          <t>Importe bruto</t>
        </is>
      </c>
      <c r="E23" t="n">
        <v>17673.1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TANGO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TANGO</t>
        </is>
      </c>
      <c r="D25" t="inlineStr">
        <is>
          <t>Transporte</t>
        </is>
      </c>
      <c r="E25" t="n">
        <v>0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TANGO</t>
        </is>
      </c>
      <c r="D27" t="inlineStr">
        <is>
          <t>GlobalGAP</t>
        </is>
      </c>
      <c r="E27" t="n">
        <v>398.27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TANGO</t>
        </is>
      </c>
      <c r="D28" t="inlineStr">
        <is>
          <t>Base imponible</t>
        </is>
      </c>
      <c r="E28" t="n">
        <v>17911.62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TANGO</t>
        </is>
      </c>
      <c r="D29" t="inlineStr">
        <is>
          <t>IVA</t>
        </is>
      </c>
      <c r="E29" t="n">
        <v>2149.39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TANGO</t>
        </is>
      </c>
      <c r="D30" t="inlineStr">
        <is>
          <t>Retención</t>
        </is>
      </c>
      <c r="E30" t="n">
        <v>401.22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TANGO</t>
        </is>
      </c>
      <c r="D31" t="inlineStr">
        <is>
          <t>Total</t>
        </is>
      </c>
      <c r="E31" t="n">
        <v>19659.79</v>
      </c>
      <c r="I31" t="inlineStr"/>
    </row>
    <row r="32">
      <c r="A32" t="n">
        <v>1561</v>
      </c>
      <c r="B32" t="inlineStr">
        <is>
          <t>SUAREZ SANCHEZ, Mª DEL PILAR</t>
        </is>
      </c>
      <c r="C32" t="inlineStr">
        <is>
          <t>TANGO</t>
        </is>
      </c>
      <c r="D32" t="inlineStr">
        <is>
          <t>Hectáreas</t>
        </is>
      </c>
      <c r="E32" t="n">
        <v>17.71</v>
      </c>
      <c r="I32" t="inlineStr"/>
    </row>
    <row r="33">
      <c r="A33" t="n">
        <v>1561</v>
      </c>
      <c r="B33" t="inlineStr">
        <is>
          <t>SUAREZ SANCHEZ, Mª DEL PILAR</t>
        </is>
      </c>
      <c r="C33" t="inlineStr">
        <is>
          <t>TANGO</t>
        </is>
      </c>
      <c r="D33" t="inlineStr">
        <is>
          <t>Cuota teórica</t>
        </is>
      </c>
      <c r="E33" t="n">
        <v>3453.45</v>
      </c>
      <c r="I33" t="inlineStr"/>
    </row>
    <row r="34">
      <c r="A34" t="n">
        <v>1561</v>
      </c>
      <c r="B34" t="inlineStr">
        <is>
          <t>SUAREZ SANCHEZ, Mª DEL PILAR</t>
        </is>
      </c>
      <c r="C34" t="inlineStr">
        <is>
          <t>TANGO</t>
        </is>
      </c>
      <c r="D34" t="inlineStr">
        <is>
          <t>Kg campaña</t>
        </is>
      </c>
      <c r="E34" t="n">
        <v>424745</v>
      </c>
      <c r="I34" t="inlineStr"/>
    </row>
    <row r="35">
      <c r="A35" t="n">
        <v>1561</v>
      </c>
      <c r="B35" t="inlineStr">
        <is>
          <t>SUAREZ SANCHEZ, Mª DEL PILAR</t>
        </is>
      </c>
      <c r="C35" t="inlineStr">
        <is>
          <t>TANGO</t>
        </is>
      </c>
      <c r="D35" t="inlineStr">
        <is>
          <t>Índice</t>
        </is>
      </c>
      <c r="E35" t="n">
        <v>0.008130643091737395</v>
      </c>
      <c r="I35" t="inlineStr"/>
    </row>
    <row r="36">
      <c r="A36" t="n">
        <v>1561</v>
      </c>
      <c r="B36" t="inlineStr">
        <is>
          <t>SUAREZ SANCHEZ, Mª DEL PILAR</t>
        </is>
      </c>
      <c r="C36" t="inlineStr">
        <is>
          <t>TANGO</t>
        </is>
      </c>
      <c r="D36" t="inlineStr">
        <is>
          <t>Kg remesa</t>
        </is>
      </c>
      <c r="E36" t="n">
        <v>94563</v>
      </c>
      <c r="I36" t="inlineStr"/>
    </row>
    <row r="37">
      <c r="A37" t="n">
        <v>1561</v>
      </c>
      <c r="B37" t="inlineStr">
        <is>
          <t>SUAREZ SANCHEZ, Mª DEL PILAR</t>
        </is>
      </c>
      <c r="C37" t="inlineStr">
        <is>
          <t>TANGO</t>
        </is>
      </c>
      <c r="D37" t="inlineStr">
        <is>
          <t>Cuota parcial</t>
        </is>
      </c>
      <c r="E37" t="n">
        <v>768.86</v>
      </c>
      <c r="I37" t="inlineStr"/>
    </row>
    <row r="38">
      <c r="A38" t="n">
        <v>1561</v>
      </c>
      <c r="B38" t="inlineStr">
        <is>
          <t>SUAREZ SANCHEZ, Mª DEL PILAR</t>
        </is>
      </c>
      <c r="C38" t="inlineStr">
        <is>
          <t>TANGO</t>
        </is>
      </c>
      <c r="D38" t="inlineStr">
        <is>
          <t>Importe bruto</t>
        </is>
      </c>
      <c r="E38" t="n">
        <v>56263.83</v>
      </c>
      <c r="I38" t="inlineStr"/>
    </row>
    <row r="39">
      <c r="A39" t="n">
        <v>1561</v>
      </c>
      <c r="B39" t="inlineStr">
        <is>
          <t>SUAREZ SANCHEZ, Mª DEL PILAR</t>
        </is>
      </c>
      <c r="C39" t="inlineStr">
        <is>
          <t>TANGO</t>
        </is>
      </c>
      <c r="D39" t="inlineStr">
        <is>
          <t>Recolección</t>
        </is>
      </c>
      <c r="E39" t="n">
        <v>0</v>
      </c>
      <c r="I39" t="inlineStr"/>
    </row>
    <row r="40">
      <c r="A40" t="n">
        <v>1561</v>
      </c>
      <c r="B40" t="inlineStr">
        <is>
          <t>SUAREZ SANCHEZ, Mª DEL PILAR</t>
        </is>
      </c>
      <c r="C40" t="inlineStr">
        <is>
          <t>TANGO</t>
        </is>
      </c>
      <c r="D40" t="inlineStr">
        <is>
          <t>Transporte</t>
        </is>
      </c>
      <c r="E40" t="n">
        <v>0</v>
      </c>
      <c r="I40" t="inlineStr"/>
    </row>
    <row r="41">
      <c r="A41" t="n">
        <v>1561</v>
      </c>
      <c r="B41" t="inlineStr">
        <is>
          <t>SUAREZ SANCHEZ, Mª DEL PILAR</t>
        </is>
      </c>
      <c r="C41" t="inlineStr">
        <is>
          <t>TANGO</t>
        </is>
      </c>
      <c r="D41" t="inlineStr">
        <is>
          <t>Calidad</t>
        </is>
      </c>
      <c r="E41" t="n">
        <v>0</v>
      </c>
      <c r="I41" t="inlineStr"/>
    </row>
    <row r="42">
      <c r="A42" t="n">
        <v>1561</v>
      </c>
      <c r="B42" t="inlineStr">
        <is>
          <t>SUAREZ SANCHEZ, Mª DEL PILAR</t>
        </is>
      </c>
      <c r="C42" t="inlineStr">
        <is>
          <t>TANGO</t>
        </is>
      </c>
      <c r="D42" t="inlineStr">
        <is>
          <t>GlobalGAP</t>
        </is>
      </c>
      <c r="E42" t="n">
        <v>1394.63</v>
      </c>
      <c r="I42" t="inlineStr"/>
    </row>
    <row r="43">
      <c r="A43" t="n">
        <v>1561</v>
      </c>
      <c r="B43" t="inlineStr">
        <is>
          <t>SUAREZ SANCHEZ, Mª DEL PILAR</t>
        </is>
      </c>
      <c r="C43" t="inlineStr">
        <is>
          <t>TANGO</t>
        </is>
      </c>
      <c r="D43" t="inlineStr">
        <is>
          <t>Base imponible</t>
        </is>
      </c>
      <c r="E43" t="n">
        <v>56889.6</v>
      </c>
      <c r="I43" t="inlineStr"/>
    </row>
    <row r="44">
      <c r="A44" t="n">
        <v>1561</v>
      </c>
      <c r="B44" t="inlineStr">
        <is>
          <t>SUAREZ SANCHEZ, Mª DEL PILAR</t>
        </is>
      </c>
      <c r="C44" t="inlineStr">
        <is>
          <t>TANGO</t>
        </is>
      </c>
      <c r="D44" t="inlineStr">
        <is>
          <t>IVA</t>
        </is>
      </c>
      <c r="E44" t="n">
        <v>6826.75</v>
      </c>
      <c r="I44" t="inlineStr"/>
    </row>
    <row r="45">
      <c r="A45" t="n">
        <v>1561</v>
      </c>
      <c r="B45" t="inlineStr">
        <is>
          <t>SUAREZ SANCHEZ, Mª DEL PILAR</t>
        </is>
      </c>
      <c r="C45" t="inlineStr">
        <is>
          <t>TANGO</t>
        </is>
      </c>
      <c r="D45" t="inlineStr">
        <is>
          <t>Retención</t>
        </is>
      </c>
      <c r="E45" t="n">
        <v>1274.33</v>
      </c>
      <c r="I45" t="inlineStr"/>
    </row>
    <row r="46">
      <c r="A46" t="n">
        <v>1561</v>
      </c>
      <c r="B46" t="inlineStr">
        <is>
          <t>SUAREZ SANCHEZ, Mª DEL PILAR</t>
        </is>
      </c>
      <c r="C46" t="inlineStr">
        <is>
          <t>TANGO</t>
        </is>
      </c>
      <c r="D46" t="inlineStr">
        <is>
          <t>Total</t>
        </is>
      </c>
      <c r="E46" t="n">
        <v>62442.02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2026-07-28T15:54:43Z</dcterms:created>
  <dcterms:modified xmlns:dcterms="http://purl.org/dc/terms/" xmlns:xsi="http://www.w3.org/2001/XMLSchema-instance" xsi:type="dcterms:W3CDTF">2026-07-28T15:54:43Z</dcterms:modified>
</cp:coreProperties>
</file>