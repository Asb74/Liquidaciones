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1178</v>
      </c>
      <c r="B2" s="3" t="inlineStr">
        <is>
          <t>CALZADO GARCIA,FRANCISCO JAVIER</t>
        </is>
      </c>
      <c r="C2" s="3" t="inlineStr">
        <is>
          <t>TANGO</t>
        </is>
      </c>
      <c r="D2" s="2" t="n">
        <v>10616</v>
      </c>
      <c r="E2" s="4" t="n">
        <v>8323.65</v>
      </c>
      <c r="F2" s="5" t="n">
        <v>0.7840665033911077</v>
      </c>
      <c r="G2" s="4" t="n">
        <v>1333</v>
      </c>
      <c r="H2" s="4" t="n">
        <v>130.72</v>
      </c>
      <c r="I2" s="4" t="n">
        <v>0</v>
      </c>
      <c r="J2" s="4" t="n">
        <v>0</v>
      </c>
      <c r="K2" s="4" t="n">
        <v>181.53</v>
      </c>
      <c r="L2" s="4" t="n">
        <v>7041.46</v>
      </c>
      <c r="M2" s="5" t="n">
        <v>0.72802</v>
      </c>
      <c r="N2" s="6" t="n">
        <v>12</v>
      </c>
      <c r="O2" s="6" t="n">
        <v>2</v>
      </c>
      <c r="P2" s="4" t="n">
        <v>7728.71</v>
      </c>
      <c r="Q2" s="3" t="inlineStr">
        <is>
          <t>Tango Semana 1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1566</v>
      </c>
      <c r="B3" s="3" t="inlineStr">
        <is>
          <t>GODOY MARTIN, FRANCISCO</t>
        </is>
      </c>
      <c r="C3" s="3" t="inlineStr">
        <is>
          <t>TANGO</t>
        </is>
      </c>
      <c r="D3" s="2" t="n">
        <v>48469</v>
      </c>
      <c r="E3" s="4" t="n">
        <v>38382.64</v>
      </c>
      <c r="F3" s="5" t="n">
        <v>0.7919008025748416</v>
      </c>
      <c r="G3" s="4" t="n">
        <v>6058.63</v>
      </c>
      <c r="H3" s="4" t="n">
        <v>0</v>
      </c>
      <c r="I3" s="4" t="n">
        <v>0</v>
      </c>
      <c r="J3" s="4" t="n">
        <v>105.5</v>
      </c>
      <c r="K3" s="4" t="n">
        <v>826.78</v>
      </c>
      <c r="L3" s="4" t="n">
        <v>33256.29</v>
      </c>
      <c r="M3" s="5" t="n">
        <v>0.7531</v>
      </c>
      <c r="N3" s="6" t="n">
        <v>12</v>
      </c>
      <c r="O3" s="6" t="n">
        <v>2</v>
      </c>
      <c r="P3" s="4" t="n">
        <v>36502.1</v>
      </c>
      <c r="Q3" s="3" t="inlineStr">
        <is>
          <t>Tango Semana 1 NORMAL</t>
        </is>
      </c>
      <c r="R3" s="3" t="inlineStr">
        <is>
          <t>MANDARINA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8" t="n"/>
      <c r="B4" s="9" t="inlineStr">
        <is>
          <t>TOTAL</t>
        </is>
      </c>
      <c r="C4" s="9" t="n"/>
      <c r="D4" s="8">
        <f>SUM(D2:D3)</f>
        <v/>
      </c>
      <c r="E4" s="10">
        <f>SUM(E2:E3)</f>
        <v/>
      </c>
      <c r="F4" s="11" t="n"/>
      <c r="G4" s="10">
        <f>SUM(G2:G3)</f>
        <v/>
      </c>
      <c r="H4" s="10">
        <f>SUM(H2:H3)</f>
        <v/>
      </c>
      <c r="I4" s="10">
        <f>SUM(I2:I3)</f>
        <v/>
      </c>
      <c r="J4" s="10">
        <f>SUM(J2:J3)</f>
        <v/>
      </c>
      <c r="K4" s="10">
        <f>SUM(K2:K3)</f>
        <v/>
      </c>
      <c r="L4" s="10">
        <f>SUM(L2:L3)</f>
        <v/>
      </c>
      <c r="M4" s="11">
        <f>IFERROR(P4/D4,0)</f>
        <v/>
      </c>
      <c r="N4" s="12" t="n"/>
      <c r="O4" s="12" t="n"/>
      <c r="P4" s="10">
        <f>SUM(P2:P3)</f>
        <v/>
      </c>
      <c r="Q4" s="9" t="n"/>
      <c r="R4" s="9" t="n"/>
      <c r="S4" s="13" t="n"/>
      <c r="T4" s="13" t="n"/>
      <c r="U4" s="13" t="n"/>
    </row>
  </sheetData>
  <autoFilter ref="A1:U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TANGO</t>
        </is>
      </c>
      <c r="D2" t="n">
        <v>0</v>
      </c>
      <c r="E2" t="inlineStr">
        <is>
          <t>not_found</t>
        </is>
      </c>
      <c r="F2" t="n">
        <v>9.630000000000001</v>
      </c>
      <c r="G2" t="n">
        <v>195</v>
      </c>
      <c r="H2" t="n">
        <v>1877.85</v>
      </c>
      <c r="I2" t="n">
        <v>152504</v>
      </c>
      <c r="J2" t="n">
        <v>0.01231344751613072</v>
      </c>
      <c r="K2" t="n">
        <v>130.72</v>
      </c>
      <c r="L2" t="n">
        <v>0</v>
      </c>
    </row>
    <row r="3">
      <c r="A3" t="n">
        <v>1566</v>
      </c>
      <c r="B3" t="inlineStr">
        <is>
          <t>GODOY MARTIN, FRANCISCO</t>
        </is>
      </c>
      <c r="C3" t="inlineStr">
        <is>
          <t>TANGO</t>
        </is>
      </c>
      <c r="D3" t="n">
        <v>0</v>
      </c>
      <c r="E3" t="inlineStr">
        <is>
          <t>not_found</t>
        </is>
      </c>
      <c r="F3" t="n">
        <v>0</v>
      </c>
      <c r="G3" t="n">
        <v>195</v>
      </c>
      <c r="H3" t="n">
        <v>0</v>
      </c>
      <c r="I3" t="n">
        <v>71612</v>
      </c>
      <c r="K3" t="n">
        <v>0</v>
      </c>
      <c r="L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1178</v>
      </c>
      <c r="B2" t="inlineStr">
        <is>
          <t>CALZADO GARCIA,FRANCISCO JAVIER</t>
        </is>
      </c>
      <c r="C2" t="n">
        <v>171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171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11</t>
        </is>
      </c>
      <c r="P2" t="inlineStr">
        <is>
          <t>82</t>
        </is>
      </c>
      <c r="Q2" t="inlineStr">
        <is>
          <t>2</t>
        </is>
      </c>
      <c r="R2" t="n">
        <v>3.84</v>
      </c>
      <c r="S2" t="n">
        <v>6.849765</v>
      </c>
      <c r="T2" t="n">
        <v>3.84</v>
      </c>
      <c r="V2" t="inlineStr">
        <is>
          <t>Sí</t>
        </is>
      </c>
      <c r="W2" t="inlineStr"/>
    </row>
    <row r="3">
      <c r="A3" t="n">
        <v>1178</v>
      </c>
      <c r="B3" t="inlineStr">
        <is>
          <t>CALZADO GARCIA,FRANCISCO JAVIER</t>
        </is>
      </c>
      <c r="C3" t="n">
        <v>528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528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11</t>
        </is>
      </c>
      <c r="P3" t="inlineStr">
        <is>
          <t>92</t>
        </is>
      </c>
      <c r="Q3" t="inlineStr">
        <is>
          <t>1</t>
        </is>
      </c>
      <c r="R3" t="n">
        <v>2.69</v>
      </c>
      <c r="S3" t="n">
        <v>5.654934</v>
      </c>
      <c r="T3" t="n">
        <v>2.69</v>
      </c>
      <c r="V3" t="inlineStr">
        <is>
          <t>Sí</t>
        </is>
      </c>
      <c r="W3" t="inlineStr"/>
    </row>
    <row r="4">
      <c r="A4" t="n">
        <v>1178</v>
      </c>
      <c r="B4" t="inlineStr">
        <is>
          <t>CALZADO GARCIA,FRANCISCO JAVIER</t>
        </is>
      </c>
      <c r="C4" t="n">
        <v>548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548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11</t>
        </is>
      </c>
      <c r="P4" t="inlineStr">
        <is>
          <t>92</t>
        </is>
      </c>
      <c r="Q4" t="inlineStr">
        <is>
          <t>1</t>
        </is>
      </c>
      <c r="R4" t="n">
        <v>0.1</v>
      </c>
      <c r="S4" t="n">
        <v>5.654934</v>
      </c>
      <c r="T4" t="n">
        <v>0.1</v>
      </c>
      <c r="V4" t="inlineStr">
        <is>
          <t>Sí</t>
        </is>
      </c>
      <c r="W4" t="inlineStr"/>
    </row>
    <row r="5">
      <c r="A5" t="n">
        <v>1178</v>
      </c>
      <c r="B5" t="inlineStr">
        <is>
          <t>CALZADO GARCIA,FRANCISCO JAVIER</t>
        </is>
      </c>
      <c r="C5" t="n">
        <v>641</v>
      </c>
      <c r="D5" t="inlineStr">
        <is>
          <t>MANDARINA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641</v>
      </c>
      <c r="K5" t="n">
        <v>2026</v>
      </c>
      <c r="L5" t="inlineStr">
        <is>
          <t>1</t>
        </is>
      </c>
      <c r="M5" t="inlineStr">
        <is>
          <t>MANDARINA</t>
        </is>
      </c>
      <c r="N5" t="inlineStr">
        <is>
          <t>41055</t>
        </is>
      </c>
      <c r="O5" t="inlineStr">
        <is>
          <t>11</t>
        </is>
      </c>
      <c r="P5" t="inlineStr">
        <is>
          <t>82</t>
        </is>
      </c>
      <c r="Q5" t="inlineStr">
        <is>
          <t>2</t>
        </is>
      </c>
      <c r="R5" t="n">
        <v>3</v>
      </c>
      <c r="S5" t="n">
        <v>0</v>
      </c>
      <c r="T5" t="n">
        <v>3</v>
      </c>
      <c r="V5" t="inlineStr">
        <is>
          <t>Sí</t>
        </is>
      </c>
      <c r="W5" t="inlineStr"/>
    </row>
    <row r="6">
      <c r="A6" t="n">
        <v>1566</v>
      </c>
      <c r="B6" t="inlineStr">
        <is>
          <t>GODOY MARTIN, FRANCISCO</t>
        </is>
      </c>
      <c r="C6" t="n">
        <v>707</v>
      </c>
      <c r="D6" t="inlineStr">
        <is>
          <t>CITRICOS</t>
        </is>
      </c>
      <c r="E6" t="n">
        <v>2026</v>
      </c>
      <c r="F6" t="n">
        <v>1</v>
      </c>
      <c r="G6" t="n">
        <v>0</v>
      </c>
      <c r="H6" t="inlineStr">
        <is>
          <t>No</t>
        </is>
      </c>
      <c r="V6" t="inlineStr">
        <is>
          <t>No</t>
        </is>
      </c>
      <c r="W6" t="inlineStr">
        <is>
          <t>CHA_NO_SELECCIONADO; CHA_NO_ACTIVO</t>
        </is>
      </c>
    </row>
    <row r="7">
      <c r="A7" t="n">
        <v>1566</v>
      </c>
      <c r="B7" t="inlineStr">
        <is>
          <t>GODOY MARTIN, FRANCISCO</t>
        </is>
      </c>
      <c r="C7" t="n">
        <v>685</v>
      </c>
      <c r="D7" t="inlineStr">
        <is>
          <t>MANDARINA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685</v>
      </c>
      <c r="K7" t="n">
        <v>2026</v>
      </c>
      <c r="L7" t="inlineStr">
        <is>
          <t>1</t>
        </is>
      </c>
      <c r="M7" t="inlineStr">
        <is>
          <t>MANDARINA</t>
        </is>
      </c>
      <c r="N7" t="inlineStr">
        <is>
          <t>41055</t>
        </is>
      </c>
      <c r="O7" t="inlineStr">
        <is>
          <t>11</t>
        </is>
      </c>
      <c r="P7" t="inlineStr">
        <is>
          <t>87</t>
        </is>
      </c>
      <c r="Q7" t="inlineStr">
        <is>
          <t>1</t>
        </is>
      </c>
      <c r="R7" t="n">
        <v>1.42</v>
      </c>
      <c r="S7" t="n">
        <v>0</v>
      </c>
      <c r="T7" t="n">
        <v>1.42</v>
      </c>
      <c r="V7" t="inlineStr">
        <is>
          <t>No</t>
        </is>
      </c>
      <c r="W7" t="inlineStr">
        <is>
          <t>PLANTACION_MENOR_CINCO_ANOS</t>
        </is>
      </c>
    </row>
    <row r="8">
      <c r="A8" t="n">
        <v>1566</v>
      </c>
      <c r="B8" t="inlineStr">
        <is>
          <t>GODOY MARTIN, FRANCISCO</t>
        </is>
      </c>
      <c r="C8" t="n">
        <v>685</v>
      </c>
      <c r="D8" t="inlineStr">
        <is>
          <t>MANDARINA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685</v>
      </c>
      <c r="K8" t="n">
        <v>2026</v>
      </c>
      <c r="L8" t="inlineStr">
        <is>
          <t>1</t>
        </is>
      </c>
      <c r="M8" t="inlineStr">
        <is>
          <t>MANDARINA</t>
        </is>
      </c>
      <c r="N8" t="inlineStr">
        <is>
          <t>41055</t>
        </is>
      </c>
      <c r="O8" t="inlineStr">
        <is>
          <t>11</t>
        </is>
      </c>
      <c r="P8" t="inlineStr">
        <is>
          <t>85</t>
        </is>
      </c>
      <c r="Q8" t="inlineStr">
        <is>
          <t>1</t>
        </is>
      </c>
      <c r="R8" t="n">
        <v>1.8</v>
      </c>
      <c r="S8" t="n">
        <v>0</v>
      </c>
      <c r="T8" t="n">
        <v>1.8</v>
      </c>
      <c r="V8" t="inlineStr">
        <is>
          <t>No</t>
        </is>
      </c>
      <c r="W8" t="inlineStr">
        <is>
          <t>PLANTACION_MENOR_CINCO_ANOS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TANGO</t>
        </is>
      </c>
      <c r="D2" t="inlineStr">
        <is>
          <t>calculated</t>
        </is>
      </c>
      <c r="E2" t="n">
        <v>9.630000000000001</v>
      </c>
      <c r="F2" t="n">
        <v>1877.85</v>
      </c>
      <c r="G2" t="n">
        <v>152504</v>
      </c>
      <c r="H2" t="n">
        <v>0.01231344751613072</v>
      </c>
      <c r="I2" t="n">
        <v>10616</v>
      </c>
      <c r="J2" t="n">
        <v>130.72</v>
      </c>
      <c r="K2" t="inlineStr">
        <is>
          <t>No existe tarifa BonCalidad para socio=1178 campaña=2026 empresa=1 cultivo=MANDARINA.; No existe fuente acumulada disponible; saldo informativo calculado con cuota ya aplicada = 0.</t>
        </is>
      </c>
    </row>
    <row r="3">
      <c r="A3" t="n">
        <v>1566</v>
      </c>
      <c r="B3" t="inlineStr">
        <is>
          <t>GODOY MARTIN, FRANCISCO</t>
        </is>
      </c>
      <c r="C3" t="inlineStr">
        <is>
          <t>TANGO</t>
        </is>
      </c>
      <c r="D3" t="inlineStr">
        <is>
          <t>not_applicable</t>
        </is>
      </c>
      <c r="E3" t="n">
        <v>0</v>
      </c>
      <c r="F3" t="n">
        <v>0</v>
      </c>
      <c r="G3" t="n">
        <v>71612</v>
      </c>
      <c r="I3" t="n">
        <v>48469</v>
      </c>
      <c r="J3" t="n">
        <v>0</v>
      </c>
      <c r="K3" t="inlineStr">
        <is>
          <t>No existe tarifa BonCalidad para socio=1566 campaña=2026 empresa=1 cultivo=MANDARINA.; No existe fuente acumulada disponible; saldo informativo calculado con cuota ya aplicada = 0.; Cuota Ha no aplicable: sin superficie sujeta a cuota.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CITRICOS, KAKIS, MANDARINA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10616</v>
      </c>
      <c r="R2" t="n">
        <v>10068.16741</v>
      </c>
      <c r="S2" t="n">
        <v>10068.16741</v>
      </c>
      <c r="T2" t="n">
        <v>181.53</v>
      </c>
      <c r="U2" t="n">
        <v>181.53</v>
      </c>
      <c r="V2" t="n">
        <v>181.53</v>
      </c>
      <c r="W2" t="n">
        <v>181.53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1566</v>
      </c>
      <c r="B3" t="inlineStr">
        <is>
          <t>GODOY MARTIN, FRANCISCO</t>
        </is>
      </c>
      <c r="C3" t="inlineStr">
        <is>
          <t>TANGO</t>
        </is>
      </c>
      <c r="D3" t="inlineStr">
        <is>
          <t>2026</t>
        </is>
      </c>
      <c r="E3" t="inlineStr">
        <is>
          <t>1</t>
        </is>
      </c>
      <c r="F3" t="inlineStr">
        <is>
          <t>MANDARINA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CITRICOS, KAKIS, MANDARINA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48469</v>
      </c>
      <c r="R3" t="n">
        <v>45855.8059</v>
      </c>
      <c r="S3" t="n">
        <v>45855.8059</v>
      </c>
      <c r="T3" t="n">
        <v>826.78</v>
      </c>
      <c r="U3" t="n">
        <v>826.78</v>
      </c>
      <c r="V3" t="n">
        <v>826.78</v>
      </c>
      <c r="W3" t="n">
        <v>826.78</v>
      </c>
      <c r="X3" t="inlineStr">
        <is>
          <t>calculated</t>
        </is>
      </c>
      <c r="Y3" t="inlineStr"/>
      <c r="Z3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Tango Semana 1 NORMAL</t>
        </is>
      </c>
      <c r="E2" t="inlineStr">
        <is>
          <t>TANGO</t>
        </is>
      </c>
      <c r="F2" t="inlineStr">
        <is>
          <t>VARIETY</t>
        </is>
      </c>
      <c r="G2" t="inlineStr"/>
      <c r="H2" t="inlineStr"/>
      <c r="I2" t="inlineStr">
        <is>
          <t>TANGO</t>
        </is>
      </c>
      <c r="J2" t="n">
        <v>1</v>
      </c>
      <c r="K2" t="inlineStr">
        <is>
          <t>VARIETY</t>
        </is>
      </c>
      <c r="L2" t="inlineStr"/>
      <c r="M2" t="inlineStr">
        <is>
          <t>TANGO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TANGO</t>
        </is>
      </c>
      <c r="D2" t="n">
        <v>8323.65</v>
      </c>
      <c r="E2" t="n">
        <v>8323.65</v>
      </c>
      <c r="F2" t="n">
        <v>1333</v>
      </c>
      <c r="G2" t="n">
        <v>130.72</v>
      </c>
      <c r="H2" t="n">
        <v>0</v>
      </c>
      <c r="I2" t="n">
        <v>0</v>
      </c>
      <c r="J2" t="n">
        <v>181.53</v>
      </c>
      <c r="K2" t="n">
        <v>7041.46</v>
      </c>
      <c r="L2" t="n">
        <v>7041.46</v>
      </c>
      <c r="M2" t="n">
        <v>7041.46</v>
      </c>
      <c r="N2" t="n">
        <v>0</v>
      </c>
      <c r="O2" t="n">
        <v>0.66329</v>
      </c>
      <c r="P2" t="n">
        <v>0.72802</v>
      </c>
      <c r="Q2" t="inlineStr">
        <is>
          <t>SÍ</t>
        </is>
      </c>
      <c r="R2" t="inlineStr"/>
    </row>
    <row r="3">
      <c r="A3" t="n">
        <v>1566</v>
      </c>
      <c r="B3" t="inlineStr">
        <is>
          <t>GODOY MARTIN, FRANCISCO</t>
        </is>
      </c>
      <c r="C3" t="inlineStr">
        <is>
          <t>TANGO</t>
        </is>
      </c>
      <c r="D3" t="n">
        <v>38382.64</v>
      </c>
      <c r="E3" t="n">
        <v>38382.64</v>
      </c>
      <c r="F3" t="n">
        <v>6058.63</v>
      </c>
      <c r="G3" t="n">
        <v>0</v>
      </c>
      <c r="H3" t="n">
        <v>0</v>
      </c>
      <c r="I3" t="n">
        <v>105.5</v>
      </c>
      <c r="J3" t="n">
        <v>826.78</v>
      </c>
      <c r="K3" t="n">
        <v>33256.29</v>
      </c>
      <c r="L3" t="n">
        <v>33256.29</v>
      </c>
      <c r="M3" t="n">
        <v>33256.29</v>
      </c>
      <c r="N3" t="n">
        <v>0</v>
      </c>
      <c r="O3" t="n">
        <v>0.68614</v>
      </c>
      <c r="P3" t="n">
        <v>0.7531</v>
      </c>
      <c r="Q3" t="inlineStr">
        <is>
          <t>SÍ</t>
        </is>
      </c>
      <c r="R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TANGO</t>
        </is>
      </c>
      <c r="D2" t="n">
        <v>7041.46</v>
      </c>
      <c r="E2" t="n">
        <v>12</v>
      </c>
      <c r="F2" t="n">
        <v>1.12</v>
      </c>
      <c r="G2" t="n">
        <v>844.98</v>
      </c>
      <c r="H2" t="n">
        <v>7886.44</v>
      </c>
      <c r="I2" t="n">
        <v>2</v>
      </c>
      <c r="J2" t="n">
        <v>0.98</v>
      </c>
      <c r="K2" t="n">
        <v>157.73</v>
      </c>
      <c r="L2" t="n">
        <v>7728.71</v>
      </c>
      <c r="M2" t="n">
        <v>7728.71</v>
      </c>
      <c r="N2" t="n">
        <v>7728.71</v>
      </c>
      <c r="O2" t="n">
        <v>10616</v>
      </c>
      <c r="P2" t="n">
        <v>0.72802</v>
      </c>
      <c r="Q2" t="n">
        <v>0.72802</v>
      </c>
      <c r="R2" t="n">
        <v>0.72802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1566</v>
      </c>
      <c r="B3" t="inlineStr">
        <is>
          <t>GODOY MARTIN, FRANCISCO</t>
        </is>
      </c>
      <c r="C3" t="inlineStr">
        <is>
          <t>TANGO</t>
        </is>
      </c>
      <c r="D3" t="n">
        <v>33256.29</v>
      </c>
      <c r="E3" t="n">
        <v>12</v>
      </c>
      <c r="F3" t="n">
        <v>1.12</v>
      </c>
      <c r="G3" t="n">
        <v>3990.75</v>
      </c>
      <c r="H3" t="n">
        <v>37247.04</v>
      </c>
      <c r="I3" t="n">
        <v>2</v>
      </c>
      <c r="J3" t="n">
        <v>0.98</v>
      </c>
      <c r="K3" t="n">
        <v>744.9400000000001</v>
      </c>
      <c r="L3" t="n">
        <v>36502.1</v>
      </c>
      <c r="M3" t="n">
        <v>36502.1</v>
      </c>
      <c r="N3" t="n">
        <v>36502.1</v>
      </c>
      <c r="O3" t="n">
        <v>48469</v>
      </c>
      <c r="P3" t="n">
        <v>0.7531</v>
      </c>
      <c r="Q3" t="n">
        <v>0.7531</v>
      </c>
      <c r="R3" t="n">
        <v>0.7531</v>
      </c>
      <c r="S3" t="n">
        <v>0</v>
      </c>
      <c r="T3" t="n">
        <v>0</v>
      </c>
      <c r="U3" t="inlineStr">
        <is>
          <t>SÍ</t>
        </is>
      </c>
      <c r="V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4</v>
      </c>
      <c r="H2" t="n">
        <v>4</v>
      </c>
      <c r="I2" t="n">
        <v>4</v>
      </c>
      <c r="J2" t="n">
        <v>0</v>
      </c>
      <c r="K2" t="n">
        <v>0</v>
      </c>
      <c r="L2" t="n">
        <v>9.630000000000001</v>
      </c>
      <c r="M2" t="n">
        <v>195</v>
      </c>
      <c r="N2" t="n">
        <v>1877.85</v>
      </c>
      <c r="O2" t="n">
        <v>152504</v>
      </c>
      <c r="P2" t="n">
        <v>0.01231344751613072</v>
      </c>
      <c r="Q2" t="n">
        <v>10616</v>
      </c>
      <c r="R2" t="n">
        <v>130.72</v>
      </c>
      <c r="S2" t="n">
        <v>0</v>
      </c>
      <c r="T2" t="n">
        <v>130.72</v>
      </c>
      <c r="U2" t="n">
        <v>1747.13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socio=1178 campaña=2026 empresa=1 cultivo=MANDARINA.; No existe fuente acumulada disponible; saldo informativo calculado con cuota ya aplicada = 0.</t>
        </is>
      </c>
      <c r="Y2" t="inlineStr">
        <is>
          <t>SÍ</t>
        </is>
      </c>
    </row>
    <row r="3">
      <c r="A3" t="n">
        <v>1566</v>
      </c>
      <c r="B3" t="inlineStr">
        <is>
          <t>GODOY MARTIN, FRANCISCO</t>
        </is>
      </c>
      <c r="C3" t="inlineStr">
        <is>
          <t>TANGO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2</v>
      </c>
      <c r="H3" t="n">
        <v>1</v>
      </c>
      <c r="I3" t="n">
        <v>0</v>
      </c>
      <c r="J3" t="n">
        <v>2</v>
      </c>
      <c r="K3" t="n">
        <v>0</v>
      </c>
      <c r="L3" t="n">
        <v>0</v>
      </c>
      <c r="M3" t="n">
        <v>195</v>
      </c>
      <c r="N3" t="n">
        <v>0</v>
      </c>
      <c r="O3" t="n">
        <v>71612</v>
      </c>
      <c r="Q3" t="n">
        <v>48469</v>
      </c>
      <c r="R3" t="n">
        <v>0</v>
      </c>
      <c r="S3" t="n">
        <v>0</v>
      </c>
      <c r="T3" t="n">
        <v>0</v>
      </c>
      <c r="U3" t="n">
        <v>0</v>
      </c>
      <c r="V3" t="inlineStr">
        <is>
          <t>CLOSED</t>
        </is>
      </c>
      <c r="W3" t="inlineStr">
        <is>
          <t>not_applicable</t>
        </is>
      </c>
      <c r="X3" t="inlineStr">
        <is>
          <t>No existe tarifa BonCalidad para socio=1566 campaña=2026 empresa=1 cultivo=MANDARINA.; No existe fuente acumulada disponible; saldo informativo calculado con cuota ya aplicada = 0.; Cuota Ha no aplicable: sin superficie sujeta a cuota.</t>
        </is>
      </c>
      <c r="Y3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1178</v>
      </c>
      <c r="B2" t="inlineStr">
        <is>
          <t>CALZADO GARCIA,FRANCISCO JAVIER</t>
        </is>
      </c>
      <c r="C2" t="n">
        <v>171</v>
      </c>
      <c r="D2" t="inlineStr">
        <is>
          <t>8376</t>
        </is>
      </c>
      <c r="E2" t="inlineStr">
        <is>
          <t>11</t>
        </is>
      </c>
      <c r="F2" t="inlineStr">
        <is>
          <t>82</t>
        </is>
      </c>
      <c r="G2" t="inlineStr">
        <is>
          <t>2</t>
        </is>
      </c>
      <c r="H2" t="n">
        <v>2004</v>
      </c>
      <c r="I2" t="n">
        <v>3.84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9.630000000000001</v>
      </c>
      <c r="P2" t="n">
        <v>1877.85</v>
      </c>
      <c r="Q2" t="n">
        <v>152504</v>
      </c>
      <c r="R2" t="n">
        <v>0.01231344751613072</v>
      </c>
      <c r="S2" t="n">
        <v>10616</v>
      </c>
      <c r="T2" t="n">
        <v>130.72</v>
      </c>
    </row>
    <row r="3">
      <c r="A3" t="n">
        <v>1178</v>
      </c>
      <c r="B3" t="inlineStr">
        <is>
          <t>CALZADO GARCIA,FRANCISCO JAVIER</t>
        </is>
      </c>
      <c r="C3" t="n">
        <v>528</v>
      </c>
      <c r="D3" t="inlineStr">
        <is>
          <t>8374</t>
        </is>
      </c>
      <c r="E3" t="inlineStr">
        <is>
          <t>11</t>
        </is>
      </c>
      <c r="F3" t="inlineStr">
        <is>
          <t>92</t>
        </is>
      </c>
      <c r="G3" t="inlineStr">
        <is>
          <t>1</t>
        </is>
      </c>
      <c r="H3" t="n">
        <v>2011</v>
      </c>
      <c r="I3" t="n">
        <v>2.69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9.630000000000001</v>
      </c>
      <c r="P3" t="n">
        <v>1877.85</v>
      </c>
      <c r="Q3" t="n">
        <v>152504</v>
      </c>
      <c r="R3" t="n">
        <v>0.01231344751613072</v>
      </c>
      <c r="S3" t="n">
        <v>10616</v>
      </c>
      <c r="T3" t="n">
        <v>130.72</v>
      </c>
    </row>
    <row r="4">
      <c r="A4" t="n">
        <v>1178</v>
      </c>
      <c r="B4" t="inlineStr">
        <is>
          <t>CALZADO GARCIA,FRANCISCO JAVIER</t>
        </is>
      </c>
      <c r="C4" t="n">
        <v>548</v>
      </c>
      <c r="D4" t="inlineStr">
        <is>
          <t>8375</t>
        </is>
      </c>
      <c r="E4" t="inlineStr">
        <is>
          <t>11</t>
        </is>
      </c>
      <c r="F4" t="inlineStr">
        <is>
          <t>92</t>
        </is>
      </c>
      <c r="G4" t="inlineStr">
        <is>
          <t>1</t>
        </is>
      </c>
      <c r="H4" t="n">
        <v>2011</v>
      </c>
      <c r="I4" t="n">
        <v>0.1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9.630000000000001</v>
      </c>
      <c r="P4" t="n">
        <v>1877.85</v>
      </c>
      <c r="Q4" t="n">
        <v>152504</v>
      </c>
      <c r="R4" t="n">
        <v>0.01231344751613072</v>
      </c>
      <c r="S4" t="n">
        <v>10616</v>
      </c>
      <c r="T4" t="n">
        <v>130.72</v>
      </c>
    </row>
    <row r="5">
      <c r="A5" t="n">
        <v>1178</v>
      </c>
      <c r="B5" t="inlineStr">
        <is>
          <t>CALZADO GARCIA,FRANCISCO JAVIER</t>
        </is>
      </c>
      <c r="C5" t="n">
        <v>641</v>
      </c>
      <c r="D5" t="inlineStr">
        <is>
          <t>6454</t>
        </is>
      </c>
      <c r="E5" t="inlineStr">
        <is>
          <t>11</t>
        </is>
      </c>
      <c r="F5" t="inlineStr">
        <is>
          <t>82</t>
        </is>
      </c>
      <c r="G5" t="inlineStr">
        <is>
          <t>2</t>
        </is>
      </c>
      <c r="H5" t="n">
        <v>2020</v>
      </c>
      <c r="I5" t="n">
        <v>3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9.630000000000001</v>
      </c>
      <c r="P5" t="n">
        <v>1877.85</v>
      </c>
      <c r="Q5" t="n">
        <v>152504</v>
      </c>
      <c r="R5" t="n">
        <v>0.01231344751613072</v>
      </c>
      <c r="S5" t="n">
        <v>10616</v>
      </c>
      <c r="T5" t="n">
        <v>130.72</v>
      </c>
    </row>
    <row r="6">
      <c r="A6" t="n">
        <v>1566</v>
      </c>
      <c r="B6" t="inlineStr">
        <is>
          <t>GODOY MARTIN, FRANCISCO</t>
        </is>
      </c>
      <c r="C6" t="n">
        <v>707</v>
      </c>
      <c r="I6" t="n">
        <v>3.96</v>
      </c>
      <c r="J6" t="n">
        <v>0</v>
      </c>
      <c r="M6" t="inlineStr">
        <is>
          <t>No</t>
        </is>
      </c>
      <c r="N6" t="inlineStr">
        <is>
          <t>CHA_NO_SELECCIONADO; CHA_NO_ACTIVO</t>
        </is>
      </c>
      <c r="O6" t="n">
        <v>0</v>
      </c>
      <c r="P6" t="n">
        <v>0</v>
      </c>
      <c r="Q6" t="n">
        <v>71612</v>
      </c>
      <c r="S6" t="n">
        <v>48469</v>
      </c>
      <c r="T6" t="n">
        <v>0</v>
      </c>
    </row>
    <row r="7">
      <c r="A7" t="n">
        <v>1566</v>
      </c>
      <c r="B7" t="inlineStr">
        <is>
          <t>GODOY MARTIN, FRANCISCO</t>
        </is>
      </c>
      <c r="C7" t="n">
        <v>685</v>
      </c>
      <c r="D7" t="inlineStr">
        <is>
          <t>9633</t>
        </is>
      </c>
      <c r="E7" t="inlineStr">
        <is>
          <t>11</t>
        </is>
      </c>
      <c r="F7" t="inlineStr">
        <is>
          <t>87</t>
        </is>
      </c>
      <c r="G7" t="inlineStr">
        <is>
          <t>1</t>
        </is>
      </c>
      <c r="H7" t="n">
        <v>2022</v>
      </c>
      <c r="I7" t="n">
        <v>1.42</v>
      </c>
      <c r="J7" t="n">
        <v>1</v>
      </c>
      <c r="L7" t="inlineStr">
        <is>
          <t>No</t>
        </is>
      </c>
      <c r="M7" t="inlineStr">
        <is>
          <t>No</t>
        </is>
      </c>
      <c r="N7" t="inlineStr">
        <is>
          <t>PLANTACION_MENOR_CINCO_ANOS</t>
        </is>
      </c>
      <c r="O7" t="n">
        <v>0</v>
      </c>
      <c r="P7" t="n">
        <v>0</v>
      </c>
      <c r="Q7" t="n">
        <v>71612</v>
      </c>
      <c r="S7" t="n">
        <v>48469</v>
      </c>
      <c r="T7" t="n">
        <v>0</v>
      </c>
    </row>
    <row r="8">
      <c r="A8" t="n">
        <v>1566</v>
      </c>
      <c r="B8" t="inlineStr">
        <is>
          <t>GODOY MARTIN, FRANCISCO</t>
        </is>
      </c>
      <c r="C8" t="n">
        <v>685</v>
      </c>
      <c r="D8" t="inlineStr">
        <is>
          <t>9634</t>
        </is>
      </c>
      <c r="E8" t="inlineStr">
        <is>
          <t>11</t>
        </is>
      </c>
      <c r="F8" t="inlineStr">
        <is>
          <t>85</t>
        </is>
      </c>
      <c r="G8" t="inlineStr">
        <is>
          <t>1</t>
        </is>
      </c>
      <c r="H8" t="n">
        <v>2022</v>
      </c>
      <c r="I8" t="n">
        <v>1.8</v>
      </c>
      <c r="J8" t="n">
        <v>1</v>
      </c>
      <c r="L8" t="inlineStr">
        <is>
          <t>No</t>
        </is>
      </c>
      <c r="M8" t="inlineStr">
        <is>
          <t>No</t>
        </is>
      </c>
      <c r="N8" t="inlineStr">
        <is>
          <t>PLANTACION_MENOR_CINCO_ANOS</t>
        </is>
      </c>
      <c r="O8" t="n">
        <v>0</v>
      </c>
      <c r="P8" t="n">
        <v>0</v>
      </c>
      <c r="Q8" t="n">
        <v>71612</v>
      </c>
      <c r="S8" t="n">
        <v>48469</v>
      </c>
      <c r="T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1178</v>
      </c>
      <c r="B2" t="inlineStr">
        <is>
          <t>CALZADO GARCIA,FRANCISCO JAVIER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171</v>
      </c>
      <c r="J2" t="n">
        <v>988</v>
      </c>
      <c r="K2" t="n">
        <v>0</v>
      </c>
      <c r="L2" t="n">
        <v>988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1178</v>
      </c>
      <c r="B3" t="inlineStr">
        <is>
          <t>CALZADO GARCIA,FRANCISCO JAVIER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171</v>
      </c>
      <c r="J3" t="n">
        <v>11795</v>
      </c>
      <c r="K3" t="n">
        <v>11427</v>
      </c>
      <c r="L3" t="n">
        <v>11427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1178</v>
      </c>
      <c r="B4" t="inlineStr">
        <is>
          <t>CALZADO GARCIA,FRANCISCO JAVIER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171</v>
      </c>
      <c r="J4" t="n">
        <v>11840</v>
      </c>
      <c r="K4" t="n">
        <v>0</v>
      </c>
      <c r="L4" t="n">
        <v>11840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1178</v>
      </c>
      <c r="B5" t="inlineStr">
        <is>
          <t>CALZADO GARCIA,FRANCISCO JAVIER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171</v>
      </c>
      <c r="J5" t="n">
        <v>12895</v>
      </c>
      <c r="K5" t="n">
        <v>997</v>
      </c>
      <c r="L5" t="n">
        <v>997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1178</v>
      </c>
      <c r="B6" t="inlineStr">
        <is>
          <t>CALZADO GARCIA,FRANCISCO JAVIER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171</v>
      </c>
      <c r="J6" t="n">
        <v>2940</v>
      </c>
      <c r="K6" t="n">
        <v>0</v>
      </c>
      <c r="L6" t="n">
        <v>2940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1178</v>
      </c>
      <c r="B7" t="inlineStr">
        <is>
          <t>CALZADO GARCIA,FRANCISCO JAVIER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171</v>
      </c>
      <c r="J7" t="n">
        <v>11915</v>
      </c>
      <c r="K7" t="n">
        <v>10306</v>
      </c>
      <c r="L7" t="n">
        <v>10306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1178</v>
      </c>
      <c r="B8" t="inlineStr">
        <is>
          <t>CALZADO GARCIA,FRANCISCO JAVIER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171</v>
      </c>
      <c r="J8" t="n">
        <v>11940</v>
      </c>
      <c r="K8" t="n">
        <v>0</v>
      </c>
      <c r="L8" t="n">
        <v>11940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1178</v>
      </c>
      <c r="B9" t="inlineStr">
        <is>
          <t>CALZADO GARCIA,FRANCISCO JAVIER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171</v>
      </c>
      <c r="J9" t="n">
        <v>11580</v>
      </c>
      <c r="K9" t="n">
        <v>11143</v>
      </c>
      <c r="L9" t="n">
        <v>11143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1178</v>
      </c>
      <c r="B10" t="inlineStr">
        <is>
          <t>CALZADO GARCIA,FRANCISCO JAVIER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171</v>
      </c>
      <c r="J10" t="n">
        <v>12965</v>
      </c>
      <c r="K10" t="n">
        <v>4391</v>
      </c>
      <c r="L10" t="n">
        <v>4391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1178</v>
      </c>
      <c r="B11" t="inlineStr">
        <is>
          <t>CALZADO GARCIA,FRANCISCO JAVIER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171</v>
      </c>
      <c r="J11" t="n">
        <v>12615</v>
      </c>
      <c r="K11" t="n">
        <v>7769</v>
      </c>
      <c r="L11" t="n">
        <v>7769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1178</v>
      </c>
      <c r="B12" t="inlineStr">
        <is>
          <t>CALZADO GARCIA,FRANCISCO JAVIER</t>
        </is>
      </c>
      <c r="E12" t="n">
        <v>2026</v>
      </c>
      <c r="F12" t="n">
        <v>1</v>
      </c>
      <c r="G12" t="inlineStr">
        <is>
          <t>DIRECTO</t>
        </is>
      </c>
      <c r="H12" t="inlineStr">
        <is>
          <t>NAVEL POWEL</t>
        </is>
      </c>
      <c r="I12" t="n">
        <v>528</v>
      </c>
      <c r="J12" t="n">
        <v>13300</v>
      </c>
      <c r="K12" t="n">
        <v>0</v>
      </c>
      <c r="L12" t="n">
        <v>13300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1178</v>
      </c>
      <c r="B13" t="inlineStr">
        <is>
          <t>CALZADO GARCIA,FRANCISCO JAVIER</t>
        </is>
      </c>
      <c r="E13" t="n">
        <v>2026</v>
      </c>
      <c r="F13" t="n">
        <v>1</v>
      </c>
      <c r="G13" t="inlineStr">
        <is>
          <t>DIRECTO</t>
        </is>
      </c>
      <c r="H13" t="inlineStr">
        <is>
          <t>NAVEL POWEL</t>
        </is>
      </c>
      <c r="I13" t="n">
        <v>528</v>
      </c>
      <c r="J13" t="n">
        <v>7680</v>
      </c>
      <c r="K13" t="n">
        <v>0</v>
      </c>
      <c r="L13" t="n">
        <v>7680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1178</v>
      </c>
      <c r="B14" t="inlineStr">
        <is>
          <t>CALZADO GARCIA,FRANCISCO JAVIER</t>
        </is>
      </c>
      <c r="E14" t="n">
        <v>2026</v>
      </c>
      <c r="F14" t="n">
        <v>1</v>
      </c>
      <c r="G14" t="inlineStr">
        <is>
          <t>INDUSTRIA</t>
        </is>
      </c>
      <c r="H14" t="inlineStr">
        <is>
          <t>SALUSTIANA</t>
        </is>
      </c>
      <c r="I14" t="n">
        <v>171</v>
      </c>
      <c r="J14" t="n">
        <v>12985</v>
      </c>
      <c r="K14" t="n">
        <v>333</v>
      </c>
      <c r="L14" t="n">
        <v>333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1178</v>
      </c>
      <c r="B15" t="inlineStr">
        <is>
          <t>CALZADO GARCIA,FRANCISCO JAVIER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SALUSTIANA</t>
        </is>
      </c>
      <c r="I15" t="n">
        <v>171</v>
      </c>
      <c r="J15" t="n">
        <v>11670</v>
      </c>
      <c r="K15" t="n">
        <v>437</v>
      </c>
      <c r="L15" t="n">
        <v>437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1178</v>
      </c>
      <c r="B16" t="inlineStr">
        <is>
          <t>CALZADO GARCIA,FRANCISCO JAVIER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171</v>
      </c>
      <c r="J16" t="n">
        <v>11230</v>
      </c>
      <c r="K16" t="n">
        <v>367</v>
      </c>
      <c r="L16" t="n">
        <v>367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1178</v>
      </c>
      <c r="B17" t="inlineStr">
        <is>
          <t>CALZADO GARCIA,FRANCISCO JAVIER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171</v>
      </c>
      <c r="J17" t="n">
        <v>12490</v>
      </c>
      <c r="K17" t="n">
        <v>530</v>
      </c>
      <c r="L17" t="n">
        <v>530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1178</v>
      </c>
      <c r="B18" t="inlineStr">
        <is>
          <t>CALZADO GARCIA,FRANCISCO JAVIER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NAVEL POWEL</t>
        </is>
      </c>
      <c r="I18" t="n">
        <v>528</v>
      </c>
      <c r="J18" t="n">
        <v>518</v>
      </c>
      <c r="K18" t="n">
        <v>0</v>
      </c>
      <c r="L18" t="n">
        <v>518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1178</v>
      </c>
      <c r="B19" t="inlineStr">
        <is>
          <t>CALZADO GARCIA,FRANCISCO JAVIER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NAVEL POWEL</t>
        </is>
      </c>
      <c r="I19" t="n">
        <v>528</v>
      </c>
      <c r="J19" t="n">
        <v>498</v>
      </c>
      <c r="K19" t="n">
        <v>0</v>
      </c>
      <c r="L19" t="n">
        <v>498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1178</v>
      </c>
      <c r="B20" t="inlineStr">
        <is>
          <t>CALZADO GARCIA,FRANCISCO JAVIER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NAVEL POWEL</t>
        </is>
      </c>
      <c r="I20" t="n">
        <v>528</v>
      </c>
      <c r="J20" t="n">
        <v>478</v>
      </c>
      <c r="K20" t="n">
        <v>0</v>
      </c>
      <c r="L20" t="n">
        <v>478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1178</v>
      </c>
      <c r="B21" t="inlineStr">
        <is>
          <t>CALZADO GARCIA,FRANCISCO JAVIER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NAVEL POWEL</t>
        </is>
      </c>
      <c r="I21" t="n">
        <v>528</v>
      </c>
      <c r="J21" t="n">
        <v>458</v>
      </c>
      <c r="K21" t="n">
        <v>0</v>
      </c>
      <c r="L21" t="n">
        <v>458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1178</v>
      </c>
      <c r="B22" t="inlineStr">
        <is>
          <t>CALZADO GARCIA,FRANCISCO JAVIER</t>
        </is>
      </c>
      <c r="E22" t="n">
        <v>2026</v>
      </c>
      <c r="F22" t="n">
        <v>1</v>
      </c>
      <c r="G22" t="inlineStr">
        <is>
          <t>MANDARINA</t>
        </is>
      </c>
      <c r="H22" t="inlineStr">
        <is>
          <t>TANGO</t>
        </is>
      </c>
      <c r="I22" t="n">
        <v>641</v>
      </c>
      <c r="J22" t="n">
        <v>21416</v>
      </c>
      <c r="K22" t="n">
        <v>0</v>
      </c>
      <c r="L22" t="n">
        <v>21416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1178</v>
      </c>
      <c r="B23" t="inlineStr">
        <is>
          <t>CALZADO GARCIA,FRANCISCO JAVIER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TANGO</t>
        </is>
      </c>
      <c r="I23" t="n">
        <v>641</v>
      </c>
      <c r="J23" t="n">
        <v>21136</v>
      </c>
      <c r="K23" t="n">
        <v>0</v>
      </c>
      <c r="L23" t="n">
        <v>21136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1178</v>
      </c>
      <c r="B24" t="inlineStr">
        <is>
          <t>CALZADO GARCIA,FRANCISCO JAVIER</t>
        </is>
      </c>
      <c r="E24" t="n">
        <v>2026</v>
      </c>
      <c r="F24" t="n">
        <v>1</v>
      </c>
      <c r="G24" t="inlineStr">
        <is>
          <t>MANDARINA</t>
        </is>
      </c>
      <c r="H24" t="inlineStr">
        <is>
          <t>TANGO</t>
        </is>
      </c>
      <c r="I24" t="n">
        <v>641</v>
      </c>
      <c r="J24" t="n">
        <v>10616</v>
      </c>
      <c r="K24" t="n">
        <v>0</v>
      </c>
      <c r="L24" t="n">
        <v>10616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1566</v>
      </c>
      <c r="B25" t="inlineStr">
        <is>
          <t>GODOY MARTIN, FRANCISCO</t>
        </is>
      </c>
      <c r="E25" t="n">
        <v>2026</v>
      </c>
      <c r="F25" t="n">
        <v>1</v>
      </c>
      <c r="G25" t="inlineStr">
        <is>
          <t>MANDARINA</t>
        </is>
      </c>
      <c r="H25" t="inlineStr">
        <is>
          <t>TANGO</t>
        </is>
      </c>
      <c r="I25" t="n">
        <v>685</v>
      </c>
      <c r="J25" t="n">
        <v>11972</v>
      </c>
      <c r="K25" t="n">
        <v>7177</v>
      </c>
      <c r="L25" t="n">
        <v>7177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1566</v>
      </c>
      <c r="B26" t="inlineStr">
        <is>
          <t>GODOY MARTIN, FRANCISCO</t>
        </is>
      </c>
      <c r="E26" t="n">
        <v>2026</v>
      </c>
      <c r="F26" t="n">
        <v>1</v>
      </c>
      <c r="G26" t="inlineStr">
        <is>
          <t>MANDARINA</t>
        </is>
      </c>
      <c r="H26" t="inlineStr">
        <is>
          <t>TANGO</t>
        </is>
      </c>
      <c r="I26" t="n">
        <v>685</v>
      </c>
      <c r="J26" t="n">
        <v>10064</v>
      </c>
      <c r="K26" t="n">
        <v>2283</v>
      </c>
      <c r="L26" t="n">
        <v>2283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1566</v>
      </c>
      <c r="B27" t="inlineStr">
        <is>
          <t>GODOY MARTIN, FRANCISCO</t>
        </is>
      </c>
      <c r="E27" t="n">
        <v>2026</v>
      </c>
      <c r="F27" t="n">
        <v>1</v>
      </c>
      <c r="G27" t="inlineStr">
        <is>
          <t>MANDARINA</t>
        </is>
      </c>
      <c r="H27" t="inlineStr">
        <is>
          <t>TANGO</t>
        </is>
      </c>
      <c r="I27" t="n">
        <v>685</v>
      </c>
      <c r="J27" t="n">
        <v>20356</v>
      </c>
      <c r="K27" t="n">
        <v>0</v>
      </c>
      <c r="L27" t="n">
        <v>20356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1566</v>
      </c>
      <c r="B28" t="inlineStr">
        <is>
          <t>GODOY MARTIN, FRANCISCO</t>
        </is>
      </c>
      <c r="E28" t="n">
        <v>2026</v>
      </c>
      <c r="F28" t="n">
        <v>1</v>
      </c>
      <c r="G28" t="inlineStr">
        <is>
          <t>MANDARINA</t>
        </is>
      </c>
      <c r="H28" t="inlineStr">
        <is>
          <t>TANGO</t>
        </is>
      </c>
      <c r="I28" t="n">
        <v>685</v>
      </c>
      <c r="J28" t="n">
        <v>20936</v>
      </c>
      <c r="K28" t="n">
        <v>0</v>
      </c>
      <c r="L28" t="n">
        <v>20936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1566</v>
      </c>
      <c r="B29" t="inlineStr">
        <is>
          <t>GODOY MARTIN, FRANCISCO</t>
        </is>
      </c>
      <c r="E29" t="n">
        <v>2026</v>
      </c>
      <c r="F29" t="n">
        <v>1</v>
      </c>
      <c r="G29" t="inlineStr">
        <is>
          <t>MANDARINA</t>
        </is>
      </c>
      <c r="H29" t="inlineStr">
        <is>
          <t>TANGO</t>
        </is>
      </c>
      <c r="I29" t="n">
        <v>685</v>
      </c>
      <c r="J29" t="n">
        <v>20860</v>
      </c>
      <c r="K29" t="n">
        <v>0</v>
      </c>
      <c r="L29" t="n">
        <v>20860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1178</v>
      </c>
      <c r="B2" t="inlineStr">
        <is>
          <t>CALZADO GARCIA,FRANCISCO JAVIER</t>
        </is>
      </c>
      <c r="C2" t="inlineStr">
        <is>
          <t>TANGO</t>
        </is>
      </c>
      <c r="D2" t="inlineStr">
        <is>
          <t>Hectáreas</t>
        </is>
      </c>
      <c r="E2" t="n">
        <v>9.630000000000001</v>
      </c>
      <c r="I2" t="inlineStr"/>
    </row>
    <row r="3">
      <c r="A3" t="n">
        <v>1178</v>
      </c>
      <c r="B3" t="inlineStr">
        <is>
          <t>CALZADO GARCIA,FRANCISCO JAVIER</t>
        </is>
      </c>
      <c r="C3" t="inlineStr">
        <is>
          <t>TANGO</t>
        </is>
      </c>
      <c r="D3" t="inlineStr">
        <is>
          <t>Cuota teórica</t>
        </is>
      </c>
      <c r="E3" t="n">
        <v>1877.85</v>
      </c>
      <c r="I3" t="inlineStr"/>
    </row>
    <row r="4">
      <c r="A4" t="n">
        <v>1178</v>
      </c>
      <c r="B4" t="inlineStr">
        <is>
          <t>CALZADO GARCIA,FRANCISCO JAVIER</t>
        </is>
      </c>
      <c r="C4" t="inlineStr">
        <is>
          <t>TANGO</t>
        </is>
      </c>
      <c r="D4" t="inlineStr">
        <is>
          <t>Kg campaña</t>
        </is>
      </c>
      <c r="E4" t="n">
        <v>152504</v>
      </c>
      <c r="I4" t="inlineStr"/>
    </row>
    <row r="5">
      <c r="A5" t="n">
        <v>1178</v>
      </c>
      <c r="B5" t="inlineStr">
        <is>
          <t>CALZADO GARCIA,FRANCISCO JAVIER</t>
        </is>
      </c>
      <c r="C5" t="inlineStr">
        <is>
          <t>TANGO</t>
        </is>
      </c>
      <c r="D5" t="inlineStr">
        <is>
          <t>Índice</t>
        </is>
      </c>
      <c r="E5" t="n">
        <v>0.01231344751613072</v>
      </c>
      <c r="I5" t="inlineStr"/>
    </row>
    <row r="6">
      <c r="A6" t="n">
        <v>1178</v>
      </c>
      <c r="B6" t="inlineStr">
        <is>
          <t>CALZADO GARCIA,FRANCISCO JAVIER</t>
        </is>
      </c>
      <c r="C6" t="inlineStr">
        <is>
          <t>TANGO</t>
        </is>
      </c>
      <c r="D6" t="inlineStr">
        <is>
          <t>Kg remesa</t>
        </is>
      </c>
      <c r="E6" t="n">
        <v>10616</v>
      </c>
      <c r="I6" t="inlineStr"/>
    </row>
    <row r="7">
      <c r="A7" t="n">
        <v>1178</v>
      </c>
      <c r="B7" t="inlineStr">
        <is>
          <t>CALZADO GARCIA,FRANCISCO JAVIER</t>
        </is>
      </c>
      <c r="C7" t="inlineStr">
        <is>
          <t>TANGO</t>
        </is>
      </c>
      <c r="D7" t="inlineStr">
        <is>
          <t>Cuota parcial</t>
        </is>
      </c>
      <c r="E7" t="n">
        <v>130.72</v>
      </c>
      <c r="I7" t="inlineStr"/>
    </row>
    <row r="8">
      <c r="A8" t="n">
        <v>1178</v>
      </c>
      <c r="B8" t="inlineStr">
        <is>
          <t>CALZADO GARCIA,FRANCISCO JAVIER</t>
        </is>
      </c>
      <c r="C8" t="inlineStr">
        <is>
          <t>TANGO</t>
        </is>
      </c>
      <c r="D8" t="inlineStr">
        <is>
          <t>Importe bruto</t>
        </is>
      </c>
      <c r="E8" t="n">
        <v>8323.65</v>
      </c>
      <c r="I8" t="inlineStr"/>
    </row>
    <row r="9">
      <c r="A9" t="n">
        <v>1178</v>
      </c>
      <c r="B9" t="inlineStr">
        <is>
          <t>CALZADO GARCIA,FRANCISCO JAVIER</t>
        </is>
      </c>
      <c r="C9" t="inlineStr">
        <is>
          <t>TANGO</t>
        </is>
      </c>
      <c r="D9" t="inlineStr">
        <is>
          <t>Recolección</t>
        </is>
      </c>
      <c r="E9" t="n">
        <v>1333</v>
      </c>
      <c r="I9" t="inlineStr"/>
    </row>
    <row r="10">
      <c r="A10" t="n">
        <v>1178</v>
      </c>
      <c r="B10" t="inlineStr">
        <is>
          <t>CALZADO GARCIA,FRANCISCO JAVIER</t>
        </is>
      </c>
      <c r="C10" t="inlineStr">
        <is>
          <t>TANGO</t>
        </is>
      </c>
      <c r="D10" t="inlineStr">
        <is>
          <t>Transporte</t>
        </is>
      </c>
      <c r="E10" t="n">
        <v>0</v>
      </c>
      <c r="I10" t="inlineStr"/>
    </row>
    <row r="11">
      <c r="A11" t="n">
        <v>1178</v>
      </c>
      <c r="B11" t="inlineStr">
        <is>
          <t>CALZADO GARCIA,FRANCISCO JAVIER</t>
        </is>
      </c>
      <c r="C11" t="inlineStr">
        <is>
          <t>TANGO</t>
        </is>
      </c>
      <c r="D11" t="inlineStr">
        <is>
          <t>Calidad</t>
        </is>
      </c>
      <c r="E11" t="n">
        <v>0</v>
      </c>
      <c r="I11" t="inlineStr"/>
    </row>
    <row r="12">
      <c r="A12" t="n">
        <v>1178</v>
      </c>
      <c r="B12" t="inlineStr">
        <is>
          <t>CALZADO GARCIA,FRANCISCO JAVIER</t>
        </is>
      </c>
      <c r="C12" t="inlineStr">
        <is>
          <t>TANGO</t>
        </is>
      </c>
      <c r="D12" t="inlineStr">
        <is>
          <t>GlobalGAP</t>
        </is>
      </c>
      <c r="E12" t="n">
        <v>181.53</v>
      </c>
      <c r="I12" t="inlineStr"/>
    </row>
    <row r="13">
      <c r="A13" t="n">
        <v>1178</v>
      </c>
      <c r="B13" t="inlineStr">
        <is>
          <t>CALZADO GARCIA,FRANCISCO JAVIER</t>
        </is>
      </c>
      <c r="C13" t="inlineStr">
        <is>
          <t>TANGO</t>
        </is>
      </c>
      <c r="D13" t="inlineStr">
        <is>
          <t>Base imponible</t>
        </is>
      </c>
      <c r="E13" t="n">
        <v>7041.46</v>
      </c>
      <c r="I13" t="inlineStr"/>
    </row>
    <row r="14">
      <c r="A14" t="n">
        <v>1178</v>
      </c>
      <c r="B14" t="inlineStr">
        <is>
          <t>CALZADO GARCIA,FRANCISCO JAVIER</t>
        </is>
      </c>
      <c r="C14" t="inlineStr">
        <is>
          <t>TANGO</t>
        </is>
      </c>
      <c r="D14" t="inlineStr">
        <is>
          <t>IVA</t>
        </is>
      </c>
      <c r="E14" t="n">
        <v>844.98</v>
      </c>
      <c r="I14" t="inlineStr"/>
    </row>
    <row r="15">
      <c r="A15" t="n">
        <v>1178</v>
      </c>
      <c r="B15" t="inlineStr">
        <is>
          <t>CALZADO GARCIA,FRANCISCO JAVIER</t>
        </is>
      </c>
      <c r="C15" t="inlineStr">
        <is>
          <t>TANGO</t>
        </is>
      </c>
      <c r="D15" t="inlineStr">
        <is>
          <t>Retención</t>
        </is>
      </c>
      <c r="E15" t="n">
        <v>157.73</v>
      </c>
      <c r="I15" t="inlineStr"/>
    </row>
    <row r="16">
      <c r="A16" t="n">
        <v>1178</v>
      </c>
      <c r="B16" t="inlineStr">
        <is>
          <t>CALZADO GARCIA,FRANCISCO JAVIER</t>
        </is>
      </c>
      <c r="C16" t="inlineStr">
        <is>
          <t>TANGO</t>
        </is>
      </c>
      <c r="D16" t="inlineStr">
        <is>
          <t>Total</t>
        </is>
      </c>
      <c r="E16" t="n">
        <v>7728.71</v>
      </c>
      <c r="I16" t="inlineStr"/>
    </row>
    <row r="17">
      <c r="A17" t="n">
        <v>1566</v>
      </c>
      <c r="B17" t="inlineStr">
        <is>
          <t>GODOY MARTIN, FRANCISCO</t>
        </is>
      </c>
      <c r="C17" t="inlineStr">
        <is>
          <t>TANGO</t>
        </is>
      </c>
      <c r="D17" t="inlineStr">
        <is>
          <t>Hectáreas</t>
        </is>
      </c>
      <c r="E17" t="n">
        <v>0</v>
      </c>
      <c r="I17" t="inlineStr"/>
    </row>
    <row r="18">
      <c r="A18" t="n">
        <v>1566</v>
      </c>
      <c r="B18" t="inlineStr">
        <is>
          <t>GODOY MARTIN, FRANCISCO</t>
        </is>
      </c>
      <c r="C18" t="inlineStr">
        <is>
          <t>TANGO</t>
        </is>
      </c>
      <c r="D18" t="inlineStr">
        <is>
          <t>Cuota teórica</t>
        </is>
      </c>
      <c r="E18" t="n">
        <v>0</v>
      </c>
      <c r="I18" t="inlineStr"/>
    </row>
    <row r="19">
      <c r="A19" t="n">
        <v>1566</v>
      </c>
      <c r="B19" t="inlineStr">
        <is>
          <t>GODOY MARTIN, FRANCISCO</t>
        </is>
      </c>
      <c r="C19" t="inlineStr">
        <is>
          <t>TANGO</t>
        </is>
      </c>
      <c r="D19" t="inlineStr">
        <is>
          <t>Kg campaña</t>
        </is>
      </c>
      <c r="E19" t="n">
        <v>71612</v>
      </c>
      <c r="I19" t="inlineStr"/>
    </row>
    <row r="20">
      <c r="A20" t="n">
        <v>1566</v>
      </c>
      <c r="B20" t="inlineStr">
        <is>
          <t>GODOY MARTIN, FRANCISCO</t>
        </is>
      </c>
      <c r="C20" t="inlineStr">
        <is>
          <t>TANGO</t>
        </is>
      </c>
      <c r="D20" t="inlineStr">
        <is>
          <t>Índice</t>
        </is>
      </c>
      <c r="I20" t="inlineStr"/>
    </row>
    <row r="21">
      <c r="A21" t="n">
        <v>1566</v>
      </c>
      <c r="B21" t="inlineStr">
        <is>
          <t>GODOY MARTIN, FRANCISCO</t>
        </is>
      </c>
      <c r="C21" t="inlineStr">
        <is>
          <t>TANGO</t>
        </is>
      </c>
      <c r="D21" t="inlineStr">
        <is>
          <t>Kg remesa</t>
        </is>
      </c>
      <c r="E21" t="n">
        <v>48469</v>
      </c>
      <c r="I21" t="inlineStr"/>
    </row>
    <row r="22">
      <c r="A22" t="n">
        <v>1566</v>
      </c>
      <c r="B22" t="inlineStr">
        <is>
          <t>GODOY MARTIN, FRANCISCO</t>
        </is>
      </c>
      <c r="C22" t="inlineStr">
        <is>
          <t>TANGO</t>
        </is>
      </c>
      <c r="D22" t="inlineStr">
        <is>
          <t>Cuota parcial</t>
        </is>
      </c>
      <c r="E22" t="n">
        <v>0</v>
      </c>
      <c r="I22" t="inlineStr"/>
    </row>
    <row r="23">
      <c r="A23" t="n">
        <v>1566</v>
      </c>
      <c r="B23" t="inlineStr">
        <is>
          <t>GODOY MARTIN, FRANCISCO</t>
        </is>
      </c>
      <c r="C23" t="inlineStr">
        <is>
          <t>TANGO</t>
        </is>
      </c>
      <c r="D23" t="inlineStr">
        <is>
          <t>Importe bruto</t>
        </is>
      </c>
      <c r="E23" t="n">
        <v>38382.64</v>
      </c>
      <c r="I23" t="inlineStr"/>
    </row>
    <row r="24">
      <c r="A24" t="n">
        <v>1566</v>
      </c>
      <c r="B24" t="inlineStr">
        <is>
          <t>GODOY MARTIN, FRANCISCO</t>
        </is>
      </c>
      <c r="C24" t="inlineStr">
        <is>
          <t>TANGO</t>
        </is>
      </c>
      <c r="D24" t="inlineStr">
        <is>
          <t>Recolección</t>
        </is>
      </c>
      <c r="E24" t="n">
        <v>6058.63</v>
      </c>
      <c r="I24" t="inlineStr"/>
    </row>
    <row r="25">
      <c r="A25" t="n">
        <v>1566</v>
      </c>
      <c r="B25" t="inlineStr">
        <is>
          <t>GODOY MARTIN, FRANCISCO</t>
        </is>
      </c>
      <c r="C25" t="inlineStr">
        <is>
          <t>TANGO</t>
        </is>
      </c>
      <c r="D25" t="inlineStr">
        <is>
          <t>Transporte</t>
        </is>
      </c>
      <c r="E25" t="n">
        <v>105.5</v>
      </c>
      <c r="I25" t="inlineStr"/>
    </row>
    <row r="26">
      <c r="A26" t="n">
        <v>1566</v>
      </c>
      <c r="B26" t="inlineStr">
        <is>
          <t>GODOY MARTIN, FRANCISCO</t>
        </is>
      </c>
      <c r="C26" t="inlineStr">
        <is>
          <t>TANGO</t>
        </is>
      </c>
      <c r="D26" t="inlineStr">
        <is>
          <t>Calidad</t>
        </is>
      </c>
      <c r="E26" t="n">
        <v>0</v>
      </c>
      <c r="I26" t="inlineStr"/>
    </row>
    <row r="27">
      <c r="A27" t="n">
        <v>1566</v>
      </c>
      <c r="B27" t="inlineStr">
        <is>
          <t>GODOY MARTIN, FRANCISCO</t>
        </is>
      </c>
      <c r="C27" t="inlineStr">
        <is>
          <t>TANGO</t>
        </is>
      </c>
      <c r="D27" t="inlineStr">
        <is>
          <t>GlobalGAP</t>
        </is>
      </c>
      <c r="E27" t="n">
        <v>826.78</v>
      </c>
      <c r="I27" t="inlineStr"/>
    </row>
    <row r="28">
      <c r="A28" t="n">
        <v>1566</v>
      </c>
      <c r="B28" t="inlineStr">
        <is>
          <t>GODOY MARTIN, FRANCISCO</t>
        </is>
      </c>
      <c r="C28" t="inlineStr">
        <is>
          <t>TANGO</t>
        </is>
      </c>
      <c r="D28" t="inlineStr">
        <is>
          <t>Base imponible</t>
        </is>
      </c>
      <c r="E28" t="n">
        <v>33256.29</v>
      </c>
      <c r="I28" t="inlineStr"/>
    </row>
    <row r="29">
      <c r="A29" t="n">
        <v>1566</v>
      </c>
      <c r="B29" t="inlineStr">
        <is>
          <t>GODOY MARTIN, FRANCISCO</t>
        </is>
      </c>
      <c r="C29" t="inlineStr">
        <is>
          <t>TANGO</t>
        </is>
      </c>
      <c r="D29" t="inlineStr">
        <is>
          <t>IVA</t>
        </is>
      </c>
      <c r="E29" t="n">
        <v>3990.75</v>
      </c>
      <c r="I29" t="inlineStr"/>
    </row>
    <row r="30">
      <c r="A30" t="n">
        <v>1566</v>
      </c>
      <c r="B30" t="inlineStr">
        <is>
          <t>GODOY MARTIN, FRANCISCO</t>
        </is>
      </c>
      <c r="C30" t="inlineStr">
        <is>
          <t>TANGO</t>
        </is>
      </c>
      <c r="D30" t="inlineStr">
        <is>
          <t>Retención</t>
        </is>
      </c>
      <c r="E30" t="n">
        <v>744.9400000000001</v>
      </c>
      <c r="I30" t="inlineStr"/>
    </row>
    <row r="31">
      <c r="A31" t="n">
        <v>1566</v>
      </c>
      <c r="B31" t="inlineStr">
        <is>
          <t>GODOY MARTIN, FRANCISCO</t>
        </is>
      </c>
      <c r="C31" t="inlineStr">
        <is>
          <t>TANGO</t>
        </is>
      </c>
      <c r="D31" t="inlineStr">
        <is>
          <t>Total</t>
        </is>
      </c>
      <c r="E31" t="n">
        <v>36502.1</v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2026-07-28T15:54:39Z</dcterms:created>
  <dcterms:modified xmlns:dcterms="http://purl.org/dc/terms/" xmlns:xsi="http://www.w3.org/2001/XMLSchema-instance" xsi:type="dcterms:W3CDTF">2026-07-28T15:54:39Z</dcterms:modified>
</cp:coreProperties>
</file>