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remesa" sheetId="1" state="visible" r:id="rId1"/>
    <sheet xmlns:r="http://schemas.openxmlformats.org/officeDocument/2006/relationships" name="Detalle acumulado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Parámetros" sheetId="4" state="visible" r:id="rId4"/>
  </sheets>
  <definedNames>
    <definedName name="_xlnm._FilterDatabase" localSheetId="0" hidden="1">'Resumen por remesa'!$A$1:$W$17</definedName>
    <definedName name="_xlnm._FilterDatabase" localSheetId="1" hidden="1">'Detalle acumulado'!$A$1:$W$188</definedName>
    <definedName name="_xlnm._FilterDatabase" localSheetId="2" hidden="1">'Incidencias'!$A$1:$G$207</definedName>
    <definedName name="_xlnm._FilterDatabase" localSheetId="3" hidden="1">'Parámetros'!$A$1:$B$15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#,##0;-#,##0;-"/>
    <numFmt numFmtId="167" formatCode="#,##0.00;-#,##0.00;-"/>
    <numFmt numFmtId="168" formatCode="0.00000000;-0.00000000;-"/>
    <numFmt numFmtId="169" formatCode="0&quot;%&quot;"/>
    <numFmt numFmtId="170" formatCode="0.00;-0.00;-"/>
    <numFmt numFmtId="171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165" fontId="1" fillId="3" borderId="1" applyAlignment="1" pivotButton="0" quotePrefix="0" xfId="0">
      <alignment vertical="top" wrapText="1"/>
    </xf>
    <xf numFmtId="166" fontId="1" fillId="3" borderId="1" applyAlignment="1" pivotButton="0" quotePrefix="0" xfId="0">
      <alignment vertical="top" wrapText="1"/>
    </xf>
    <xf numFmtId="167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5" fontId="1" fillId="2" borderId="1" applyAlignment="1" pivotButton="0" quotePrefix="0" xfId="0">
      <alignment vertical="top" wrapText="1"/>
    </xf>
    <xf numFmtId="166" fontId="1" fillId="2" borderId="1" applyAlignment="1" pivotButton="0" quotePrefix="0" xfId="0">
      <alignment vertical="top" wrapText="1"/>
    </xf>
    <xf numFmtId="167" fontId="1" fillId="2" borderId="1" applyAlignment="1" pivotButton="0" quotePrefix="0" xfId="0">
      <alignment vertical="top" wrapText="1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166" fontId="1" fillId="2" borderId="2" applyAlignment="1" pivotButton="0" quotePrefix="0" xfId="0">
      <alignment vertical="center"/>
    </xf>
    <xf numFmtId="167" fontId="1" fillId="2" borderId="2" applyAlignment="1" pivotButton="0" quotePrefix="0" xfId="0">
      <alignment vertical="center"/>
    </xf>
    <xf numFmtId="168" fontId="1" fillId="2" borderId="2" applyAlignment="1" pivotButton="0" quotePrefix="0" xfId="0">
      <alignment vertical="center"/>
    </xf>
    <xf numFmtId="169" fontId="1" fillId="2" borderId="2" applyAlignment="1" pivotButton="0" quotePrefix="0" xfId="0">
      <alignment vertical="center"/>
    </xf>
    <xf numFmtId="170" fontId="1" fillId="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2" customWidth="1" min="6" max="6"/>
    <col width="18" customWidth="1" min="7" max="7"/>
    <col width="13" customWidth="1" min="8" max="8"/>
    <col width="12" customWidth="1" min="9" max="9"/>
    <col width="15" customWidth="1" min="10" max="10"/>
    <col width="13" customWidth="1" min="11" max="11"/>
    <col width="19" customWidth="1" min="12" max="12"/>
    <col width="13" customWidth="1" min="13" max="13"/>
    <col width="16" customWidth="1" min="14" max="14"/>
    <col width="12" customWidth="1" min="15" max="15"/>
    <col width="12" customWidth="1" min="16" max="16"/>
    <col width="12" customWidth="1" min="17" max="17"/>
    <col width="16" customWidth="1" min="18" max="18"/>
    <col width="13" customWidth="1" min="19" max="19"/>
    <col width="19" customWidth="1" min="20" max="20"/>
    <col width="15" customWidth="1" min="21" max="21"/>
    <col width="12" customWidth="1" min="22" max="22"/>
    <col width="45" customWidth="1" min="23" max="23"/>
  </cols>
  <sheetData>
    <row r="1">
      <c r="A1" s="1" t="inlineStr">
        <is>
          <t>Id Remesa</t>
        </is>
      </c>
      <c r="B1" s="1" t="inlineStr">
        <is>
          <t>Remesa</t>
        </is>
      </c>
      <c r="C1" s="2" t="inlineStr">
        <is>
          <t>Fecha de pago</t>
        </is>
      </c>
      <c r="D1" s="2" t="inlineStr">
        <is>
          <t>Periodo desde</t>
        </is>
      </c>
      <c r="E1" s="2" t="inlineStr">
        <is>
          <t>Periodo hasta</t>
        </is>
      </c>
      <c r="F1" s="1" t="inlineStr">
        <is>
          <t>Categoría</t>
        </is>
      </c>
      <c r="G1" s="1" t="inlineStr">
        <is>
          <t>Tipo liquidación</t>
        </is>
      </c>
      <c r="H1" s="3" t="inlineStr">
        <is>
          <t>Nº entregas</t>
        </is>
      </c>
      <c r="I1" s="3" t="inlineStr">
        <is>
          <t>Nº socios</t>
        </is>
      </c>
      <c r="J1" s="3" t="inlineStr">
        <is>
          <t>Nº variedades</t>
        </is>
      </c>
      <c r="K1" s="3" t="inlineStr">
        <is>
          <t>Kilos netos</t>
        </is>
      </c>
      <c r="L1" s="4" t="inlineStr">
        <is>
          <t>Importe comercial</t>
        </is>
      </c>
      <c r="M1" s="4" t="inlineStr">
        <is>
          <t>Recolección</t>
        </is>
      </c>
      <c r="N1" s="4" t="inlineStr">
        <is>
          <t>Calidad</t>
        </is>
      </c>
      <c r="O1" s="4" t="inlineStr">
        <is>
          <t>Transporte</t>
        </is>
      </c>
      <c r="P1" s="4" t="inlineStr">
        <is>
          <t>GlobalGAP</t>
        </is>
      </c>
      <c r="Q1" s="4" t="inlineStr">
        <is>
          <t>Cuota Ha</t>
        </is>
      </c>
      <c r="R1" s="4" t="inlineStr">
        <is>
          <t>Base imponible</t>
        </is>
      </c>
      <c r="S1" s="4" t="inlineStr">
        <is>
          <t>Importe IVA</t>
        </is>
      </c>
      <c r="T1" s="4" t="inlineStr">
        <is>
          <t>Importe retención</t>
        </is>
      </c>
      <c r="U1" s="4" t="inlineStr">
        <is>
          <t>Importe total</t>
        </is>
      </c>
      <c r="V1" s="1" t="inlineStr">
        <is>
          <t>Estado</t>
        </is>
      </c>
      <c r="W1" s="1" t="inlineStr">
        <is>
          <t>Carpeta de salida</t>
        </is>
      </c>
    </row>
    <row r="2">
      <c r="A2" s="5" t="n">
        <v>2197</v>
      </c>
      <c r="B2" s="5" t="inlineStr">
        <is>
          <t>NAVEL TEMPRANA sem1</t>
        </is>
      </c>
      <c r="C2" s="6" t="n">
        <v>46250</v>
      </c>
      <c r="D2" s="6" t="n">
        <v>45951</v>
      </c>
      <c r="E2" s="6" t="n">
        <v>45957</v>
      </c>
      <c r="F2" s="5" t="inlineStr">
        <is>
          <t>NORMAL</t>
        </is>
      </c>
      <c r="G2" s="5" t="inlineStr">
        <is>
          <t>Final</t>
        </is>
      </c>
      <c r="H2" s="7" t="n">
        <v>47</v>
      </c>
      <c r="I2" s="7" t="n">
        <v>6</v>
      </c>
      <c r="J2" s="7" t="n">
        <v>2</v>
      </c>
      <c r="K2" s="7" t="n">
        <v>508371</v>
      </c>
      <c r="L2" s="8" t="n">
        <v>182184.91</v>
      </c>
      <c r="M2" s="8" t="n">
        <v>35350.26</v>
      </c>
      <c r="N2" s="8" t="n">
        <v>0</v>
      </c>
      <c r="O2" s="8" t="n">
        <v>1376.73</v>
      </c>
      <c r="P2" s="8" t="n">
        <v>1458.43</v>
      </c>
      <c r="Q2" s="8" t="n">
        <v>3011.87</v>
      </c>
      <c r="R2" s="8" t="n">
        <v>157812.71</v>
      </c>
      <c r="S2" s="8" t="n">
        <v>18268.76</v>
      </c>
      <c r="T2" s="8" t="n">
        <v>3347.75</v>
      </c>
      <c r="U2" s="8" t="n">
        <v>172733.7</v>
      </c>
      <c r="V2" s="5" t="inlineStr">
        <is>
          <t>SUCCESS</t>
        </is>
      </c>
      <c r="W2" s="5" t="inlineStr">
        <is>
          <t>C:\Liquidaciones\salidas\remesas\2026\CITRICOS\NAVEL_TEMPRANA_sem1</t>
        </is>
      </c>
    </row>
    <row r="3">
      <c r="A3" s="5" t="n">
        <v>2198</v>
      </c>
      <c r="B3" s="5" t="inlineStr">
        <is>
          <t>NAVEL TEMPRANA sem2</t>
        </is>
      </c>
      <c r="C3" s="6" t="n">
        <v>46251</v>
      </c>
      <c r="D3" s="6" t="n">
        <v>45958</v>
      </c>
      <c r="E3" s="6" t="n">
        <v>45964</v>
      </c>
      <c r="F3" s="5" t="inlineStr">
        <is>
          <t>NORMAL</t>
        </is>
      </c>
      <c r="G3" s="5" t="inlineStr">
        <is>
          <t>Final</t>
        </is>
      </c>
      <c r="H3" s="7" t="n">
        <v>26</v>
      </c>
      <c r="I3" s="7" t="n">
        <v>6</v>
      </c>
      <c r="J3" s="7" t="n">
        <v>1</v>
      </c>
      <c r="K3" s="7" t="n">
        <v>238823</v>
      </c>
      <c r="L3" s="8" t="n">
        <v>85102.21000000001</v>
      </c>
      <c r="M3" s="8" t="n">
        <v>16101.86</v>
      </c>
      <c r="N3" s="8" t="n">
        <v>0</v>
      </c>
      <c r="O3" s="8" t="n">
        <v>115.89</v>
      </c>
      <c r="P3" s="8" t="n">
        <v>1833.65</v>
      </c>
      <c r="Q3" s="8" t="n">
        <v>1373.71</v>
      </c>
      <c r="R3" s="8" t="n">
        <v>74260.28</v>
      </c>
      <c r="S3" s="8" t="n">
        <v>8911.24</v>
      </c>
      <c r="T3" s="8" t="n">
        <v>1663.44</v>
      </c>
      <c r="U3" s="8" t="n">
        <v>81508.08</v>
      </c>
      <c r="V3" s="5" t="inlineStr">
        <is>
          <t>SUCCESS</t>
        </is>
      </c>
      <c r="W3" s="5" t="inlineStr">
        <is>
          <t>C:\Liquidaciones\salidas\remesas\2026\CITRICOS\NAVEL_TEMPRANA_sem2</t>
        </is>
      </c>
    </row>
    <row r="4">
      <c r="A4" s="5" t="n">
        <v>2199</v>
      </c>
      <c r="B4" s="5" t="inlineStr">
        <is>
          <t>NAVEL TEMPRANA sem 3</t>
        </is>
      </c>
      <c r="C4" s="6" t="n">
        <v>46252</v>
      </c>
      <c r="D4" s="6" t="n">
        <v>45965</v>
      </c>
      <c r="E4" s="6" t="n">
        <v>45971</v>
      </c>
      <c r="F4" s="5" t="inlineStr">
        <is>
          <t>NORMAL</t>
        </is>
      </c>
      <c r="G4" s="5" t="inlineStr">
        <is>
          <t>Final</t>
        </is>
      </c>
      <c r="H4" s="7" t="n">
        <v>43</v>
      </c>
      <c r="I4" s="7" t="n">
        <v>7</v>
      </c>
      <c r="J4" s="7" t="n">
        <v>1</v>
      </c>
      <c r="K4" s="7" t="n">
        <v>345464</v>
      </c>
      <c r="L4" s="8" t="n">
        <v>121425.1</v>
      </c>
      <c r="M4" s="8" t="n">
        <v>22742.82</v>
      </c>
      <c r="N4" s="8" t="n">
        <v>0</v>
      </c>
      <c r="O4" s="8" t="n">
        <v>517.62</v>
      </c>
      <c r="P4" s="8" t="n">
        <v>3317.71</v>
      </c>
      <c r="Q4" s="8" t="n">
        <v>2401.32</v>
      </c>
      <c r="R4" s="8" t="n">
        <v>106658.33</v>
      </c>
      <c r="S4" s="8" t="n">
        <v>12799</v>
      </c>
      <c r="T4" s="8" t="n">
        <v>2389.15</v>
      </c>
      <c r="U4" s="8" t="n">
        <v>117068.18</v>
      </c>
      <c r="V4" s="5" t="inlineStr">
        <is>
          <t>SUCCESS</t>
        </is>
      </c>
      <c r="W4" s="5" t="inlineStr">
        <is>
          <t>C:\Liquidaciones\salidas\remesas\2026\CITRICOS\NAVEL_TEMPRANA_sem_3</t>
        </is>
      </c>
    </row>
    <row r="5">
      <c r="A5" s="5" t="n">
        <v>2200</v>
      </c>
      <c r="B5" s="5" t="inlineStr">
        <is>
          <t>NAVEL TEMPRANA sem 4 y +</t>
        </is>
      </c>
      <c r="C5" s="6" t="n">
        <v>46253</v>
      </c>
      <c r="D5" s="6" t="n">
        <v>45972</v>
      </c>
      <c r="E5" s="6" t="n">
        <v>46056</v>
      </c>
      <c r="F5" s="5" t="inlineStr">
        <is>
          <t>NORMAL</t>
        </is>
      </c>
      <c r="G5" s="5" t="inlineStr">
        <is>
          <t>Final</t>
        </is>
      </c>
      <c r="H5" s="7" t="n">
        <v>222</v>
      </c>
      <c r="I5" s="7" t="n">
        <v>49</v>
      </c>
      <c r="J5" s="7" t="n">
        <v>3</v>
      </c>
      <c r="K5" s="7" t="n">
        <v>2069695</v>
      </c>
      <c r="L5" s="8" t="n">
        <v>739134.16</v>
      </c>
      <c r="M5" s="8" t="n">
        <v>127722.82</v>
      </c>
      <c r="N5" s="8" t="n">
        <v>89.5400175</v>
      </c>
      <c r="O5" s="8" t="n">
        <v>3037.67</v>
      </c>
      <c r="P5" s="8" t="n">
        <v>9956.129999999999</v>
      </c>
      <c r="Q5" s="8" t="n">
        <v>14159.44</v>
      </c>
      <c r="R5" s="8" t="n">
        <v>655408.59</v>
      </c>
      <c r="S5" s="8" t="n">
        <v>78649.03</v>
      </c>
      <c r="T5" s="8" t="n">
        <v>14681.16</v>
      </c>
      <c r="U5" s="8" t="n">
        <v>719376.48</v>
      </c>
      <c r="V5" s="5" t="inlineStr">
        <is>
          <t>SUCCESS</t>
        </is>
      </c>
      <c r="W5" s="5" t="inlineStr">
        <is>
          <t>C:\Liquidaciones\salidas\remesas\2026\CITRICOS\NAVEL_TEMPRANA_sem_4_y_+</t>
        </is>
      </c>
    </row>
    <row r="6">
      <c r="A6" s="5" t="n">
        <v>2202</v>
      </c>
      <c r="B6" s="5" t="inlineStr">
        <is>
          <t>NAVEL TEMPRANA sem ultim</t>
        </is>
      </c>
      <c r="C6" s="6" t="n">
        <v>46256</v>
      </c>
      <c r="D6" s="6" t="n">
        <v>46071</v>
      </c>
      <c r="E6" s="6" t="n">
        <v>46077</v>
      </c>
      <c r="F6" s="5" t="inlineStr">
        <is>
          <t>NORMAL</t>
        </is>
      </c>
      <c r="G6" s="5" t="inlineStr">
        <is>
          <t>Final</t>
        </is>
      </c>
      <c r="H6" s="7" t="n">
        <v>3</v>
      </c>
      <c r="I6" s="7" t="n">
        <v>1</v>
      </c>
      <c r="J6" s="7" t="n">
        <v>1</v>
      </c>
      <c r="K6" s="7" t="n">
        <v>21754</v>
      </c>
      <c r="L6" s="8" t="n">
        <v>7241.43</v>
      </c>
      <c r="M6" s="8" t="n">
        <v>1359.63</v>
      </c>
      <c r="N6" s="8" t="n">
        <v>0</v>
      </c>
      <c r="O6" s="8" t="n">
        <v>0</v>
      </c>
      <c r="P6" s="8" t="n">
        <v>305.95</v>
      </c>
      <c r="Q6" s="8" t="n">
        <v>215.73</v>
      </c>
      <c r="R6" s="8" t="n">
        <v>6567.27</v>
      </c>
      <c r="S6" s="8" t="n">
        <v>788.0700000000001</v>
      </c>
      <c r="T6" s="8" t="n">
        <v>147.11</v>
      </c>
      <c r="U6" s="8" t="n">
        <v>7208.24</v>
      </c>
      <c r="V6" s="5" t="inlineStr">
        <is>
          <t>SUCCESS</t>
        </is>
      </c>
      <c r="W6" s="5" t="inlineStr">
        <is>
          <t>C:\Liquidaciones\salidas\remesas\2026\CITRICOS\NAVEL_TEMPRANA_sem_ultim</t>
        </is>
      </c>
    </row>
    <row r="7">
      <c r="A7" s="5" t="n">
        <v>2203</v>
      </c>
      <c r="B7" s="5" t="inlineStr">
        <is>
          <t>BLANCA TEMPRANA sem2</t>
        </is>
      </c>
      <c r="C7" s="6" t="n">
        <v>46258</v>
      </c>
      <c r="D7" s="6" t="n">
        <v>45988</v>
      </c>
      <c r="E7" s="6" t="n">
        <v>45994</v>
      </c>
      <c r="F7" s="5" t="inlineStr">
        <is>
          <t>NORMAL</t>
        </is>
      </c>
      <c r="G7" s="5" t="inlineStr">
        <is>
          <t>Final</t>
        </is>
      </c>
      <c r="H7" s="7" t="n">
        <v>32</v>
      </c>
      <c r="I7" s="7" t="n">
        <v>4</v>
      </c>
      <c r="J7" s="7" t="n">
        <v>1</v>
      </c>
      <c r="K7" s="7" t="n">
        <v>278865</v>
      </c>
      <c r="L7" s="8" t="n">
        <v>91089.53</v>
      </c>
      <c r="M7" s="8" t="n">
        <v>20077.71</v>
      </c>
      <c r="N7" s="8" t="n">
        <v>0</v>
      </c>
      <c r="O7" s="8" t="n">
        <v>0</v>
      </c>
      <c r="P7" s="8" t="n">
        <v>1767.87</v>
      </c>
      <c r="Q7" s="8" t="n">
        <v>1714.32</v>
      </c>
      <c r="R7" s="8" t="n">
        <v>79380.31</v>
      </c>
      <c r="S7" s="8" t="n">
        <v>9525.629999999999</v>
      </c>
      <c r="T7" s="8" t="n">
        <v>1778.11</v>
      </c>
      <c r="U7" s="8" t="n">
        <v>87127.82000000001</v>
      </c>
      <c r="V7" s="5" t="inlineStr">
        <is>
          <t>SUCCESS</t>
        </is>
      </c>
      <c r="W7" s="5" t="inlineStr">
        <is>
          <t>C:\Liquidaciones\salidas\remesas\2026\CITRICOS\BLANCA_TEMPRANA_sem2</t>
        </is>
      </c>
    </row>
    <row r="8">
      <c r="A8" s="5" t="n">
        <v>2204</v>
      </c>
      <c r="B8" s="5" t="inlineStr">
        <is>
          <t>NAVEL TARDIA</t>
        </is>
      </c>
      <c r="C8" s="6" t="n">
        <v>46264</v>
      </c>
      <c r="D8" s="6" t="n">
        <v>46041</v>
      </c>
      <c r="E8" s="6" t="n">
        <v>46102</v>
      </c>
      <c r="F8" s="5" t="inlineStr">
        <is>
          <t>NORMAL</t>
        </is>
      </c>
      <c r="G8" s="5" t="inlineStr">
        <is>
          <t>Final</t>
        </is>
      </c>
      <c r="H8" s="7" t="n">
        <v>162</v>
      </c>
      <c r="I8" s="7" t="n">
        <v>27</v>
      </c>
      <c r="J8" s="7" t="n">
        <v>4</v>
      </c>
      <c r="K8" s="7" t="n">
        <v>1698018</v>
      </c>
      <c r="L8" s="8" t="n">
        <v>670432.83</v>
      </c>
      <c r="M8" s="8" t="n">
        <v>95974.3</v>
      </c>
      <c r="N8" s="8" t="n">
        <v>0</v>
      </c>
      <c r="O8" s="8" t="n">
        <v>3041.8</v>
      </c>
      <c r="P8" s="8" t="n">
        <v>9704.299999999999</v>
      </c>
      <c r="Q8" s="8" t="n">
        <v>15737.24</v>
      </c>
      <c r="R8" s="8" t="n">
        <v>615457.51</v>
      </c>
      <c r="S8" s="8" t="n">
        <v>73830.56</v>
      </c>
      <c r="T8" s="8" t="n">
        <v>13779.43</v>
      </c>
      <c r="U8" s="8" t="n">
        <v>675508.63</v>
      </c>
      <c r="V8" s="5" t="inlineStr">
        <is>
          <t>SUCCESS</t>
        </is>
      </c>
      <c r="W8" s="5" t="inlineStr">
        <is>
          <t>C:\Liquidaciones\salidas\remesas\2026\CITRICOS\NAVEL_TARDIA</t>
        </is>
      </c>
    </row>
    <row r="9">
      <c r="A9" s="5" t="n">
        <v>2205</v>
      </c>
      <c r="B9" s="5" t="inlineStr">
        <is>
          <t>BLANCA TARDIA</t>
        </is>
      </c>
      <c r="C9" s="6" t="n">
        <v>46265</v>
      </c>
      <c r="D9" s="6" t="n">
        <v>46111</v>
      </c>
      <c r="E9" s="6" t="n">
        <v>46134</v>
      </c>
      <c r="F9" s="5" t="inlineStr">
        <is>
          <t>NORMAL</t>
        </is>
      </c>
      <c r="G9" s="5" t="inlineStr">
        <is>
          <t>Final</t>
        </is>
      </c>
      <c r="H9" s="7" t="n">
        <v>66</v>
      </c>
      <c r="I9" s="7" t="n">
        <v>12</v>
      </c>
      <c r="J9" s="7" t="n">
        <v>3</v>
      </c>
      <c r="K9" s="7" t="n">
        <v>931935</v>
      </c>
      <c r="L9" s="8" t="n">
        <v>346943.26</v>
      </c>
      <c r="M9" s="8" t="n">
        <v>66956.85000000001</v>
      </c>
      <c r="N9" s="8" t="n">
        <v>0</v>
      </c>
      <c r="O9" s="8" t="n">
        <v>795.25</v>
      </c>
      <c r="P9" s="8" t="n">
        <v>2460.87</v>
      </c>
      <c r="Q9" s="8" t="n">
        <v>7851.2</v>
      </c>
      <c r="R9" s="8" t="n">
        <v>293374.1</v>
      </c>
      <c r="S9" s="8" t="n">
        <v>32257</v>
      </c>
      <c r="T9" s="8" t="n">
        <v>5746.17</v>
      </c>
      <c r="U9" s="8" t="n">
        <v>319884.94</v>
      </c>
      <c r="V9" s="5" t="inlineStr">
        <is>
          <t>SUCCESS</t>
        </is>
      </c>
      <c r="W9" s="5" t="inlineStr">
        <is>
          <t>C:\Liquidaciones\salidas\remesas\2026\CITRICOS\BLANCA_TARDIA</t>
        </is>
      </c>
    </row>
    <row r="10">
      <c r="A10" s="5" t="n">
        <v>2206</v>
      </c>
      <c r="B10" s="5" t="inlineStr">
        <is>
          <t>BLANCA TEMPRANA sem 3</t>
        </is>
      </c>
      <c r="C10" s="6" t="n">
        <v>46259</v>
      </c>
      <c r="D10" s="6" t="n">
        <v>45995</v>
      </c>
      <c r="E10" s="6" t="n">
        <v>46001</v>
      </c>
      <c r="F10" s="5" t="inlineStr">
        <is>
          <t>NORMAL</t>
        </is>
      </c>
      <c r="G10" s="5" t="inlineStr">
        <is>
          <t>Final</t>
        </is>
      </c>
      <c r="H10" s="7" t="n">
        <v>14</v>
      </c>
      <c r="I10" s="7" t="n">
        <v>6</v>
      </c>
      <c r="J10" s="7" t="n">
        <v>1</v>
      </c>
      <c r="K10" s="7" t="n">
        <v>114667</v>
      </c>
      <c r="L10" s="8" t="n">
        <v>37630.07</v>
      </c>
      <c r="M10" s="8" t="n">
        <v>8256.030000000001</v>
      </c>
      <c r="N10" s="8" t="n">
        <v>0</v>
      </c>
      <c r="O10" s="8" t="n">
        <v>266.62</v>
      </c>
      <c r="P10" s="8" t="n">
        <v>1137.27</v>
      </c>
      <c r="Q10" s="8" t="n">
        <v>908.23</v>
      </c>
      <c r="R10" s="8" t="n">
        <v>32985.74</v>
      </c>
      <c r="S10" s="8" t="n">
        <v>3958.29</v>
      </c>
      <c r="T10" s="8" t="n">
        <v>738.89</v>
      </c>
      <c r="U10" s="8" t="n">
        <v>36205.14</v>
      </c>
      <c r="V10" s="5" t="inlineStr">
        <is>
          <t>SUCCESS</t>
        </is>
      </c>
      <c r="W10" s="5" t="inlineStr">
        <is>
          <t>C:\Liquidaciones\salidas\remesas\2026\CITRICOS\BLANCA_TEMPRANA_sem_3</t>
        </is>
      </c>
    </row>
    <row r="11">
      <c r="A11" s="5" t="n">
        <v>2207</v>
      </c>
      <c r="B11" s="5" t="inlineStr">
        <is>
          <t>BLANCA TEMPRANA sem 4 y +</t>
        </is>
      </c>
      <c r="C11" s="6" t="n">
        <v>46260</v>
      </c>
      <c r="D11" s="6" t="n">
        <v>46002</v>
      </c>
      <c r="E11" s="6" t="n">
        <v>46066</v>
      </c>
      <c r="F11" s="5" t="inlineStr">
        <is>
          <t>NORMAL</t>
        </is>
      </c>
      <c r="G11" s="5" t="inlineStr">
        <is>
          <t>Final</t>
        </is>
      </c>
      <c r="H11" s="7" t="n">
        <v>312</v>
      </c>
      <c r="I11" s="7" t="n">
        <v>34</v>
      </c>
      <c r="J11" s="7" t="n">
        <v>1</v>
      </c>
      <c r="K11" s="7" t="n">
        <v>2704936</v>
      </c>
      <c r="L11" s="8" t="n">
        <v>922661.27</v>
      </c>
      <c r="M11" s="8" t="n">
        <v>189348.35</v>
      </c>
      <c r="N11" s="8" t="n">
        <v>328.139992067</v>
      </c>
      <c r="O11" s="8" t="n">
        <v>7287.4</v>
      </c>
      <c r="P11" s="8" t="n">
        <v>26371.8</v>
      </c>
      <c r="Q11" s="8" t="n">
        <v>19548.7</v>
      </c>
      <c r="R11" s="8" t="n">
        <v>806953.88</v>
      </c>
      <c r="S11" s="8" t="n">
        <v>96834.46000000001</v>
      </c>
      <c r="T11" s="8" t="n">
        <v>18075.75</v>
      </c>
      <c r="U11" s="8" t="n">
        <v>885712.59</v>
      </c>
      <c r="V11" s="5" t="inlineStr">
        <is>
          <t>SUCCESS</t>
        </is>
      </c>
      <c r="W11" s="5" t="inlineStr">
        <is>
          <t>C:\Liquidaciones\salidas\remesas\2026\CITRICOS\BLANCA_TEMPRANA_sem_4_y_+</t>
        </is>
      </c>
    </row>
    <row r="12">
      <c r="A12" s="5" t="n">
        <v>2208</v>
      </c>
      <c r="B12" s="5" t="inlineStr">
        <is>
          <t>BLANCA TEMPRANA sem antep</t>
        </is>
      </c>
      <c r="C12" s="6" t="n">
        <v>46261</v>
      </c>
      <c r="D12" s="6" t="n">
        <v>46067</v>
      </c>
      <c r="E12" s="6" t="n">
        <v>46073</v>
      </c>
      <c r="F12" s="5" t="inlineStr">
        <is>
          <t>NORMAL</t>
        </is>
      </c>
      <c r="G12" s="5" t="inlineStr">
        <is>
          <t>Final</t>
        </is>
      </c>
      <c r="H12" s="7" t="n">
        <v>44</v>
      </c>
      <c r="I12" s="7" t="n">
        <v>10</v>
      </c>
      <c r="J12" s="7" t="n">
        <v>1</v>
      </c>
      <c r="K12" s="7" t="n">
        <v>409282</v>
      </c>
      <c r="L12" s="8" t="n">
        <v>123814.22</v>
      </c>
      <c r="M12" s="8" t="n">
        <v>28763.63</v>
      </c>
      <c r="N12" s="8" t="n">
        <v>3132.47987983</v>
      </c>
      <c r="O12" s="8" t="n">
        <v>24.25</v>
      </c>
      <c r="P12" s="8" t="n">
        <v>3378.1</v>
      </c>
      <c r="Q12" s="8" t="n">
        <v>2878.95</v>
      </c>
      <c r="R12" s="8" t="n">
        <v>110707.82</v>
      </c>
      <c r="S12" s="8" t="n">
        <v>13003.33</v>
      </c>
      <c r="T12" s="8" t="n">
        <v>2474.22</v>
      </c>
      <c r="U12" s="8" t="n">
        <v>121236.91</v>
      </c>
      <c r="V12" s="5" t="inlineStr">
        <is>
          <t>SUCCESS</t>
        </is>
      </c>
      <c r="W12" s="5" t="inlineStr">
        <is>
          <t>C:\Liquidaciones\salidas\remesas\2026\CITRICOS\BLANCA_TEMPRANA_sem_antep</t>
        </is>
      </c>
    </row>
    <row r="13">
      <c r="A13" s="5" t="n">
        <v>2209</v>
      </c>
      <c r="B13" s="5" t="inlineStr">
        <is>
          <t>BLANCA TEMPRANA sem penult</t>
        </is>
      </c>
      <c r="C13" s="6" t="n">
        <v>46262</v>
      </c>
      <c r="D13" s="6" t="n">
        <v>46074</v>
      </c>
      <c r="E13" s="6" t="n">
        <v>46080</v>
      </c>
      <c r="F13" s="5" t="inlineStr">
        <is>
          <t>NORMAL</t>
        </is>
      </c>
      <c r="G13" s="5" t="inlineStr">
        <is>
          <t>Final</t>
        </is>
      </c>
      <c r="H13" s="7" t="n">
        <v>30</v>
      </c>
      <c r="I13" s="7" t="n">
        <v>7</v>
      </c>
      <c r="J13" s="7" t="n">
        <v>1</v>
      </c>
      <c r="K13" s="7" t="n">
        <v>275208</v>
      </c>
      <c r="L13" s="8" t="n">
        <v>79661.89999999999</v>
      </c>
      <c r="M13" s="8" t="n">
        <v>19822.89</v>
      </c>
      <c r="N13" s="8" t="n">
        <v>941.659914004</v>
      </c>
      <c r="O13" s="8" t="n">
        <v>346.44</v>
      </c>
      <c r="P13" s="8" t="n">
        <v>1735.72</v>
      </c>
      <c r="Q13" s="8" t="n">
        <v>2287.78</v>
      </c>
      <c r="R13" s="8" t="n">
        <v>70362.39</v>
      </c>
      <c r="S13" s="8" t="n">
        <v>8443.469999999999</v>
      </c>
      <c r="T13" s="8" t="n">
        <v>1576.11</v>
      </c>
      <c r="U13" s="8" t="n">
        <v>77229.75</v>
      </c>
      <c r="V13" s="5" t="inlineStr">
        <is>
          <t>SUCCESS</t>
        </is>
      </c>
      <c r="W13" s="5" t="inlineStr">
        <is>
          <t>C:\Liquidaciones\salidas\remesas\2026\CITRICOS\BLANCA_TEMPRANA_sem_penult</t>
        </is>
      </c>
    </row>
    <row r="14">
      <c r="A14" s="5" t="n">
        <v>2211</v>
      </c>
      <c r="B14" s="5" t="inlineStr">
        <is>
          <t>BLANCA TEMPRANA sem ultim</t>
        </is>
      </c>
      <c r="C14" s="6" t="n">
        <v>46263</v>
      </c>
      <c r="D14" s="6" t="n">
        <v>46081</v>
      </c>
      <c r="E14" s="6" t="n">
        <v>46087</v>
      </c>
      <c r="F14" s="5" t="inlineStr">
        <is>
          <t>NORMAL</t>
        </is>
      </c>
      <c r="G14" s="5" t="inlineStr">
        <is>
          <t>Final</t>
        </is>
      </c>
      <c r="H14" s="7" t="n">
        <v>20</v>
      </c>
      <c r="I14" s="7" t="n">
        <v>4</v>
      </c>
      <c r="J14" s="7" t="n">
        <v>1</v>
      </c>
      <c r="K14" s="7" t="n">
        <v>169489</v>
      </c>
      <c r="L14" s="8" t="n">
        <v>53639.07</v>
      </c>
      <c r="M14" s="8" t="n">
        <v>6000.85</v>
      </c>
      <c r="N14" s="8" t="n">
        <v>72.57999187999999</v>
      </c>
      <c r="O14" s="8" t="n">
        <v>781.79</v>
      </c>
      <c r="P14" s="8" t="n">
        <v>1654.28</v>
      </c>
      <c r="Q14" s="8" t="n">
        <v>1142.27</v>
      </c>
      <c r="R14" s="8" t="n">
        <v>53971.78</v>
      </c>
      <c r="S14" s="8" t="n">
        <v>6476.62</v>
      </c>
      <c r="T14" s="8" t="n">
        <v>1208.97</v>
      </c>
      <c r="U14" s="8" t="n">
        <v>59239.43</v>
      </c>
      <c r="V14" s="5" t="inlineStr">
        <is>
          <t>SUCCESS</t>
        </is>
      </c>
      <c r="W14" s="5" t="inlineStr">
        <is>
          <t>C:\Liquidaciones\salidas\remesas\2026\CITRICOS\BLANCA_TEMPRANA_sem_ultim</t>
        </is>
      </c>
    </row>
    <row r="15">
      <c r="A15" s="5" t="n">
        <v>2212</v>
      </c>
      <c r="B15" s="5" t="inlineStr">
        <is>
          <t>BLANCA TEMPRANA sem1</t>
        </is>
      </c>
      <c r="C15" s="6" t="n">
        <v>46257</v>
      </c>
      <c r="D15" s="6" t="n">
        <v>45981</v>
      </c>
      <c r="E15" s="6" t="n">
        <v>45987</v>
      </c>
      <c r="F15" s="5" t="inlineStr">
        <is>
          <t>NORMAL</t>
        </is>
      </c>
      <c r="G15" s="5" t="inlineStr">
        <is>
          <t>Final</t>
        </is>
      </c>
      <c r="H15" s="7" t="n">
        <v>16</v>
      </c>
      <c r="I15" s="7" t="n">
        <v>2</v>
      </c>
      <c r="J15" s="7" t="n">
        <v>1</v>
      </c>
      <c r="K15" s="7" t="n">
        <v>166239</v>
      </c>
      <c r="L15" s="8" t="n">
        <v>55542.03</v>
      </c>
      <c r="M15" s="8" t="n">
        <v>11969.21</v>
      </c>
      <c r="N15" s="8" t="n">
        <v>0</v>
      </c>
      <c r="O15" s="8" t="n">
        <v>0</v>
      </c>
      <c r="P15" s="8" t="n">
        <v>619.46</v>
      </c>
      <c r="Q15" s="8" t="n">
        <v>536.54</v>
      </c>
      <c r="R15" s="8" t="n">
        <v>48847.04</v>
      </c>
      <c r="S15" s="8" t="n">
        <v>5861.64</v>
      </c>
      <c r="T15" s="8" t="n">
        <v>1094.18</v>
      </c>
      <c r="U15" s="8" t="n">
        <v>53614.51</v>
      </c>
      <c r="V15" s="5" t="inlineStr">
        <is>
          <t>SUCCESS</t>
        </is>
      </c>
      <c r="W15" s="5" t="inlineStr">
        <is>
          <t>C:\Liquidaciones\salidas\remesas\2026\CITRICOS\BLANCA_TEMPRANA_sem1</t>
        </is>
      </c>
    </row>
    <row r="16">
      <c r="A16" s="5" t="n">
        <v>2326</v>
      </c>
      <c r="B16" s="5" t="inlineStr">
        <is>
          <t>Caracara</t>
        </is>
      </c>
      <c r="C16" s="6" t="n">
        <v>46244</v>
      </c>
      <c r="D16" s="6" t="n">
        <v>45901</v>
      </c>
      <c r="E16" s="6" t="n">
        <v>46265</v>
      </c>
      <c r="F16" s="5" t="inlineStr">
        <is>
          <t>NORMAL</t>
        </is>
      </c>
      <c r="G16" s="5" t="inlineStr">
        <is>
          <t>Final</t>
        </is>
      </c>
      <c r="H16" s="7" t="n">
        <v>5</v>
      </c>
      <c r="I16" s="7" t="n">
        <v>1</v>
      </c>
      <c r="J16" s="7" t="n">
        <v>1</v>
      </c>
      <c r="K16" s="7" t="n">
        <v>14855</v>
      </c>
      <c r="L16" s="8" t="n">
        <v>2997.03</v>
      </c>
      <c r="M16" s="8" t="n">
        <v>950.9400000000001</v>
      </c>
      <c r="N16" s="8" t="n">
        <v>0</v>
      </c>
      <c r="O16" s="8" t="n">
        <v>0</v>
      </c>
      <c r="P16" s="8" t="n">
        <v>0</v>
      </c>
      <c r="Q16" s="8" t="n">
        <v>124.94</v>
      </c>
      <c r="R16" s="8" t="n">
        <v>3677.72</v>
      </c>
      <c r="S16" s="8" t="n">
        <v>441.33</v>
      </c>
      <c r="T16" s="8" t="n">
        <v>82.38</v>
      </c>
      <c r="U16" s="8" t="n">
        <v>4036.67</v>
      </c>
      <c r="V16" s="5" t="inlineStr">
        <is>
          <t>SUCCESS</t>
        </is>
      </c>
      <c r="W16" s="5" t="inlineStr">
        <is>
          <t>C:\Liquidaciones\salidas\remesas\2026\CITRICOS\Caracara</t>
        </is>
      </c>
    </row>
    <row r="17">
      <c r="A17" s="9" t="inlineStr">
        <is>
          <t>TOTAL GENERAL</t>
        </is>
      </c>
      <c r="B17" s="9" t="inlineStr"/>
      <c r="C17" s="10" t="inlineStr"/>
      <c r="D17" s="10" t="inlineStr"/>
      <c r="E17" s="10" t="inlineStr"/>
      <c r="F17" s="9" t="inlineStr"/>
      <c r="G17" s="9" t="inlineStr"/>
      <c r="H17" s="11" t="n">
        <v>1042</v>
      </c>
      <c r="I17" s="11" t="n">
        <v>176</v>
      </c>
      <c r="J17" s="11" t="inlineStr"/>
      <c r="K17" s="11" t="n">
        <v>9947601</v>
      </c>
      <c r="L17" s="12" t="n">
        <v>3519499.02</v>
      </c>
      <c r="M17" s="12" t="n">
        <v>651398.15</v>
      </c>
      <c r="N17" s="12" t="n">
        <v>4564.399795281</v>
      </c>
      <c r="O17" s="12" t="n">
        <v>17591.46</v>
      </c>
      <c r="P17" s="12" t="n">
        <v>65701.53999999999</v>
      </c>
      <c r="Q17" s="12" t="n">
        <v>73892.24000000001</v>
      </c>
      <c r="R17" s="12" t="n">
        <v>3116425.47</v>
      </c>
      <c r="S17" s="12" t="n">
        <v>370048.43</v>
      </c>
      <c r="T17" s="12" t="n">
        <v>68782.82000000001</v>
      </c>
      <c r="U17" s="12" t="n">
        <v>3417691.07</v>
      </c>
      <c r="V17" s="9" t="inlineStr"/>
      <c r="W17" s="9" t="inlineStr"/>
    </row>
  </sheetData>
  <autoFilter ref="A1:W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35" customWidth="1" min="4" max="4"/>
    <col width="18" customWidth="1" min="5" max="5"/>
    <col width="14" customWidth="1" min="6" max="6"/>
    <col width="15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12" customWidth="1" min="15" max="15"/>
    <col width="10" customWidth="1" min="16" max="16"/>
    <col width="10" customWidth="1" min="17" max="17"/>
    <col width="17" customWidth="1" min="18" max="18"/>
    <col width="32" customWidth="1" min="19" max="19"/>
    <col width="16" customWidth="1" min="20" max="20"/>
    <col width="24" customWidth="1" min="21" max="21"/>
    <col width="23" customWidth="1" min="22" max="22"/>
    <col width="24" customWidth="1" min="23" max="23"/>
  </cols>
  <sheetData>
    <row r="1">
      <c r="A1" s="13" t="inlineStr">
        <is>
          <t>Id Remesa</t>
        </is>
      </c>
      <c r="B1" s="13" t="inlineStr">
        <is>
          <t>Remesa</t>
        </is>
      </c>
      <c r="C1" s="13" t="inlineStr">
        <is>
          <t>Nº Socio</t>
        </is>
      </c>
      <c r="D1" s="13" t="inlineStr">
        <is>
          <t>Socio</t>
        </is>
      </c>
      <c r="E1" s="13" t="inlineStr">
        <is>
          <t>Variedad</t>
        </is>
      </c>
      <c r="F1" s="13" t="inlineStr">
        <is>
          <t>Neto</t>
        </is>
      </c>
      <c r="G1" s="13" t="inlineStr">
        <is>
          <t>I. Bruto</t>
        </is>
      </c>
      <c r="H1" s="13" t="inlineStr">
        <is>
          <t>P. Comer.</t>
        </is>
      </c>
      <c r="I1" s="13" t="inlineStr">
        <is>
          <t>Recolec.</t>
        </is>
      </c>
      <c r="J1" s="13" t="inlineStr">
        <is>
          <t>C. Has.</t>
        </is>
      </c>
      <c r="K1" s="13" t="inlineStr">
        <is>
          <t>B/P Cal.</t>
        </is>
      </c>
      <c r="L1" s="13" t="inlineStr">
        <is>
          <t>B. Trans.</t>
        </is>
      </c>
      <c r="M1" s="13" t="inlineStr">
        <is>
          <t>B. Glob.</t>
        </is>
      </c>
      <c r="N1" s="13" t="inlineStr">
        <is>
          <t>Base Imponible</t>
        </is>
      </c>
      <c r="O1" s="13" t="inlineStr">
        <is>
          <t>P.Medio</t>
        </is>
      </c>
      <c r="P1" s="13" t="inlineStr">
        <is>
          <t>I.V.A</t>
        </is>
      </c>
      <c r="Q1" s="13" t="inlineStr">
        <is>
          <t>Ret.</t>
        </is>
      </c>
      <c r="R1" s="13" t="inlineStr">
        <is>
          <t>Importe Total.</t>
        </is>
      </c>
      <c r="S1" s="13" t="inlineStr">
        <is>
          <t>Concepto Liquidación</t>
        </is>
      </c>
      <c r="T1" s="13" t="inlineStr">
        <is>
          <t>Cultivo</t>
        </is>
      </c>
      <c r="U1" s="13" t="inlineStr">
        <is>
          <t>Com. Recol. (Pts/kg)(&lt;11,65)</t>
        </is>
      </c>
      <c r="V1" s="13" t="inlineStr">
        <is>
          <t>Com. Global (Pts/kg)(&lt;2)</t>
        </is>
      </c>
      <c r="W1" s="13" t="inlineStr">
        <is>
          <t>Com. Trans. (Pts/kg) (&lt;1,7)</t>
        </is>
      </c>
    </row>
    <row r="2">
      <c r="A2" s="14" t="n">
        <v>2197</v>
      </c>
      <c r="B2" s="14" t="inlineStr">
        <is>
          <t>NAVEL TEMPRANA sem1</t>
        </is>
      </c>
      <c r="C2" s="15" t="n">
        <v>818</v>
      </c>
      <c r="D2" s="14" t="inlineStr">
        <is>
          <t>CARBONELL MEMBRILLA,RAFAEL</t>
        </is>
      </c>
      <c r="E2" s="14" t="inlineStr">
        <is>
          <t>NAVELINA</t>
        </is>
      </c>
      <c r="F2" s="15" t="n">
        <v>91830</v>
      </c>
      <c r="G2" s="16" t="n">
        <v>36213.94</v>
      </c>
      <c r="H2" s="17" t="n">
        <v>0.3943584885113797</v>
      </c>
      <c r="I2" s="16" t="n">
        <v>5739.38</v>
      </c>
      <c r="J2" s="16" t="n">
        <v>384.96</v>
      </c>
      <c r="K2" s="16" t="n">
        <v>0</v>
      </c>
      <c r="L2" s="16" t="n">
        <v>691.64</v>
      </c>
      <c r="M2" s="16" t="n">
        <v>0</v>
      </c>
      <c r="N2" s="16" t="n">
        <v>30781.24</v>
      </c>
      <c r="O2" s="17" t="n">
        <v>0.36791</v>
      </c>
      <c r="P2" s="18" t="n">
        <v>12</v>
      </c>
      <c r="Q2" s="18" t="n">
        <v>2</v>
      </c>
      <c r="R2" s="16" t="n">
        <v>33785.49</v>
      </c>
      <c r="S2" s="14" t="inlineStr">
        <is>
          <t>NAVEL TEMPRANA sem1</t>
        </is>
      </c>
      <c r="T2" s="14" t="inlineStr">
        <is>
          <t>CITRICOS</t>
        </is>
      </c>
      <c r="U2" s="19">
        <f>IFERROR(166.386*I2/F2,0)</f>
        <v/>
      </c>
      <c r="V2" s="19">
        <f>IFERROR(166.386*M2/F2,0)</f>
        <v/>
      </c>
      <c r="W2" s="19">
        <f>IFERROR(166.386*L2/F2,0)</f>
        <v/>
      </c>
    </row>
    <row r="3">
      <c r="A3" s="14" t="n">
        <v>2197</v>
      </c>
      <c r="B3" s="14" t="inlineStr">
        <is>
          <t>NAVEL TEMPRANA sem1</t>
        </is>
      </c>
      <c r="C3" s="15" t="n">
        <v>1184</v>
      </c>
      <c r="D3" s="14" t="inlineStr">
        <is>
          <t>CLUB DE CAMPO LAS LAGUNAS</t>
        </is>
      </c>
      <c r="E3" s="14" t="inlineStr">
        <is>
          <t>NEWHALL</t>
        </is>
      </c>
      <c r="F3" s="15" t="n">
        <v>33437</v>
      </c>
      <c r="G3" s="16" t="n">
        <v>10777.24</v>
      </c>
      <c r="H3" s="17" t="n">
        <v>0.3223148009689865</v>
      </c>
      <c r="I3" s="16" t="n">
        <v>2112.56</v>
      </c>
      <c r="J3" s="16" t="n">
        <v>305.11</v>
      </c>
      <c r="K3" s="16" t="n">
        <v>0</v>
      </c>
      <c r="L3" s="16" t="n">
        <v>0</v>
      </c>
      <c r="M3" s="16" t="n">
        <v>0</v>
      </c>
      <c r="N3" s="16" t="n">
        <v>8359.57</v>
      </c>
      <c r="O3" s="17" t="n">
        <v>0.26001</v>
      </c>
      <c r="P3" s="18" t="n">
        <v>4</v>
      </c>
      <c r="Q3" s="18" t="n">
        <v>0</v>
      </c>
      <c r="R3" s="16" t="n">
        <v>8693.950000000001</v>
      </c>
      <c r="S3" s="14" t="inlineStr">
        <is>
          <t>NAVEL TEMPRANA sem1</t>
        </is>
      </c>
      <c r="T3" s="14" t="inlineStr">
        <is>
          <t>CITRICOS</t>
        </is>
      </c>
      <c r="U3" s="19">
        <f>IFERROR(166.386*I3/F3,0)</f>
        <v/>
      </c>
      <c r="V3" s="19">
        <f>IFERROR(166.386*M3/F3,0)</f>
        <v/>
      </c>
      <c r="W3" s="19">
        <f>IFERROR(166.386*L3/F3,0)</f>
        <v/>
      </c>
    </row>
    <row r="4">
      <c r="A4" s="14" t="n">
        <v>2197</v>
      </c>
      <c r="B4" s="14" t="inlineStr">
        <is>
          <t>NAVEL TEMPRANA sem1</t>
        </is>
      </c>
      <c r="C4" s="15" t="n">
        <v>1395</v>
      </c>
      <c r="D4" s="14" t="inlineStr">
        <is>
          <t>AGRICOLA HERMANOS BUIZA S.C.</t>
        </is>
      </c>
      <c r="E4" s="14" t="inlineStr">
        <is>
          <t>NAVELINA</t>
        </is>
      </c>
      <c r="F4" s="15" t="n">
        <v>61720</v>
      </c>
      <c r="G4" s="16" t="n">
        <v>22105.91</v>
      </c>
      <c r="H4" s="17" t="n">
        <v>0.3581644523655217</v>
      </c>
      <c r="I4" s="16" t="n">
        <v>3857.5</v>
      </c>
      <c r="J4" s="16" t="n">
        <v>233.19</v>
      </c>
      <c r="K4" s="16" t="n">
        <v>0</v>
      </c>
      <c r="L4" s="16" t="n">
        <v>685.09</v>
      </c>
      <c r="M4" s="16" t="n">
        <v>888.05</v>
      </c>
      <c r="N4" s="16" t="n">
        <v>19588.36</v>
      </c>
      <c r="O4" s="17" t="n">
        <v>0.34835</v>
      </c>
      <c r="P4" s="18" t="n">
        <v>12</v>
      </c>
      <c r="Q4" s="18" t="n">
        <v>2</v>
      </c>
      <c r="R4" s="16" t="n">
        <v>21500.18</v>
      </c>
      <c r="S4" s="14" t="inlineStr">
        <is>
          <t>NAVEL TEMPRANA sem1</t>
        </is>
      </c>
      <c r="T4" s="14" t="inlineStr">
        <is>
          <t>CITRICOS</t>
        </is>
      </c>
      <c r="U4" s="19">
        <f>IFERROR(166.386*I4/F4,0)</f>
        <v/>
      </c>
      <c r="V4" s="19">
        <f>IFERROR(166.386*M4/F4,0)</f>
        <v/>
      </c>
      <c r="W4" s="19">
        <f>IFERROR(166.386*L4/F4,0)</f>
        <v/>
      </c>
    </row>
    <row r="5">
      <c r="A5" s="14" t="n">
        <v>2197</v>
      </c>
      <c r="B5" s="14" t="inlineStr">
        <is>
          <t>NAVEL TEMPRANA sem1</t>
        </is>
      </c>
      <c r="C5" s="15" t="n">
        <v>1529</v>
      </c>
      <c r="D5" s="14" t="inlineStr">
        <is>
          <t>RAMOS BRUGAROLAS, JOSE</t>
        </is>
      </c>
      <c r="E5" s="14" t="inlineStr">
        <is>
          <t>NAVELINA</t>
        </is>
      </c>
      <c r="F5" s="15" t="n">
        <v>204792</v>
      </c>
      <c r="G5" s="16" t="n">
        <v>79566.99000000001</v>
      </c>
      <c r="H5" s="17" t="n">
        <v>0.3885258701511778</v>
      </c>
      <c r="I5" s="16" t="n">
        <v>15359.41</v>
      </c>
      <c r="J5" s="16" t="n">
        <v>1353.74</v>
      </c>
      <c r="K5" s="16" t="n">
        <v>0</v>
      </c>
      <c r="L5" s="16" t="n">
        <v>0</v>
      </c>
      <c r="M5" s="16" t="n">
        <v>0</v>
      </c>
      <c r="N5" s="16" t="n">
        <v>62853.84</v>
      </c>
      <c r="O5" s="17" t="n">
        <v>0.33687</v>
      </c>
      <c r="P5" s="18" t="n">
        <v>12</v>
      </c>
      <c r="Q5" s="18" t="n">
        <v>2</v>
      </c>
      <c r="R5" s="16" t="n">
        <v>68988.37</v>
      </c>
      <c r="S5" s="14" t="inlineStr">
        <is>
          <t>NAVEL TEMPRANA sem1</t>
        </is>
      </c>
      <c r="T5" s="14" t="inlineStr">
        <is>
          <t>CITRICOS</t>
        </is>
      </c>
      <c r="U5" s="19">
        <f>IFERROR(166.386*I5/F5,0)</f>
        <v/>
      </c>
      <c r="V5" s="19">
        <f>IFERROR(166.386*M5/F5,0)</f>
        <v/>
      </c>
      <c r="W5" s="19">
        <f>IFERROR(166.386*L5/F5,0)</f>
        <v/>
      </c>
    </row>
    <row r="6">
      <c r="A6" s="14" t="n">
        <v>2197</v>
      </c>
      <c r="B6" s="14" t="inlineStr">
        <is>
          <t>NAVEL TEMPRANA sem1</t>
        </is>
      </c>
      <c r="C6" s="15" t="n">
        <v>1530</v>
      </c>
      <c r="D6" s="14" t="inlineStr">
        <is>
          <t>CABRERA BONILLA, GRACIA Mª</t>
        </is>
      </c>
      <c r="E6" s="14" t="inlineStr">
        <is>
          <t>NAVELINA</t>
        </is>
      </c>
      <c r="F6" s="15" t="n">
        <v>37040</v>
      </c>
      <c r="G6" s="16" t="n">
        <v>15157.32</v>
      </c>
      <c r="H6" s="17" t="n">
        <v>0.4092149028077754</v>
      </c>
      <c r="I6" s="16" t="n">
        <v>2315</v>
      </c>
      <c r="J6" s="16" t="n">
        <v>279.05</v>
      </c>
      <c r="K6" s="16" t="n">
        <v>0</v>
      </c>
      <c r="L6" s="16" t="n">
        <v>0</v>
      </c>
      <c r="M6" s="16" t="n">
        <v>570.38</v>
      </c>
      <c r="N6" s="16" t="n">
        <v>13133.65</v>
      </c>
      <c r="O6" s="17" t="n">
        <v>0.38919</v>
      </c>
      <c r="P6" s="18" t="n">
        <v>12</v>
      </c>
      <c r="Q6" s="18" t="n">
        <v>2</v>
      </c>
      <c r="R6" s="16" t="n">
        <v>14415.49</v>
      </c>
      <c r="S6" s="14" t="inlineStr">
        <is>
          <t>NAVEL TEMPRANA sem1</t>
        </is>
      </c>
      <c r="T6" s="14" t="inlineStr">
        <is>
          <t>CITRICOS</t>
        </is>
      </c>
      <c r="U6" s="19">
        <f>IFERROR(166.386*I6/F6,0)</f>
        <v/>
      </c>
      <c r="V6" s="19">
        <f>IFERROR(166.386*M6/F6,0)</f>
        <v/>
      </c>
      <c r="W6" s="19">
        <f>IFERROR(166.386*L6/F6,0)</f>
        <v/>
      </c>
    </row>
    <row r="7">
      <c r="A7" s="14" t="n">
        <v>2197</v>
      </c>
      <c r="B7" s="14" t="inlineStr">
        <is>
          <t>NAVEL TEMPRANA sem1</t>
        </is>
      </c>
      <c r="C7" s="15" t="n">
        <v>1588</v>
      </c>
      <c r="D7" s="14" t="inlineStr">
        <is>
          <t>RAMOS GARCIA DE TEJADA, ALVARO</t>
        </is>
      </c>
      <c r="E7" s="14" t="inlineStr">
        <is>
          <t>NAVELINA</t>
        </is>
      </c>
      <c r="F7" s="15" t="n">
        <v>79552</v>
      </c>
      <c r="G7" s="16" t="n">
        <v>29518.28</v>
      </c>
      <c r="H7" s="17" t="n">
        <v>0.3710564159292035</v>
      </c>
      <c r="I7" s="16" t="n">
        <v>5966.41</v>
      </c>
      <c r="J7" s="16" t="n">
        <v>455.82</v>
      </c>
      <c r="K7" s="16" t="n">
        <v>0</v>
      </c>
      <c r="L7" s="16" t="n">
        <v>0</v>
      </c>
      <c r="M7" s="16" t="n">
        <v>0</v>
      </c>
      <c r="N7" s="16" t="n">
        <v>23096.05</v>
      </c>
      <c r="O7" s="17" t="n">
        <v>0.31866</v>
      </c>
      <c r="P7" s="18" t="n">
        <v>12</v>
      </c>
      <c r="Q7" s="18" t="n">
        <v>2</v>
      </c>
      <c r="R7" s="16" t="n">
        <v>25350.22</v>
      </c>
      <c r="S7" s="14" t="inlineStr">
        <is>
          <t>NAVEL TEMPRANA sem1</t>
        </is>
      </c>
      <c r="T7" s="14" t="inlineStr">
        <is>
          <t>CITRICOS</t>
        </is>
      </c>
      <c r="U7" s="19">
        <f>IFERROR(166.386*I7/F7,0)</f>
        <v/>
      </c>
      <c r="V7" s="19">
        <f>IFERROR(166.386*M7/F7,0)</f>
        <v/>
      </c>
      <c r="W7" s="19">
        <f>IFERROR(166.386*L7/F7,0)</f>
        <v/>
      </c>
    </row>
    <row r="8">
      <c r="A8" s="14" t="n">
        <v>2198</v>
      </c>
      <c r="B8" s="14" t="inlineStr">
        <is>
          <t>NAVEL TEMPRANA sem2</t>
        </is>
      </c>
      <c r="C8" s="15" t="n">
        <v>818</v>
      </c>
      <c r="D8" s="14" t="inlineStr">
        <is>
          <t>CARBONELL MEMBRILLA,RAFAEL</t>
        </is>
      </c>
      <c r="E8" s="14" t="inlineStr">
        <is>
          <t>NAVELINA</t>
        </is>
      </c>
      <c r="F8" s="15" t="n">
        <v>22314</v>
      </c>
      <c r="G8" s="16" t="n">
        <v>8663.889999999999</v>
      </c>
      <c r="H8" s="17" t="n">
        <v>0.3882714887514565</v>
      </c>
      <c r="I8" s="16" t="n">
        <v>1394.63</v>
      </c>
      <c r="J8" s="16" t="n">
        <v>93.54000000000001</v>
      </c>
      <c r="K8" s="16" t="n">
        <v>0</v>
      </c>
      <c r="L8" s="16" t="n">
        <v>0</v>
      </c>
      <c r="M8" s="16" t="n">
        <v>0</v>
      </c>
      <c r="N8" s="16" t="n">
        <v>7175.72</v>
      </c>
      <c r="O8" s="17" t="n">
        <v>0.35297</v>
      </c>
      <c r="P8" s="18" t="n">
        <v>12</v>
      </c>
      <c r="Q8" s="18" t="n">
        <v>2</v>
      </c>
      <c r="R8" s="16" t="n">
        <v>7876.07</v>
      </c>
      <c r="S8" s="14" t="inlineStr">
        <is>
          <t>NAVEL TEMPRANA sem2</t>
        </is>
      </c>
      <c r="T8" s="14" t="inlineStr">
        <is>
          <t>CITRICOS</t>
        </is>
      </c>
      <c r="U8" s="19">
        <f>IFERROR(166.386*I8/F8,0)</f>
        <v/>
      </c>
      <c r="V8" s="19">
        <f>IFERROR(166.386*M8/F8,0)</f>
        <v/>
      </c>
      <c r="W8" s="19">
        <f>IFERROR(166.386*L8/F8,0)</f>
        <v/>
      </c>
    </row>
    <row r="9">
      <c r="A9" s="14" t="n">
        <v>2198</v>
      </c>
      <c r="B9" s="14" t="inlineStr">
        <is>
          <t>NAVEL TEMPRANA sem2</t>
        </is>
      </c>
      <c r="C9" s="15" t="n">
        <v>1395</v>
      </c>
      <c r="D9" s="14" t="inlineStr">
        <is>
          <t>AGRICOLA HERMANOS BUIZA S.C.</t>
        </is>
      </c>
      <c r="E9" s="14" t="inlineStr">
        <is>
          <t>NAVELINA</t>
        </is>
      </c>
      <c r="F9" s="15" t="n">
        <v>49685</v>
      </c>
      <c r="G9" s="16" t="n">
        <v>17346.65</v>
      </c>
      <c r="H9" s="17" t="n">
        <v>0.349132534970313</v>
      </c>
      <c r="I9" s="16" t="n">
        <v>3105.31</v>
      </c>
      <c r="J9" s="16" t="n">
        <v>187.72</v>
      </c>
      <c r="K9" s="16" t="n">
        <v>0</v>
      </c>
      <c r="L9" s="16" t="n">
        <v>112.17</v>
      </c>
      <c r="M9" s="16" t="n">
        <v>722.46</v>
      </c>
      <c r="N9" s="16" t="n">
        <v>14888.25</v>
      </c>
      <c r="O9" s="17" t="n">
        <v>0.3289</v>
      </c>
      <c r="P9" s="18" t="n">
        <v>12</v>
      </c>
      <c r="Q9" s="18" t="n">
        <v>2</v>
      </c>
      <c r="R9" s="16" t="n">
        <v>16341.34</v>
      </c>
      <c r="S9" s="14" t="inlineStr">
        <is>
          <t>NAVEL TEMPRANA sem2</t>
        </is>
      </c>
      <c r="T9" s="14" t="inlineStr">
        <is>
          <t>CITRICOS</t>
        </is>
      </c>
      <c r="U9" s="19">
        <f>IFERROR(166.386*I9/F9,0)</f>
        <v/>
      </c>
      <c r="V9" s="19">
        <f>IFERROR(166.386*M9/F9,0)</f>
        <v/>
      </c>
      <c r="W9" s="19">
        <f>IFERROR(166.386*L9/F9,0)</f>
        <v/>
      </c>
    </row>
    <row r="10">
      <c r="A10" s="14" t="n">
        <v>2198</v>
      </c>
      <c r="B10" s="14" t="inlineStr">
        <is>
          <t>NAVEL TEMPRANA sem2</t>
        </is>
      </c>
      <c r="C10" s="15" t="n">
        <v>1499</v>
      </c>
      <c r="D10" s="14" t="inlineStr">
        <is>
          <t>PERALTA MARQUEZ,ISABEL</t>
        </is>
      </c>
      <c r="E10" s="14" t="inlineStr">
        <is>
          <t>NAVELINA</t>
        </is>
      </c>
      <c r="F10" s="15" t="n">
        <v>29640</v>
      </c>
      <c r="G10" s="16" t="n">
        <v>11645.46</v>
      </c>
      <c r="H10" s="17" t="n">
        <v>0.3928967611336032</v>
      </c>
      <c r="I10" s="16" t="n">
        <v>1852.5</v>
      </c>
      <c r="J10" s="16" t="n">
        <v>187.37</v>
      </c>
      <c r="K10" s="16" t="n">
        <v>0</v>
      </c>
      <c r="L10" s="16" t="n">
        <v>0</v>
      </c>
      <c r="M10" s="16" t="n">
        <v>473.84</v>
      </c>
      <c r="N10" s="16" t="n">
        <v>10079.43</v>
      </c>
      <c r="O10" s="17" t="n">
        <v>0.37325</v>
      </c>
      <c r="P10" s="18" t="n">
        <v>12</v>
      </c>
      <c r="Q10" s="18" t="n">
        <v>2</v>
      </c>
      <c r="R10" s="16" t="n">
        <v>11063.18</v>
      </c>
      <c r="S10" s="14" t="inlineStr">
        <is>
          <t>NAVEL TEMPRANA sem2</t>
        </is>
      </c>
      <c r="T10" s="14" t="inlineStr">
        <is>
          <t>CITRICOS</t>
        </is>
      </c>
      <c r="U10" s="19">
        <f>IFERROR(166.386*I10/F10,0)</f>
        <v/>
      </c>
      <c r="V10" s="19">
        <f>IFERROR(166.386*M10/F10,0)</f>
        <v/>
      </c>
      <c r="W10" s="19">
        <f>IFERROR(166.386*L10/F10,0)</f>
        <v/>
      </c>
    </row>
    <row r="11">
      <c r="A11" s="14" t="n">
        <v>2198</v>
      </c>
      <c r="B11" s="14" t="inlineStr">
        <is>
          <t>NAVEL TEMPRANA sem2</t>
        </is>
      </c>
      <c r="C11" s="15" t="n">
        <v>1529</v>
      </c>
      <c r="D11" s="14" t="inlineStr">
        <is>
          <t>RAMOS BRUGAROLAS, JOSE</t>
        </is>
      </c>
      <c r="E11" s="14" t="inlineStr">
        <is>
          <t>NAVELINA</t>
        </is>
      </c>
      <c r="F11" s="15" t="n">
        <v>47773</v>
      </c>
      <c r="G11" s="16" t="n">
        <v>17272.43</v>
      </c>
      <c r="H11" s="17" t="n">
        <v>0.3615521319573818</v>
      </c>
      <c r="I11" s="16" t="n">
        <v>3582.98</v>
      </c>
      <c r="J11" s="16" t="n">
        <v>315.8</v>
      </c>
      <c r="K11" s="16" t="n">
        <v>0</v>
      </c>
      <c r="L11" s="16" t="n">
        <v>0</v>
      </c>
      <c r="M11" s="16" t="n">
        <v>0</v>
      </c>
      <c r="N11" s="16" t="n">
        <v>13373.65</v>
      </c>
      <c r="O11" s="17" t="n">
        <v>0.30726</v>
      </c>
      <c r="P11" s="18" t="n">
        <v>12</v>
      </c>
      <c r="Q11" s="18" t="n">
        <v>2</v>
      </c>
      <c r="R11" s="16" t="n">
        <v>14678.92</v>
      </c>
      <c r="S11" s="14" t="inlineStr">
        <is>
          <t>NAVEL TEMPRANA sem2</t>
        </is>
      </c>
      <c r="T11" s="14" t="inlineStr">
        <is>
          <t>CITRICOS</t>
        </is>
      </c>
      <c r="U11" s="19">
        <f>IFERROR(166.386*I11/F11,0)</f>
        <v/>
      </c>
      <c r="V11" s="19">
        <f>IFERROR(166.386*M11/F11,0)</f>
        <v/>
      </c>
      <c r="W11" s="19">
        <f>IFERROR(166.386*L11/F11,0)</f>
        <v/>
      </c>
    </row>
    <row r="12">
      <c r="A12" s="14" t="n">
        <v>2198</v>
      </c>
      <c r="B12" s="14" t="inlineStr">
        <is>
          <t>NAVEL TEMPRANA sem2</t>
        </is>
      </c>
      <c r="C12" s="15" t="n">
        <v>1530</v>
      </c>
      <c r="D12" s="14" t="inlineStr">
        <is>
          <t>CABRERA BONILLA, GRACIA Mª</t>
        </is>
      </c>
      <c r="E12" s="14" t="inlineStr">
        <is>
          <t>NAVELINA</t>
        </is>
      </c>
      <c r="F12" s="15" t="n">
        <v>42671</v>
      </c>
      <c r="G12" s="16" t="n">
        <v>17311.55</v>
      </c>
      <c r="H12" s="17" t="n">
        <v>0.4056982493965456</v>
      </c>
      <c r="I12" s="16" t="n">
        <v>2666.94</v>
      </c>
      <c r="J12" s="16" t="n">
        <v>321.47</v>
      </c>
      <c r="K12" s="16" t="n">
        <v>0</v>
      </c>
      <c r="L12" s="16" t="n">
        <v>3.72</v>
      </c>
      <c r="M12" s="16" t="n">
        <v>637.35</v>
      </c>
      <c r="N12" s="16" t="n">
        <v>14964.21</v>
      </c>
      <c r="O12" s="17" t="n">
        <v>0.38492</v>
      </c>
      <c r="P12" s="18" t="n">
        <v>12</v>
      </c>
      <c r="Q12" s="18" t="n">
        <v>2</v>
      </c>
      <c r="R12" s="16" t="n">
        <v>16424.72</v>
      </c>
      <c r="S12" s="14" t="inlineStr">
        <is>
          <t>NAVEL TEMPRANA sem2</t>
        </is>
      </c>
      <c r="T12" s="14" t="inlineStr">
        <is>
          <t>CITRICOS</t>
        </is>
      </c>
      <c r="U12" s="19">
        <f>IFERROR(166.386*I12/F12,0)</f>
        <v/>
      </c>
      <c r="V12" s="19">
        <f>IFERROR(166.386*M12/F12,0)</f>
        <v/>
      </c>
      <c r="W12" s="19">
        <f>IFERROR(166.386*L12/F12,0)</f>
        <v/>
      </c>
    </row>
    <row r="13">
      <c r="A13" s="14" t="n">
        <v>2198</v>
      </c>
      <c r="B13" s="14" t="inlineStr">
        <is>
          <t>NAVEL TEMPRANA sem2</t>
        </is>
      </c>
      <c r="C13" s="15" t="n">
        <v>1588</v>
      </c>
      <c r="D13" s="14" t="inlineStr">
        <is>
          <t>RAMOS GARCIA DE TEJADA, ALVARO</t>
        </is>
      </c>
      <c r="E13" s="14" t="inlineStr">
        <is>
          <t>NAVELINA</t>
        </is>
      </c>
      <c r="F13" s="15" t="n">
        <v>46740</v>
      </c>
      <c r="G13" s="16" t="n">
        <v>17546.33</v>
      </c>
      <c r="H13" s="17" t="n">
        <v>0.3754028669234061</v>
      </c>
      <c r="I13" s="16" t="n">
        <v>3499.5</v>
      </c>
      <c r="J13" s="16" t="n">
        <v>267.81</v>
      </c>
      <c r="K13" s="16" t="n">
        <v>0</v>
      </c>
      <c r="L13" s="16" t="n">
        <v>0</v>
      </c>
      <c r="M13" s="16" t="n">
        <v>0</v>
      </c>
      <c r="N13" s="16" t="n">
        <v>13779.02</v>
      </c>
      <c r="O13" s="17" t="n">
        <v>0.32357</v>
      </c>
      <c r="P13" s="18" t="n">
        <v>12</v>
      </c>
      <c r="Q13" s="18" t="n">
        <v>2</v>
      </c>
      <c r="R13" s="16" t="n">
        <v>15123.85</v>
      </c>
      <c r="S13" s="14" t="inlineStr">
        <is>
          <t>NAVEL TEMPRANA sem2</t>
        </is>
      </c>
      <c r="T13" s="14" t="inlineStr">
        <is>
          <t>CITRICOS</t>
        </is>
      </c>
      <c r="U13" s="19">
        <f>IFERROR(166.386*I13/F13,0)</f>
        <v/>
      </c>
      <c r="V13" s="19">
        <f>IFERROR(166.386*M13/F13,0)</f>
        <v/>
      </c>
      <c r="W13" s="19">
        <f>IFERROR(166.386*L13/F13,0)</f>
        <v/>
      </c>
    </row>
    <row r="14">
      <c r="A14" s="14" t="n">
        <v>2199</v>
      </c>
      <c r="B14" s="14" t="inlineStr">
        <is>
          <t>NAVEL TEMPRANA sem 3</t>
        </is>
      </c>
      <c r="C14" s="15" t="n">
        <v>1040</v>
      </c>
      <c r="D14" s="14" t="inlineStr">
        <is>
          <t>CARRASCO BAEZA,JUAN</t>
        </is>
      </c>
      <c r="E14" s="14" t="inlineStr">
        <is>
          <t>NAVELINA</t>
        </is>
      </c>
      <c r="F14" s="15" t="n">
        <v>13435</v>
      </c>
      <c r="G14" s="16" t="n">
        <v>5107.84</v>
      </c>
      <c r="H14" s="17" t="n">
        <v>0.3801890584294753</v>
      </c>
      <c r="I14" s="16" t="n">
        <v>839.6900000000001</v>
      </c>
      <c r="J14" s="16" t="n">
        <v>226.2</v>
      </c>
      <c r="K14" s="16" t="n">
        <v>0</v>
      </c>
      <c r="L14" s="16" t="n">
        <v>0</v>
      </c>
      <c r="M14" s="16" t="n">
        <v>0</v>
      </c>
      <c r="N14" s="16" t="n">
        <v>4041.95</v>
      </c>
      <c r="O14" s="17" t="n">
        <v>0.33022</v>
      </c>
      <c r="P14" s="18" t="n">
        <v>12</v>
      </c>
      <c r="Q14" s="18" t="n">
        <v>2</v>
      </c>
      <c r="R14" s="16" t="n">
        <v>4436.44</v>
      </c>
      <c r="S14" s="14" t="inlineStr">
        <is>
          <t>NAVEL TEMPRANA sem 3</t>
        </is>
      </c>
      <c r="T14" s="14" t="inlineStr">
        <is>
          <t>CITRICOS</t>
        </is>
      </c>
      <c r="U14" s="19">
        <f>IFERROR(166.386*I14/F14,0)</f>
        <v/>
      </c>
      <c r="V14" s="19">
        <f>IFERROR(166.386*M14/F14,0)</f>
        <v/>
      </c>
      <c r="W14" s="19">
        <f>IFERROR(166.386*L14/F14,0)</f>
        <v/>
      </c>
    </row>
    <row r="15">
      <c r="A15" s="14" t="n">
        <v>2199</v>
      </c>
      <c r="B15" s="14" t="inlineStr">
        <is>
          <t>NAVEL TEMPRANA sem 3</t>
        </is>
      </c>
      <c r="C15" s="15" t="n">
        <v>1395</v>
      </c>
      <c r="D15" s="14" t="inlineStr">
        <is>
          <t>AGRICOLA HERMANOS BUIZA S.C.</t>
        </is>
      </c>
      <c r="E15" s="14" t="inlineStr">
        <is>
          <t>NAVELINA</t>
        </is>
      </c>
      <c r="F15" s="15" t="n">
        <v>90188</v>
      </c>
      <c r="G15" s="16" t="n">
        <v>31640.59</v>
      </c>
      <c r="H15" s="17" t="n">
        <v>0.3508292677518073</v>
      </c>
      <c r="I15" s="16" t="n">
        <v>5635.75</v>
      </c>
      <c r="J15" s="16" t="n">
        <v>340.75</v>
      </c>
      <c r="K15" s="16" t="n">
        <v>0</v>
      </c>
      <c r="L15" s="16" t="n">
        <v>517.62</v>
      </c>
      <c r="M15" s="16" t="n">
        <v>1307.45</v>
      </c>
      <c r="N15" s="16" t="n">
        <v>27489.16</v>
      </c>
      <c r="O15" s="17" t="n">
        <v>0.33455</v>
      </c>
      <c r="P15" s="18" t="n">
        <v>12</v>
      </c>
      <c r="Q15" s="18" t="n">
        <v>2</v>
      </c>
      <c r="R15" s="16" t="n">
        <v>30172.1</v>
      </c>
      <c r="S15" s="14" t="inlineStr">
        <is>
          <t>NAVEL TEMPRANA sem 3</t>
        </is>
      </c>
      <c r="T15" s="14" t="inlineStr">
        <is>
          <t>CITRICOS</t>
        </is>
      </c>
      <c r="U15" s="19">
        <f>IFERROR(166.386*I15/F15,0)</f>
        <v/>
      </c>
      <c r="V15" s="19">
        <f>IFERROR(166.386*M15/F15,0)</f>
        <v/>
      </c>
      <c r="W15" s="19">
        <f>IFERROR(166.386*L15/F15,0)</f>
        <v/>
      </c>
    </row>
    <row r="16">
      <c r="A16" s="14" t="n">
        <v>2199</v>
      </c>
      <c r="B16" s="14" t="inlineStr">
        <is>
          <t>NAVEL TEMPRANA sem 3</t>
        </is>
      </c>
      <c r="C16" s="15" t="n">
        <v>1499</v>
      </c>
      <c r="D16" s="14" t="inlineStr">
        <is>
          <t>PERALTA MARQUEZ,ISABEL</t>
        </is>
      </c>
      <c r="E16" s="14" t="inlineStr">
        <is>
          <t>NAVELINA</t>
        </is>
      </c>
      <c r="F16" s="15" t="n">
        <v>94532</v>
      </c>
      <c r="G16" s="16" t="n">
        <v>35524.85</v>
      </c>
      <c r="H16" s="17" t="n">
        <v>0.375797084585114</v>
      </c>
      <c r="I16" s="16" t="n">
        <v>5906.25</v>
      </c>
      <c r="J16" s="16" t="n">
        <v>597.58</v>
      </c>
      <c r="K16" s="16" t="n">
        <v>0</v>
      </c>
      <c r="L16" s="16" t="n">
        <v>0</v>
      </c>
      <c r="M16" s="16" t="n">
        <v>1508.36</v>
      </c>
      <c r="N16" s="16" t="n">
        <v>30529.38</v>
      </c>
      <c r="O16" s="17" t="n">
        <v>0.35447</v>
      </c>
      <c r="P16" s="18" t="n">
        <v>12</v>
      </c>
      <c r="Q16" s="18" t="n">
        <v>2</v>
      </c>
      <c r="R16" s="16" t="n">
        <v>33509.05</v>
      </c>
      <c r="S16" s="14" t="inlineStr">
        <is>
          <t>NAVEL TEMPRANA sem 3</t>
        </is>
      </c>
      <c r="T16" s="14" t="inlineStr">
        <is>
          <t>CITRICOS</t>
        </is>
      </c>
      <c r="U16" s="19">
        <f>IFERROR(166.386*I16/F16,0)</f>
        <v/>
      </c>
      <c r="V16" s="19">
        <f>IFERROR(166.386*M16/F16,0)</f>
        <v/>
      </c>
      <c r="W16" s="19">
        <f>IFERROR(166.386*L16/F16,0)</f>
        <v/>
      </c>
    </row>
    <row r="17">
      <c r="A17" s="14" t="n">
        <v>2199</v>
      </c>
      <c r="B17" s="14" t="inlineStr">
        <is>
          <t>NAVEL TEMPRANA sem 3</t>
        </is>
      </c>
      <c r="C17" s="15" t="n">
        <v>1525</v>
      </c>
      <c r="D17" s="14" t="inlineStr">
        <is>
          <t>ECIJA BORREGO, DOLORES</t>
        </is>
      </c>
      <c r="E17" s="14" t="inlineStr">
        <is>
          <t>NAVELINA</t>
        </is>
      </c>
      <c r="F17" s="15" t="n">
        <v>18727</v>
      </c>
      <c r="G17" s="16" t="n">
        <v>7038.19</v>
      </c>
      <c r="H17" s="17" t="n">
        <v>0.3758311528808672</v>
      </c>
      <c r="I17" s="16" t="n">
        <v>1170.44</v>
      </c>
      <c r="J17" s="16" t="n">
        <v>190.82</v>
      </c>
      <c r="K17" s="16" t="n">
        <v>0</v>
      </c>
      <c r="L17" s="16" t="n">
        <v>0</v>
      </c>
      <c r="M17" s="16" t="n">
        <v>0</v>
      </c>
      <c r="N17" s="16" t="n">
        <v>5676.93</v>
      </c>
      <c r="O17" s="17" t="n">
        <v>0.33273</v>
      </c>
      <c r="P17" s="18" t="n">
        <v>12</v>
      </c>
      <c r="Q17" s="18" t="n">
        <v>2</v>
      </c>
      <c r="R17" s="16" t="n">
        <v>6231</v>
      </c>
      <c r="S17" s="14" t="inlineStr">
        <is>
          <t>NAVEL TEMPRANA sem 3</t>
        </is>
      </c>
      <c r="T17" s="14" t="inlineStr">
        <is>
          <t>CITRICOS</t>
        </is>
      </c>
      <c r="U17" s="19">
        <f>IFERROR(166.386*I17/F17,0)</f>
        <v/>
      </c>
      <c r="V17" s="19">
        <f>IFERROR(166.386*M17/F17,0)</f>
        <v/>
      </c>
      <c r="W17" s="19">
        <f>IFERROR(166.386*L17/F17,0)</f>
        <v/>
      </c>
    </row>
    <row r="18">
      <c r="A18" s="14" t="n">
        <v>2199</v>
      </c>
      <c r="B18" s="14" t="inlineStr">
        <is>
          <t>NAVEL TEMPRANA sem 3</t>
        </is>
      </c>
      <c r="C18" s="15" t="n">
        <v>1529</v>
      </c>
      <c r="D18" s="14" t="inlineStr">
        <is>
          <t>RAMOS BRUGAROLAS, JOSE</t>
        </is>
      </c>
      <c r="E18" s="14" t="inlineStr">
        <is>
          <t>NAVELINA</t>
        </is>
      </c>
      <c r="F18" s="15" t="n">
        <v>92825</v>
      </c>
      <c r="G18" s="16" t="n">
        <v>34329.47</v>
      </c>
      <c r="H18" s="17" t="n">
        <v>0.36983000269324</v>
      </c>
      <c r="I18" s="16" t="n">
        <v>6961.88</v>
      </c>
      <c r="J18" s="16" t="n">
        <v>613.6</v>
      </c>
      <c r="K18" s="16" t="n">
        <v>0</v>
      </c>
      <c r="L18" s="16" t="n">
        <v>0</v>
      </c>
      <c r="M18" s="16" t="n">
        <v>0</v>
      </c>
      <c r="N18" s="16" t="n">
        <v>26753.99</v>
      </c>
      <c r="O18" s="17" t="n">
        <v>0.31635</v>
      </c>
      <c r="P18" s="18" t="n">
        <v>12</v>
      </c>
      <c r="Q18" s="18" t="n">
        <v>2</v>
      </c>
      <c r="R18" s="16" t="n">
        <v>29365.18</v>
      </c>
      <c r="S18" s="14" t="inlineStr">
        <is>
          <t>NAVEL TEMPRANA sem 3</t>
        </is>
      </c>
      <c r="T18" s="14" t="inlineStr">
        <is>
          <t>CITRICOS</t>
        </is>
      </c>
      <c r="U18" s="19">
        <f>IFERROR(166.386*I18/F18,0)</f>
        <v/>
      </c>
      <c r="V18" s="19">
        <f>IFERROR(166.386*M18/F18,0)</f>
        <v/>
      </c>
      <c r="W18" s="19">
        <f>IFERROR(166.386*L18/F18,0)</f>
        <v/>
      </c>
    </row>
    <row r="19">
      <c r="A19" s="14" t="n">
        <v>2199</v>
      </c>
      <c r="B19" s="14" t="inlineStr">
        <is>
          <t>NAVEL TEMPRANA sem 3</t>
        </is>
      </c>
      <c r="C19" s="15" t="n">
        <v>1530</v>
      </c>
      <c r="D19" s="14" t="inlineStr">
        <is>
          <t>CABRERA BONILLA, GRACIA Mª</t>
        </is>
      </c>
      <c r="E19" s="14" t="inlineStr">
        <is>
          <t>NAVELINA</t>
        </is>
      </c>
      <c r="F19" s="15" t="n">
        <v>21931</v>
      </c>
      <c r="G19" s="16" t="n">
        <v>8823.809999999999</v>
      </c>
      <c r="H19" s="17" t="n">
        <v>0.4023441703524691</v>
      </c>
      <c r="I19" s="16" t="n">
        <v>1364.69</v>
      </c>
      <c r="J19" s="16" t="n">
        <v>165.22</v>
      </c>
      <c r="K19" s="16" t="n">
        <v>0</v>
      </c>
      <c r="L19" s="16" t="n">
        <v>0</v>
      </c>
      <c r="M19" s="16" t="n">
        <v>314.4</v>
      </c>
      <c r="N19" s="16" t="n">
        <v>7608.3</v>
      </c>
      <c r="O19" s="17" t="n">
        <v>0.38078</v>
      </c>
      <c r="P19" s="18" t="n">
        <v>12</v>
      </c>
      <c r="Q19" s="18" t="n">
        <v>2</v>
      </c>
      <c r="R19" s="16" t="n">
        <v>8350.870000000001</v>
      </c>
      <c r="S19" s="14" t="inlineStr">
        <is>
          <t>NAVEL TEMPRANA sem 3</t>
        </is>
      </c>
      <c r="T19" s="14" t="inlineStr">
        <is>
          <t>CITRICOS</t>
        </is>
      </c>
      <c r="U19" s="19">
        <f>IFERROR(166.386*I19/F19,0)</f>
        <v/>
      </c>
      <c r="V19" s="19">
        <f>IFERROR(166.386*M19/F19,0)</f>
        <v/>
      </c>
      <c r="W19" s="19">
        <f>IFERROR(166.386*L19/F19,0)</f>
        <v/>
      </c>
    </row>
    <row r="20">
      <c r="A20" s="14" t="n">
        <v>2199</v>
      </c>
      <c r="B20" s="14" t="inlineStr">
        <is>
          <t>NAVEL TEMPRANA sem 3</t>
        </is>
      </c>
      <c r="C20" s="15" t="n">
        <v>1537</v>
      </c>
      <c r="D20" s="14" t="inlineStr">
        <is>
          <t>CARRASCO BAEZA, RICARDO</t>
        </is>
      </c>
      <c r="E20" s="14" t="inlineStr">
        <is>
          <t>NAVELINA</t>
        </is>
      </c>
      <c r="F20" s="15" t="n">
        <v>13826</v>
      </c>
      <c r="G20" s="16" t="n">
        <v>5502.39</v>
      </c>
      <c r="H20" s="17" t="n">
        <v>0.3979741067553884</v>
      </c>
      <c r="I20" s="16" t="n">
        <v>864.12</v>
      </c>
      <c r="J20" s="16" t="n">
        <v>267.15</v>
      </c>
      <c r="K20" s="16" t="n">
        <v>0</v>
      </c>
      <c r="L20" s="16" t="n">
        <v>0</v>
      </c>
      <c r="M20" s="16" t="n">
        <v>187.5</v>
      </c>
      <c r="N20" s="16" t="n">
        <v>4558.62</v>
      </c>
      <c r="O20" s="17" t="n">
        <v>0.36189</v>
      </c>
      <c r="P20" s="18" t="n">
        <v>12</v>
      </c>
      <c r="Q20" s="18" t="n">
        <v>2</v>
      </c>
      <c r="R20" s="16" t="n">
        <v>5003.54</v>
      </c>
      <c r="S20" s="14" t="inlineStr">
        <is>
          <t>NAVEL TEMPRANA sem 3</t>
        </is>
      </c>
      <c r="T20" s="14" t="inlineStr">
        <is>
          <t>CITRICOS</t>
        </is>
      </c>
      <c r="U20" s="19">
        <f>IFERROR(166.386*I20/F20,0)</f>
        <v/>
      </c>
      <c r="V20" s="19">
        <f>IFERROR(166.386*M20/F20,0)</f>
        <v/>
      </c>
      <c r="W20" s="19">
        <f>IFERROR(166.386*L20/F20,0)</f>
        <v/>
      </c>
    </row>
    <row r="21">
      <c r="A21" s="14" t="n">
        <v>2200</v>
      </c>
      <c r="B21" s="14" t="inlineStr">
        <is>
          <t>NAVEL TEMPRANA sem 4 y +</t>
        </is>
      </c>
      <c r="C21" s="15" t="n">
        <v>487</v>
      </c>
      <c r="D21" s="14" t="inlineStr">
        <is>
          <t>NUÑEZ ORDOÑEZ,ANGEL CUSTODIO</t>
        </is>
      </c>
      <c r="E21" s="14" t="inlineStr">
        <is>
          <t>NAVELINA</t>
        </is>
      </c>
      <c r="F21" s="15" t="n">
        <v>42255</v>
      </c>
      <c r="G21" s="16" t="n">
        <v>17419.46</v>
      </c>
      <c r="H21" s="17" t="n">
        <v>0.4122461247189682</v>
      </c>
      <c r="I21" s="16" t="n">
        <v>2640.94</v>
      </c>
      <c r="J21" s="16" t="n">
        <v>796.55</v>
      </c>
      <c r="K21" s="16" t="n">
        <v>0</v>
      </c>
      <c r="L21" s="16" t="n">
        <v>0</v>
      </c>
      <c r="M21" s="16" t="n">
        <v>625.75</v>
      </c>
      <c r="N21" s="16" t="n">
        <v>14607.72</v>
      </c>
      <c r="O21" s="17" t="n">
        <v>0.37944</v>
      </c>
      <c r="P21" s="18" t="n">
        <v>12</v>
      </c>
      <c r="Q21" s="18" t="n">
        <v>2</v>
      </c>
      <c r="R21" s="16" t="n">
        <v>16033.43</v>
      </c>
      <c r="S21" s="14" t="inlineStr">
        <is>
          <t>NAVEL TEMPRANA sem 4 y +</t>
        </is>
      </c>
      <c r="T21" s="14" t="inlineStr">
        <is>
          <t>CITRICOS</t>
        </is>
      </c>
      <c r="U21" s="19">
        <f>IFERROR(166.386*I21/F21,0)</f>
        <v/>
      </c>
      <c r="V21" s="19">
        <f>IFERROR(166.386*M21/F21,0)</f>
        <v/>
      </c>
      <c r="W21" s="19">
        <f>IFERROR(166.386*L21/F21,0)</f>
        <v/>
      </c>
    </row>
    <row r="22">
      <c r="A22" s="14" t="n">
        <v>2200</v>
      </c>
      <c r="B22" s="14" t="inlineStr">
        <is>
          <t>NAVEL TEMPRANA sem 4 y +</t>
        </is>
      </c>
      <c r="C22" s="15" t="n">
        <v>877</v>
      </c>
      <c r="D22" s="14" t="inlineStr">
        <is>
          <t>AGRICOLAS RECUERO  S.C.</t>
        </is>
      </c>
      <c r="E22" s="14" t="inlineStr">
        <is>
          <t>NAVELINA</t>
        </is>
      </c>
      <c r="F22" s="15" t="n">
        <v>85785</v>
      </c>
      <c r="G22" s="16" t="n">
        <v>33535.04</v>
      </c>
      <c r="H22" s="17" t="n">
        <v>0.3909196246430028</v>
      </c>
      <c r="I22" s="16" t="n">
        <v>5361.57</v>
      </c>
      <c r="J22" s="16" t="n">
        <v>533.96</v>
      </c>
      <c r="K22" s="16" t="n">
        <v>0</v>
      </c>
      <c r="L22" s="16" t="n">
        <v>0</v>
      </c>
      <c r="M22" s="16" t="n">
        <v>0</v>
      </c>
      <c r="N22" s="16" t="n">
        <v>27639.51</v>
      </c>
      <c r="O22" s="17" t="n">
        <v>0.35364</v>
      </c>
      <c r="P22" s="18" t="n">
        <v>12</v>
      </c>
      <c r="Q22" s="18" t="n">
        <v>2</v>
      </c>
      <c r="R22" s="16" t="n">
        <v>30337.13</v>
      </c>
      <c r="S22" s="14" t="inlineStr">
        <is>
          <t>NAVEL TEMPRANA sem 4 y +</t>
        </is>
      </c>
      <c r="T22" s="14" t="inlineStr">
        <is>
          <t>CITRICOS</t>
        </is>
      </c>
      <c r="U22" s="19">
        <f>IFERROR(166.386*I22/F22,0)</f>
        <v/>
      </c>
      <c r="V22" s="19">
        <f>IFERROR(166.386*M22/F22,0)</f>
        <v/>
      </c>
      <c r="W22" s="19">
        <f>IFERROR(166.386*L22/F22,0)</f>
        <v/>
      </c>
    </row>
    <row r="23">
      <c r="A23" s="14" t="n">
        <v>2200</v>
      </c>
      <c r="B23" s="14" t="inlineStr">
        <is>
          <t>NAVEL TEMPRANA sem 4 y +</t>
        </is>
      </c>
      <c r="C23" s="15" t="n">
        <v>886</v>
      </c>
      <c r="D23" s="14" t="inlineStr">
        <is>
          <t>IGEÑO LUQUE S.C.</t>
        </is>
      </c>
      <c r="E23" s="14" t="inlineStr">
        <is>
          <t>NAVELINA</t>
        </is>
      </c>
      <c r="F23" s="15" t="n">
        <v>134189</v>
      </c>
      <c r="G23" s="16" t="n">
        <v>51339.29</v>
      </c>
      <c r="H23" s="17" t="n">
        <v>0.3825894074775131</v>
      </c>
      <c r="I23" s="16" t="n">
        <v>8359.07</v>
      </c>
      <c r="J23" s="16" t="n">
        <v>683.58</v>
      </c>
      <c r="K23" s="16" t="n">
        <v>0</v>
      </c>
      <c r="L23" s="16" t="n">
        <v>1489.5</v>
      </c>
      <c r="M23" s="16" t="n">
        <v>2022.58</v>
      </c>
      <c r="N23" s="16" t="n">
        <v>45808.72</v>
      </c>
      <c r="O23" s="17" t="n">
        <v>0.37469</v>
      </c>
      <c r="P23" s="18" t="n">
        <v>12</v>
      </c>
      <c r="Q23" s="18" t="n">
        <v>2</v>
      </c>
      <c r="R23" s="16" t="n">
        <v>50279.65</v>
      </c>
      <c r="S23" s="14" t="inlineStr">
        <is>
          <t>NAVEL TEMPRANA sem 4 y +</t>
        </is>
      </c>
      <c r="T23" s="14" t="inlineStr">
        <is>
          <t>CITRICOS</t>
        </is>
      </c>
      <c r="U23" s="19">
        <f>IFERROR(166.386*I23/F23,0)</f>
        <v/>
      </c>
      <c r="V23" s="19">
        <f>IFERROR(166.386*M23/F23,0)</f>
        <v/>
      </c>
      <c r="W23" s="19">
        <f>IFERROR(166.386*L23/F23,0)</f>
        <v/>
      </c>
    </row>
    <row r="24">
      <c r="A24" s="14" t="n">
        <v>2200</v>
      </c>
      <c r="B24" s="14" t="inlineStr">
        <is>
          <t>NAVEL TEMPRANA sem 4 y +</t>
        </is>
      </c>
      <c r="C24" s="15" t="n">
        <v>886</v>
      </c>
      <c r="D24" s="14" t="inlineStr">
        <is>
          <t>IGEÑO LUQUE S.C.</t>
        </is>
      </c>
      <c r="E24" s="14" t="inlineStr">
        <is>
          <t>WASHINGTON</t>
        </is>
      </c>
      <c r="F24" s="15" t="n">
        <v>50376</v>
      </c>
      <c r="G24" s="16" t="n">
        <v>18802.48</v>
      </c>
      <c r="H24" s="17" t="n">
        <v>0.373242814038431</v>
      </c>
      <c r="I24" s="16" t="n">
        <v>3145.88</v>
      </c>
      <c r="J24" s="16" t="n">
        <v>256.62</v>
      </c>
      <c r="K24" s="16" t="n">
        <v>0</v>
      </c>
      <c r="L24" s="16" t="n">
        <v>483.95</v>
      </c>
      <c r="M24" s="16" t="n">
        <v>731.9</v>
      </c>
      <c r="N24" s="16" t="n">
        <v>16615.83</v>
      </c>
      <c r="O24" s="17" t="n">
        <v>0.36203</v>
      </c>
      <c r="P24" s="18" t="n">
        <v>12</v>
      </c>
      <c r="Q24" s="18" t="n">
        <v>2</v>
      </c>
      <c r="R24" s="16" t="n">
        <v>18237.54</v>
      </c>
      <c r="S24" s="14" t="inlineStr">
        <is>
          <t>NAVEL TEMPRANA sem 4 y +</t>
        </is>
      </c>
      <c r="T24" s="14" t="inlineStr">
        <is>
          <t>CITRICOS</t>
        </is>
      </c>
      <c r="U24" s="19">
        <f>IFERROR(166.386*I24/F24,0)</f>
        <v/>
      </c>
      <c r="V24" s="19">
        <f>IFERROR(166.386*M24/F24,0)</f>
        <v/>
      </c>
      <c r="W24" s="19">
        <f>IFERROR(166.386*L24/F24,0)</f>
        <v/>
      </c>
    </row>
    <row r="25">
      <c r="A25" s="14" t="n">
        <v>2200</v>
      </c>
      <c r="B25" s="14" t="inlineStr">
        <is>
          <t>NAVEL TEMPRANA sem 4 y +</t>
        </is>
      </c>
      <c r="C25" s="15" t="n">
        <v>994</v>
      </c>
      <c r="D25" s="14" t="inlineStr">
        <is>
          <t>MARTINEZ PASADAS,FRANCISCO JAVIER</t>
        </is>
      </c>
      <c r="E25" s="14" t="inlineStr">
        <is>
          <t>WASHINGTON</t>
        </is>
      </c>
      <c r="F25" s="15" t="n">
        <v>9853</v>
      </c>
      <c r="G25" s="16" t="n">
        <v>3576.23</v>
      </c>
      <c r="H25" s="17" t="n">
        <v>0.3629584898000609</v>
      </c>
      <c r="I25" s="16" t="n">
        <v>615.8099999999999</v>
      </c>
      <c r="J25" s="16" t="n">
        <v>94.95999999999999</v>
      </c>
      <c r="K25" s="16" t="n">
        <v>0</v>
      </c>
      <c r="L25" s="16" t="n">
        <v>0</v>
      </c>
      <c r="M25" s="16" t="n">
        <v>0</v>
      </c>
      <c r="N25" s="16" t="n">
        <v>2865.46</v>
      </c>
      <c r="O25" s="17" t="n">
        <v>0.31921</v>
      </c>
      <c r="P25" s="18" t="n">
        <v>12</v>
      </c>
      <c r="Q25" s="18" t="n">
        <v>2</v>
      </c>
      <c r="R25" s="16" t="n">
        <v>3145.13</v>
      </c>
      <c r="S25" s="14" t="inlineStr">
        <is>
          <t>NAVEL TEMPRANA sem 4 y +</t>
        </is>
      </c>
      <c r="T25" s="14" t="inlineStr">
        <is>
          <t>CITRICOS</t>
        </is>
      </c>
      <c r="U25" s="19">
        <f>IFERROR(166.386*I25/F25,0)</f>
        <v/>
      </c>
      <c r="V25" s="19">
        <f>IFERROR(166.386*M25/F25,0)</f>
        <v/>
      </c>
      <c r="W25" s="19">
        <f>IFERROR(166.386*L25/F25,0)</f>
        <v/>
      </c>
    </row>
    <row r="26">
      <c r="A26" s="14" t="n">
        <v>2200</v>
      </c>
      <c r="B26" s="14" t="inlineStr">
        <is>
          <t>NAVEL TEMPRANA sem 4 y +</t>
        </is>
      </c>
      <c r="C26" s="15" t="n">
        <v>1099</v>
      </c>
      <c r="D26" s="14" t="inlineStr">
        <is>
          <t>CUEVAS MORGADO,RAFAEL</t>
        </is>
      </c>
      <c r="E26" s="14" t="inlineStr">
        <is>
          <t>NAVELINA</t>
        </is>
      </c>
      <c r="F26" s="15" t="n">
        <v>3460</v>
      </c>
      <c r="G26" s="16" t="n">
        <v>1287.91</v>
      </c>
      <c r="H26" s="17" t="n">
        <v>0.372228323699422</v>
      </c>
      <c r="I26" s="16" t="n">
        <v>0</v>
      </c>
      <c r="J26" s="16" t="n">
        <v>50.42</v>
      </c>
      <c r="K26" s="16" t="n">
        <v>0</v>
      </c>
      <c r="L26" s="16" t="n">
        <v>28.42</v>
      </c>
      <c r="M26" s="16" t="n">
        <v>0</v>
      </c>
      <c r="N26" s="16" t="n">
        <v>1265.91</v>
      </c>
      <c r="O26" s="17" t="n">
        <v>0.40158</v>
      </c>
      <c r="P26" s="18" t="n">
        <v>12</v>
      </c>
      <c r="Q26" s="18" t="n">
        <v>2</v>
      </c>
      <c r="R26" s="16" t="n">
        <v>1389.46</v>
      </c>
      <c r="S26" s="14" t="inlineStr">
        <is>
          <t>NAVEL TEMPRANA sem 4 y +</t>
        </is>
      </c>
      <c r="T26" s="14" t="inlineStr">
        <is>
          <t>CITRICOS</t>
        </is>
      </c>
      <c r="U26" s="19">
        <f>IFERROR(166.386*I26/F26,0)</f>
        <v/>
      </c>
      <c r="V26" s="19">
        <f>IFERROR(166.386*M26/F26,0)</f>
        <v/>
      </c>
      <c r="W26" s="19">
        <f>IFERROR(166.386*L26/F26,0)</f>
        <v/>
      </c>
    </row>
    <row r="27">
      <c r="A27" s="14" t="n">
        <v>2200</v>
      </c>
      <c r="B27" s="14" t="inlineStr">
        <is>
          <t>NAVEL TEMPRANA sem 4 y +</t>
        </is>
      </c>
      <c r="C27" s="15" t="n">
        <v>1103</v>
      </c>
      <c r="D27" s="14" t="inlineStr">
        <is>
          <t>MARTIN RUIZ,JOSE</t>
        </is>
      </c>
      <c r="E27" s="14" t="inlineStr">
        <is>
          <t>NAVELINA</t>
        </is>
      </c>
      <c r="F27" s="15" t="n">
        <v>17980</v>
      </c>
      <c r="G27" s="16" t="n">
        <v>6832.55</v>
      </c>
      <c r="H27" s="17" t="n">
        <v>0.3800083426028921</v>
      </c>
      <c r="I27" s="16" t="n">
        <v>1114.76</v>
      </c>
      <c r="J27" s="16" t="n">
        <v>167.85</v>
      </c>
      <c r="K27" s="16" t="n">
        <v>0</v>
      </c>
      <c r="L27" s="16" t="n">
        <v>0</v>
      </c>
      <c r="M27" s="16" t="n">
        <v>0</v>
      </c>
      <c r="N27" s="16" t="n">
        <v>5549.94</v>
      </c>
      <c r="O27" s="17" t="n">
        <v>0.3388</v>
      </c>
      <c r="P27" s="18" t="n">
        <v>12</v>
      </c>
      <c r="Q27" s="18" t="n">
        <v>2</v>
      </c>
      <c r="R27" s="16" t="n">
        <v>6091.61</v>
      </c>
      <c r="S27" s="14" t="inlineStr">
        <is>
          <t>NAVEL TEMPRANA sem 4 y +</t>
        </is>
      </c>
      <c r="T27" s="14" t="inlineStr">
        <is>
          <t>CITRICOS</t>
        </is>
      </c>
      <c r="U27" s="19">
        <f>IFERROR(166.386*I27/F27,0)</f>
        <v/>
      </c>
      <c r="V27" s="19">
        <f>IFERROR(166.386*M27/F27,0)</f>
        <v/>
      </c>
      <c r="W27" s="19">
        <f>IFERROR(166.386*L27/F27,0)</f>
        <v/>
      </c>
    </row>
    <row r="28">
      <c r="A28" s="14" t="n">
        <v>2200</v>
      </c>
      <c r="B28" s="14" t="inlineStr">
        <is>
          <t>NAVEL TEMPRANA sem 4 y +</t>
        </is>
      </c>
      <c r="C28" s="15" t="n">
        <v>1129</v>
      </c>
      <c r="D28" s="14" t="inlineStr">
        <is>
          <t>MIÑANA JARDON,JOSE MANUEL</t>
        </is>
      </c>
      <c r="E28" s="14" t="inlineStr">
        <is>
          <t>WASHINGTON</t>
        </is>
      </c>
      <c r="F28" s="15" t="n">
        <v>25074</v>
      </c>
      <c r="G28" s="16" t="n">
        <v>8470.59</v>
      </c>
      <c r="H28" s="17" t="n">
        <v>0.3378236420196219</v>
      </c>
      <c r="I28" s="16" t="n">
        <v>1615.18</v>
      </c>
      <c r="J28" s="16" t="n">
        <v>269.99</v>
      </c>
      <c r="K28" s="16" t="n">
        <v>0</v>
      </c>
      <c r="L28" s="16" t="n">
        <v>0</v>
      </c>
      <c r="M28" s="16" t="n">
        <v>0</v>
      </c>
      <c r="N28" s="16" t="n">
        <v>6585.42</v>
      </c>
      <c r="O28" s="17" t="n">
        <v>0.28827</v>
      </c>
      <c r="P28" s="18" t="n">
        <v>12</v>
      </c>
      <c r="Q28" s="18" t="n">
        <v>2</v>
      </c>
      <c r="R28" s="16" t="n">
        <v>7228.16</v>
      </c>
      <c r="S28" s="14" t="inlineStr">
        <is>
          <t>NAVEL TEMPRANA sem 4 y +</t>
        </is>
      </c>
      <c r="T28" s="14" t="inlineStr">
        <is>
          <t>CITRICOS</t>
        </is>
      </c>
      <c r="U28" s="19">
        <f>IFERROR(166.386*I28/F28,0)</f>
        <v/>
      </c>
      <c r="V28" s="19">
        <f>IFERROR(166.386*M28/F28,0)</f>
        <v/>
      </c>
      <c r="W28" s="19">
        <f>IFERROR(166.386*L28/F28,0)</f>
        <v/>
      </c>
    </row>
    <row r="29">
      <c r="A29" s="14" t="n">
        <v>2200</v>
      </c>
      <c r="B29" s="14" t="inlineStr">
        <is>
          <t>NAVEL TEMPRANA sem 4 y +</t>
        </is>
      </c>
      <c r="C29" s="15" t="n">
        <v>1158</v>
      </c>
      <c r="D29" s="14" t="inlineStr">
        <is>
          <t>CID URBAN,RAFAEL</t>
        </is>
      </c>
      <c r="E29" s="14" t="inlineStr">
        <is>
          <t>NAVELINA</t>
        </is>
      </c>
      <c r="F29" s="15" t="n">
        <v>55537</v>
      </c>
      <c r="G29" s="16" t="n">
        <v>20480.22</v>
      </c>
      <c r="H29" s="17" t="n">
        <v>0.3687671282208257</v>
      </c>
      <c r="I29" s="16" t="n">
        <v>3464.07</v>
      </c>
      <c r="J29" s="16" t="n">
        <v>508.95</v>
      </c>
      <c r="K29" s="16" t="n">
        <v>0</v>
      </c>
      <c r="L29" s="16" t="n">
        <v>0</v>
      </c>
      <c r="M29" s="16" t="n">
        <v>0</v>
      </c>
      <c r="N29" s="16" t="n">
        <v>16507.2</v>
      </c>
      <c r="O29" s="17" t="n">
        <v>0.32624</v>
      </c>
      <c r="P29" s="18" t="n">
        <v>12</v>
      </c>
      <c r="Q29" s="18" t="n">
        <v>2</v>
      </c>
      <c r="R29" s="16" t="n">
        <v>18118.3</v>
      </c>
      <c r="S29" s="14" t="inlineStr">
        <is>
          <t>NAVEL TEMPRANA sem 4 y +</t>
        </is>
      </c>
      <c r="T29" s="14" t="inlineStr">
        <is>
          <t>CITRICOS</t>
        </is>
      </c>
      <c r="U29" s="19">
        <f>IFERROR(166.386*I29/F29,0)</f>
        <v/>
      </c>
      <c r="V29" s="19">
        <f>IFERROR(166.386*M29/F29,0)</f>
        <v/>
      </c>
      <c r="W29" s="19">
        <f>IFERROR(166.386*L29/F29,0)</f>
        <v/>
      </c>
    </row>
    <row r="30">
      <c r="A30" s="14" t="n">
        <v>2200</v>
      </c>
      <c r="B30" s="14" t="inlineStr">
        <is>
          <t>NAVEL TEMPRANA sem 4 y +</t>
        </is>
      </c>
      <c r="C30" s="15" t="n">
        <v>1197</v>
      </c>
      <c r="D30" s="14" t="inlineStr">
        <is>
          <t>MUNZON FERNANDEZ,ANTONIO</t>
        </is>
      </c>
      <c r="E30" s="14" t="inlineStr">
        <is>
          <t>NAVELINA</t>
        </is>
      </c>
      <c r="F30" s="15" t="n">
        <v>32040</v>
      </c>
      <c r="G30" s="16" t="n">
        <v>12723.82</v>
      </c>
      <c r="H30" s="17" t="n">
        <v>0.3971229712858926</v>
      </c>
      <c r="I30" s="16" t="n">
        <v>2002.5</v>
      </c>
      <c r="J30" s="16" t="n">
        <v>292.96</v>
      </c>
      <c r="K30" s="16" t="n">
        <v>0</v>
      </c>
      <c r="L30" s="16" t="n">
        <v>355.64</v>
      </c>
      <c r="M30" s="16" t="n">
        <v>0</v>
      </c>
      <c r="N30" s="16" t="n">
        <v>10784</v>
      </c>
      <c r="O30" s="17" t="n">
        <v>0.36943</v>
      </c>
      <c r="P30" s="18" t="n">
        <v>12</v>
      </c>
      <c r="Q30" s="18" t="n">
        <v>2</v>
      </c>
      <c r="R30" s="16" t="n">
        <v>11836.52</v>
      </c>
      <c r="S30" s="14" t="inlineStr">
        <is>
          <t>NAVEL TEMPRANA sem 4 y +</t>
        </is>
      </c>
      <c r="T30" s="14" t="inlineStr">
        <is>
          <t>CITRICOS</t>
        </is>
      </c>
      <c r="U30" s="19">
        <f>IFERROR(166.386*I30/F30,0)</f>
        <v/>
      </c>
      <c r="V30" s="19">
        <f>IFERROR(166.386*M30/F30,0)</f>
        <v/>
      </c>
      <c r="W30" s="19">
        <f>IFERROR(166.386*L30/F30,0)</f>
        <v/>
      </c>
    </row>
    <row r="31">
      <c r="A31" s="14" t="n">
        <v>2200</v>
      </c>
      <c r="B31" s="14" t="inlineStr">
        <is>
          <t>NAVEL TEMPRANA sem 4 y +</t>
        </is>
      </c>
      <c r="C31" s="15" t="n">
        <v>1197</v>
      </c>
      <c r="D31" s="14" t="inlineStr">
        <is>
          <t>MUNZON FERNANDEZ,ANTONIO</t>
        </is>
      </c>
      <c r="E31" s="14" t="inlineStr">
        <is>
          <t>NEWHALL</t>
        </is>
      </c>
      <c r="F31" s="15" t="n">
        <v>11162</v>
      </c>
      <c r="G31" s="16" t="n">
        <v>3969.01</v>
      </c>
      <c r="H31" s="17" t="n">
        <v>0.3555823329152482</v>
      </c>
      <c r="I31" s="16" t="n">
        <v>697.63</v>
      </c>
      <c r="J31" s="16" t="n">
        <v>102.06</v>
      </c>
      <c r="K31" s="16" t="n">
        <v>0</v>
      </c>
      <c r="L31" s="16" t="n">
        <v>123.9</v>
      </c>
      <c r="M31" s="16" t="n">
        <v>0</v>
      </c>
      <c r="N31" s="16" t="n">
        <v>3293.22</v>
      </c>
      <c r="O31" s="17" t="n">
        <v>0.32383</v>
      </c>
      <c r="P31" s="18" t="n">
        <v>12</v>
      </c>
      <c r="Q31" s="18" t="n">
        <v>2</v>
      </c>
      <c r="R31" s="16" t="n">
        <v>3614.64</v>
      </c>
      <c r="S31" s="14" t="inlineStr">
        <is>
          <t>NAVEL TEMPRANA sem 4 y +</t>
        </is>
      </c>
      <c r="T31" s="14" t="inlineStr">
        <is>
          <t>CITRICOS</t>
        </is>
      </c>
      <c r="U31" s="19">
        <f>IFERROR(166.386*I31/F31,0)</f>
        <v/>
      </c>
      <c r="V31" s="19">
        <f>IFERROR(166.386*M31/F31,0)</f>
        <v/>
      </c>
      <c r="W31" s="19">
        <f>IFERROR(166.386*L31/F31,0)</f>
        <v/>
      </c>
    </row>
    <row r="32">
      <c r="A32" s="14" t="n">
        <v>2200</v>
      </c>
      <c r="B32" s="14" t="inlineStr">
        <is>
          <t>NAVEL TEMPRANA sem 4 y +</t>
        </is>
      </c>
      <c r="C32" s="15" t="n">
        <v>1243</v>
      </c>
      <c r="D32" s="14" t="inlineStr">
        <is>
          <t>ZURITA CABRERA,PEDRO</t>
        </is>
      </c>
      <c r="E32" s="14" t="inlineStr">
        <is>
          <t>NEWHALL</t>
        </is>
      </c>
      <c r="F32" s="15" t="n">
        <v>34550</v>
      </c>
      <c r="G32" s="16" t="n">
        <v>13074.36</v>
      </c>
      <c r="H32" s="17" t="n">
        <v>0.3784185238784371</v>
      </c>
      <c r="I32" s="16" t="n">
        <v>2159.38</v>
      </c>
      <c r="J32" s="16" t="n">
        <v>386.1</v>
      </c>
      <c r="K32" s="16" t="n">
        <v>0</v>
      </c>
      <c r="L32" s="16" t="n">
        <v>0</v>
      </c>
      <c r="M32" s="16" t="n">
        <v>0</v>
      </c>
      <c r="N32" s="16" t="n">
        <v>10528.88</v>
      </c>
      <c r="O32" s="17" t="n">
        <v>0.33449</v>
      </c>
      <c r="P32" s="18" t="n">
        <v>12</v>
      </c>
      <c r="Q32" s="18" t="n">
        <v>2</v>
      </c>
      <c r="R32" s="16" t="n">
        <v>11556.5</v>
      </c>
      <c r="S32" s="14" t="inlineStr">
        <is>
          <t>NAVEL TEMPRANA sem 4 y +</t>
        </is>
      </c>
      <c r="T32" s="14" t="inlineStr">
        <is>
          <t>CITRICOS</t>
        </is>
      </c>
      <c r="U32" s="19">
        <f>IFERROR(166.386*I32/F32,0)</f>
        <v/>
      </c>
      <c r="V32" s="19">
        <f>IFERROR(166.386*M32/F32,0)</f>
        <v/>
      </c>
      <c r="W32" s="19">
        <f>IFERROR(166.386*L32/F32,0)</f>
        <v/>
      </c>
    </row>
    <row r="33">
      <c r="A33" s="14" t="n">
        <v>2200</v>
      </c>
      <c r="B33" s="14" t="inlineStr">
        <is>
          <t>NAVEL TEMPRANA sem 4 y +</t>
        </is>
      </c>
      <c r="C33" s="15" t="n">
        <v>1252</v>
      </c>
      <c r="D33" s="14" t="inlineStr">
        <is>
          <t>CRESPO RINCON,PURIFICACION</t>
        </is>
      </c>
      <c r="E33" s="14" t="inlineStr">
        <is>
          <t>NAVELINA</t>
        </is>
      </c>
      <c r="F33" s="15" t="n">
        <v>53345</v>
      </c>
      <c r="G33" s="16" t="n">
        <v>21417.03</v>
      </c>
      <c r="H33" s="17" t="n">
        <v>0.4014814884244072</v>
      </c>
      <c r="I33" s="16" t="n">
        <v>3571.23</v>
      </c>
      <c r="J33" s="16" t="n">
        <v>742</v>
      </c>
      <c r="K33" s="16" t="n">
        <v>0</v>
      </c>
      <c r="L33" s="16" t="n">
        <v>0</v>
      </c>
      <c r="M33" s="16" t="n">
        <v>810.63</v>
      </c>
      <c r="N33" s="16" t="n">
        <v>17914.43</v>
      </c>
      <c r="O33" s="17" t="n">
        <v>0.3686</v>
      </c>
      <c r="P33" s="18" t="n">
        <v>12</v>
      </c>
      <c r="Q33" s="18" t="n">
        <v>2</v>
      </c>
      <c r="R33" s="16" t="n">
        <v>19662.88</v>
      </c>
      <c r="S33" s="14" t="inlineStr">
        <is>
          <t>NAVEL TEMPRANA sem 4 y +</t>
        </is>
      </c>
      <c r="T33" s="14" t="inlineStr">
        <is>
          <t>CITRICOS</t>
        </is>
      </c>
      <c r="U33" s="19">
        <f>IFERROR(166.386*I33/F33,0)</f>
        <v/>
      </c>
      <c r="V33" s="19">
        <f>IFERROR(166.386*M33/F33,0)</f>
        <v/>
      </c>
      <c r="W33" s="19">
        <f>IFERROR(166.386*L33/F33,0)</f>
        <v/>
      </c>
    </row>
    <row r="34">
      <c r="A34" s="14" t="n">
        <v>2200</v>
      </c>
      <c r="B34" s="14" t="inlineStr">
        <is>
          <t>NAVEL TEMPRANA sem 4 y +</t>
        </is>
      </c>
      <c r="C34" s="15" t="n">
        <v>1272</v>
      </c>
      <c r="D34" s="14" t="inlineStr">
        <is>
          <t>HERMANOS GONZALEZ ROLDAN,S.C.</t>
        </is>
      </c>
      <c r="E34" s="14" t="inlineStr">
        <is>
          <t>NAVELINA</t>
        </is>
      </c>
      <c r="F34" s="15" t="n">
        <v>9620</v>
      </c>
      <c r="G34" s="16" t="n">
        <v>3920.97</v>
      </c>
      <c r="H34" s="17" t="n">
        <v>0.4075852390852391</v>
      </c>
      <c r="I34" s="16" t="n">
        <v>601.25</v>
      </c>
      <c r="J34" s="16" t="n">
        <v>176.81</v>
      </c>
      <c r="K34" s="16" t="n">
        <v>0</v>
      </c>
      <c r="L34" s="16" t="n">
        <v>0</v>
      </c>
      <c r="M34" s="16" t="n">
        <v>152.46</v>
      </c>
      <c r="N34" s="16" t="n">
        <v>3295.37</v>
      </c>
      <c r="O34" s="17" t="n">
        <v>0.37599</v>
      </c>
      <c r="P34" s="18" t="n">
        <v>12</v>
      </c>
      <c r="Q34" s="18" t="n">
        <v>2</v>
      </c>
      <c r="R34" s="16" t="n">
        <v>3617</v>
      </c>
      <c r="S34" s="14" t="inlineStr">
        <is>
          <t>NAVEL TEMPRANA sem 4 y +</t>
        </is>
      </c>
      <c r="T34" s="14" t="inlineStr">
        <is>
          <t>CITRICOS</t>
        </is>
      </c>
      <c r="U34" s="19">
        <f>IFERROR(166.386*I34/F34,0)</f>
        <v/>
      </c>
      <c r="V34" s="19">
        <f>IFERROR(166.386*M34/F34,0)</f>
        <v/>
      </c>
      <c r="W34" s="19">
        <f>IFERROR(166.386*L34/F34,0)</f>
        <v/>
      </c>
    </row>
    <row r="35">
      <c r="A35" s="14" t="n">
        <v>2200</v>
      </c>
      <c r="B35" s="14" t="inlineStr">
        <is>
          <t>NAVEL TEMPRANA sem 4 y +</t>
        </is>
      </c>
      <c r="C35" s="15" t="n">
        <v>1272</v>
      </c>
      <c r="D35" s="14" t="inlineStr">
        <is>
          <t>HERMANOS GONZALEZ ROLDAN,S.C.</t>
        </is>
      </c>
      <c r="E35" s="14" t="inlineStr">
        <is>
          <t>NEWHALL</t>
        </is>
      </c>
      <c r="F35" s="15" t="n">
        <v>8154</v>
      </c>
      <c r="G35" s="16" t="n">
        <v>3379.99</v>
      </c>
      <c r="H35" s="17" t="n">
        <v>0.4145192543536914</v>
      </c>
      <c r="I35" s="16" t="n">
        <v>509.62</v>
      </c>
      <c r="J35" s="16" t="n">
        <v>149.86</v>
      </c>
      <c r="K35" s="16" t="n">
        <v>0</v>
      </c>
      <c r="L35" s="16" t="n">
        <v>0</v>
      </c>
      <c r="M35" s="16" t="n">
        <v>124.96</v>
      </c>
      <c r="N35" s="16" t="n">
        <v>2845.47</v>
      </c>
      <c r="O35" s="17" t="n">
        <v>0.38303</v>
      </c>
      <c r="P35" s="18" t="n">
        <v>12</v>
      </c>
      <c r="Q35" s="18" t="n">
        <v>2</v>
      </c>
      <c r="R35" s="16" t="n">
        <v>3123.19</v>
      </c>
      <c r="S35" s="14" t="inlineStr">
        <is>
          <t>NAVEL TEMPRANA sem 4 y +</t>
        </is>
      </c>
      <c r="T35" s="14" t="inlineStr">
        <is>
          <t>CITRICOS</t>
        </is>
      </c>
      <c r="U35" s="19">
        <f>IFERROR(166.386*I35/F35,0)</f>
        <v/>
      </c>
      <c r="V35" s="19">
        <f>IFERROR(166.386*M35/F35,0)</f>
        <v/>
      </c>
      <c r="W35" s="19">
        <f>IFERROR(166.386*L35/F35,0)</f>
        <v/>
      </c>
    </row>
    <row r="36">
      <c r="A36" s="14" t="n">
        <v>2200</v>
      </c>
      <c r="B36" s="14" t="inlineStr">
        <is>
          <t>NAVEL TEMPRANA sem 4 y +</t>
        </is>
      </c>
      <c r="C36" s="15" t="n">
        <v>1278</v>
      </c>
      <c r="D36" s="14" t="inlineStr">
        <is>
          <t>CALDERO PATO,ANGELES</t>
        </is>
      </c>
      <c r="E36" s="14" t="inlineStr">
        <is>
          <t>NAVELINA</t>
        </is>
      </c>
      <c r="F36" s="15" t="n">
        <v>34012</v>
      </c>
      <c r="G36" s="16" t="n">
        <v>13328.56</v>
      </c>
      <c r="H36" s="17" t="n">
        <v>0.3918781606491826</v>
      </c>
      <c r="I36" s="16" t="n">
        <v>2125.75</v>
      </c>
      <c r="J36" s="16" t="n">
        <v>358.38</v>
      </c>
      <c r="K36" s="16" t="n">
        <v>0</v>
      </c>
      <c r="L36" s="16" t="n">
        <v>0</v>
      </c>
      <c r="M36" s="16" t="n">
        <v>0</v>
      </c>
      <c r="N36" s="16" t="n">
        <v>10844.43</v>
      </c>
      <c r="O36" s="17" t="n">
        <v>0.34996</v>
      </c>
      <c r="P36" s="18" t="n">
        <v>12</v>
      </c>
      <c r="Q36" s="18" t="n">
        <v>2</v>
      </c>
      <c r="R36" s="16" t="n">
        <v>11902.85</v>
      </c>
      <c r="S36" s="14" t="inlineStr">
        <is>
          <t>NAVEL TEMPRANA sem 4 y +</t>
        </is>
      </c>
      <c r="T36" s="14" t="inlineStr">
        <is>
          <t>CITRICOS</t>
        </is>
      </c>
      <c r="U36" s="19">
        <f>IFERROR(166.386*I36/F36,0)</f>
        <v/>
      </c>
      <c r="V36" s="19">
        <f>IFERROR(166.386*M36/F36,0)</f>
        <v/>
      </c>
      <c r="W36" s="19">
        <f>IFERROR(166.386*L36/F36,0)</f>
        <v/>
      </c>
    </row>
    <row r="37">
      <c r="A37" s="14" t="n">
        <v>2200</v>
      </c>
      <c r="B37" s="14" t="inlineStr">
        <is>
          <t>NAVEL TEMPRANA sem 4 y +</t>
        </is>
      </c>
      <c r="C37" s="15" t="n">
        <v>1301</v>
      </c>
      <c r="D37" s="14" t="inlineStr">
        <is>
          <t>BEREÑO REY,ENCARNACION</t>
        </is>
      </c>
      <c r="E37" s="14" t="inlineStr">
        <is>
          <t>NAVELINA</t>
        </is>
      </c>
      <c r="F37" s="15" t="n">
        <v>20289</v>
      </c>
      <c r="G37" s="16" t="n">
        <v>7434.25</v>
      </c>
      <c r="H37" s="17" t="n">
        <v>0.3664177633200256</v>
      </c>
      <c r="I37" s="16" t="n">
        <v>1268.07</v>
      </c>
      <c r="J37" s="16" t="n">
        <v>186.87</v>
      </c>
      <c r="K37" s="16" t="n">
        <v>0</v>
      </c>
      <c r="L37" s="16" t="n">
        <v>0</v>
      </c>
      <c r="M37" s="16" t="n">
        <v>0</v>
      </c>
      <c r="N37" s="16" t="n">
        <v>5979.31</v>
      </c>
      <c r="O37" s="17" t="n">
        <v>0.32347</v>
      </c>
      <c r="P37" s="18" t="n">
        <v>12</v>
      </c>
      <c r="Q37" s="18" t="n">
        <v>2</v>
      </c>
      <c r="R37" s="16" t="n">
        <v>6562.89</v>
      </c>
      <c r="S37" s="14" t="inlineStr">
        <is>
          <t>NAVEL TEMPRANA sem 4 y +</t>
        </is>
      </c>
      <c r="T37" s="14" t="inlineStr">
        <is>
          <t>CITRICOS</t>
        </is>
      </c>
      <c r="U37" s="19">
        <f>IFERROR(166.386*I37/F37,0)</f>
        <v/>
      </c>
      <c r="V37" s="19">
        <f>IFERROR(166.386*M37/F37,0)</f>
        <v/>
      </c>
      <c r="W37" s="19">
        <f>IFERROR(166.386*L37/F37,0)</f>
        <v/>
      </c>
    </row>
    <row r="38">
      <c r="A38" s="14" t="n">
        <v>2200</v>
      </c>
      <c r="B38" s="14" t="inlineStr">
        <is>
          <t>NAVEL TEMPRANA sem 4 y +</t>
        </is>
      </c>
      <c r="C38" s="15" t="n">
        <v>1309</v>
      </c>
      <c r="D38" s="14" t="inlineStr">
        <is>
          <t>CID MALDONADO,RAMON</t>
        </is>
      </c>
      <c r="E38" s="14" t="inlineStr">
        <is>
          <t>NAVELINA</t>
        </is>
      </c>
      <c r="F38" s="15" t="n">
        <v>6163</v>
      </c>
      <c r="G38" s="16" t="n">
        <v>2353.17</v>
      </c>
      <c r="H38" s="17" t="n">
        <v>0.3818221645302612</v>
      </c>
      <c r="I38" s="16" t="n">
        <v>385.19</v>
      </c>
      <c r="J38" s="16" t="n">
        <v>171.6</v>
      </c>
      <c r="K38" s="16" t="n">
        <v>0</v>
      </c>
      <c r="L38" s="16" t="n">
        <v>0</v>
      </c>
      <c r="M38" s="16" t="n">
        <v>0</v>
      </c>
      <c r="N38" s="16" t="n">
        <v>1796.38</v>
      </c>
      <c r="O38" s="17" t="n">
        <v>0.31993</v>
      </c>
      <c r="P38" s="18" t="n">
        <v>12</v>
      </c>
      <c r="Q38" s="18" t="n">
        <v>2</v>
      </c>
      <c r="R38" s="16" t="n">
        <v>1971.71</v>
      </c>
      <c r="S38" s="14" t="inlineStr">
        <is>
          <t>NAVEL TEMPRANA sem 4 y +</t>
        </is>
      </c>
      <c r="T38" s="14" t="inlineStr">
        <is>
          <t>CITRICOS</t>
        </is>
      </c>
      <c r="U38" s="19">
        <f>IFERROR(166.386*I38/F38,0)</f>
        <v/>
      </c>
      <c r="V38" s="19">
        <f>IFERROR(166.386*M38/F38,0)</f>
        <v/>
      </c>
      <c r="W38" s="19">
        <f>IFERROR(166.386*L38/F38,0)</f>
        <v/>
      </c>
    </row>
    <row r="39">
      <c r="A39" s="14" t="n">
        <v>2200</v>
      </c>
      <c r="B39" s="14" t="inlineStr">
        <is>
          <t>NAVEL TEMPRANA sem 4 y +</t>
        </is>
      </c>
      <c r="C39" s="15" t="n">
        <v>1316</v>
      </c>
      <c r="D39" s="14" t="inlineStr">
        <is>
          <t>JIMENA GARCIA,JUAN MANUEL</t>
        </is>
      </c>
      <c r="E39" s="14" t="inlineStr">
        <is>
          <t>WASHINGTON</t>
        </is>
      </c>
      <c r="F39" s="15" t="n">
        <v>27837</v>
      </c>
      <c r="G39" s="16" t="n">
        <v>9664.860000000001</v>
      </c>
      <c r="H39" s="17" t="n">
        <v>0.3471947408125876</v>
      </c>
      <c r="I39" s="16" t="n">
        <v>1735.57</v>
      </c>
      <c r="J39" s="16" t="n">
        <v>187.14</v>
      </c>
      <c r="K39" s="16" t="n">
        <v>0</v>
      </c>
      <c r="L39" s="16" t="n">
        <v>0</v>
      </c>
      <c r="M39" s="16" t="n">
        <v>0</v>
      </c>
      <c r="N39" s="16" t="n">
        <v>7742.15</v>
      </c>
      <c r="O39" s="17" t="n">
        <v>0.30527</v>
      </c>
      <c r="P39" s="18" t="n">
        <v>12</v>
      </c>
      <c r="Q39" s="18" t="n">
        <v>2</v>
      </c>
      <c r="R39" s="16" t="n">
        <v>8497.780000000001</v>
      </c>
      <c r="S39" s="14" t="inlineStr">
        <is>
          <t>NAVEL TEMPRANA sem 4 y +</t>
        </is>
      </c>
      <c r="T39" s="14" t="inlineStr">
        <is>
          <t>CITRICOS</t>
        </is>
      </c>
      <c r="U39" s="19">
        <f>IFERROR(166.386*I39/F39,0)</f>
        <v/>
      </c>
      <c r="V39" s="19">
        <f>IFERROR(166.386*M39/F39,0)</f>
        <v/>
      </c>
      <c r="W39" s="19">
        <f>IFERROR(166.386*L39/F39,0)</f>
        <v/>
      </c>
    </row>
    <row r="40">
      <c r="A40" s="14" t="n">
        <v>2200</v>
      </c>
      <c r="B40" s="14" t="inlineStr">
        <is>
          <t>NAVEL TEMPRANA sem 4 y +</t>
        </is>
      </c>
      <c r="C40" s="15" t="n">
        <v>1395</v>
      </c>
      <c r="D40" s="14" t="inlineStr">
        <is>
          <t>AGRICOLA HERMANOS BUIZA S.C.</t>
        </is>
      </c>
      <c r="E40" s="14" t="inlineStr">
        <is>
          <t>NAVELINA</t>
        </is>
      </c>
      <c r="F40" s="15" t="n">
        <v>41794</v>
      </c>
      <c r="G40" s="16" t="n">
        <v>14595.62</v>
      </c>
      <c r="H40" s="17" t="n">
        <v>0.349227640331148</v>
      </c>
      <c r="I40" s="16" t="n">
        <v>2611.88</v>
      </c>
      <c r="J40" s="16" t="n">
        <v>157.91</v>
      </c>
      <c r="K40" s="16" t="n">
        <v>0</v>
      </c>
      <c r="L40" s="16" t="n">
        <v>463.91</v>
      </c>
      <c r="M40" s="16" t="n">
        <v>617.49</v>
      </c>
      <c r="N40" s="16" t="n">
        <v>12907.23</v>
      </c>
      <c r="O40" s="17" t="n">
        <v>0.33897</v>
      </c>
      <c r="P40" s="18" t="n">
        <v>12</v>
      </c>
      <c r="Q40" s="18" t="n">
        <v>2</v>
      </c>
      <c r="R40" s="16" t="n">
        <v>14166.98</v>
      </c>
      <c r="S40" s="14" t="inlineStr">
        <is>
          <t>NAVEL TEMPRANA sem 4 y +</t>
        </is>
      </c>
      <c r="T40" s="14" t="inlineStr">
        <is>
          <t>CITRICOS</t>
        </is>
      </c>
      <c r="U40" s="19">
        <f>IFERROR(166.386*I40/F40,0)</f>
        <v/>
      </c>
      <c r="V40" s="19">
        <f>IFERROR(166.386*M40/F40,0)</f>
        <v/>
      </c>
      <c r="W40" s="19">
        <f>IFERROR(166.386*L40/F40,0)</f>
        <v/>
      </c>
    </row>
    <row r="41">
      <c r="A41" s="14" t="n">
        <v>2200</v>
      </c>
      <c r="B41" s="14" t="inlineStr">
        <is>
          <t>NAVEL TEMPRANA sem 4 y +</t>
        </is>
      </c>
      <c r="C41" s="15" t="n">
        <v>1411</v>
      </c>
      <c r="D41" s="14" t="inlineStr">
        <is>
          <t>HERMANOS PEÑA GRIÑAN S.C.</t>
        </is>
      </c>
      <c r="E41" s="14" t="inlineStr">
        <is>
          <t>NAVELINA</t>
        </is>
      </c>
      <c r="F41" s="15" t="n">
        <v>125183</v>
      </c>
      <c r="G41" s="16" t="n">
        <v>44900.8</v>
      </c>
      <c r="H41" s="17" t="n">
        <v>0.3586812905905754</v>
      </c>
      <c r="I41" s="16" t="n">
        <v>7819.56</v>
      </c>
      <c r="J41" s="16" t="n">
        <v>1039.22</v>
      </c>
      <c r="K41" s="16" t="n">
        <v>0</v>
      </c>
      <c r="L41" s="16" t="n">
        <v>0</v>
      </c>
      <c r="M41" s="16" t="n">
        <v>0</v>
      </c>
      <c r="N41" s="16" t="n">
        <v>36042.02</v>
      </c>
      <c r="O41" s="17" t="n">
        <v>0.31602</v>
      </c>
      <c r="P41" s="18" t="n">
        <v>12</v>
      </c>
      <c r="Q41" s="18" t="n">
        <v>2</v>
      </c>
      <c r="R41" s="16" t="n">
        <v>39559.72</v>
      </c>
      <c r="S41" s="14" t="inlineStr">
        <is>
          <t>NAVEL TEMPRANA sem 4 y +</t>
        </is>
      </c>
      <c r="T41" s="14" t="inlineStr">
        <is>
          <t>CITRICOS</t>
        </is>
      </c>
      <c r="U41" s="19">
        <f>IFERROR(166.386*I41/F41,0)</f>
        <v/>
      </c>
      <c r="V41" s="19">
        <f>IFERROR(166.386*M41/F41,0)</f>
        <v/>
      </c>
      <c r="W41" s="19">
        <f>IFERROR(166.386*L41/F41,0)</f>
        <v/>
      </c>
    </row>
    <row r="42">
      <c r="A42" s="14" t="n">
        <v>2200</v>
      </c>
      <c r="B42" s="14" t="inlineStr">
        <is>
          <t>NAVEL TEMPRANA sem 4 y +</t>
        </is>
      </c>
      <c r="C42" s="15" t="n">
        <v>1411</v>
      </c>
      <c r="D42" s="14" t="inlineStr">
        <is>
          <t>HERMANOS PEÑA GRIÑAN S.C.</t>
        </is>
      </c>
      <c r="E42" s="14" t="inlineStr">
        <is>
          <t>WASHINGTON</t>
        </is>
      </c>
      <c r="F42" s="15" t="n">
        <v>8599</v>
      </c>
      <c r="G42" s="16" t="n">
        <v>3024.89</v>
      </c>
      <c r="H42" s="17" t="n">
        <v>0.351772299104547</v>
      </c>
      <c r="I42" s="16" t="n">
        <v>537.4400000000001</v>
      </c>
      <c r="J42" s="16" t="n">
        <v>71.39</v>
      </c>
      <c r="K42" s="16" t="n">
        <v>0</v>
      </c>
      <c r="L42" s="16" t="n">
        <v>0</v>
      </c>
      <c r="M42" s="16" t="n">
        <v>0</v>
      </c>
      <c r="N42" s="16" t="n">
        <v>2416.06</v>
      </c>
      <c r="O42" s="17" t="n">
        <v>0.30839</v>
      </c>
      <c r="P42" s="18" t="n">
        <v>12</v>
      </c>
      <c r="Q42" s="18" t="n">
        <v>2</v>
      </c>
      <c r="R42" s="16" t="n">
        <v>2651.87</v>
      </c>
      <c r="S42" s="14" t="inlineStr">
        <is>
          <t>NAVEL TEMPRANA sem 4 y +</t>
        </is>
      </c>
      <c r="T42" s="14" t="inlineStr">
        <is>
          <t>CITRICOS</t>
        </is>
      </c>
      <c r="U42" s="19">
        <f>IFERROR(166.386*I42/F42,0)</f>
        <v/>
      </c>
      <c r="V42" s="19">
        <f>IFERROR(166.386*M42/F42,0)</f>
        <v/>
      </c>
      <c r="W42" s="19">
        <f>IFERROR(166.386*L42/F42,0)</f>
        <v/>
      </c>
    </row>
    <row r="43">
      <c r="A43" s="14" t="n">
        <v>2200</v>
      </c>
      <c r="B43" s="14" t="inlineStr">
        <is>
          <t>NAVEL TEMPRANA sem 4 y +</t>
        </is>
      </c>
      <c r="C43" s="15" t="n">
        <v>1416</v>
      </c>
      <c r="D43" s="14" t="inlineStr">
        <is>
          <t>BUIZA SANCHEZ,TERESA</t>
        </is>
      </c>
      <c r="E43" s="14" t="inlineStr">
        <is>
          <t>NAVELINA</t>
        </is>
      </c>
      <c r="F43" s="15" t="n">
        <v>9420</v>
      </c>
      <c r="G43" s="16" t="n">
        <v>3664.39</v>
      </c>
      <c r="H43" s="17" t="n">
        <v>0.3890010615711252</v>
      </c>
      <c r="I43" s="16" t="n">
        <v>588.75</v>
      </c>
      <c r="J43" s="16" t="n">
        <v>206.7</v>
      </c>
      <c r="K43" s="16" t="n">
        <v>0</v>
      </c>
      <c r="L43" s="16" t="n">
        <v>0</v>
      </c>
      <c r="M43" s="16" t="n">
        <v>0</v>
      </c>
      <c r="N43" s="16" t="n">
        <v>2868.94</v>
      </c>
      <c r="O43" s="17" t="n">
        <v>0.33428</v>
      </c>
      <c r="P43" s="18" t="n">
        <v>12</v>
      </c>
      <c r="Q43" s="18" t="n">
        <v>2</v>
      </c>
      <c r="R43" s="16" t="n">
        <v>3148.95</v>
      </c>
      <c r="S43" s="14" t="inlineStr">
        <is>
          <t>NAVEL TEMPRANA sem 4 y +</t>
        </is>
      </c>
      <c r="T43" s="14" t="inlineStr">
        <is>
          <t>CITRICOS</t>
        </is>
      </c>
      <c r="U43" s="19">
        <f>IFERROR(166.386*I43/F43,0)</f>
        <v/>
      </c>
      <c r="V43" s="19">
        <f>IFERROR(166.386*M43/F43,0)</f>
        <v/>
      </c>
      <c r="W43" s="19">
        <f>IFERROR(166.386*L43/F43,0)</f>
        <v/>
      </c>
    </row>
    <row r="44">
      <c r="A44" s="14" t="n">
        <v>2200</v>
      </c>
      <c r="B44" s="14" t="inlineStr">
        <is>
          <t>NAVEL TEMPRANA sem 4 y +</t>
        </is>
      </c>
      <c r="C44" s="15" t="n">
        <v>1419</v>
      </c>
      <c r="D44" s="14" t="inlineStr">
        <is>
          <t>MORAL GARCIA,JOSE ANTONIO</t>
        </is>
      </c>
      <c r="E44" s="14" t="inlineStr">
        <is>
          <t>NAVELINA</t>
        </is>
      </c>
      <c r="F44" s="15" t="n">
        <v>5030</v>
      </c>
      <c r="G44" s="16" t="n">
        <v>2181.41</v>
      </c>
      <c r="H44" s="17" t="n">
        <v>0.4336799204771372</v>
      </c>
      <c r="I44" s="16" t="n">
        <v>314.38</v>
      </c>
      <c r="J44" s="16" t="n">
        <v>31.32</v>
      </c>
      <c r="K44" s="16" t="n">
        <v>0</v>
      </c>
      <c r="L44" s="16" t="n">
        <v>55.83</v>
      </c>
      <c r="M44" s="16" t="n">
        <v>0</v>
      </c>
      <c r="N44" s="16" t="n">
        <v>1891.54</v>
      </c>
      <c r="O44" s="17" t="n">
        <v>0.41275</v>
      </c>
      <c r="P44" s="18" t="n">
        <v>12</v>
      </c>
      <c r="Q44" s="18" t="n">
        <v>2</v>
      </c>
      <c r="R44" s="16" t="n">
        <v>2076.15</v>
      </c>
      <c r="S44" s="14" t="inlineStr">
        <is>
          <t>NAVEL TEMPRANA sem 4 y +</t>
        </is>
      </c>
      <c r="T44" s="14" t="inlineStr">
        <is>
          <t>CITRICOS</t>
        </is>
      </c>
      <c r="U44" s="19">
        <f>IFERROR(166.386*I44/F44,0)</f>
        <v/>
      </c>
      <c r="V44" s="19">
        <f>IFERROR(166.386*M44/F44,0)</f>
        <v/>
      </c>
      <c r="W44" s="19">
        <f>IFERROR(166.386*L44/F44,0)</f>
        <v/>
      </c>
    </row>
    <row r="45">
      <c r="A45" s="14" t="n">
        <v>2200</v>
      </c>
      <c r="B45" s="14" t="inlineStr">
        <is>
          <t>NAVEL TEMPRANA sem 4 y +</t>
        </is>
      </c>
      <c r="C45" s="15" t="n">
        <v>1443</v>
      </c>
      <c r="D45" s="14" t="inlineStr">
        <is>
          <t>TOMENO SUAREZ,ALBERTO</t>
        </is>
      </c>
      <c r="E45" s="14" t="inlineStr">
        <is>
          <t>NAVELINA</t>
        </is>
      </c>
      <c r="F45" s="15" t="n">
        <v>55540</v>
      </c>
      <c r="G45" s="16" t="n">
        <v>21453.28</v>
      </c>
      <c r="H45" s="17" t="n">
        <v>0.3862671948145481</v>
      </c>
      <c r="I45" s="16" t="n">
        <v>0</v>
      </c>
      <c r="J45" s="16" t="n">
        <v>343.44</v>
      </c>
      <c r="K45" s="16" t="n">
        <v>0</v>
      </c>
      <c r="L45" s="16" t="n">
        <v>0</v>
      </c>
      <c r="M45" s="16" t="n">
        <v>731.41</v>
      </c>
      <c r="N45" s="16" t="n">
        <v>21841.25</v>
      </c>
      <c r="O45" s="17" t="n">
        <v>0.43163</v>
      </c>
      <c r="P45" s="18" t="n">
        <v>12</v>
      </c>
      <c r="Q45" s="18" t="n">
        <v>2</v>
      </c>
      <c r="R45" s="16" t="n">
        <v>23972.96</v>
      </c>
      <c r="S45" s="14" t="inlineStr">
        <is>
          <t>NAVEL TEMPRANA sem 4 y +</t>
        </is>
      </c>
      <c r="T45" s="14" t="inlineStr">
        <is>
          <t>CITRICOS</t>
        </is>
      </c>
      <c r="U45" s="19">
        <f>IFERROR(166.386*I45/F45,0)</f>
        <v/>
      </c>
      <c r="V45" s="19">
        <f>IFERROR(166.386*M45/F45,0)</f>
        <v/>
      </c>
      <c r="W45" s="19">
        <f>IFERROR(166.386*L45/F45,0)</f>
        <v/>
      </c>
    </row>
    <row r="46">
      <c r="A46" s="14" t="n">
        <v>2200</v>
      </c>
      <c r="B46" s="14" t="inlineStr">
        <is>
          <t>NAVEL TEMPRANA sem 4 y +</t>
        </is>
      </c>
      <c r="C46" s="15" t="n">
        <v>1445</v>
      </c>
      <c r="D46" s="14" t="inlineStr">
        <is>
          <t>REAL GARCIA,MIGUEL</t>
        </is>
      </c>
      <c r="E46" s="14" t="inlineStr">
        <is>
          <t>NAVELINA</t>
        </is>
      </c>
      <c r="F46" s="15" t="n">
        <v>21082</v>
      </c>
      <c r="G46" s="16" t="n">
        <v>8333.67</v>
      </c>
      <c r="H46" s="17" t="n">
        <v>0.3952978844511906</v>
      </c>
      <c r="I46" s="16" t="n">
        <v>1317.63</v>
      </c>
      <c r="J46" s="16" t="n">
        <v>194.63</v>
      </c>
      <c r="K46" s="16" t="n">
        <v>0</v>
      </c>
      <c r="L46" s="16" t="n">
        <v>0</v>
      </c>
      <c r="M46" s="16" t="n">
        <v>333.46</v>
      </c>
      <c r="N46" s="16" t="n">
        <v>7154.87</v>
      </c>
      <c r="O46" s="17" t="n">
        <v>0.37251</v>
      </c>
      <c r="P46" s="18" t="n">
        <v>12</v>
      </c>
      <c r="Q46" s="18" t="n">
        <v>2</v>
      </c>
      <c r="R46" s="16" t="n">
        <v>7853.19</v>
      </c>
      <c r="S46" s="14" t="inlineStr">
        <is>
          <t>NAVEL TEMPRANA sem 4 y +</t>
        </is>
      </c>
      <c r="T46" s="14" t="inlineStr">
        <is>
          <t>CITRICOS</t>
        </is>
      </c>
      <c r="U46" s="19">
        <f>IFERROR(166.386*I46/F46,0)</f>
        <v/>
      </c>
      <c r="V46" s="19">
        <f>IFERROR(166.386*M46/F46,0)</f>
        <v/>
      </c>
      <c r="W46" s="19">
        <f>IFERROR(166.386*L46/F46,0)</f>
        <v/>
      </c>
    </row>
    <row r="47">
      <c r="A47" s="14" t="n">
        <v>2200</v>
      </c>
      <c r="B47" s="14" t="inlineStr">
        <is>
          <t>NAVEL TEMPRANA sem 4 y +</t>
        </is>
      </c>
      <c r="C47" s="15" t="n">
        <v>1456</v>
      </c>
      <c r="D47" s="14" t="inlineStr">
        <is>
          <t>BARRERA RECUERO,MATIAS</t>
        </is>
      </c>
      <c r="E47" s="14" t="inlineStr">
        <is>
          <t>NAVELINA</t>
        </is>
      </c>
      <c r="F47" s="15" t="n">
        <v>750</v>
      </c>
      <c r="G47" s="16" t="n">
        <v>306.66</v>
      </c>
      <c r="H47" s="17" t="n">
        <v>0.40888</v>
      </c>
      <c r="I47" s="16" t="n">
        <v>0</v>
      </c>
      <c r="J47" s="16" t="n">
        <v>7.13</v>
      </c>
      <c r="K47" s="16" t="n">
        <v>0</v>
      </c>
      <c r="L47" s="16" t="n">
        <v>8.33</v>
      </c>
      <c r="M47" s="16" t="n">
        <v>11.48</v>
      </c>
      <c r="N47" s="16" t="n">
        <v>319.34</v>
      </c>
      <c r="O47" s="17" t="n">
        <v>0.46735</v>
      </c>
      <c r="P47" s="18" t="n">
        <v>12</v>
      </c>
      <c r="Q47" s="18" t="n">
        <v>2</v>
      </c>
      <c r="R47" s="16" t="n">
        <v>350.51</v>
      </c>
      <c r="S47" s="14" t="inlineStr">
        <is>
          <t>NAVEL TEMPRANA sem 4 y +</t>
        </is>
      </c>
      <c r="T47" s="14" t="inlineStr">
        <is>
          <t>CITRICOS</t>
        </is>
      </c>
      <c r="U47" s="19">
        <f>IFERROR(166.386*I47/F47,0)</f>
        <v/>
      </c>
      <c r="V47" s="19">
        <f>IFERROR(166.386*M47/F47,0)</f>
        <v/>
      </c>
      <c r="W47" s="19">
        <f>IFERROR(166.386*L47/F47,0)</f>
        <v/>
      </c>
    </row>
    <row r="48">
      <c r="A48" s="14" t="n">
        <v>2200</v>
      </c>
      <c r="B48" s="14" t="inlineStr">
        <is>
          <t>NAVEL TEMPRANA sem 4 y +</t>
        </is>
      </c>
      <c r="C48" s="15" t="n">
        <v>1488</v>
      </c>
      <c r="D48" s="14" t="inlineStr">
        <is>
          <t>MIÑANA JARDON,Mª DOLORES</t>
        </is>
      </c>
      <c r="E48" s="14" t="inlineStr">
        <is>
          <t>NEWHALL</t>
        </is>
      </c>
      <c r="F48" s="15" t="n">
        <v>18525</v>
      </c>
      <c r="G48" s="16" t="n">
        <v>7458.2</v>
      </c>
      <c r="H48" s="17" t="n">
        <v>0.4026018893387314</v>
      </c>
      <c r="I48" s="16" t="n">
        <v>1157.81</v>
      </c>
      <c r="J48" s="16" t="n">
        <v>189.15</v>
      </c>
      <c r="K48" s="16" t="n">
        <v>0</v>
      </c>
      <c r="L48" s="16" t="n">
        <v>0</v>
      </c>
      <c r="M48" s="16" t="n">
        <v>0</v>
      </c>
      <c r="N48" s="16" t="n">
        <v>6111.24</v>
      </c>
      <c r="O48" s="17" t="n">
        <v>0.36209</v>
      </c>
      <c r="P48" s="18" t="n">
        <v>12</v>
      </c>
      <c r="Q48" s="18" t="n">
        <v>2</v>
      </c>
      <c r="R48" s="16" t="n">
        <v>6707.7</v>
      </c>
      <c r="S48" s="14" t="inlineStr">
        <is>
          <t>NAVEL TEMPRANA sem 4 y +</t>
        </is>
      </c>
      <c r="T48" s="14" t="inlineStr">
        <is>
          <t>CITRICOS</t>
        </is>
      </c>
      <c r="U48" s="19">
        <f>IFERROR(166.386*I48/F48,0)</f>
        <v/>
      </c>
      <c r="V48" s="19">
        <f>IFERROR(166.386*M48/F48,0)</f>
        <v/>
      </c>
      <c r="W48" s="19">
        <f>IFERROR(166.386*L48/F48,0)</f>
        <v/>
      </c>
    </row>
    <row r="49">
      <c r="A49" s="14" t="n">
        <v>2200</v>
      </c>
      <c r="B49" s="14" t="inlineStr">
        <is>
          <t>NAVEL TEMPRANA sem 4 y +</t>
        </is>
      </c>
      <c r="C49" s="15" t="n">
        <v>1491</v>
      </c>
      <c r="D49" s="14" t="inlineStr">
        <is>
          <t>JIMENEZ LORENTE,SONIA</t>
        </is>
      </c>
      <c r="E49" s="14" t="inlineStr">
        <is>
          <t>NAVELINA</t>
        </is>
      </c>
      <c r="F49" s="15" t="n">
        <v>53850</v>
      </c>
      <c r="G49" s="16" t="n">
        <v>20838.83</v>
      </c>
      <c r="H49" s="17" t="n">
        <v>0.3869792014856082</v>
      </c>
      <c r="I49" s="16" t="n">
        <v>3365.63</v>
      </c>
      <c r="J49" s="16" t="n">
        <v>345.88</v>
      </c>
      <c r="K49" s="16" t="n">
        <v>0</v>
      </c>
      <c r="L49" s="16" t="n">
        <v>0</v>
      </c>
      <c r="M49" s="16" t="n">
        <v>834.6900000000001</v>
      </c>
      <c r="N49" s="16" t="n">
        <v>17962.01</v>
      </c>
      <c r="O49" s="17" t="n">
        <v>0.36611</v>
      </c>
      <c r="P49" s="18" t="n">
        <v>12</v>
      </c>
      <c r="Q49" s="18" t="n">
        <v>2</v>
      </c>
      <c r="R49" s="16" t="n">
        <v>19715.1</v>
      </c>
      <c r="S49" s="14" t="inlineStr">
        <is>
          <t>NAVEL TEMPRANA sem 4 y +</t>
        </is>
      </c>
      <c r="T49" s="14" t="inlineStr">
        <is>
          <t>CITRICOS</t>
        </is>
      </c>
      <c r="U49" s="19">
        <f>IFERROR(166.386*I49/F49,0)</f>
        <v/>
      </c>
      <c r="V49" s="19">
        <f>IFERROR(166.386*M49/F49,0)</f>
        <v/>
      </c>
      <c r="W49" s="19">
        <f>IFERROR(166.386*L49/F49,0)</f>
        <v/>
      </c>
    </row>
    <row r="50">
      <c r="A50" s="14" t="n">
        <v>2200</v>
      </c>
      <c r="B50" s="14" t="inlineStr">
        <is>
          <t>NAVEL TEMPRANA sem 4 y +</t>
        </is>
      </c>
      <c r="C50" s="15" t="n">
        <v>1499</v>
      </c>
      <c r="D50" s="14" t="inlineStr">
        <is>
          <t>PERALTA MARQUEZ,ISABEL</t>
        </is>
      </c>
      <c r="E50" s="14" t="inlineStr">
        <is>
          <t>NAVELINA</t>
        </is>
      </c>
      <c r="F50" s="15" t="n">
        <v>64306</v>
      </c>
      <c r="G50" s="16" t="n">
        <v>24587.02</v>
      </c>
      <c r="H50" s="17" t="n">
        <v>0.382344104749168</v>
      </c>
      <c r="I50" s="16" t="n">
        <v>4005.13</v>
      </c>
      <c r="J50" s="16" t="n">
        <v>406.51</v>
      </c>
      <c r="K50" s="16" t="n">
        <v>0</v>
      </c>
      <c r="L50" s="16" t="n">
        <v>0</v>
      </c>
      <c r="M50" s="16" t="n">
        <v>1023.79</v>
      </c>
      <c r="N50" s="16" t="n">
        <v>21199.17</v>
      </c>
      <c r="O50" s="17" t="n">
        <v>0.36184</v>
      </c>
      <c r="P50" s="18" t="n">
        <v>12</v>
      </c>
      <c r="Q50" s="18" t="n">
        <v>2</v>
      </c>
      <c r="R50" s="16" t="n">
        <v>23268.21</v>
      </c>
      <c r="S50" s="14" t="inlineStr">
        <is>
          <t>NAVEL TEMPRANA sem 4 y +</t>
        </is>
      </c>
      <c r="T50" s="14" t="inlineStr">
        <is>
          <t>CITRICOS</t>
        </is>
      </c>
      <c r="U50" s="19">
        <f>IFERROR(166.386*I50/F50,0)</f>
        <v/>
      </c>
      <c r="V50" s="19">
        <f>IFERROR(166.386*M50/F50,0)</f>
        <v/>
      </c>
      <c r="W50" s="19">
        <f>IFERROR(166.386*L50/F50,0)</f>
        <v/>
      </c>
    </row>
    <row r="51">
      <c r="A51" s="14" t="n">
        <v>2200</v>
      </c>
      <c r="B51" s="14" t="inlineStr">
        <is>
          <t>NAVEL TEMPRANA sem 4 y +</t>
        </is>
      </c>
      <c r="C51" s="15" t="n">
        <v>1518</v>
      </c>
      <c r="D51" s="14" t="inlineStr">
        <is>
          <t>CALZADO ARGüELLES,MARIA</t>
        </is>
      </c>
      <c r="E51" s="14" t="inlineStr">
        <is>
          <t>NAVELINA</t>
        </is>
      </c>
      <c r="F51" s="15" t="n">
        <v>33031</v>
      </c>
      <c r="G51" s="16" t="n">
        <v>13171.66</v>
      </c>
      <c r="H51" s="17" t="n">
        <v>0.3987666131815567</v>
      </c>
      <c r="I51" s="16" t="n">
        <v>2064.44</v>
      </c>
      <c r="J51" s="16" t="n">
        <v>285.45</v>
      </c>
      <c r="K51" s="16" t="n">
        <v>0</v>
      </c>
      <c r="L51" s="16" t="n">
        <v>0</v>
      </c>
      <c r="M51" s="16" t="n">
        <v>468.29</v>
      </c>
      <c r="N51" s="16" t="n">
        <v>11290.06</v>
      </c>
      <c r="O51" s="17" t="n">
        <v>0.37516</v>
      </c>
      <c r="P51" s="18" t="n">
        <v>12</v>
      </c>
      <c r="Q51" s="18" t="n">
        <v>2</v>
      </c>
      <c r="R51" s="16" t="n">
        <v>12391.97</v>
      </c>
      <c r="S51" s="14" t="inlineStr">
        <is>
          <t>NAVEL TEMPRANA sem 4 y +</t>
        </is>
      </c>
      <c r="T51" s="14" t="inlineStr">
        <is>
          <t>CITRICOS</t>
        </is>
      </c>
      <c r="U51" s="19">
        <f>IFERROR(166.386*I51/F51,0)</f>
        <v/>
      </c>
      <c r="V51" s="19">
        <f>IFERROR(166.386*M51/F51,0)</f>
        <v/>
      </c>
      <c r="W51" s="19">
        <f>IFERROR(166.386*L51/F51,0)</f>
        <v/>
      </c>
    </row>
    <row r="52">
      <c r="A52" s="14" t="n">
        <v>2200</v>
      </c>
      <c r="B52" s="14" t="inlineStr">
        <is>
          <t>NAVEL TEMPRANA sem 4 y +</t>
        </is>
      </c>
      <c r="C52" s="15" t="n">
        <v>1520</v>
      </c>
      <c r="D52" s="14" t="inlineStr">
        <is>
          <t>LOPEZ COCA, MANUEL</t>
        </is>
      </c>
      <c r="E52" s="14" t="inlineStr">
        <is>
          <t>NAVELINA</t>
        </is>
      </c>
      <c r="F52" s="15" t="n">
        <v>64860</v>
      </c>
      <c r="G52" s="16" t="n">
        <v>26659.73</v>
      </c>
      <c r="H52" s="17" t="n">
        <v>0.4110349984582177</v>
      </c>
      <c r="I52" s="16" t="n">
        <v>4053.76</v>
      </c>
      <c r="J52" s="16" t="n">
        <v>411.45</v>
      </c>
      <c r="K52" s="16" t="n">
        <v>0</v>
      </c>
      <c r="L52" s="16" t="n">
        <v>0</v>
      </c>
      <c r="M52" s="16" t="n">
        <v>0</v>
      </c>
      <c r="N52" s="16" t="n">
        <v>22194.52</v>
      </c>
      <c r="O52" s="17" t="n">
        <v>0.37559</v>
      </c>
      <c r="P52" s="18" t="n">
        <v>12</v>
      </c>
      <c r="Q52" s="18" t="n">
        <v>2</v>
      </c>
      <c r="R52" s="16" t="n">
        <v>24360.71</v>
      </c>
      <c r="S52" s="14" t="inlineStr">
        <is>
          <t>NAVEL TEMPRANA sem 4 y +</t>
        </is>
      </c>
      <c r="T52" s="14" t="inlineStr">
        <is>
          <t>CITRICOS</t>
        </is>
      </c>
      <c r="U52" s="19">
        <f>IFERROR(166.386*I52/F52,0)</f>
        <v/>
      </c>
      <c r="V52" s="19">
        <f>IFERROR(166.386*M52/F52,0)</f>
        <v/>
      </c>
      <c r="W52" s="19">
        <f>IFERROR(166.386*L52/F52,0)</f>
        <v/>
      </c>
    </row>
    <row r="53">
      <c r="A53" s="14" t="n">
        <v>2200</v>
      </c>
      <c r="B53" s="14" t="inlineStr">
        <is>
          <t>NAVEL TEMPRANA sem 4 y +</t>
        </is>
      </c>
      <c r="C53" s="15" t="n">
        <v>1521</v>
      </c>
      <c r="D53" s="14" t="inlineStr">
        <is>
          <t>NUÑEZ MENDOZA, GONZALO</t>
        </is>
      </c>
      <c r="E53" s="14" t="inlineStr">
        <is>
          <t>NAVELINA</t>
        </is>
      </c>
      <c r="F53" s="15" t="n">
        <v>71750</v>
      </c>
      <c r="G53" s="16" t="n">
        <v>29513.97</v>
      </c>
      <c r="H53" s="17" t="n">
        <v>0.4113445296167247</v>
      </c>
      <c r="I53" s="16" t="n">
        <v>4484.38</v>
      </c>
      <c r="J53" s="16" t="n">
        <v>606.45</v>
      </c>
      <c r="K53" s="16" t="n">
        <v>0</v>
      </c>
      <c r="L53" s="16" t="n">
        <v>0</v>
      </c>
      <c r="M53" s="16" t="n">
        <v>1119.05</v>
      </c>
      <c r="N53" s="16" t="n">
        <v>25542.19</v>
      </c>
      <c r="O53" s="17" t="n">
        <v>0.39073</v>
      </c>
      <c r="P53" s="18" t="n">
        <v>12</v>
      </c>
      <c r="Q53" s="18" t="n">
        <v>2</v>
      </c>
      <c r="R53" s="16" t="n">
        <v>28035.11</v>
      </c>
      <c r="S53" s="14" t="inlineStr">
        <is>
          <t>NAVEL TEMPRANA sem 4 y +</t>
        </is>
      </c>
      <c r="T53" s="14" t="inlineStr">
        <is>
          <t>CITRICOS</t>
        </is>
      </c>
      <c r="U53" s="19">
        <f>IFERROR(166.386*I53/F53,0)</f>
        <v/>
      </c>
      <c r="V53" s="19">
        <f>IFERROR(166.386*M53/F53,0)</f>
        <v/>
      </c>
      <c r="W53" s="19">
        <f>IFERROR(166.386*L53/F53,0)</f>
        <v/>
      </c>
    </row>
    <row r="54">
      <c r="A54" s="14" t="n">
        <v>2200</v>
      </c>
      <c r="B54" s="14" t="inlineStr">
        <is>
          <t>NAVEL TEMPRANA sem 4 y +</t>
        </is>
      </c>
      <c r="C54" s="15" t="n">
        <v>1525</v>
      </c>
      <c r="D54" s="14" t="inlineStr">
        <is>
          <t>ECIJA BORREGO, DOLORES</t>
        </is>
      </c>
      <c r="E54" s="14" t="inlineStr">
        <is>
          <t>NAVELINA</t>
        </is>
      </c>
      <c r="F54" s="15" t="n">
        <v>57180</v>
      </c>
      <c r="G54" s="16" t="n">
        <v>20121.39</v>
      </c>
      <c r="H54" s="17" t="n">
        <v>0.351895592864638</v>
      </c>
      <c r="I54" s="16" t="n">
        <v>3573.75</v>
      </c>
      <c r="J54" s="16" t="n">
        <v>582.65</v>
      </c>
      <c r="K54" s="16" t="n">
        <v>0</v>
      </c>
      <c r="L54" s="16" t="n">
        <v>0</v>
      </c>
      <c r="M54" s="16" t="n">
        <v>0</v>
      </c>
      <c r="N54" s="16" t="n">
        <v>15964.99</v>
      </c>
      <c r="O54" s="17" t="n">
        <v>0.30646</v>
      </c>
      <c r="P54" s="18" t="n">
        <v>12</v>
      </c>
      <c r="Q54" s="18" t="n">
        <v>2</v>
      </c>
      <c r="R54" s="16" t="n">
        <v>17523.17</v>
      </c>
      <c r="S54" s="14" t="inlineStr">
        <is>
          <t>NAVEL TEMPRANA sem 4 y +</t>
        </is>
      </c>
      <c r="T54" s="14" t="inlineStr">
        <is>
          <t>CITRICOS</t>
        </is>
      </c>
      <c r="U54" s="19">
        <f>IFERROR(166.386*I54/F54,0)</f>
        <v/>
      </c>
      <c r="V54" s="19">
        <f>IFERROR(166.386*M54/F54,0)</f>
        <v/>
      </c>
      <c r="W54" s="19">
        <f>IFERROR(166.386*L54/F54,0)</f>
        <v/>
      </c>
    </row>
    <row r="55">
      <c r="A55" s="14" t="n">
        <v>2200</v>
      </c>
      <c r="B55" s="14" t="inlineStr">
        <is>
          <t>NAVEL TEMPRANA sem 4 y +</t>
        </is>
      </c>
      <c r="C55" s="15" t="n">
        <v>1527</v>
      </c>
      <c r="D55" s="14" t="inlineStr">
        <is>
          <t>MARQUEZ SOTILLO, ANTONIO</t>
        </is>
      </c>
      <c r="E55" s="14" t="inlineStr">
        <is>
          <t>NAVELINA</t>
        </is>
      </c>
      <c r="F55" s="15" t="n">
        <v>32263</v>
      </c>
      <c r="G55" s="16" t="n">
        <v>13433.74</v>
      </c>
      <c r="H55" s="17" t="n">
        <v>0.4163822335182717</v>
      </c>
      <c r="I55" s="16" t="n">
        <v>2016.44</v>
      </c>
      <c r="J55" s="16" t="n">
        <v>166.97</v>
      </c>
      <c r="K55" s="16" t="n">
        <v>0</v>
      </c>
      <c r="L55" s="16" t="n">
        <v>0</v>
      </c>
      <c r="M55" s="16" t="n">
        <v>0</v>
      </c>
      <c r="N55" s="16" t="n">
        <v>11250.33</v>
      </c>
      <c r="O55" s="17" t="n">
        <v>0.38274</v>
      </c>
      <c r="P55" s="18" t="n">
        <v>12</v>
      </c>
      <c r="Q55" s="18" t="n">
        <v>2</v>
      </c>
      <c r="R55" s="16" t="n">
        <v>12348.36</v>
      </c>
      <c r="S55" s="14" t="inlineStr">
        <is>
          <t>NAVEL TEMPRANA sem 4 y +</t>
        </is>
      </c>
      <c r="T55" s="14" t="inlineStr">
        <is>
          <t>CITRICOS</t>
        </is>
      </c>
      <c r="U55" s="19">
        <f>IFERROR(166.386*I55/F55,0)</f>
        <v/>
      </c>
      <c r="V55" s="19">
        <f>IFERROR(166.386*M55/F55,0)</f>
        <v/>
      </c>
      <c r="W55" s="19">
        <f>IFERROR(166.386*L55/F55,0)</f>
        <v/>
      </c>
    </row>
    <row r="56">
      <c r="A56" s="14" t="n">
        <v>2200</v>
      </c>
      <c r="B56" s="14" t="inlineStr">
        <is>
          <t>NAVEL TEMPRANA sem 4 y +</t>
        </is>
      </c>
      <c r="C56" s="15" t="n">
        <v>1529</v>
      </c>
      <c r="D56" s="14" t="inlineStr">
        <is>
          <t>RAMOS BRUGAROLAS, JOSE</t>
        </is>
      </c>
      <c r="E56" s="14" t="inlineStr">
        <is>
          <t>NAVELINA</t>
        </is>
      </c>
      <c r="F56" s="15" t="n">
        <v>94897</v>
      </c>
      <c r="G56" s="16" t="n">
        <v>37435.82</v>
      </c>
      <c r="H56" s="17" t="n">
        <v>0.3944889722541282</v>
      </c>
      <c r="I56" s="16" t="n">
        <v>6602.75</v>
      </c>
      <c r="J56" s="16" t="n">
        <v>627.3</v>
      </c>
      <c r="K56" s="16" t="n">
        <v>0</v>
      </c>
      <c r="L56" s="16" t="n">
        <v>0</v>
      </c>
      <c r="M56" s="16" t="n">
        <v>0</v>
      </c>
      <c r="N56" s="16" t="n">
        <v>30205.77</v>
      </c>
      <c r="O56" s="17" t="n">
        <v>0.34937</v>
      </c>
      <c r="P56" s="18" t="n">
        <v>12</v>
      </c>
      <c r="Q56" s="18" t="n">
        <v>2</v>
      </c>
      <c r="R56" s="16" t="n">
        <v>33153.85</v>
      </c>
      <c r="S56" s="14" t="inlineStr">
        <is>
          <t>NAVEL TEMPRANA sem 4 y +</t>
        </is>
      </c>
      <c r="T56" s="14" t="inlineStr">
        <is>
          <t>CITRICOS</t>
        </is>
      </c>
      <c r="U56" s="19">
        <f>IFERROR(166.386*I56/F56,0)</f>
        <v/>
      </c>
      <c r="V56" s="19">
        <f>IFERROR(166.386*M56/F56,0)</f>
        <v/>
      </c>
      <c r="W56" s="19">
        <f>IFERROR(166.386*L56/F56,0)</f>
        <v/>
      </c>
    </row>
    <row r="57">
      <c r="A57" s="14" t="n">
        <v>2200</v>
      </c>
      <c r="B57" s="14" t="inlineStr">
        <is>
          <t>NAVEL TEMPRANA sem 4 y +</t>
        </is>
      </c>
      <c r="C57" s="15" t="n">
        <v>1545</v>
      </c>
      <c r="D57" s="14" t="inlineStr">
        <is>
          <t>ARJONA LIÑAN, MANUEL</t>
        </is>
      </c>
      <c r="E57" s="14" t="inlineStr">
        <is>
          <t>NAVELINA</t>
        </is>
      </c>
      <c r="F57" s="15" t="n">
        <v>30850</v>
      </c>
      <c r="G57" s="16" t="n">
        <v>11452.99</v>
      </c>
      <c r="H57" s="17" t="n">
        <v>0.3712476499189627</v>
      </c>
      <c r="I57" s="16" t="n">
        <v>1928.13</v>
      </c>
      <c r="J57" s="16" t="n">
        <v>184.55</v>
      </c>
      <c r="K57" s="16" t="n">
        <v>0</v>
      </c>
      <c r="L57" s="16" t="n">
        <v>0</v>
      </c>
      <c r="M57" s="16" t="n">
        <v>0</v>
      </c>
      <c r="N57" s="16" t="n">
        <v>9340.309999999999</v>
      </c>
      <c r="O57" s="17" t="n">
        <v>0.33232</v>
      </c>
      <c r="P57" s="18" t="n">
        <v>12</v>
      </c>
      <c r="Q57" s="18" t="n">
        <v>2</v>
      </c>
      <c r="R57" s="16" t="n">
        <v>10251.92</v>
      </c>
      <c r="S57" s="14" t="inlineStr">
        <is>
          <t>NAVEL TEMPRANA sem 4 y +</t>
        </is>
      </c>
      <c r="T57" s="14" t="inlineStr">
        <is>
          <t>CITRICOS</t>
        </is>
      </c>
      <c r="U57" s="19">
        <f>IFERROR(166.386*I57/F57,0)</f>
        <v/>
      </c>
      <c r="V57" s="19">
        <f>IFERROR(166.386*M57/F57,0)</f>
        <v/>
      </c>
      <c r="W57" s="19">
        <f>IFERROR(166.386*L57/F57,0)</f>
        <v/>
      </c>
    </row>
    <row r="58">
      <c r="A58" s="14" t="n">
        <v>2200</v>
      </c>
      <c r="B58" s="14" t="inlineStr">
        <is>
          <t>NAVEL TEMPRANA sem 4 y +</t>
        </is>
      </c>
      <c r="C58" s="15" t="n">
        <v>1545</v>
      </c>
      <c r="D58" s="14" t="inlineStr">
        <is>
          <t>ARJONA LIÑAN, MANUEL</t>
        </is>
      </c>
      <c r="E58" s="14" t="inlineStr">
        <is>
          <t>NEWHALL</t>
        </is>
      </c>
      <c r="F58" s="15" t="n">
        <v>23260</v>
      </c>
      <c r="G58" s="16" t="n">
        <v>8579.559999999999</v>
      </c>
      <c r="H58" s="17" t="n">
        <v>0.3688546861564918</v>
      </c>
      <c r="I58" s="16" t="n">
        <v>1453.75</v>
      </c>
      <c r="J58" s="16" t="n">
        <v>139.15</v>
      </c>
      <c r="K58" s="16" t="n">
        <v>0</v>
      </c>
      <c r="L58" s="16" t="n">
        <v>0</v>
      </c>
      <c r="M58" s="16" t="n">
        <v>0</v>
      </c>
      <c r="N58" s="16" t="n">
        <v>6986.66</v>
      </c>
      <c r="O58" s="17" t="n">
        <v>0.32969</v>
      </c>
      <c r="P58" s="18" t="n">
        <v>12</v>
      </c>
      <c r="Q58" s="18" t="n">
        <v>2</v>
      </c>
      <c r="R58" s="16" t="n">
        <v>7668.56</v>
      </c>
      <c r="S58" s="14" t="inlineStr">
        <is>
          <t>NAVEL TEMPRANA sem 4 y +</t>
        </is>
      </c>
      <c r="T58" s="14" t="inlineStr">
        <is>
          <t>CITRICOS</t>
        </is>
      </c>
      <c r="U58" s="19">
        <f>IFERROR(166.386*I58/F58,0)</f>
        <v/>
      </c>
      <c r="V58" s="19">
        <f>IFERROR(166.386*M58/F58,0)</f>
        <v/>
      </c>
      <c r="W58" s="19">
        <f>IFERROR(166.386*L58/F58,0)</f>
        <v/>
      </c>
    </row>
    <row r="59">
      <c r="A59" s="14" t="n">
        <v>2200</v>
      </c>
      <c r="B59" s="14" t="inlineStr">
        <is>
          <t>NAVEL TEMPRANA sem 4 y +</t>
        </is>
      </c>
      <c r="C59" s="15" t="n">
        <v>1546</v>
      </c>
      <c r="D59" s="14" t="inlineStr">
        <is>
          <t>GARCIA PELEGRIN, MANUEL</t>
        </is>
      </c>
      <c r="E59" s="14" t="inlineStr">
        <is>
          <t>NAVELINA</t>
        </is>
      </c>
      <c r="F59" s="15" t="n">
        <v>8625</v>
      </c>
      <c r="G59" s="16" t="n">
        <v>3100.91</v>
      </c>
      <c r="H59" s="17" t="n">
        <v>0.3595257971014493</v>
      </c>
      <c r="I59" s="16" t="n">
        <v>380.31</v>
      </c>
      <c r="J59" s="16" t="n">
        <v>61.87</v>
      </c>
      <c r="K59" s="16" t="n">
        <v>0</v>
      </c>
      <c r="L59" s="16" t="n">
        <v>28.19</v>
      </c>
      <c r="M59" s="16" t="n">
        <v>0</v>
      </c>
      <c r="N59" s="16" t="n">
        <v>2686.92</v>
      </c>
      <c r="O59" s="17" t="n">
        <v>0.34193</v>
      </c>
      <c r="P59" s="18" t="n">
        <v>12</v>
      </c>
      <c r="Q59" s="18" t="n">
        <v>2</v>
      </c>
      <c r="R59" s="16" t="n">
        <v>2949.16</v>
      </c>
      <c r="S59" s="14" t="inlineStr">
        <is>
          <t>NAVEL TEMPRANA sem 4 y +</t>
        </is>
      </c>
      <c r="T59" s="14" t="inlineStr">
        <is>
          <t>CITRICOS</t>
        </is>
      </c>
      <c r="U59" s="19">
        <f>IFERROR(166.386*I59/F59,0)</f>
        <v/>
      </c>
      <c r="V59" s="19">
        <f>IFERROR(166.386*M59/F59,0)</f>
        <v/>
      </c>
      <c r="W59" s="19">
        <f>IFERROR(166.386*L59/F59,0)</f>
        <v/>
      </c>
    </row>
    <row r="60">
      <c r="A60" s="14" t="n">
        <v>2200</v>
      </c>
      <c r="B60" s="14" t="inlineStr">
        <is>
          <t>NAVEL TEMPRANA sem 4 y +</t>
        </is>
      </c>
      <c r="C60" s="15" t="n">
        <v>1548</v>
      </c>
      <c r="D60" s="14" t="inlineStr">
        <is>
          <t>CLAR TALENS, CARMEN</t>
        </is>
      </c>
      <c r="E60" s="14" t="inlineStr">
        <is>
          <t>NAVELINA</t>
        </is>
      </c>
      <c r="F60" s="15" t="n">
        <v>26187</v>
      </c>
      <c r="G60" s="16" t="n">
        <v>10035.89</v>
      </c>
      <c r="H60" s="17" t="n">
        <v>0.3832393935922404</v>
      </c>
      <c r="I60" s="16" t="n">
        <v>1636.69</v>
      </c>
      <c r="J60" s="16" t="n">
        <v>195</v>
      </c>
      <c r="K60" s="16" t="n">
        <v>0</v>
      </c>
      <c r="L60" s="16" t="n">
        <v>0</v>
      </c>
      <c r="M60" s="16" t="n">
        <v>0</v>
      </c>
      <c r="N60" s="16" t="n">
        <v>8204.200000000001</v>
      </c>
      <c r="O60" s="17" t="n">
        <v>0.34387</v>
      </c>
      <c r="P60" s="18" t="n">
        <v>12</v>
      </c>
      <c r="Q60" s="18" t="n">
        <v>2</v>
      </c>
      <c r="R60" s="16" t="n">
        <v>9004.93</v>
      </c>
      <c r="S60" s="14" t="inlineStr">
        <is>
          <t>NAVEL TEMPRANA sem 4 y +</t>
        </is>
      </c>
      <c r="T60" s="14" t="inlineStr">
        <is>
          <t>CITRICOS</t>
        </is>
      </c>
      <c r="U60" s="19">
        <f>IFERROR(166.386*I60/F60,0)</f>
        <v/>
      </c>
      <c r="V60" s="19">
        <f>IFERROR(166.386*M60/F60,0)</f>
        <v/>
      </c>
      <c r="W60" s="19">
        <f>IFERROR(166.386*L60/F60,0)</f>
        <v/>
      </c>
    </row>
    <row r="61">
      <c r="A61" s="14" t="n">
        <v>2200</v>
      </c>
      <c r="B61" s="14" t="inlineStr">
        <is>
          <t>NAVEL TEMPRANA sem 4 y +</t>
        </is>
      </c>
      <c r="C61" s="15" t="n">
        <v>1572</v>
      </c>
      <c r="D61" s="14" t="inlineStr">
        <is>
          <t>ELENA ALTUR, JOSE ENRIQUE</t>
        </is>
      </c>
      <c r="E61" s="14" t="inlineStr">
        <is>
          <t>NAVELINA</t>
        </is>
      </c>
      <c r="F61" s="15" t="n">
        <v>40621</v>
      </c>
      <c r="G61" s="16" t="n">
        <v>15711.02</v>
      </c>
      <c r="H61" s="17" t="n">
        <v>0.3867708820560793</v>
      </c>
      <c r="I61" s="16" t="n">
        <v>2538.82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13172.2</v>
      </c>
      <c r="O61" s="17" t="n">
        <v>0.35592</v>
      </c>
      <c r="P61" s="18" t="n">
        <v>12</v>
      </c>
      <c r="Q61" s="18" t="n">
        <v>2</v>
      </c>
      <c r="R61" s="16" t="n">
        <v>14457.81</v>
      </c>
      <c r="S61" s="14" t="inlineStr">
        <is>
          <t>NAVEL TEMPRANA sem 4 y +</t>
        </is>
      </c>
      <c r="T61" s="14" t="inlineStr">
        <is>
          <t>CITRICOS</t>
        </is>
      </c>
      <c r="U61" s="19">
        <f>IFERROR(166.386*I61/F61,0)</f>
        <v/>
      </c>
      <c r="V61" s="19">
        <f>IFERROR(166.386*M61/F61,0)</f>
        <v/>
      </c>
      <c r="W61" s="19">
        <f>IFERROR(166.386*L61/F61,0)</f>
        <v/>
      </c>
    </row>
    <row r="62">
      <c r="A62" s="14" t="n">
        <v>2200</v>
      </c>
      <c r="B62" s="14" t="inlineStr">
        <is>
          <t>NAVEL TEMPRANA sem 4 y +</t>
        </is>
      </c>
      <c r="C62" s="15" t="n">
        <v>1573</v>
      </c>
      <c r="D62" s="14" t="inlineStr">
        <is>
          <t>HNOS. JIMENEZ ARIZA C.B.</t>
        </is>
      </c>
      <c r="E62" s="14" t="inlineStr">
        <is>
          <t>NAVELINA</t>
        </is>
      </c>
      <c r="F62" s="15" t="n">
        <v>5058</v>
      </c>
      <c r="G62" s="16" t="n">
        <v>1880.85</v>
      </c>
      <c r="H62" s="17" t="n">
        <v>0.3718564650059312</v>
      </c>
      <c r="I62" s="16" t="n">
        <v>316.13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1564.72</v>
      </c>
      <c r="O62" s="17" t="n">
        <v>0.33955</v>
      </c>
      <c r="P62" s="18" t="n">
        <v>12</v>
      </c>
      <c r="Q62" s="18" t="n">
        <v>2</v>
      </c>
      <c r="R62" s="16" t="n">
        <v>1717.44</v>
      </c>
      <c r="S62" s="14" t="inlineStr">
        <is>
          <t>NAVEL TEMPRANA sem 4 y +</t>
        </is>
      </c>
      <c r="T62" s="14" t="inlineStr">
        <is>
          <t>CITRICOS</t>
        </is>
      </c>
      <c r="U62" s="19">
        <f>IFERROR(166.386*I62/F62,0)</f>
        <v/>
      </c>
      <c r="V62" s="19">
        <f>IFERROR(166.386*M62/F62,0)</f>
        <v/>
      </c>
      <c r="W62" s="19">
        <f>IFERROR(166.386*L62/F62,0)</f>
        <v/>
      </c>
    </row>
    <row r="63">
      <c r="A63" s="14" t="n">
        <v>2200</v>
      </c>
      <c r="B63" s="14" t="inlineStr">
        <is>
          <t>NAVEL TEMPRANA sem 4 y +</t>
        </is>
      </c>
      <c r="C63" s="15" t="n">
        <v>1578</v>
      </c>
      <c r="D63" s="14" t="inlineStr">
        <is>
          <t>GARCIA CARRASCO, Mª ANGELES</t>
        </is>
      </c>
      <c r="E63" s="14" t="inlineStr">
        <is>
          <t>NAVELINA</t>
        </is>
      </c>
      <c r="F63" s="15" t="n">
        <v>7125</v>
      </c>
      <c r="G63" s="16" t="n">
        <v>2190.46</v>
      </c>
      <c r="H63" s="17" t="n">
        <v>0.3074329824561404</v>
      </c>
      <c r="I63" s="16" t="n">
        <v>445.32</v>
      </c>
      <c r="J63" s="16" t="n">
        <v>66.53</v>
      </c>
      <c r="K63" s="16" t="n">
        <v>89.5400175</v>
      </c>
      <c r="L63" s="16" t="n">
        <v>0</v>
      </c>
      <c r="M63" s="16" t="n">
        <v>0</v>
      </c>
      <c r="N63" s="16" t="n">
        <v>1768.15</v>
      </c>
      <c r="O63" s="17" t="n">
        <v>0.27238</v>
      </c>
      <c r="P63" s="18" t="n">
        <v>12</v>
      </c>
      <c r="Q63" s="18" t="n">
        <v>2</v>
      </c>
      <c r="R63" s="16" t="n">
        <v>1940.72</v>
      </c>
      <c r="S63" s="14" t="inlineStr">
        <is>
          <t>NAVEL TEMPRANA sem 4 y +</t>
        </is>
      </c>
      <c r="T63" s="14" t="inlineStr">
        <is>
          <t>CITRICOS</t>
        </is>
      </c>
      <c r="U63" s="19">
        <f>IFERROR(166.386*I63/F63,0)</f>
        <v/>
      </c>
      <c r="V63" s="19">
        <f>IFERROR(166.386*M63/F63,0)</f>
        <v/>
      </c>
      <c r="W63" s="19">
        <f>IFERROR(166.386*L63/F63,0)</f>
        <v/>
      </c>
    </row>
    <row r="64">
      <c r="A64" s="14" t="n">
        <v>2200</v>
      </c>
      <c r="B64" s="14" t="inlineStr">
        <is>
          <t>NAVEL TEMPRANA sem 4 y +</t>
        </is>
      </c>
      <c r="C64" s="15" t="n">
        <v>1588</v>
      </c>
      <c r="D64" s="14" t="inlineStr">
        <is>
          <t>RAMOS GARCIA DE TEJADA, ALVARO</t>
        </is>
      </c>
      <c r="E64" s="14" t="inlineStr">
        <is>
          <t>NAVELINA</t>
        </is>
      </c>
      <c r="F64" s="15" t="n">
        <v>37531</v>
      </c>
      <c r="G64" s="16" t="n">
        <v>13958.17</v>
      </c>
      <c r="H64" s="17" t="n">
        <v>0.3719104207188724</v>
      </c>
      <c r="I64" s="16" t="n">
        <v>2636.51</v>
      </c>
      <c r="J64" s="16" t="n">
        <v>215.05</v>
      </c>
      <c r="K64" s="16" t="n">
        <v>0</v>
      </c>
      <c r="L64" s="16" t="n">
        <v>0</v>
      </c>
      <c r="M64" s="16" t="n">
        <v>0</v>
      </c>
      <c r="N64" s="16" t="n">
        <v>11106.61</v>
      </c>
      <c r="O64" s="17" t="n">
        <v>0.32481</v>
      </c>
      <c r="P64" s="18" t="n">
        <v>12</v>
      </c>
      <c r="Q64" s="18" t="n">
        <v>2</v>
      </c>
      <c r="R64" s="16" t="n">
        <v>12190.62</v>
      </c>
      <c r="S64" s="14" t="inlineStr">
        <is>
          <t>NAVEL TEMPRANA sem 4 y +</t>
        </is>
      </c>
      <c r="T64" s="14" t="inlineStr">
        <is>
          <t>CITRICOS</t>
        </is>
      </c>
      <c r="U64" s="19">
        <f>IFERROR(166.386*I64/F64,0)</f>
        <v/>
      </c>
      <c r="V64" s="19">
        <f>IFERROR(166.386*M64/F64,0)</f>
        <v/>
      </c>
      <c r="W64" s="19">
        <f>IFERROR(166.386*L64/F64,0)</f>
        <v/>
      </c>
    </row>
    <row r="65">
      <c r="A65" s="14" t="n">
        <v>2200</v>
      </c>
      <c r="B65" s="14" t="inlineStr">
        <is>
          <t>NAVEL TEMPRANA sem 4 y +</t>
        </is>
      </c>
      <c r="C65" s="15" t="n">
        <v>1592</v>
      </c>
      <c r="D65" s="14" t="inlineStr">
        <is>
          <t>SANTIAGO ESCABIA, JUAN</t>
        </is>
      </c>
      <c r="E65" s="14" t="inlineStr">
        <is>
          <t>NAVELINA</t>
        </is>
      </c>
      <c r="F65" s="15" t="n">
        <v>7460</v>
      </c>
      <c r="G65" s="16" t="n">
        <v>2736.29</v>
      </c>
      <c r="H65" s="17" t="n">
        <v>0.3667949061662198</v>
      </c>
      <c r="I65" s="16" t="n">
        <v>466.25</v>
      </c>
      <c r="J65" s="16" t="n">
        <v>106.43</v>
      </c>
      <c r="K65" s="16" t="n">
        <v>0</v>
      </c>
      <c r="L65" s="16" t="n">
        <v>0</v>
      </c>
      <c r="M65" s="16" t="n">
        <v>0</v>
      </c>
      <c r="N65" s="16" t="n">
        <v>2163.61</v>
      </c>
      <c r="O65" s="17" t="n">
        <v>0.31834</v>
      </c>
      <c r="P65" s="18" t="n">
        <v>12</v>
      </c>
      <c r="Q65" s="18" t="n">
        <v>2</v>
      </c>
      <c r="R65" s="16" t="n">
        <v>2374.78</v>
      </c>
      <c r="S65" s="14" t="inlineStr">
        <is>
          <t>NAVEL TEMPRANA sem 4 y +</t>
        </is>
      </c>
      <c r="T65" s="14" t="inlineStr">
        <is>
          <t>CITRICOS</t>
        </is>
      </c>
      <c r="U65" s="19">
        <f>IFERROR(166.386*I65/F65,0)</f>
        <v/>
      </c>
      <c r="V65" s="19">
        <f>IFERROR(166.386*M65/F65,0)</f>
        <v/>
      </c>
      <c r="W65" s="19">
        <f>IFERROR(166.386*L65/F65,0)</f>
        <v/>
      </c>
    </row>
    <row r="66">
      <c r="A66" s="14" t="n">
        <v>2200</v>
      </c>
      <c r="B66" s="14" t="inlineStr">
        <is>
          <t>NAVEL TEMPRANA sem 4 y +</t>
        </is>
      </c>
      <c r="C66" s="15" t="n">
        <v>1595</v>
      </c>
      <c r="D66" s="14" t="inlineStr">
        <is>
          <t>PEREZ JIMENEZ, MIGUEL</t>
        </is>
      </c>
      <c r="E66" s="14" t="inlineStr">
        <is>
          <t>NAVELINA</t>
        </is>
      </c>
      <c r="F66" s="15" t="n">
        <v>7851</v>
      </c>
      <c r="G66" s="16" t="n">
        <v>3066.15</v>
      </c>
      <c r="H66" s="17" t="n">
        <v>0.3905426060374474</v>
      </c>
      <c r="I66" s="16" t="n">
        <v>490.69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2575.46</v>
      </c>
      <c r="O66" s="17" t="n">
        <v>0.36006</v>
      </c>
      <c r="P66" s="18" t="n">
        <v>12</v>
      </c>
      <c r="Q66" s="18" t="n">
        <v>2</v>
      </c>
      <c r="R66" s="16" t="n">
        <v>2826.82</v>
      </c>
      <c r="S66" s="14" t="inlineStr">
        <is>
          <t>NAVEL TEMPRANA sem 4 y +</t>
        </is>
      </c>
      <c r="T66" s="14" t="inlineStr">
        <is>
          <t>CITRICOS</t>
        </is>
      </c>
      <c r="U66" s="19">
        <f>IFERROR(166.386*I66/F66,0)</f>
        <v/>
      </c>
      <c r="V66" s="19">
        <f>IFERROR(166.386*M66/F66,0)</f>
        <v/>
      </c>
      <c r="W66" s="19">
        <f>IFERROR(166.386*L66/F66,0)</f>
        <v/>
      </c>
    </row>
    <row r="67">
      <c r="A67" s="14" t="n">
        <v>2200</v>
      </c>
      <c r="B67" s="14" t="inlineStr">
        <is>
          <t>NAVEL TEMPRANA sem 4 y +</t>
        </is>
      </c>
      <c r="C67" s="15" t="n">
        <v>1598</v>
      </c>
      <c r="D67" s="14" t="inlineStr">
        <is>
          <t>PEREZ JIMENEZ, JUAN</t>
        </is>
      </c>
      <c r="E67" s="14" t="inlineStr">
        <is>
          <t>NAVELINA</t>
        </is>
      </c>
      <c r="F67" s="15" t="n">
        <v>2620</v>
      </c>
      <c r="G67" s="16" t="n">
        <v>1050.03</v>
      </c>
      <c r="H67" s="17" t="n">
        <v>0.4007748091603053</v>
      </c>
      <c r="I67" s="16" t="n">
        <v>163.75</v>
      </c>
      <c r="J67" s="16" t="n">
        <v>0</v>
      </c>
      <c r="K67" s="16" t="n">
        <v>0</v>
      </c>
      <c r="L67" s="16" t="n">
        <v>0</v>
      </c>
      <c r="M67" s="16" t="n">
        <v>0</v>
      </c>
      <c r="N67" s="16" t="n">
        <v>886.28</v>
      </c>
      <c r="O67" s="17" t="n">
        <v>0.37129</v>
      </c>
      <c r="P67" s="18" t="n">
        <v>12</v>
      </c>
      <c r="Q67" s="18" t="n">
        <v>2</v>
      </c>
      <c r="R67" s="16" t="n">
        <v>972.78</v>
      </c>
      <c r="S67" s="14" t="inlineStr">
        <is>
          <t>NAVEL TEMPRANA sem 4 y +</t>
        </is>
      </c>
      <c r="T67" s="14" t="inlineStr">
        <is>
          <t>CITRICOS</t>
        </is>
      </c>
      <c r="U67" s="19">
        <f>IFERROR(166.386*I67/F67,0)</f>
        <v/>
      </c>
      <c r="V67" s="19">
        <f>IFERROR(166.386*M67/F67,0)</f>
        <v/>
      </c>
      <c r="W67" s="19">
        <f>IFERROR(166.386*L67/F67,0)</f>
        <v/>
      </c>
    </row>
    <row r="68">
      <c r="A68" s="14" t="n">
        <v>2200</v>
      </c>
      <c r="B68" s="14" t="inlineStr">
        <is>
          <t>NAVEL TEMPRANA sem 4 y +</t>
        </is>
      </c>
      <c r="C68" s="15" t="n">
        <v>1607</v>
      </c>
      <c r="D68" s="14" t="inlineStr">
        <is>
          <t>FUNEZ RANDO, MARIA</t>
        </is>
      </c>
      <c r="E68" s="14" t="inlineStr">
        <is>
          <t>NAVELINA</t>
        </is>
      </c>
      <c r="F68" s="15" t="n">
        <v>3960</v>
      </c>
      <c r="G68" s="16" t="n">
        <v>1656.75</v>
      </c>
      <c r="H68" s="17" t="n">
        <v>0.4183712121212121</v>
      </c>
      <c r="I68" s="16" t="n">
        <v>247.5</v>
      </c>
      <c r="J68" s="16" t="n">
        <v>54.6</v>
      </c>
      <c r="K68" s="16" t="n">
        <v>0</v>
      </c>
      <c r="L68" s="16" t="n">
        <v>0</v>
      </c>
      <c r="M68" s="16" t="n">
        <v>0</v>
      </c>
      <c r="N68" s="16" t="n">
        <v>1354.65</v>
      </c>
      <c r="O68" s="17" t="n">
        <v>0.37547</v>
      </c>
      <c r="P68" s="18" t="n">
        <v>12</v>
      </c>
      <c r="Q68" s="18" t="n">
        <v>2</v>
      </c>
      <c r="R68" s="16" t="n">
        <v>1486.86</v>
      </c>
      <c r="S68" s="14" t="inlineStr">
        <is>
          <t>NAVEL TEMPRANA sem 4 y +</t>
        </is>
      </c>
      <c r="T68" s="14" t="inlineStr">
        <is>
          <t>CITRICOS</t>
        </is>
      </c>
      <c r="U68" s="19">
        <f>IFERROR(166.386*I68/F68,0)</f>
        <v/>
      </c>
      <c r="V68" s="19">
        <f>IFERROR(166.386*M68/F68,0)</f>
        <v/>
      </c>
      <c r="W68" s="19">
        <f>IFERROR(166.386*L68/F68,0)</f>
        <v/>
      </c>
    </row>
    <row r="69">
      <c r="A69" s="14" t="n">
        <v>2200</v>
      </c>
      <c r="B69" s="14" t="inlineStr">
        <is>
          <t>NAVEL TEMPRANA sem 4 y +</t>
        </is>
      </c>
      <c r="C69" s="15" t="n">
        <v>1608</v>
      </c>
      <c r="D69" s="14" t="inlineStr">
        <is>
          <t>ALVAREZ CUEVAS, MANUEL</t>
        </is>
      </c>
      <c r="E69" s="14" t="inlineStr">
        <is>
          <t>NAVELINA</t>
        </is>
      </c>
      <c r="F69" s="15" t="n">
        <v>23080</v>
      </c>
      <c r="G69" s="16" t="n">
        <v>9668</v>
      </c>
      <c r="H69" s="17" t="n">
        <v>0.4188908145580589</v>
      </c>
      <c r="I69" s="16" t="n">
        <v>1442.5</v>
      </c>
      <c r="J69" s="16" t="n">
        <v>0</v>
      </c>
      <c r="K69" s="16" t="n">
        <v>0</v>
      </c>
      <c r="L69" s="16" t="n">
        <v>0</v>
      </c>
      <c r="M69" s="16" t="n">
        <v>348.19</v>
      </c>
      <c r="N69" s="16" t="n">
        <v>8573.690000000001</v>
      </c>
      <c r="O69" s="17" t="n">
        <v>0.40773</v>
      </c>
      <c r="P69" s="18" t="n">
        <v>12</v>
      </c>
      <c r="Q69" s="18" t="n">
        <v>2</v>
      </c>
      <c r="R69" s="16" t="n">
        <v>9410.48</v>
      </c>
      <c r="S69" s="14" t="inlineStr">
        <is>
          <t>NAVEL TEMPRANA sem 4 y +</t>
        </is>
      </c>
      <c r="T69" s="14" t="inlineStr">
        <is>
          <t>CITRICOS</t>
        </is>
      </c>
      <c r="U69" s="19">
        <f>IFERROR(166.386*I69/F69,0)</f>
        <v/>
      </c>
      <c r="V69" s="19">
        <f>IFERROR(166.386*M69/F69,0)</f>
        <v/>
      </c>
      <c r="W69" s="19">
        <f>IFERROR(166.386*L69/F69,0)</f>
        <v/>
      </c>
    </row>
    <row r="70">
      <c r="A70" s="14" t="n">
        <v>2200</v>
      </c>
      <c r="B70" s="14" t="inlineStr">
        <is>
          <t>NAVEL TEMPRANA sem 4 y +</t>
        </is>
      </c>
      <c r="C70" s="15" t="n">
        <v>1610</v>
      </c>
      <c r="D70" s="14" t="inlineStr">
        <is>
          <t>JARAMAGO SANCHEZ, ELVIRA</t>
        </is>
      </c>
      <c r="E70" s="14" t="inlineStr">
        <is>
          <t>NAVELINA</t>
        </is>
      </c>
      <c r="F70" s="15" t="n">
        <v>22750</v>
      </c>
      <c r="G70" s="16" t="n">
        <v>8701.969999999999</v>
      </c>
      <c r="H70" s="17" t="n">
        <v>0.3825041758241758</v>
      </c>
      <c r="I70" s="16" t="n">
        <v>1421.88</v>
      </c>
      <c r="J70" s="16" t="n">
        <v>0</v>
      </c>
      <c r="K70" s="16" t="n">
        <v>0</v>
      </c>
      <c r="L70" s="16" t="n">
        <v>0</v>
      </c>
      <c r="M70" s="16" t="n">
        <v>0</v>
      </c>
      <c r="N70" s="16" t="n">
        <v>7280.09</v>
      </c>
      <c r="O70" s="17" t="n">
        <v>0.35124</v>
      </c>
      <c r="P70" s="18" t="n">
        <v>12</v>
      </c>
      <c r="Q70" s="18" t="n">
        <v>2</v>
      </c>
      <c r="R70" s="16" t="n">
        <v>7990.63</v>
      </c>
      <c r="S70" s="14" t="inlineStr">
        <is>
          <t>NAVEL TEMPRANA sem 4 y +</t>
        </is>
      </c>
      <c r="T70" s="14" t="inlineStr">
        <is>
          <t>CITRICOS</t>
        </is>
      </c>
      <c r="U70" s="19">
        <f>IFERROR(166.386*I70/F70,0)</f>
        <v/>
      </c>
      <c r="V70" s="19">
        <f>IFERROR(166.386*M70/F70,0)</f>
        <v/>
      </c>
      <c r="W70" s="19">
        <f>IFERROR(166.386*L70/F70,0)</f>
        <v/>
      </c>
    </row>
    <row r="71">
      <c r="A71" s="14" t="n">
        <v>2200</v>
      </c>
      <c r="B71" s="14" t="inlineStr">
        <is>
          <t>NAVEL TEMPRANA sem 4 y +</t>
        </is>
      </c>
      <c r="C71" s="15" t="n">
        <v>1613</v>
      </c>
      <c r="D71" s="14" t="inlineStr">
        <is>
          <t>MARTIN RUIZ, DOMINGO</t>
        </is>
      </c>
      <c r="E71" s="14" t="inlineStr">
        <is>
          <t>NAVELINA</t>
        </is>
      </c>
      <c r="F71" s="15" t="n">
        <v>16552</v>
      </c>
      <c r="G71" s="16" t="n">
        <v>5672.66</v>
      </c>
      <c r="H71" s="17" t="n">
        <v>0.3427174963750604</v>
      </c>
      <c r="I71" s="16" t="n">
        <v>1034.5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4638.16</v>
      </c>
      <c r="O71" s="17" t="n">
        <v>0.30757</v>
      </c>
      <c r="P71" s="18" t="n">
        <v>12</v>
      </c>
      <c r="Q71" s="18" t="n">
        <v>2</v>
      </c>
      <c r="R71" s="16" t="n">
        <v>5090.84</v>
      </c>
      <c r="S71" s="14" t="inlineStr">
        <is>
          <t>NAVEL TEMPRANA sem 4 y +</t>
        </is>
      </c>
      <c r="T71" s="14" t="inlineStr">
        <is>
          <t>CITRICOS</t>
        </is>
      </c>
      <c r="U71" s="19">
        <f>IFERROR(166.386*I71/F71,0)</f>
        <v/>
      </c>
      <c r="V71" s="19">
        <f>IFERROR(166.386*M71/F71,0)</f>
        <v/>
      </c>
      <c r="W71" s="19">
        <f>IFERROR(166.386*L71/F71,0)</f>
        <v/>
      </c>
    </row>
    <row r="72">
      <c r="A72" s="14" t="n">
        <v>2200</v>
      </c>
      <c r="B72" s="14" t="inlineStr">
        <is>
          <t>NAVEL TEMPRANA sem 4 y +</t>
        </is>
      </c>
      <c r="C72" s="15" t="n">
        <v>1614</v>
      </c>
      <c r="D72" s="14" t="inlineStr">
        <is>
          <t>MARIN SERRANO 2025 S.C.</t>
        </is>
      </c>
      <c r="E72" s="14" t="inlineStr">
        <is>
          <t>NAVELINA</t>
        </is>
      </c>
      <c r="F72" s="15" t="n">
        <v>189112</v>
      </c>
      <c r="G72" s="16" t="n">
        <v>68285.69</v>
      </c>
      <c r="H72" s="17" t="n">
        <v>0.3610859702187064</v>
      </c>
      <c r="I72" s="16" t="n">
        <v>11819.51</v>
      </c>
      <c r="J72" s="16" t="n">
        <v>362.34</v>
      </c>
      <c r="K72" s="16" t="n">
        <v>0</v>
      </c>
      <c r="L72" s="16" t="n">
        <v>0</v>
      </c>
      <c r="M72" s="16" t="n">
        <v>0</v>
      </c>
      <c r="N72" s="16" t="n">
        <v>56103.84</v>
      </c>
      <c r="O72" s="17" t="n">
        <v>0.32562</v>
      </c>
      <c r="P72" s="18" t="n">
        <v>12</v>
      </c>
      <c r="Q72" s="18" t="n">
        <v>2</v>
      </c>
      <c r="R72" s="16" t="n">
        <v>61579.57</v>
      </c>
      <c r="S72" s="14" t="inlineStr">
        <is>
          <t>NAVEL TEMPRANA sem 4 y +</t>
        </is>
      </c>
      <c r="T72" s="14" t="inlineStr">
        <is>
          <t>CITRICOS</t>
        </is>
      </c>
      <c r="U72" s="19">
        <f>IFERROR(166.386*I72/F72,0)</f>
        <v/>
      </c>
      <c r="V72" s="19">
        <f>IFERROR(166.386*M72/F72,0)</f>
        <v/>
      </c>
      <c r="W72" s="19">
        <f>IFERROR(166.386*L72/F72,0)</f>
        <v/>
      </c>
    </row>
    <row r="73">
      <c r="A73" s="14" t="n">
        <v>2200</v>
      </c>
      <c r="B73" s="14" t="inlineStr">
        <is>
          <t>NAVEL TEMPRANA sem 4 y +</t>
        </is>
      </c>
      <c r="C73" s="15" t="n">
        <v>1617</v>
      </c>
      <c r="D73" s="14" t="inlineStr">
        <is>
          <t>MARZAL LLOP, Mª LUISA</t>
        </is>
      </c>
      <c r="E73" s="14" t="inlineStr">
        <is>
          <t>NAVELINA</t>
        </is>
      </c>
      <c r="F73" s="15" t="n">
        <v>84567</v>
      </c>
      <c r="G73" s="16" t="n">
        <v>31761.49</v>
      </c>
      <c r="H73" s="17" t="n">
        <v>0.3755778258658815</v>
      </c>
      <c r="I73" s="16" t="n">
        <v>5285.44</v>
      </c>
      <c r="J73" s="16" t="n">
        <v>777.95</v>
      </c>
      <c r="K73" s="16" t="n">
        <v>0</v>
      </c>
      <c r="L73" s="16" t="n">
        <v>0</v>
      </c>
      <c r="M73" s="16" t="n">
        <v>0</v>
      </c>
      <c r="N73" s="16" t="n">
        <v>25698.1</v>
      </c>
      <c r="O73" s="17" t="n">
        <v>0.33354</v>
      </c>
      <c r="P73" s="18" t="n">
        <v>12</v>
      </c>
      <c r="Q73" s="18" t="n">
        <v>2</v>
      </c>
      <c r="R73" s="16" t="n">
        <v>28206.23</v>
      </c>
      <c r="S73" s="14" t="inlineStr">
        <is>
          <t>NAVEL TEMPRANA sem 4 y +</t>
        </is>
      </c>
      <c r="T73" s="14" t="inlineStr">
        <is>
          <t>CITRICOS</t>
        </is>
      </c>
      <c r="U73" s="19">
        <f>IFERROR(166.386*I73/F73,0)</f>
        <v/>
      </c>
      <c r="V73" s="19">
        <f>IFERROR(166.386*M73/F73,0)</f>
        <v/>
      </c>
      <c r="W73" s="19">
        <f>IFERROR(166.386*L73/F73,0)</f>
        <v/>
      </c>
    </row>
    <row r="74">
      <c r="A74" s="14" t="n">
        <v>2200</v>
      </c>
      <c r="B74" s="14" t="inlineStr">
        <is>
          <t>NAVEL TEMPRANA sem 4 y +</t>
        </is>
      </c>
      <c r="C74" s="15" t="n">
        <v>1623</v>
      </c>
      <c r="D74" s="14" t="inlineStr">
        <is>
          <t>GALLEGO BARRERA, GUILLERMO</t>
        </is>
      </c>
      <c r="E74" s="14" t="inlineStr">
        <is>
          <t>NAVELINA</t>
        </is>
      </c>
      <c r="F74" s="15" t="n">
        <v>112745</v>
      </c>
      <c r="G74" s="16" t="n">
        <v>40007.76</v>
      </c>
      <c r="H74" s="17" t="n">
        <v>0.354851745088474</v>
      </c>
      <c r="I74" s="16" t="n">
        <v>8127.94</v>
      </c>
      <c r="J74" s="16" t="n">
        <v>205.76</v>
      </c>
      <c r="K74" s="16" t="n">
        <v>0</v>
      </c>
      <c r="L74" s="16" t="n">
        <v>0</v>
      </c>
      <c r="M74" s="16" t="n">
        <v>0</v>
      </c>
      <c r="N74" s="16" t="n">
        <v>31674.06</v>
      </c>
      <c r="O74" s="17" t="n">
        <v>0.30835</v>
      </c>
      <c r="P74" s="18" t="n">
        <v>12</v>
      </c>
      <c r="Q74" s="18" t="n">
        <v>2</v>
      </c>
      <c r="R74" s="16" t="n">
        <v>34765.45</v>
      </c>
      <c r="S74" s="14" t="inlineStr">
        <is>
          <t>NAVEL TEMPRANA sem 4 y +</t>
        </is>
      </c>
      <c r="T74" s="14" t="inlineStr">
        <is>
          <t>CITRICOS</t>
        </is>
      </c>
      <c r="U74" s="19">
        <f>IFERROR(166.386*I74/F74,0)</f>
        <v/>
      </c>
      <c r="V74" s="19">
        <f>IFERROR(166.386*M74/F74,0)</f>
        <v/>
      </c>
      <c r="W74" s="19">
        <f>IFERROR(166.386*L74/F74,0)</f>
        <v/>
      </c>
    </row>
    <row r="75">
      <c r="A75" s="14" t="n">
        <v>2202</v>
      </c>
      <c r="B75" s="14" t="inlineStr">
        <is>
          <t>NAVEL TEMPRANA sem ultim</t>
        </is>
      </c>
      <c r="C75" s="15" t="n">
        <v>1429</v>
      </c>
      <c r="D75" s="14" t="inlineStr">
        <is>
          <t>MARTINEZ LOPEZ DE ROZAS,JUAN</t>
        </is>
      </c>
      <c r="E75" s="14" t="inlineStr">
        <is>
          <t>NAVELATE</t>
        </is>
      </c>
      <c r="F75" s="15" t="n">
        <v>21754</v>
      </c>
      <c r="G75" s="16" t="n">
        <v>7836.68</v>
      </c>
      <c r="H75" s="17" t="n">
        <v>0.3602408752413349</v>
      </c>
      <c r="I75" s="16" t="n">
        <v>1359.63</v>
      </c>
      <c r="J75" s="16" t="n">
        <v>215.73</v>
      </c>
      <c r="K75" s="16" t="n">
        <v>0</v>
      </c>
      <c r="L75" s="16" t="n">
        <v>0</v>
      </c>
      <c r="M75" s="16" t="n">
        <v>305.95</v>
      </c>
      <c r="N75" s="16" t="n">
        <v>6567.27</v>
      </c>
      <c r="O75" s="17" t="n">
        <v>0.33135</v>
      </c>
      <c r="P75" s="18" t="n">
        <v>12</v>
      </c>
      <c r="Q75" s="18" t="n">
        <v>2</v>
      </c>
      <c r="R75" s="16" t="n">
        <v>7208.24</v>
      </c>
      <c r="S75" s="14" t="inlineStr">
        <is>
          <t>NAVEL TEMPRANA sem ultim</t>
        </is>
      </c>
      <c r="T75" s="14" t="inlineStr">
        <is>
          <t>CITRICOS</t>
        </is>
      </c>
      <c r="U75" s="19">
        <f>IFERROR(166.386*I75/F75,0)</f>
        <v/>
      </c>
      <c r="V75" s="19">
        <f>IFERROR(166.386*M75/F75,0)</f>
        <v/>
      </c>
      <c r="W75" s="19">
        <f>IFERROR(166.386*L75/F75,0)</f>
        <v/>
      </c>
    </row>
    <row r="76">
      <c r="A76" s="14" t="n">
        <v>2203</v>
      </c>
      <c r="B76" s="14" t="inlineStr">
        <is>
          <t>BLANCA TEMPRANA sem2</t>
        </is>
      </c>
      <c r="C76" s="15" t="n">
        <v>1177</v>
      </c>
      <c r="D76" s="14" t="inlineStr">
        <is>
          <t>SANCHEZ SIERRA,JUAN ANTONIO</t>
        </is>
      </c>
      <c r="E76" s="14" t="inlineStr">
        <is>
          <t>SALUSTIANA</t>
        </is>
      </c>
      <c r="F76" s="15" t="n">
        <v>16564</v>
      </c>
      <c r="G76" s="16" t="n">
        <v>6359.95</v>
      </c>
      <c r="H76" s="17" t="n">
        <v>0.3839622071963294</v>
      </c>
      <c r="I76" s="16" t="n">
        <v>1192.61</v>
      </c>
      <c r="J76" s="16" t="n">
        <v>115.05</v>
      </c>
      <c r="K76" s="16" t="n">
        <v>0</v>
      </c>
      <c r="L76" s="16" t="n">
        <v>0</v>
      </c>
      <c r="M76" s="16" t="n">
        <v>0</v>
      </c>
      <c r="N76" s="16" t="n">
        <v>5052.29</v>
      </c>
      <c r="O76" s="17" t="n">
        <v>0.33479</v>
      </c>
      <c r="P76" s="18" t="n">
        <v>12</v>
      </c>
      <c r="Q76" s="18" t="n">
        <v>2</v>
      </c>
      <c r="R76" s="16" t="n">
        <v>5545.39</v>
      </c>
      <c r="S76" s="14" t="inlineStr">
        <is>
          <t>BLANCA TEMPRANA sem2</t>
        </is>
      </c>
      <c r="T76" s="14" t="inlineStr">
        <is>
          <t>CITRICOS</t>
        </is>
      </c>
      <c r="U76" s="19">
        <f>IFERROR(166.386*I76/F76,0)</f>
        <v/>
      </c>
      <c r="V76" s="19">
        <f>IFERROR(166.386*M76/F76,0)</f>
        <v/>
      </c>
      <c r="W76" s="19">
        <f>IFERROR(166.386*L76/F76,0)</f>
        <v/>
      </c>
    </row>
    <row r="77">
      <c r="A77" s="14" t="n">
        <v>2203</v>
      </c>
      <c r="B77" s="14" t="inlineStr">
        <is>
          <t>BLANCA TEMPRANA sem2</t>
        </is>
      </c>
      <c r="C77" s="15" t="n">
        <v>1384</v>
      </c>
      <c r="D77" s="14" t="inlineStr">
        <is>
          <t>RIEGO MARTIN,ANA BELEN</t>
        </is>
      </c>
      <c r="E77" s="14" t="inlineStr">
        <is>
          <t>SALUSTIANA</t>
        </is>
      </c>
      <c r="F77" s="15" t="n">
        <v>103352</v>
      </c>
      <c r="G77" s="16" t="n">
        <v>36064.89</v>
      </c>
      <c r="H77" s="17" t="n">
        <v>0.3489520280207447</v>
      </c>
      <c r="I77" s="16" t="n">
        <v>7440.77</v>
      </c>
      <c r="J77" s="16" t="n">
        <v>1148.16</v>
      </c>
      <c r="K77" s="16" t="n">
        <v>0</v>
      </c>
      <c r="L77" s="16" t="n">
        <v>0</v>
      </c>
      <c r="M77" s="16" t="n">
        <v>1361.18</v>
      </c>
      <c r="N77" s="16" t="n">
        <v>28837.14</v>
      </c>
      <c r="O77" s="17" t="n">
        <v>0.30625</v>
      </c>
      <c r="P77" s="18" t="n">
        <v>12</v>
      </c>
      <c r="Q77" s="18" t="n">
        <v>2</v>
      </c>
      <c r="R77" s="16" t="n">
        <v>31651.64</v>
      </c>
      <c r="S77" s="14" t="inlineStr">
        <is>
          <t>BLANCA TEMPRANA sem2</t>
        </is>
      </c>
      <c r="T77" s="14" t="inlineStr">
        <is>
          <t>CITRICOS</t>
        </is>
      </c>
      <c r="U77" s="19">
        <f>IFERROR(166.386*I77/F77,0)</f>
        <v/>
      </c>
      <c r="V77" s="19">
        <f>IFERROR(166.386*M77/F77,0)</f>
        <v/>
      </c>
      <c r="W77" s="19">
        <f>IFERROR(166.386*L77/F77,0)</f>
        <v/>
      </c>
    </row>
    <row r="78">
      <c r="A78" s="14" t="n">
        <v>2203</v>
      </c>
      <c r="B78" s="14" t="inlineStr">
        <is>
          <t>BLANCA TEMPRANA sem2</t>
        </is>
      </c>
      <c r="C78" s="15" t="n">
        <v>1585</v>
      </c>
      <c r="D78" s="14" t="inlineStr">
        <is>
          <t>CESPEDES AGUILAR, PATRICIA</t>
        </is>
      </c>
      <c r="E78" s="14" t="inlineStr">
        <is>
          <t>SALUSTIANA</t>
        </is>
      </c>
      <c r="F78" s="15" t="n">
        <v>30440</v>
      </c>
      <c r="G78" s="16" t="n">
        <v>10750.64</v>
      </c>
      <c r="H78" s="17" t="n">
        <v>0.3531747700394218</v>
      </c>
      <c r="I78" s="16" t="n">
        <v>2191.68</v>
      </c>
      <c r="J78" s="16" t="n">
        <v>204.88</v>
      </c>
      <c r="K78" s="16" t="n">
        <v>0</v>
      </c>
      <c r="L78" s="16" t="n">
        <v>0</v>
      </c>
      <c r="M78" s="16" t="n">
        <v>406.69</v>
      </c>
      <c r="N78" s="16" t="n">
        <v>8760.77</v>
      </c>
      <c r="O78" s="17" t="n">
        <v>0.31589</v>
      </c>
      <c r="P78" s="18" t="n">
        <v>12</v>
      </c>
      <c r="Q78" s="18" t="n">
        <v>2</v>
      </c>
      <c r="R78" s="16" t="n">
        <v>9615.82</v>
      </c>
      <c r="S78" s="14" t="inlineStr">
        <is>
          <t>BLANCA TEMPRANA sem2</t>
        </is>
      </c>
      <c r="T78" s="14" t="inlineStr">
        <is>
          <t>CITRICOS</t>
        </is>
      </c>
      <c r="U78" s="19">
        <f>IFERROR(166.386*I78/F78,0)</f>
        <v/>
      </c>
      <c r="V78" s="19">
        <f>IFERROR(166.386*M78/F78,0)</f>
        <v/>
      </c>
      <c r="W78" s="19">
        <f>IFERROR(166.386*L78/F78,0)</f>
        <v/>
      </c>
    </row>
    <row r="79">
      <c r="A79" s="14" t="n">
        <v>2203</v>
      </c>
      <c r="B79" s="14" t="inlineStr">
        <is>
          <t>BLANCA TEMPRANA sem2</t>
        </is>
      </c>
      <c r="C79" s="15" t="n">
        <v>1614</v>
      </c>
      <c r="D79" s="14" t="inlineStr">
        <is>
          <t>MARIN SERRANO 2025 S.C.</t>
        </is>
      </c>
      <c r="E79" s="14" t="inlineStr">
        <is>
          <t>SALUSTIANA</t>
        </is>
      </c>
      <c r="F79" s="15" t="n">
        <v>128509</v>
      </c>
      <c r="G79" s="16" t="n">
        <v>46228.99</v>
      </c>
      <c r="H79" s="17" t="n">
        <v>0.3597334817016707</v>
      </c>
      <c r="I79" s="16" t="n">
        <v>9252.65</v>
      </c>
      <c r="J79" s="16" t="n">
        <v>246.23</v>
      </c>
      <c r="K79" s="16" t="n">
        <v>0</v>
      </c>
      <c r="L79" s="16" t="n">
        <v>0</v>
      </c>
      <c r="M79" s="16" t="n">
        <v>0</v>
      </c>
      <c r="N79" s="16" t="n">
        <v>36730.11</v>
      </c>
      <c r="O79" s="17" t="n">
        <v>0.31371</v>
      </c>
      <c r="P79" s="18" t="n">
        <v>12</v>
      </c>
      <c r="Q79" s="18" t="n">
        <v>2</v>
      </c>
      <c r="R79" s="16" t="n">
        <v>40314.97</v>
      </c>
      <c r="S79" s="14" t="inlineStr">
        <is>
          <t>BLANCA TEMPRANA sem2</t>
        </is>
      </c>
      <c r="T79" s="14" t="inlineStr">
        <is>
          <t>CITRICOS</t>
        </is>
      </c>
      <c r="U79" s="19">
        <f>IFERROR(166.386*I79/F79,0)</f>
        <v/>
      </c>
      <c r="V79" s="19">
        <f>IFERROR(166.386*M79/F79,0)</f>
        <v/>
      </c>
      <c r="W79" s="19">
        <f>IFERROR(166.386*L79/F79,0)</f>
        <v/>
      </c>
    </row>
    <row r="80">
      <c r="A80" s="14" t="n">
        <v>2204</v>
      </c>
      <c r="B80" s="14" t="inlineStr">
        <is>
          <t>NAVEL TARDIA</t>
        </is>
      </c>
      <c r="C80" s="15" t="n">
        <v>798</v>
      </c>
      <c r="D80" s="14" t="inlineStr">
        <is>
          <t>PAREJA PAREJA,ISABEL</t>
        </is>
      </c>
      <c r="E80" s="14" t="inlineStr">
        <is>
          <t>LANE LATE</t>
        </is>
      </c>
      <c r="F80" s="15" t="n">
        <v>120686</v>
      </c>
      <c r="G80" s="16" t="n">
        <v>40982.17</v>
      </c>
      <c r="H80" s="17" t="n">
        <v>0.3395768357555972</v>
      </c>
      <c r="I80" s="16" t="n">
        <v>7542.88</v>
      </c>
      <c r="J80" s="16" t="n">
        <v>785.79</v>
      </c>
      <c r="K80" s="16" t="n">
        <v>0</v>
      </c>
      <c r="L80" s="16" t="n">
        <v>0</v>
      </c>
      <c r="M80" s="16" t="n">
        <v>1442.47</v>
      </c>
      <c r="N80" s="16" t="n">
        <v>34095.97</v>
      </c>
      <c r="O80" s="17" t="n">
        <v>0.31009</v>
      </c>
      <c r="P80" s="18" t="n">
        <v>12</v>
      </c>
      <c r="Q80" s="18" t="n">
        <v>2</v>
      </c>
      <c r="R80" s="16" t="n">
        <v>37423.74</v>
      </c>
      <c r="S80" s="14" t="inlineStr">
        <is>
          <t>NAVEL TARDIA</t>
        </is>
      </c>
      <c r="T80" s="14" t="inlineStr">
        <is>
          <t>CITRICOS</t>
        </is>
      </c>
      <c r="U80" s="19">
        <f>IFERROR(166.386*I80/F80,0)</f>
        <v/>
      </c>
      <c r="V80" s="19">
        <f>IFERROR(166.386*M80/F80,0)</f>
        <v/>
      </c>
      <c r="W80" s="19">
        <f>IFERROR(166.386*L80/F80,0)</f>
        <v/>
      </c>
    </row>
    <row r="81">
      <c r="A81" s="14" t="n">
        <v>2204</v>
      </c>
      <c r="B81" s="14" t="inlineStr">
        <is>
          <t>NAVEL TARDIA</t>
        </is>
      </c>
      <c r="C81" s="15" t="n">
        <v>818</v>
      </c>
      <c r="D81" s="14" t="inlineStr">
        <is>
          <t>CARBONELL MEMBRILLA,RAFAEL</t>
        </is>
      </c>
      <c r="E81" s="14" t="inlineStr">
        <is>
          <t>LANE LATE</t>
        </is>
      </c>
      <c r="F81" s="15" t="n">
        <v>50060</v>
      </c>
      <c r="G81" s="16" t="n">
        <v>22980.65</v>
      </c>
      <c r="H81" s="17" t="n">
        <v>0.4590621254494606</v>
      </c>
      <c r="I81" s="16" t="n">
        <v>3128.75</v>
      </c>
      <c r="J81" s="16" t="n">
        <v>209.85</v>
      </c>
      <c r="K81" s="16" t="n">
        <v>0</v>
      </c>
      <c r="L81" s="16" t="n">
        <v>555.67</v>
      </c>
      <c r="M81" s="16" t="n">
        <v>0</v>
      </c>
      <c r="N81" s="16" t="n">
        <v>20197.72</v>
      </c>
      <c r="O81" s="17" t="n">
        <v>0.44285</v>
      </c>
      <c r="P81" s="18" t="n">
        <v>12</v>
      </c>
      <c r="Q81" s="18" t="n">
        <v>2</v>
      </c>
      <c r="R81" s="16" t="n">
        <v>22169.02</v>
      </c>
      <c r="S81" s="14" t="inlineStr">
        <is>
          <t>NAVEL TARDIA</t>
        </is>
      </c>
      <c r="T81" s="14" t="inlineStr">
        <is>
          <t>CITRICOS</t>
        </is>
      </c>
      <c r="U81" s="19">
        <f>IFERROR(166.386*I81/F81,0)</f>
        <v/>
      </c>
      <c r="V81" s="19">
        <f>IFERROR(166.386*M81/F81,0)</f>
        <v/>
      </c>
      <c r="W81" s="19">
        <f>IFERROR(166.386*L81/F81,0)</f>
        <v/>
      </c>
    </row>
    <row r="82">
      <c r="A82" s="14" t="n">
        <v>2204</v>
      </c>
      <c r="B82" s="14" t="inlineStr">
        <is>
          <t>NAVEL TARDIA</t>
        </is>
      </c>
      <c r="C82" s="15" t="n">
        <v>904</v>
      </c>
      <c r="D82" s="14" t="inlineStr">
        <is>
          <t>FERNANDEZ MELENDEZ,ANGEL</t>
        </is>
      </c>
      <c r="E82" s="14" t="inlineStr">
        <is>
          <t>LANE LATE</t>
        </is>
      </c>
      <c r="F82" s="15" t="n">
        <v>55601</v>
      </c>
      <c r="G82" s="16" t="n">
        <v>22702.33</v>
      </c>
      <c r="H82" s="17" t="n">
        <v>0.4083079441017248</v>
      </c>
      <c r="I82" s="16" t="n">
        <v>3475.07</v>
      </c>
      <c r="J82" s="16" t="n">
        <v>331.85</v>
      </c>
      <c r="K82" s="16" t="n">
        <v>0</v>
      </c>
      <c r="L82" s="16" t="n">
        <v>0</v>
      </c>
      <c r="M82" s="16" t="n">
        <v>0</v>
      </c>
      <c r="N82" s="16" t="n">
        <v>18895.41</v>
      </c>
      <c r="O82" s="17" t="n">
        <v>0.37301</v>
      </c>
      <c r="P82" s="18" t="n">
        <v>12</v>
      </c>
      <c r="Q82" s="18" t="n">
        <v>2</v>
      </c>
      <c r="R82" s="16" t="n">
        <v>20739.6</v>
      </c>
      <c r="S82" s="14" t="inlineStr">
        <is>
          <t>NAVEL TARDIA</t>
        </is>
      </c>
      <c r="T82" s="14" t="inlineStr">
        <is>
          <t>CITRICOS</t>
        </is>
      </c>
      <c r="U82" s="19">
        <f>IFERROR(166.386*I82/F82,0)</f>
        <v/>
      </c>
      <c r="V82" s="19">
        <f>IFERROR(166.386*M82/F82,0)</f>
        <v/>
      </c>
      <c r="W82" s="19">
        <f>IFERROR(166.386*L82/F82,0)</f>
        <v/>
      </c>
    </row>
    <row r="83">
      <c r="A83" s="14" t="n">
        <v>2204</v>
      </c>
      <c r="B83" s="14" t="inlineStr">
        <is>
          <t>NAVEL TARDIA</t>
        </is>
      </c>
      <c r="C83" s="15" t="n">
        <v>937</v>
      </c>
      <c r="D83" s="14" t="inlineStr">
        <is>
          <t>GALVEZ MACIAS,FRANCISCO</t>
        </is>
      </c>
      <c r="E83" s="14" t="inlineStr">
        <is>
          <t>LANE LATE</t>
        </is>
      </c>
      <c r="F83" s="15" t="n">
        <v>10940</v>
      </c>
      <c r="G83" s="16" t="n">
        <v>4738.88</v>
      </c>
      <c r="H83" s="17" t="n">
        <v>0.4331700182815357</v>
      </c>
      <c r="I83" s="16" t="n">
        <v>683.75</v>
      </c>
      <c r="J83" s="16" t="n">
        <v>89.41</v>
      </c>
      <c r="K83" s="16" t="n">
        <v>0</v>
      </c>
      <c r="L83" s="16" t="n">
        <v>0</v>
      </c>
      <c r="M83" s="16" t="n">
        <v>156.7</v>
      </c>
      <c r="N83" s="16" t="n">
        <v>4122.42</v>
      </c>
      <c r="O83" s="17" t="n">
        <v>0.4136</v>
      </c>
      <c r="P83" s="18" t="n">
        <v>12</v>
      </c>
      <c r="Q83" s="18" t="n">
        <v>2</v>
      </c>
      <c r="R83" s="16" t="n">
        <v>4524.77</v>
      </c>
      <c r="S83" s="14" t="inlineStr">
        <is>
          <t>NAVEL TARDIA</t>
        </is>
      </c>
      <c r="T83" s="14" t="inlineStr">
        <is>
          <t>CITRICOS</t>
        </is>
      </c>
      <c r="U83" s="19">
        <f>IFERROR(166.386*I83/F83,0)</f>
        <v/>
      </c>
      <c r="V83" s="19">
        <f>IFERROR(166.386*M83/F83,0)</f>
        <v/>
      </c>
      <c r="W83" s="19">
        <f>IFERROR(166.386*L83/F83,0)</f>
        <v/>
      </c>
    </row>
    <row r="84">
      <c r="A84" s="14" t="n">
        <v>2204</v>
      </c>
      <c r="B84" s="14" t="inlineStr">
        <is>
          <t>NAVEL TARDIA</t>
        </is>
      </c>
      <c r="C84" s="15" t="n">
        <v>994</v>
      </c>
      <c r="D84" s="14" t="inlineStr">
        <is>
          <t>MARTINEZ PASADAS,FRANCISCO JAVIER</t>
        </is>
      </c>
      <c r="E84" s="14" t="inlineStr">
        <is>
          <t>BARNFIELD</t>
        </is>
      </c>
      <c r="F84" s="15" t="n">
        <v>16740</v>
      </c>
      <c r="G84" s="16" t="n">
        <v>7537.3</v>
      </c>
      <c r="H84" s="17" t="n">
        <v>0.4502568697729988</v>
      </c>
      <c r="I84" s="16" t="n">
        <v>1046.25</v>
      </c>
      <c r="J84" s="16" t="n">
        <v>161.34</v>
      </c>
      <c r="K84" s="16" t="n">
        <v>0</v>
      </c>
      <c r="L84" s="16" t="n">
        <v>0</v>
      </c>
      <c r="M84" s="16" t="n">
        <v>0</v>
      </c>
      <c r="N84" s="16" t="n">
        <v>6329.71</v>
      </c>
      <c r="O84" s="17" t="n">
        <v>0.41502</v>
      </c>
      <c r="P84" s="18" t="n">
        <v>12</v>
      </c>
      <c r="Q84" s="18" t="n">
        <v>2</v>
      </c>
      <c r="R84" s="16" t="n">
        <v>6947.49</v>
      </c>
      <c r="S84" s="14" t="inlineStr">
        <is>
          <t>NAVEL TARDIA</t>
        </is>
      </c>
      <c r="T84" s="14" t="inlineStr">
        <is>
          <t>CITRICOS</t>
        </is>
      </c>
      <c r="U84" s="19">
        <f>IFERROR(166.386*I84/F84,0)</f>
        <v/>
      </c>
      <c r="V84" s="19">
        <f>IFERROR(166.386*M84/F84,0)</f>
        <v/>
      </c>
      <c r="W84" s="19">
        <f>IFERROR(166.386*L84/F84,0)</f>
        <v/>
      </c>
    </row>
    <row r="85">
      <c r="A85" s="14" t="n">
        <v>2204</v>
      </c>
      <c r="B85" s="14" t="inlineStr">
        <is>
          <t>NAVEL TARDIA</t>
        </is>
      </c>
      <c r="C85" s="15" t="n">
        <v>1133</v>
      </c>
      <c r="D85" s="14" t="inlineStr">
        <is>
          <t>MAYFE S.C.</t>
        </is>
      </c>
      <c r="E85" s="14" t="inlineStr">
        <is>
          <t>CHISLETT SUMER</t>
        </is>
      </c>
      <c r="F85" s="15" t="n">
        <v>9180</v>
      </c>
      <c r="G85" s="16" t="n">
        <v>4226.8</v>
      </c>
      <c r="H85" s="17" t="n">
        <v>0.4604357298474945</v>
      </c>
      <c r="I85" s="16" t="n">
        <v>573.75</v>
      </c>
      <c r="J85" s="16" t="n">
        <v>87.20999999999999</v>
      </c>
      <c r="K85" s="16" t="n">
        <v>0</v>
      </c>
      <c r="L85" s="16" t="n">
        <v>0</v>
      </c>
      <c r="M85" s="16" t="n">
        <v>0</v>
      </c>
      <c r="N85" s="16" t="n">
        <v>3565.84</v>
      </c>
      <c r="O85" s="17" t="n">
        <v>0.42635</v>
      </c>
      <c r="P85" s="18" t="n">
        <v>12</v>
      </c>
      <c r="Q85" s="18" t="n">
        <v>2</v>
      </c>
      <c r="R85" s="16" t="n">
        <v>3913.87</v>
      </c>
      <c r="S85" s="14" t="inlineStr">
        <is>
          <t>NAVEL TARDIA</t>
        </is>
      </c>
      <c r="T85" s="14" t="inlineStr">
        <is>
          <t>CITRICOS</t>
        </is>
      </c>
      <c r="U85" s="19">
        <f>IFERROR(166.386*I85/F85,0)</f>
        <v/>
      </c>
      <c r="V85" s="19">
        <f>IFERROR(166.386*M85/F85,0)</f>
        <v/>
      </c>
      <c r="W85" s="19">
        <f>IFERROR(166.386*L85/F85,0)</f>
        <v/>
      </c>
    </row>
    <row r="86">
      <c r="A86" s="14" t="n">
        <v>2204</v>
      </c>
      <c r="B86" s="14" t="inlineStr">
        <is>
          <t>NAVEL TARDIA</t>
        </is>
      </c>
      <c r="C86" s="15" t="n">
        <v>1133</v>
      </c>
      <c r="D86" s="14" t="inlineStr">
        <is>
          <t>MAYFE S.C.</t>
        </is>
      </c>
      <c r="E86" s="14" t="inlineStr">
        <is>
          <t>LANE LATE</t>
        </is>
      </c>
      <c r="F86" s="15" t="n">
        <v>93690</v>
      </c>
      <c r="G86" s="16" t="n">
        <v>40641.11</v>
      </c>
      <c r="H86" s="17" t="n">
        <v>0.4337827943216992</v>
      </c>
      <c r="I86" s="16" t="n">
        <v>5855.62</v>
      </c>
      <c r="J86" s="16" t="n">
        <v>890.08</v>
      </c>
      <c r="K86" s="16" t="n">
        <v>0</v>
      </c>
      <c r="L86" s="16" t="n">
        <v>0</v>
      </c>
      <c r="M86" s="16" t="n">
        <v>0</v>
      </c>
      <c r="N86" s="16" t="n">
        <v>33895.41</v>
      </c>
      <c r="O86" s="17" t="n">
        <v>0.39709</v>
      </c>
      <c r="P86" s="18" t="n">
        <v>12</v>
      </c>
      <c r="Q86" s="18" t="n">
        <v>2</v>
      </c>
      <c r="R86" s="16" t="n">
        <v>37203.6</v>
      </c>
      <c r="S86" s="14" t="inlineStr">
        <is>
          <t>NAVEL TARDIA</t>
        </is>
      </c>
      <c r="T86" s="14" t="inlineStr">
        <is>
          <t>CITRICOS</t>
        </is>
      </c>
      <c r="U86" s="19">
        <f>IFERROR(166.386*I86/F86,0)</f>
        <v/>
      </c>
      <c r="V86" s="19">
        <f>IFERROR(166.386*M86/F86,0)</f>
        <v/>
      </c>
      <c r="W86" s="19">
        <f>IFERROR(166.386*L86/F86,0)</f>
        <v/>
      </c>
    </row>
    <row r="87">
      <c r="A87" s="14" t="n">
        <v>2204</v>
      </c>
      <c r="B87" s="14" t="inlineStr">
        <is>
          <t>NAVEL TARDIA</t>
        </is>
      </c>
      <c r="C87" s="15" t="n">
        <v>1205</v>
      </c>
      <c r="D87" s="14" t="inlineStr">
        <is>
          <t>OLIVER JIMENEZ,MARIA MERCEDES</t>
        </is>
      </c>
      <c r="E87" s="14" t="inlineStr">
        <is>
          <t>LANE LATE</t>
        </is>
      </c>
      <c r="F87" s="15" t="n">
        <v>42167</v>
      </c>
      <c r="G87" s="16" t="n">
        <v>17437.46</v>
      </c>
      <c r="H87" s="17" t="n">
        <v>0.4135333317523182</v>
      </c>
      <c r="I87" s="16" t="n">
        <v>2635.44</v>
      </c>
      <c r="J87" s="16" t="n">
        <v>350.94</v>
      </c>
      <c r="K87" s="16" t="n">
        <v>0</v>
      </c>
      <c r="L87" s="16" t="n">
        <v>0</v>
      </c>
      <c r="M87" s="16" t="n">
        <v>0</v>
      </c>
      <c r="N87" s="16" t="n">
        <v>14451.08</v>
      </c>
      <c r="O87" s="17" t="n">
        <v>0.37616</v>
      </c>
      <c r="P87" s="18" t="n">
        <v>12</v>
      </c>
      <c r="Q87" s="18" t="n">
        <v>2</v>
      </c>
      <c r="R87" s="16" t="n">
        <v>15861.51</v>
      </c>
      <c r="S87" s="14" t="inlineStr">
        <is>
          <t>NAVEL TARDIA</t>
        </is>
      </c>
      <c r="T87" s="14" t="inlineStr">
        <is>
          <t>CITRICOS</t>
        </is>
      </c>
      <c r="U87" s="19">
        <f>IFERROR(166.386*I87/F87,0)</f>
        <v/>
      </c>
      <c r="V87" s="19">
        <f>IFERROR(166.386*M87/F87,0)</f>
        <v/>
      </c>
      <c r="W87" s="19">
        <f>IFERROR(166.386*L87/F87,0)</f>
        <v/>
      </c>
    </row>
    <row r="88">
      <c r="A88" s="14" t="n">
        <v>2204</v>
      </c>
      <c r="B88" s="14" t="inlineStr">
        <is>
          <t>NAVEL TARDIA</t>
        </is>
      </c>
      <c r="C88" s="15" t="n">
        <v>1252</v>
      </c>
      <c r="D88" s="14" t="inlineStr">
        <is>
          <t>CRESPO RINCON,PURIFICACION</t>
        </is>
      </c>
      <c r="E88" s="14" t="inlineStr">
        <is>
          <t>CHISLETT SUMER</t>
        </is>
      </c>
      <c r="F88" s="15" t="n">
        <v>54615</v>
      </c>
      <c r="G88" s="16" t="n">
        <v>23894.72</v>
      </c>
      <c r="H88" s="17" t="n">
        <v>0.4375120388171748</v>
      </c>
      <c r="I88" s="16" t="n">
        <v>3413.44</v>
      </c>
      <c r="J88" s="16" t="n">
        <v>759.66</v>
      </c>
      <c r="K88" s="16" t="n">
        <v>0</v>
      </c>
      <c r="L88" s="16" t="n">
        <v>0</v>
      </c>
      <c r="M88" s="16" t="n">
        <v>741.79</v>
      </c>
      <c r="N88" s="16" t="n">
        <v>20463.41</v>
      </c>
      <c r="O88" s="17" t="n">
        <v>0.41125</v>
      </c>
      <c r="P88" s="18" t="n">
        <v>12</v>
      </c>
      <c r="Q88" s="18" t="n">
        <v>2</v>
      </c>
      <c r="R88" s="16" t="n">
        <v>22460.64</v>
      </c>
      <c r="S88" s="14" t="inlineStr">
        <is>
          <t>NAVEL TARDIA</t>
        </is>
      </c>
      <c r="T88" s="14" t="inlineStr">
        <is>
          <t>CITRICOS</t>
        </is>
      </c>
      <c r="U88" s="19">
        <f>IFERROR(166.386*I88/F88,0)</f>
        <v/>
      </c>
      <c r="V88" s="19">
        <f>IFERROR(166.386*M88/F88,0)</f>
        <v/>
      </c>
      <c r="W88" s="19">
        <f>IFERROR(166.386*L88/F88,0)</f>
        <v/>
      </c>
    </row>
    <row r="89">
      <c r="A89" s="14" t="n">
        <v>2204</v>
      </c>
      <c r="B89" s="14" t="inlineStr">
        <is>
          <t>NAVEL TARDIA</t>
        </is>
      </c>
      <c r="C89" s="15" t="n">
        <v>1255</v>
      </c>
      <c r="D89" s="14" t="inlineStr">
        <is>
          <t>CHAMIZO AGREDANO,JUAN</t>
        </is>
      </c>
      <c r="E89" s="14" t="inlineStr">
        <is>
          <t>LANE LATE</t>
        </is>
      </c>
      <c r="F89" s="15" t="n">
        <v>29107</v>
      </c>
      <c r="G89" s="16" t="n">
        <v>11354.13</v>
      </c>
      <c r="H89" s="17" t="n">
        <v>0.3900824543924142</v>
      </c>
      <c r="I89" s="16" t="n">
        <v>1819.18</v>
      </c>
      <c r="J89" s="16" t="n">
        <v>188.62</v>
      </c>
      <c r="K89" s="16" t="n">
        <v>0</v>
      </c>
      <c r="L89" s="16" t="n">
        <v>0</v>
      </c>
      <c r="M89" s="16" t="n">
        <v>385.21</v>
      </c>
      <c r="N89" s="16" t="n">
        <v>9731.540000000001</v>
      </c>
      <c r="O89" s="17" t="n">
        <v>0.36697</v>
      </c>
      <c r="P89" s="18" t="n">
        <v>12</v>
      </c>
      <c r="Q89" s="18" t="n">
        <v>2</v>
      </c>
      <c r="R89" s="16" t="n">
        <v>10681.34</v>
      </c>
      <c r="S89" s="14" t="inlineStr">
        <is>
          <t>NAVEL TARDIA</t>
        </is>
      </c>
      <c r="T89" s="14" t="inlineStr">
        <is>
          <t>CITRICOS</t>
        </is>
      </c>
      <c r="U89" s="19">
        <f>IFERROR(166.386*I89/F89,0)</f>
        <v/>
      </c>
      <c r="V89" s="19">
        <f>IFERROR(166.386*M89/F89,0)</f>
        <v/>
      </c>
      <c r="W89" s="19">
        <f>IFERROR(166.386*L89/F89,0)</f>
        <v/>
      </c>
    </row>
    <row r="90">
      <c r="A90" s="14" t="n">
        <v>2204</v>
      </c>
      <c r="B90" s="14" t="inlineStr">
        <is>
          <t>NAVEL TARDIA</t>
        </is>
      </c>
      <c r="C90" s="15" t="n">
        <v>1272</v>
      </c>
      <c r="D90" s="14" t="inlineStr">
        <is>
          <t>HERMANOS GONZALEZ ROLDAN,S.C.</t>
        </is>
      </c>
      <c r="E90" s="14" t="inlineStr">
        <is>
          <t>LANE LATE</t>
        </is>
      </c>
      <c r="F90" s="15" t="n">
        <v>201320</v>
      </c>
      <c r="G90" s="16" t="n">
        <v>87675.48</v>
      </c>
      <c r="H90" s="17" t="n">
        <v>0.4355030796741506</v>
      </c>
      <c r="I90" s="16" t="n">
        <v>12582.51</v>
      </c>
      <c r="J90" s="16" t="n">
        <v>3700.06</v>
      </c>
      <c r="K90" s="16" t="n">
        <v>0</v>
      </c>
      <c r="L90" s="16" t="n">
        <v>0</v>
      </c>
      <c r="M90" s="16" t="n">
        <v>2823</v>
      </c>
      <c r="N90" s="16" t="n">
        <v>74215.91</v>
      </c>
      <c r="O90" s="17" t="n">
        <v>0.40463</v>
      </c>
      <c r="P90" s="18" t="n">
        <v>12</v>
      </c>
      <c r="Q90" s="18" t="n">
        <v>2</v>
      </c>
      <c r="R90" s="16" t="n">
        <v>81459.38</v>
      </c>
      <c r="S90" s="14" t="inlineStr">
        <is>
          <t>NAVEL TARDIA</t>
        </is>
      </c>
      <c r="T90" s="14" t="inlineStr">
        <is>
          <t>CITRICOS</t>
        </is>
      </c>
      <c r="U90" s="19">
        <f>IFERROR(166.386*I90/F90,0)</f>
        <v/>
      </c>
      <c r="V90" s="19">
        <f>IFERROR(166.386*M90/F90,0)</f>
        <v/>
      </c>
      <c r="W90" s="19">
        <f>IFERROR(166.386*L90/F90,0)</f>
        <v/>
      </c>
    </row>
    <row r="91">
      <c r="A91" s="14" t="n">
        <v>2204</v>
      </c>
      <c r="B91" s="14" t="inlineStr">
        <is>
          <t>NAVEL TARDIA</t>
        </is>
      </c>
      <c r="C91" s="15" t="n">
        <v>1389</v>
      </c>
      <c r="D91" s="14" t="inlineStr">
        <is>
          <t>AGRICOLA HUERTA LA MEJORA S.C.</t>
        </is>
      </c>
      <c r="E91" s="14" t="inlineStr">
        <is>
          <t>LANE LATE</t>
        </is>
      </c>
      <c r="F91" s="15" t="n">
        <v>8160</v>
      </c>
      <c r="G91" s="16" t="n">
        <v>3564.26</v>
      </c>
      <c r="H91" s="17" t="n">
        <v>0.436796568627451</v>
      </c>
      <c r="I91" s="16" t="n">
        <v>510</v>
      </c>
      <c r="J91" s="16" t="n">
        <v>122.75</v>
      </c>
      <c r="K91" s="16" t="n">
        <v>0</v>
      </c>
      <c r="L91" s="16" t="n">
        <v>0</v>
      </c>
      <c r="M91" s="16" t="n">
        <v>121.84</v>
      </c>
      <c r="N91" s="16" t="n">
        <v>3053.35</v>
      </c>
      <c r="O91" s="17" t="n">
        <v>0.41071</v>
      </c>
      <c r="P91" s="18" t="n">
        <v>12</v>
      </c>
      <c r="Q91" s="18" t="n">
        <v>2</v>
      </c>
      <c r="R91" s="16" t="n">
        <v>3351.36</v>
      </c>
      <c r="S91" s="14" t="inlineStr">
        <is>
          <t>NAVEL TARDIA</t>
        </is>
      </c>
      <c r="T91" s="14" t="inlineStr">
        <is>
          <t>CITRICOS</t>
        </is>
      </c>
      <c r="U91" s="19">
        <f>IFERROR(166.386*I91/F91,0)</f>
        <v/>
      </c>
      <c r="V91" s="19">
        <f>IFERROR(166.386*M91/F91,0)</f>
        <v/>
      </c>
      <c r="W91" s="19">
        <f>IFERROR(166.386*L91/F91,0)</f>
        <v/>
      </c>
    </row>
    <row r="92">
      <c r="A92" s="14" t="n">
        <v>2204</v>
      </c>
      <c r="B92" s="14" t="inlineStr">
        <is>
          <t>NAVEL TARDIA</t>
        </is>
      </c>
      <c r="C92" s="15" t="n">
        <v>1415</v>
      </c>
      <c r="D92" s="14" t="inlineStr">
        <is>
          <t>TOMENO SUAREZ,FERNANDO</t>
        </is>
      </c>
      <c r="E92" s="14" t="inlineStr">
        <is>
          <t>BARNFIELD</t>
        </is>
      </c>
      <c r="F92" s="15" t="n">
        <v>85937</v>
      </c>
      <c r="G92" s="16" t="n">
        <v>37527.55</v>
      </c>
      <c r="H92" s="17" t="n">
        <v>0.4366867589047791</v>
      </c>
      <c r="I92" s="16" t="n">
        <v>0</v>
      </c>
      <c r="J92" s="16" t="n">
        <v>302.83</v>
      </c>
      <c r="K92" s="16" t="n">
        <v>0</v>
      </c>
      <c r="L92" s="16" t="n">
        <v>802.74</v>
      </c>
      <c r="M92" s="16" t="n">
        <v>1286.93</v>
      </c>
      <c r="N92" s="16" t="n">
        <v>39314.39</v>
      </c>
      <c r="O92" s="17" t="n">
        <v>0.50213</v>
      </c>
      <c r="P92" s="18" t="n">
        <v>12</v>
      </c>
      <c r="Q92" s="18" t="n">
        <v>2</v>
      </c>
      <c r="R92" s="16" t="n">
        <v>43151.47</v>
      </c>
      <c r="S92" s="14" t="inlineStr">
        <is>
          <t>NAVEL TARDIA</t>
        </is>
      </c>
      <c r="T92" s="14" t="inlineStr">
        <is>
          <t>CITRICOS</t>
        </is>
      </c>
      <c r="U92" s="19">
        <f>IFERROR(166.386*I92/F92,0)</f>
        <v/>
      </c>
      <c r="V92" s="19">
        <f>IFERROR(166.386*M92/F92,0)</f>
        <v/>
      </c>
      <c r="W92" s="19">
        <f>IFERROR(166.386*L92/F92,0)</f>
        <v/>
      </c>
    </row>
    <row r="93">
      <c r="A93" s="14" t="n">
        <v>2204</v>
      </c>
      <c r="B93" s="14" t="inlineStr">
        <is>
          <t>NAVEL TARDIA</t>
        </is>
      </c>
      <c r="C93" s="15" t="n">
        <v>1415</v>
      </c>
      <c r="D93" s="14" t="inlineStr">
        <is>
          <t>TOMENO SUAREZ,FERNANDO</t>
        </is>
      </c>
      <c r="E93" s="14" t="inlineStr">
        <is>
          <t>LANE LATE</t>
        </is>
      </c>
      <c r="F93" s="15" t="n">
        <v>55963</v>
      </c>
      <c r="G93" s="16" t="n">
        <v>22633.06</v>
      </c>
      <c r="H93" s="17" t="n">
        <v>0.4044289977306434</v>
      </c>
      <c r="I93" s="16" t="n">
        <v>0</v>
      </c>
      <c r="J93" s="16" t="n">
        <v>197.21</v>
      </c>
      <c r="K93" s="16" t="n">
        <v>0</v>
      </c>
      <c r="L93" s="16" t="n">
        <v>621.1900000000001</v>
      </c>
      <c r="M93" s="16" t="n">
        <v>713.1</v>
      </c>
      <c r="N93" s="16" t="n">
        <v>23770.14</v>
      </c>
      <c r="O93" s="17" t="n">
        <v>0.4662</v>
      </c>
      <c r="P93" s="18" t="n">
        <v>12</v>
      </c>
      <c r="Q93" s="18" t="n">
        <v>2</v>
      </c>
      <c r="R93" s="16" t="n">
        <v>26090.11</v>
      </c>
      <c r="S93" s="14" t="inlineStr">
        <is>
          <t>NAVEL TARDIA</t>
        </is>
      </c>
      <c r="T93" s="14" t="inlineStr">
        <is>
          <t>CITRICOS</t>
        </is>
      </c>
      <c r="U93" s="19">
        <f>IFERROR(166.386*I93/F93,0)</f>
        <v/>
      </c>
      <c r="V93" s="19">
        <f>IFERROR(166.386*M93/F93,0)</f>
        <v/>
      </c>
      <c r="W93" s="19">
        <f>IFERROR(166.386*L93/F93,0)</f>
        <v/>
      </c>
    </row>
    <row r="94">
      <c r="A94" s="14" t="n">
        <v>2204</v>
      </c>
      <c r="B94" s="14" t="inlineStr">
        <is>
          <t>NAVEL TARDIA</t>
        </is>
      </c>
      <c r="C94" s="15" t="n">
        <v>1445</v>
      </c>
      <c r="D94" s="14" t="inlineStr">
        <is>
          <t>REAL GARCIA,MIGUEL</t>
        </is>
      </c>
      <c r="E94" s="14" t="inlineStr">
        <is>
          <t>LANE LATE</t>
        </is>
      </c>
      <c r="F94" s="15" t="n">
        <v>29291</v>
      </c>
      <c r="G94" s="16" t="n">
        <v>10624.45</v>
      </c>
      <c r="H94" s="17" t="n">
        <v>0.3627206309105186</v>
      </c>
      <c r="I94" s="16" t="n">
        <v>1830.69</v>
      </c>
      <c r="J94" s="16" t="n">
        <v>270.42</v>
      </c>
      <c r="K94" s="16" t="n">
        <v>0</v>
      </c>
      <c r="L94" s="16" t="n">
        <v>0</v>
      </c>
      <c r="M94" s="16" t="n">
        <v>341.32</v>
      </c>
      <c r="N94" s="16" t="n">
        <v>8864.66</v>
      </c>
      <c r="O94" s="17" t="n">
        <v>0.33218</v>
      </c>
      <c r="P94" s="18" t="n">
        <v>12</v>
      </c>
      <c r="Q94" s="18" t="n">
        <v>2</v>
      </c>
      <c r="R94" s="16" t="n">
        <v>9729.85</v>
      </c>
      <c r="S94" s="14" t="inlineStr">
        <is>
          <t>NAVEL TARDIA</t>
        </is>
      </c>
      <c r="T94" s="14" t="inlineStr">
        <is>
          <t>CITRICOS</t>
        </is>
      </c>
      <c r="U94" s="19">
        <f>IFERROR(166.386*I94/F94,0)</f>
        <v/>
      </c>
      <c r="V94" s="19">
        <f>IFERROR(166.386*M94/F94,0)</f>
        <v/>
      </c>
      <c r="W94" s="19">
        <f>IFERROR(166.386*L94/F94,0)</f>
        <v/>
      </c>
    </row>
    <row r="95">
      <c r="A95" s="14" t="n">
        <v>2204</v>
      </c>
      <c r="B95" s="14" t="inlineStr">
        <is>
          <t>NAVEL TARDIA</t>
        </is>
      </c>
      <c r="C95" s="15" t="n">
        <v>1466</v>
      </c>
      <c r="D95" s="14" t="inlineStr">
        <is>
          <t>AGRONUÑEZ S.C.</t>
        </is>
      </c>
      <c r="E95" s="14" t="inlineStr">
        <is>
          <t>LANE LATE</t>
        </is>
      </c>
      <c r="F95" s="15" t="n">
        <v>1790</v>
      </c>
      <c r="G95" s="16" t="n">
        <v>877.6799999999999</v>
      </c>
      <c r="H95" s="17" t="n">
        <v>0.4903240223463687</v>
      </c>
      <c r="I95" s="16" t="n">
        <v>0</v>
      </c>
      <c r="J95" s="16" t="n">
        <v>19.95</v>
      </c>
      <c r="K95" s="16" t="n">
        <v>0</v>
      </c>
      <c r="L95" s="16" t="n">
        <v>19.87</v>
      </c>
      <c r="M95" s="16" t="n">
        <v>0</v>
      </c>
      <c r="N95" s="16" t="n">
        <v>877.6</v>
      </c>
      <c r="O95" s="17" t="n">
        <v>0.53813</v>
      </c>
      <c r="P95" s="18" t="n">
        <v>12</v>
      </c>
      <c r="Q95" s="18" t="n">
        <v>2</v>
      </c>
      <c r="R95" s="16" t="n">
        <v>963.25</v>
      </c>
      <c r="S95" s="14" t="inlineStr">
        <is>
          <t>NAVEL TARDIA</t>
        </is>
      </c>
      <c r="T95" s="14" t="inlineStr">
        <is>
          <t>CITRICOS</t>
        </is>
      </c>
      <c r="U95" s="19">
        <f>IFERROR(166.386*I95/F95,0)</f>
        <v/>
      </c>
      <c r="V95" s="19">
        <f>IFERROR(166.386*M95/F95,0)</f>
        <v/>
      </c>
      <c r="W95" s="19">
        <f>IFERROR(166.386*L95/F95,0)</f>
        <v/>
      </c>
    </row>
    <row r="96">
      <c r="A96" s="14" t="n">
        <v>2204</v>
      </c>
      <c r="B96" s="14" t="inlineStr">
        <is>
          <t>NAVEL TARDIA</t>
        </is>
      </c>
      <c r="C96" s="15" t="n">
        <v>1491</v>
      </c>
      <c r="D96" s="14" t="inlineStr">
        <is>
          <t>JIMENEZ LORENTE,SONIA</t>
        </is>
      </c>
      <c r="E96" s="14" t="inlineStr">
        <is>
          <t>LANE LATE</t>
        </is>
      </c>
      <c r="F96" s="15" t="n">
        <v>34222</v>
      </c>
      <c r="G96" s="16" t="n">
        <v>15073.27</v>
      </c>
      <c r="H96" s="17" t="n">
        <v>0.4404555549062007</v>
      </c>
      <c r="I96" s="16" t="n">
        <v>2138.88</v>
      </c>
      <c r="J96" s="16" t="n">
        <v>219.81</v>
      </c>
      <c r="K96" s="16" t="n">
        <v>0</v>
      </c>
      <c r="L96" s="16" t="n">
        <v>0</v>
      </c>
      <c r="M96" s="16" t="n">
        <v>537.5599999999999</v>
      </c>
      <c r="N96" s="16" t="n">
        <v>13252.14</v>
      </c>
      <c r="O96" s="17" t="n">
        <v>0.42504</v>
      </c>
      <c r="P96" s="18" t="n">
        <v>12</v>
      </c>
      <c r="Q96" s="18" t="n">
        <v>2</v>
      </c>
      <c r="R96" s="16" t="n">
        <v>14545.55</v>
      </c>
      <c r="S96" s="14" t="inlineStr">
        <is>
          <t>NAVEL TARDIA</t>
        </is>
      </c>
      <c r="T96" s="14" t="inlineStr">
        <is>
          <t>CITRICOS</t>
        </is>
      </c>
      <c r="U96" s="19">
        <f>IFERROR(166.386*I96/F96,0)</f>
        <v/>
      </c>
      <c r="V96" s="19">
        <f>IFERROR(166.386*M96/F96,0)</f>
        <v/>
      </c>
      <c r="W96" s="19">
        <f>IFERROR(166.386*L96/F96,0)</f>
        <v/>
      </c>
    </row>
    <row r="97">
      <c r="A97" s="14" t="n">
        <v>2204</v>
      </c>
      <c r="B97" s="14" t="inlineStr">
        <is>
          <t>NAVEL TARDIA</t>
        </is>
      </c>
      <c r="C97" s="15" t="n">
        <v>1500</v>
      </c>
      <c r="D97" s="14" t="inlineStr">
        <is>
          <t>JIMENEZ MALDONADO, PEDRO</t>
        </is>
      </c>
      <c r="E97" s="14" t="inlineStr">
        <is>
          <t>CHISLETT SUMER</t>
        </is>
      </c>
      <c r="F97" s="15" t="n">
        <v>59837</v>
      </c>
      <c r="G97" s="16" t="n">
        <v>27031.27</v>
      </c>
      <c r="H97" s="17" t="n">
        <v>0.4517484165315774</v>
      </c>
      <c r="I97" s="16" t="n">
        <v>3739.81</v>
      </c>
      <c r="J97" s="16" t="n">
        <v>209.57</v>
      </c>
      <c r="K97" s="16" t="n">
        <v>0</v>
      </c>
      <c r="L97" s="16" t="n">
        <v>0</v>
      </c>
      <c r="M97" s="16" t="n">
        <v>0</v>
      </c>
      <c r="N97" s="16" t="n">
        <v>23081.89</v>
      </c>
      <c r="O97" s="17" t="n">
        <v>0.42339</v>
      </c>
      <c r="P97" s="18" t="n">
        <v>12</v>
      </c>
      <c r="Q97" s="18" t="n">
        <v>2</v>
      </c>
      <c r="R97" s="16" t="n">
        <v>25334.68</v>
      </c>
      <c r="S97" s="14" t="inlineStr">
        <is>
          <t>NAVEL TARDIA</t>
        </is>
      </c>
      <c r="T97" s="14" t="inlineStr">
        <is>
          <t>CITRICOS</t>
        </is>
      </c>
      <c r="U97" s="19">
        <f>IFERROR(166.386*I97/F97,0)</f>
        <v/>
      </c>
      <c r="V97" s="19">
        <f>IFERROR(166.386*M97/F97,0)</f>
        <v/>
      </c>
      <c r="W97" s="19">
        <f>IFERROR(166.386*L97/F97,0)</f>
        <v/>
      </c>
    </row>
    <row r="98">
      <c r="A98" s="14" t="n">
        <v>2204</v>
      </c>
      <c r="B98" s="14" t="inlineStr">
        <is>
          <t>NAVEL TARDIA</t>
        </is>
      </c>
      <c r="C98" s="15" t="n">
        <v>1523</v>
      </c>
      <c r="D98" s="14" t="inlineStr">
        <is>
          <t>RODRIGUEZ MEJÍAS, JOSE ANTONIO</t>
        </is>
      </c>
      <c r="E98" s="14" t="inlineStr">
        <is>
          <t>CHISLETT SUMER</t>
        </is>
      </c>
      <c r="F98" s="15" t="n">
        <v>6780</v>
      </c>
      <c r="G98" s="16" t="n">
        <v>2766.41</v>
      </c>
      <c r="H98" s="17" t="n">
        <v>0.4080250737463127</v>
      </c>
      <c r="I98" s="16" t="n">
        <v>423.75</v>
      </c>
      <c r="J98" s="16" t="n">
        <v>49.26</v>
      </c>
      <c r="K98" s="16" t="n">
        <v>0</v>
      </c>
      <c r="L98" s="16" t="n">
        <v>75.26000000000001</v>
      </c>
      <c r="M98" s="16" t="n">
        <v>84.66</v>
      </c>
      <c r="N98" s="16" t="n">
        <v>2453.32</v>
      </c>
      <c r="O98" s="17" t="n">
        <v>0.39716</v>
      </c>
      <c r="P98" s="18" t="n">
        <v>12</v>
      </c>
      <c r="Q98" s="18" t="n">
        <v>2</v>
      </c>
      <c r="R98" s="16" t="n">
        <v>2692.76</v>
      </c>
      <c r="S98" s="14" t="inlineStr">
        <is>
          <t>NAVEL TARDIA</t>
        </is>
      </c>
      <c r="T98" s="14" t="inlineStr">
        <is>
          <t>CITRICOS</t>
        </is>
      </c>
      <c r="U98" s="19">
        <f>IFERROR(166.386*I98/F98,0)</f>
        <v/>
      </c>
      <c r="V98" s="19">
        <f>IFERROR(166.386*M98/F98,0)</f>
        <v/>
      </c>
      <c r="W98" s="19">
        <f>IFERROR(166.386*L98/F98,0)</f>
        <v/>
      </c>
    </row>
    <row r="99">
      <c r="A99" s="14" t="n">
        <v>2204</v>
      </c>
      <c r="B99" s="14" t="inlineStr">
        <is>
          <t>NAVEL TARDIA</t>
        </is>
      </c>
      <c r="C99" s="15" t="n">
        <v>1523</v>
      </c>
      <c r="D99" s="14" t="inlineStr">
        <is>
          <t>RODRIGUEZ MEJÍAS, JOSE ANTONIO</t>
        </is>
      </c>
      <c r="E99" s="14" t="inlineStr">
        <is>
          <t>LANE LATE</t>
        </is>
      </c>
      <c r="F99" s="15" t="n">
        <v>1850</v>
      </c>
      <c r="G99" s="16" t="n">
        <v>837.08</v>
      </c>
      <c r="H99" s="17" t="n">
        <v>0.4524756756756756</v>
      </c>
      <c r="I99" s="16" t="n">
        <v>115.63</v>
      </c>
      <c r="J99" s="16" t="n">
        <v>13.44</v>
      </c>
      <c r="K99" s="16" t="n">
        <v>0</v>
      </c>
      <c r="L99" s="16" t="n">
        <v>9.66</v>
      </c>
      <c r="M99" s="16" t="n">
        <v>26.91</v>
      </c>
      <c r="N99" s="16" t="n">
        <v>744.58</v>
      </c>
      <c r="O99" s="17" t="n">
        <v>0.44176</v>
      </c>
      <c r="P99" s="18" t="n">
        <v>12</v>
      </c>
      <c r="Q99" s="18" t="n">
        <v>2</v>
      </c>
      <c r="R99" s="16" t="n">
        <v>817.25</v>
      </c>
      <c r="S99" s="14" t="inlineStr">
        <is>
          <t>NAVEL TARDIA</t>
        </is>
      </c>
      <c r="T99" s="14" t="inlineStr">
        <is>
          <t>CITRICOS</t>
        </is>
      </c>
      <c r="U99" s="19">
        <f>IFERROR(166.386*I99/F99,0)</f>
        <v/>
      </c>
      <c r="V99" s="19">
        <f>IFERROR(166.386*M99/F99,0)</f>
        <v/>
      </c>
      <c r="W99" s="19">
        <f>IFERROR(166.386*L99/F99,0)</f>
        <v/>
      </c>
    </row>
    <row r="100">
      <c r="A100" s="14" t="n">
        <v>2204</v>
      </c>
      <c r="B100" s="14" t="inlineStr">
        <is>
          <t>NAVEL TARDIA</t>
        </is>
      </c>
      <c r="C100" s="15" t="n">
        <v>1528</v>
      </c>
      <c r="D100" s="14" t="inlineStr">
        <is>
          <t>RAMOS BRUGAROLAS, IGNACIO</t>
        </is>
      </c>
      <c r="E100" s="14" t="inlineStr">
        <is>
          <t>CHISLETT SUMER</t>
        </is>
      </c>
      <c r="F100" s="15" t="n">
        <v>92358</v>
      </c>
      <c r="G100" s="16" t="n">
        <v>41919.39</v>
      </c>
      <c r="H100" s="17" t="n">
        <v>0.4538793607483921</v>
      </c>
      <c r="I100" s="16" t="n">
        <v>6714.86</v>
      </c>
      <c r="J100" s="16" t="n">
        <v>776.76</v>
      </c>
      <c r="K100" s="16" t="n">
        <v>0</v>
      </c>
      <c r="L100" s="16" t="n">
        <v>0</v>
      </c>
      <c r="M100" s="16" t="n">
        <v>0</v>
      </c>
      <c r="N100" s="16" t="n">
        <v>34427.77</v>
      </c>
      <c r="O100" s="17" t="n">
        <v>0.40915</v>
      </c>
      <c r="P100" s="18" t="n">
        <v>12</v>
      </c>
      <c r="Q100" s="18" t="n">
        <v>2</v>
      </c>
      <c r="R100" s="16" t="n">
        <v>37787.92</v>
      </c>
      <c r="S100" s="14" t="inlineStr">
        <is>
          <t>NAVEL TARDIA</t>
        </is>
      </c>
      <c r="T100" s="14" t="inlineStr">
        <is>
          <t>CITRICOS</t>
        </is>
      </c>
      <c r="U100" s="19">
        <f>IFERROR(166.386*I100/F100,0)</f>
        <v/>
      </c>
      <c r="V100" s="19">
        <f>IFERROR(166.386*M100/F100,0)</f>
        <v/>
      </c>
      <c r="W100" s="19">
        <f>IFERROR(166.386*L100/F100,0)</f>
        <v/>
      </c>
    </row>
    <row r="101">
      <c r="A101" s="14" t="n">
        <v>2204</v>
      </c>
      <c r="B101" s="14" t="inlineStr">
        <is>
          <t>NAVEL TARDIA</t>
        </is>
      </c>
      <c r="C101" s="15" t="n">
        <v>1528</v>
      </c>
      <c r="D101" s="14" t="inlineStr">
        <is>
          <t>RAMOS BRUGAROLAS, IGNACIO</t>
        </is>
      </c>
      <c r="E101" s="14" t="inlineStr">
        <is>
          <t>LANE LATE</t>
        </is>
      </c>
      <c r="F101" s="15" t="n">
        <v>165083</v>
      </c>
      <c r="G101" s="16" t="n">
        <v>69528.67999999999</v>
      </c>
      <c r="H101" s="17" t="n">
        <v>0.421174076070825</v>
      </c>
      <c r="I101" s="16" t="n">
        <v>12381.23</v>
      </c>
      <c r="J101" s="16" t="n">
        <v>1388.41</v>
      </c>
      <c r="K101" s="16" t="n">
        <v>0</v>
      </c>
      <c r="L101" s="16" t="n">
        <v>0</v>
      </c>
      <c r="M101" s="16" t="n">
        <v>0</v>
      </c>
      <c r="N101" s="16" t="n">
        <v>55759.04</v>
      </c>
      <c r="O101" s="17" t="n">
        <v>0.37073</v>
      </c>
      <c r="P101" s="18" t="n">
        <v>12</v>
      </c>
      <c r="Q101" s="18" t="n">
        <v>2</v>
      </c>
      <c r="R101" s="16" t="n">
        <v>61201.12</v>
      </c>
      <c r="S101" s="14" t="inlineStr">
        <is>
          <t>NAVEL TARDIA</t>
        </is>
      </c>
      <c r="T101" s="14" t="inlineStr">
        <is>
          <t>CITRICOS</t>
        </is>
      </c>
      <c r="U101" s="19">
        <f>IFERROR(166.386*I101/F101,0)</f>
        <v/>
      </c>
      <c r="V101" s="19">
        <f>IFERROR(166.386*M101/F101,0)</f>
        <v/>
      </c>
      <c r="W101" s="19">
        <f>IFERROR(166.386*L101/F101,0)</f>
        <v/>
      </c>
    </row>
    <row r="102">
      <c r="A102" s="14" t="n">
        <v>2204</v>
      </c>
      <c r="B102" s="14" t="inlineStr">
        <is>
          <t>NAVEL TARDIA</t>
        </is>
      </c>
      <c r="C102" s="15" t="n">
        <v>1529</v>
      </c>
      <c r="D102" s="14" t="inlineStr">
        <is>
          <t>RAMOS BRUGAROLAS, JOSE</t>
        </is>
      </c>
      <c r="E102" s="14" t="inlineStr">
        <is>
          <t>LANE LATE</t>
        </is>
      </c>
      <c r="F102" s="15" t="n">
        <v>97082</v>
      </c>
      <c r="G102" s="16" t="n">
        <v>41812.17</v>
      </c>
      <c r="H102" s="17" t="n">
        <v>0.4306892111822995</v>
      </c>
      <c r="I102" s="16" t="n">
        <v>7281.16</v>
      </c>
      <c r="J102" s="16" t="n">
        <v>641.74</v>
      </c>
      <c r="K102" s="16" t="n">
        <v>0</v>
      </c>
      <c r="L102" s="16" t="n">
        <v>0</v>
      </c>
      <c r="M102" s="16" t="n">
        <v>0</v>
      </c>
      <c r="N102" s="16" t="n">
        <v>33889.27</v>
      </c>
      <c r="O102" s="17" t="n">
        <v>0.38315</v>
      </c>
      <c r="P102" s="18" t="n">
        <v>12</v>
      </c>
      <c r="Q102" s="18" t="n">
        <v>2</v>
      </c>
      <c r="R102" s="16" t="n">
        <v>37196.86</v>
      </c>
      <c r="S102" s="14" t="inlineStr">
        <is>
          <t>NAVEL TARDIA</t>
        </is>
      </c>
      <c r="T102" s="14" t="inlineStr">
        <is>
          <t>CITRICOS</t>
        </is>
      </c>
      <c r="U102" s="19">
        <f>IFERROR(166.386*I102/F102,0)</f>
        <v/>
      </c>
      <c r="V102" s="19">
        <f>IFERROR(166.386*M102/F102,0)</f>
        <v/>
      </c>
      <c r="W102" s="19">
        <f>IFERROR(166.386*L102/F102,0)</f>
        <v/>
      </c>
    </row>
    <row r="103">
      <c r="A103" s="14" t="n">
        <v>2204</v>
      </c>
      <c r="B103" s="14" t="inlineStr">
        <is>
          <t>NAVEL TARDIA</t>
        </is>
      </c>
      <c r="C103" s="15" t="n">
        <v>1534</v>
      </c>
      <c r="D103" s="14" t="inlineStr">
        <is>
          <t>RAMOS BRUGAROLAS, JOSE RAMON</t>
        </is>
      </c>
      <c r="E103" s="14" t="inlineStr">
        <is>
          <t>LANE LATE</t>
        </is>
      </c>
      <c r="F103" s="15" t="n">
        <v>95355</v>
      </c>
      <c r="G103" s="16" t="n">
        <v>41314.11</v>
      </c>
      <c r="H103" s="17" t="n">
        <v>0.433266320591474</v>
      </c>
      <c r="I103" s="16" t="n">
        <v>5959.69</v>
      </c>
      <c r="J103" s="16" t="n">
        <v>878.33</v>
      </c>
      <c r="K103" s="16" t="n">
        <v>0</v>
      </c>
      <c r="L103" s="16" t="n">
        <v>0</v>
      </c>
      <c r="M103" s="16" t="n">
        <v>0</v>
      </c>
      <c r="N103" s="16" t="n">
        <v>34476.09</v>
      </c>
      <c r="O103" s="17" t="n">
        <v>0.39684</v>
      </c>
      <c r="P103" s="18" t="n">
        <v>12</v>
      </c>
      <c r="Q103" s="18" t="n">
        <v>2</v>
      </c>
      <c r="R103" s="16" t="n">
        <v>37840.96</v>
      </c>
      <c r="S103" s="14" t="inlineStr">
        <is>
          <t>NAVEL TARDIA</t>
        </is>
      </c>
      <c r="T103" s="14" t="inlineStr">
        <is>
          <t>CITRICOS</t>
        </is>
      </c>
      <c r="U103" s="19">
        <f>IFERROR(166.386*I103/F103,0)</f>
        <v/>
      </c>
      <c r="V103" s="19">
        <f>IFERROR(166.386*M103/F103,0)</f>
        <v/>
      </c>
      <c r="W103" s="19">
        <f>IFERROR(166.386*L103/F103,0)</f>
        <v/>
      </c>
    </row>
    <row r="104">
      <c r="A104" s="14" t="n">
        <v>2204</v>
      </c>
      <c r="B104" s="14" t="inlineStr">
        <is>
          <t>NAVEL TARDIA</t>
        </is>
      </c>
      <c r="C104" s="15" t="n">
        <v>1550</v>
      </c>
      <c r="D104" s="14" t="inlineStr">
        <is>
          <t>CADORTAN S.L.</t>
        </is>
      </c>
      <c r="E104" s="14" t="inlineStr">
        <is>
          <t>LANE LATE</t>
        </is>
      </c>
      <c r="F104" s="15" t="n">
        <v>760</v>
      </c>
      <c r="G104" s="16" t="n">
        <v>293.79</v>
      </c>
      <c r="H104" s="17" t="n">
        <v>0.3865657894736842</v>
      </c>
      <c r="I104" s="16" t="n">
        <v>0</v>
      </c>
      <c r="J104" s="16" t="n">
        <v>6.72</v>
      </c>
      <c r="K104" s="16" t="n">
        <v>0</v>
      </c>
      <c r="L104" s="16" t="n">
        <v>8.44</v>
      </c>
      <c r="M104" s="16" t="n">
        <v>8.92</v>
      </c>
      <c r="N104" s="16" t="n">
        <v>304.43</v>
      </c>
      <c r="O104" s="17" t="n">
        <v>0.41659</v>
      </c>
      <c r="P104" s="18" t="n">
        <v>4</v>
      </c>
      <c r="Q104" s="18" t="n">
        <v>0</v>
      </c>
      <c r="R104" s="16" t="n">
        <v>316.61</v>
      </c>
      <c r="S104" s="14" t="inlineStr">
        <is>
          <t>NAVEL TARDIA</t>
        </is>
      </c>
      <c r="T104" s="14" t="inlineStr">
        <is>
          <t>CITRICOS</t>
        </is>
      </c>
      <c r="U104" s="19">
        <f>IFERROR(166.386*I104/F104,0)</f>
        <v/>
      </c>
      <c r="V104" s="19">
        <f>IFERROR(166.386*M104/F104,0)</f>
        <v/>
      </c>
      <c r="W104" s="19">
        <f>IFERROR(166.386*L104/F104,0)</f>
        <v/>
      </c>
    </row>
    <row r="105">
      <c r="A105" s="14" t="n">
        <v>2204</v>
      </c>
      <c r="B105" s="14" t="inlineStr">
        <is>
          <t>NAVEL TARDIA</t>
        </is>
      </c>
      <c r="C105" s="15" t="n">
        <v>1583</v>
      </c>
      <c r="D105" s="14" t="inlineStr">
        <is>
          <t>MARTIN RUEDA, INMACULADA</t>
        </is>
      </c>
      <c r="E105" s="14" t="inlineStr">
        <is>
          <t>LANE LATE</t>
        </is>
      </c>
      <c r="F105" s="15" t="n">
        <v>65856</v>
      </c>
      <c r="G105" s="16" t="n">
        <v>30301.11</v>
      </c>
      <c r="H105" s="17" t="n">
        <v>0.4601116071428571</v>
      </c>
      <c r="I105" s="16" t="n">
        <v>4116.01</v>
      </c>
      <c r="J105" s="16" t="n">
        <v>561.6</v>
      </c>
      <c r="K105" s="16" t="n">
        <v>0</v>
      </c>
      <c r="L105" s="16" t="n">
        <v>0</v>
      </c>
      <c r="M105" s="16" t="n">
        <v>0</v>
      </c>
      <c r="N105" s="16" t="n">
        <v>25623.5</v>
      </c>
      <c r="O105" s="17" t="n">
        <v>0.42706</v>
      </c>
      <c r="P105" s="18" t="n">
        <v>12</v>
      </c>
      <c r="Q105" s="18" t="n">
        <v>2</v>
      </c>
      <c r="R105" s="16" t="n">
        <v>28124.35</v>
      </c>
      <c r="S105" s="14" t="inlineStr">
        <is>
          <t>NAVEL TARDIA</t>
        </is>
      </c>
      <c r="T105" s="14" t="inlineStr">
        <is>
          <t>CITRICOS</t>
        </is>
      </c>
      <c r="U105" s="19">
        <f>IFERROR(166.386*I105/F105,0)</f>
        <v/>
      </c>
      <c r="V105" s="19">
        <f>IFERROR(166.386*M105/F105,0)</f>
        <v/>
      </c>
      <c r="W105" s="19">
        <f>IFERROR(166.386*L105/F105,0)</f>
        <v/>
      </c>
    </row>
    <row r="106">
      <c r="A106" s="14" t="n">
        <v>2204</v>
      </c>
      <c r="B106" s="14" t="inlineStr">
        <is>
          <t>NAVEL TARDIA</t>
        </is>
      </c>
      <c r="C106" s="15" t="n">
        <v>1591</v>
      </c>
      <c r="D106" s="14" t="inlineStr">
        <is>
          <t>JIMENEZ MALDONADO, EUGENIA</t>
        </is>
      </c>
      <c r="E106" s="14" t="inlineStr">
        <is>
          <t>LANE LATE</t>
        </is>
      </c>
      <c r="F106" s="15" t="n">
        <v>8160</v>
      </c>
      <c r="G106" s="16" t="n">
        <v>3134.48</v>
      </c>
      <c r="H106" s="17" t="n">
        <v>0.3841274509803921</v>
      </c>
      <c r="I106" s="16" t="n">
        <v>510</v>
      </c>
      <c r="J106" s="16" t="n">
        <v>1150.5</v>
      </c>
      <c r="K106" s="16" t="n">
        <v>0</v>
      </c>
      <c r="L106" s="16" t="n">
        <v>0</v>
      </c>
      <c r="M106" s="16" t="n">
        <v>0</v>
      </c>
      <c r="N106" s="16" t="n">
        <v>1473.98</v>
      </c>
      <c r="O106" s="17" t="n">
        <v>0.19826</v>
      </c>
      <c r="P106" s="18" t="n">
        <v>12</v>
      </c>
      <c r="Q106" s="18" t="n">
        <v>2</v>
      </c>
      <c r="R106" s="16" t="n">
        <v>1617.84</v>
      </c>
      <c r="S106" s="14" t="inlineStr">
        <is>
          <t>NAVEL TARDIA</t>
        </is>
      </c>
      <c r="T106" s="14" t="inlineStr">
        <is>
          <t>CITRICOS</t>
        </is>
      </c>
      <c r="U106" s="19">
        <f>IFERROR(166.386*I106/F106,0)</f>
        <v/>
      </c>
      <c r="V106" s="19">
        <f>IFERROR(166.386*M106/F106,0)</f>
        <v/>
      </c>
      <c r="W106" s="19">
        <f>IFERROR(166.386*L106/F106,0)</f>
        <v/>
      </c>
    </row>
    <row r="107">
      <c r="A107" s="14" t="n">
        <v>2204</v>
      </c>
      <c r="B107" s="14" t="inlineStr">
        <is>
          <t>NAVEL TARDIA</t>
        </is>
      </c>
      <c r="C107" s="15" t="n">
        <v>1597</v>
      </c>
      <c r="D107" s="14" t="inlineStr">
        <is>
          <t>CARBALLO SIRIA, ANTONIO JOSE</t>
        </is>
      </c>
      <c r="E107" s="14" t="inlineStr">
        <is>
          <t>LANE LATE</t>
        </is>
      </c>
      <c r="F107" s="15" t="n">
        <v>46685</v>
      </c>
      <c r="G107" s="16" t="n">
        <v>18809.24</v>
      </c>
      <c r="H107" s="17" t="n">
        <v>0.4028968619470922</v>
      </c>
      <c r="I107" s="16" t="n">
        <v>2917.82</v>
      </c>
      <c r="J107" s="16" t="n">
        <v>428.36</v>
      </c>
      <c r="K107" s="16" t="n">
        <v>0</v>
      </c>
      <c r="L107" s="16" t="n">
        <v>0</v>
      </c>
      <c r="M107" s="16" t="n">
        <v>0</v>
      </c>
      <c r="N107" s="16" t="n">
        <v>15463.06</v>
      </c>
      <c r="O107" s="17" t="n">
        <v>0.36355</v>
      </c>
      <c r="P107" s="18" t="n">
        <v>12</v>
      </c>
      <c r="Q107" s="18" t="n">
        <v>2</v>
      </c>
      <c r="R107" s="16" t="n">
        <v>16972.25</v>
      </c>
      <c r="S107" s="14" t="inlineStr">
        <is>
          <t>NAVEL TARDIA</t>
        </is>
      </c>
      <c r="T107" s="14" t="inlineStr">
        <is>
          <t>CITRICOS</t>
        </is>
      </c>
      <c r="U107" s="19">
        <f>IFERROR(166.386*I107/F107,0)</f>
        <v/>
      </c>
      <c r="V107" s="19">
        <f>IFERROR(166.386*M107/F107,0)</f>
        <v/>
      </c>
      <c r="W107" s="19">
        <f>IFERROR(166.386*L107/F107,0)</f>
        <v/>
      </c>
    </row>
    <row r="108">
      <c r="A108" s="14" t="n">
        <v>2204</v>
      </c>
      <c r="B108" s="14" t="inlineStr">
        <is>
          <t>NAVEL TARDIA</t>
        </is>
      </c>
      <c r="C108" s="15" t="n">
        <v>1610</v>
      </c>
      <c r="D108" s="14" t="inlineStr">
        <is>
          <t>JARAMAGO SANCHEZ, ELVIRA</t>
        </is>
      </c>
      <c r="E108" s="14" t="inlineStr">
        <is>
          <t>LANE LATE</t>
        </is>
      </c>
      <c r="F108" s="15" t="n">
        <v>31360</v>
      </c>
      <c r="G108" s="16" t="n">
        <v>11565.92</v>
      </c>
      <c r="H108" s="17" t="n">
        <v>0.3688112244897959</v>
      </c>
      <c r="I108" s="16" t="n">
        <v>1960</v>
      </c>
      <c r="J108" s="16" t="n">
        <v>0</v>
      </c>
      <c r="K108" s="16" t="n">
        <v>0</v>
      </c>
      <c r="L108" s="16" t="n">
        <v>0</v>
      </c>
      <c r="M108" s="16" t="n">
        <v>0</v>
      </c>
      <c r="N108" s="16" t="n">
        <v>9605.92</v>
      </c>
      <c r="O108" s="17" t="n">
        <v>0.33621</v>
      </c>
      <c r="P108" s="18" t="n">
        <v>12</v>
      </c>
      <c r="Q108" s="18" t="n">
        <v>2</v>
      </c>
      <c r="R108" s="16" t="n">
        <v>10543.46</v>
      </c>
      <c r="S108" s="14" t="inlineStr">
        <is>
          <t>NAVEL TARDIA</t>
        </is>
      </c>
      <c r="T108" s="14" t="inlineStr">
        <is>
          <t>CITRICOS</t>
        </is>
      </c>
      <c r="U108" s="19">
        <f>IFERROR(166.386*I108/F108,0)</f>
        <v/>
      </c>
      <c r="V108" s="19">
        <f>IFERROR(166.386*M108/F108,0)</f>
        <v/>
      </c>
      <c r="W108" s="19">
        <f>IFERROR(166.386*L108/F108,0)</f>
        <v/>
      </c>
    </row>
    <row r="109">
      <c r="A109" s="14" t="n">
        <v>2204</v>
      </c>
      <c r="B109" s="14" t="inlineStr">
        <is>
          <t>NAVEL TARDIA</t>
        </is>
      </c>
      <c r="C109" s="15" t="n">
        <v>1614</v>
      </c>
      <c r="D109" s="14" t="inlineStr">
        <is>
          <t>MARIN SERRANO 2025 S.C.</t>
        </is>
      </c>
      <c r="E109" s="14" t="inlineStr">
        <is>
          <t>CHISLETT SUMER</t>
        </is>
      </c>
      <c r="F109" s="15" t="n">
        <v>12140</v>
      </c>
      <c r="G109" s="16" t="n">
        <v>5141.2</v>
      </c>
      <c r="H109" s="17" t="n">
        <v>0.4234925864909391</v>
      </c>
      <c r="I109" s="16" t="n">
        <v>758.75</v>
      </c>
      <c r="J109" s="16" t="n">
        <v>23.26</v>
      </c>
      <c r="K109" s="16" t="n">
        <v>0</v>
      </c>
      <c r="L109" s="16" t="n">
        <v>0</v>
      </c>
      <c r="M109" s="16" t="n">
        <v>0</v>
      </c>
      <c r="N109" s="16" t="n">
        <v>4359.19</v>
      </c>
      <c r="O109" s="17" t="n">
        <v>0.39412</v>
      </c>
      <c r="P109" s="18" t="n">
        <v>12</v>
      </c>
      <c r="Q109" s="18" t="n">
        <v>2</v>
      </c>
      <c r="R109" s="16" t="n">
        <v>4784.65</v>
      </c>
      <c r="S109" s="14" t="inlineStr">
        <is>
          <t>NAVEL TARDIA</t>
        </is>
      </c>
      <c r="T109" s="14" t="inlineStr">
        <is>
          <t>CITRICOS</t>
        </is>
      </c>
      <c r="U109" s="19">
        <f>IFERROR(166.386*I109/F109,0)</f>
        <v/>
      </c>
      <c r="V109" s="19">
        <f>IFERROR(166.386*M109/F109,0)</f>
        <v/>
      </c>
      <c r="W109" s="19">
        <f>IFERROR(166.386*L109/F109,0)</f>
        <v/>
      </c>
    </row>
    <row r="110">
      <c r="A110" s="14" t="n">
        <v>2204</v>
      </c>
      <c r="B110" s="14" t="inlineStr">
        <is>
          <t>NAVEL TARDIA</t>
        </is>
      </c>
      <c r="C110" s="15" t="n">
        <v>1614</v>
      </c>
      <c r="D110" s="14" t="inlineStr">
        <is>
          <t>MARIN SERRANO 2025 S.C.</t>
        </is>
      </c>
      <c r="E110" s="14" t="inlineStr">
        <is>
          <t>NAVEL POWEL</t>
        </is>
      </c>
      <c r="F110" s="15" t="n">
        <v>29750</v>
      </c>
      <c r="G110" s="16" t="n">
        <v>12598.9</v>
      </c>
      <c r="H110" s="17" t="n">
        <v>0.4234924369747899</v>
      </c>
      <c r="I110" s="16" t="n">
        <v>1859.38</v>
      </c>
      <c r="J110" s="16" t="n">
        <v>57</v>
      </c>
      <c r="K110" s="16" t="n">
        <v>0</v>
      </c>
      <c r="L110" s="16" t="n">
        <v>0</v>
      </c>
      <c r="M110" s="16" t="n">
        <v>0</v>
      </c>
      <c r="N110" s="16" t="n">
        <v>10682.52</v>
      </c>
      <c r="O110" s="17" t="n">
        <v>0.39412</v>
      </c>
      <c r="P110" s="18" t="n">
        <v>12</v>
      </c>
      <c r="Q110" s="18" t="n">
        <v>2</v>
      </c>
      <c r="R110" s="16" t="n">
        <v>11725.13</v>
      </c>
      <c r="S110" s="14" t="inlineStr">
        <is>
          <t>NAVEL TARDIA</t>
        </is>
      </c>
      <c r="T110" s="14" t="inlineStr">
        <is>
          <t>CITRICOS</t>
        </is>
      </c>
      <c r="U110" s="19">
        <f>IFERROR(166.386*I110/F110,0)</f>
        <v/>
      </c>
      <c r="V110" s="19">
        <f>IFERROR(166.386*M110/F110,0)</f>
        <v/>
      </c>
      <c r="W110" s="19">
        <f>IFERROR(166.386*L110/F110,0)</f>
        <v/>
      </c>
    </row>
    <row r="111">
      <c r="A111" s="14" t="n">
        <v>2204</v>
      </c>
      <c r="B111" s="14" t="inlineStr">
        <is>
          <t>NAVEL TARDIA</t>
        </is>
      </c>
      <c r="C111" s="15" t="n">
        <v>1627</v>
      </c>
      <c r="D111" s="14" t="inlineStr">
        <is>
          <t>FRUTAS ANDALUZAS DE SEVILLA S.L.</t>
        </is>
      </c>
      <c r="E111" s="14" t="inlineStr">
        <is>
          <t>LANE LATE</t>
        </is>
      </c>
      <c r="F111" s="15" t="n">
        <v>85493</v>
      </c>
      <c r="G111" s="16" t="n">
        <v>32897.9</v>
      </c>
      <c r="H111" s="17" t="n">
        <v>0.3848022645128841</v>
      </c>
      <c r="I111" s="16" t="n">
        <v>0</v>
      </c>
      <c r="J111" s="16" t="n">
        <v>864.51</v>
      </c>
      <c r="K111" s="16" t="n">
        <v>0</v>
      </c>
      <c r="L111" s="16" t="n">
        <v>948.97</v>
      </c>
      <c r="M111" s="16" t="n">
        <v>1033.89</v>
      </c>
      <c r="N111" s="16" t="n">
        <v>34016.25</v>
      </c>
      <c r="O111" s="17" t="n">
        <v>0.43672</v>
      </c>
      <c r="P111" s="18" t="n">
        <v>12</v>
      </c>
      <c r="Q111" s="18" t="n">
        <v>2</v>
      </c>
      <c r="R111" s="16" t="n">
        <v>37336.24</v>
      </c>
      <c r="S111" s="14" t="inlineStr">
        <is>
          <t>NAVEL TARDIA</t>
        </is>
      </c>
      <c r="T111" s="14" t="inlineStr">
        <is>
          <t>CITRICOS</t>
        </is>
      </c>
      <c r="U111" s="19">
        <f>IFERROR(166.386*I111/F111,0)</f>
        <v/>
      </c>
      <c r="V111" s="19">
        <f>IFERROR(166.386*M111/F111,0)</f>
        <v/>
      </c>
      <c r="W111" s="19">
        <f>IFERROR(166.386*L111/F111,0)</f>
        <v/>
      </c>
    </row>
    <row r="112">
      <c r="A112" s="14" t="n">
        <v>2205</v>
      </c>
      <c r="B112" s="14" t="inlineStr">
        <is>
          <t>BLANCA TARDIA</t>
        </is>
      </c>
      <c r="C112" s="15" t="n">
        <v>909</v>
      </c>
      <c r="D112" s="14" t="inlineStr">
        <is>
          <t>LEON PINEDA,ROSARIO</t>
        </is>
      </c>
      <c r="E112" s="14" t="inlineStr">
        <is>
          <t>BARBERINA</t>
        </is>
      </c>
      <c r="F112" s="15" t="n">
        <v>19840</v>
      </c>
      <c r="G112" s="16" t="n">
        <v>8232.51</v>
      </c>
      <c r="H112" s="17" t="n">
        <v>0.414945060483871</v>
      </c>
      <c r="I112" s="16" t="n">
        <v>1240</v>
      </c>
      <c r="J112" s="16" t="n">
        <v>425.55</v>
      </c>
      <c r="K112" s="16" t="n">
        <v>0</v>
      </c>
      <c r="L112" s="16" t="n">
        <v>0</v>
      </c>
      <c r="M112" s="16" t="n">
        <v>0</v>
      </c>
      <c r="N112" s="16" t="n">
        <v>6566.96</v>
      </c>
      <c r="O112" s="17" t="n">
        <v>0.3633</v>
      </c>
      <c r="P112" s="18" t="n">
        <v>12</v>
      </c>
      <c r="Q112" s="18" t="n">
        <v>2</v>
      </c>
      <c r="R112" s="16" t="n">
        <v>7207.9</v>
      </c>
      <c r="S112" s="14" t="inlineStr">
        <is>
          <t>BLANCA TARDIA</t>
        </is>
      </c>
      <c r="T112" s="14" t="inlineStr">
        <is>
          <t>CITRICOS</t>
        </is>
      </c>
      <c r="U112" s="19">
        <f>IFERROR(166.386*I112/F112,0)</f>
        <v/>
      </c>
      <c r="V112" s="19">
        <f>IFERROR(166.386*M112/F112,0)</f>
        <v/>
      </c>
      <c r="W112" s="19">
        <f>IFERROR(166.386*L112/F112,0)</f>
        <v/>
      </c>
    </row>
    <row r="113">
      <c r="A113" s="14" t="n">
        <v>2205</v>
      </c>
      <c r="B113" s="14" t="inlineStr">
        <is>
          <t>BLANCA TARDIA</t>
        </is>
      </c>
      <c r="C113" s="15" t="n">
        <v>1072</v>
      </c>
      <c r="D113" s="14" t="inlineStr">
        <is>
          <t>GARCIA DELGADO,JUAN MANUEL</t>
        </is>
      </c>
      <c r="E113" s="14" t="inlineStr">
        <is>
          <t>VALENCIA DELTA</t>
        </is>
      </c>
      <c r="F113" s="15" t="n">
        <v>103842</v>
      </c>
      <c r="G113" s="16" t="n">
        <v>38912.19</v>
      </c>
      <c r="H113" s="17" t="n">
        <v>0.3747249667764488</v>
      </c>
      <c r="I113" s="16" t="n">
        <v>7476.64</v>
      </c>
      <c r="J113" s="16" t="n">
        <v>1546.86</v>
      </c>
      <c r="K113" s="16" t="n">
        <v>0</v>
      </c>
      <c r="L113" s="16" t="n">
        <v>0</v>
      </c>
      <c r="M113" s="16" t="n">
        <v>0</v>
      </c>
      <c r="N113" s="16" t="n">
        <v>29888.69</v>
      </c>
      <c r="O113" s="17" t="n">
        <v>0.31592</v>
      </c>
      <c r="P113" s="18" t="n">
        <v>12</v>
      </c>
      <c r="Q113" s="18" t="n">
        <v>2</v>
      </c>
      <c r="R113" s="16" t="n">
        <v>32805.83</v>
      </c>
      <c r="S113" s="14" t="inlineStr">
        <is>
          <t>BLANCA TARDIA</t>
        </is>
      </c>
      <c r="T113" s="14" t="inlineStr">
        <is>
          <t>CITRICOS</t>
        </is>
      </c>
      <c r="U113" s="19">
        <f>IFERROR(166.386*I113/F113,0)</f>
        <v/>
      </c>
      <c r="V113" s="19">
        <f>IFERROR(166.386*M113/F113,0)</f>
        <v/>
      </c>
      <c r="W113" s="19">
        <f>IFERROR(166.386*L113/F113,0)</f>
        <v/>
      </c>
    </row>
    <row r="114">
      <c r="A114" s="14" t="n">
        <v>2205</v>
      </c>
      <c r="B114" s="14" t="inlineStr">
        <is>
          <t>BLANCA TARDIA</t>
        </is>
      </c>
      <c r="C114" s="15" t="n">
        <v>1426</v>
      </c>
      <c r="D114" s="14" t="inlineStr">
        <is>
          <t>MONTERO MERAT,JUAN MANUEL</t>
        </is>
      </c>
      <c r="E114" s="14" t="inlineStr">
        <is>
          <t>VALENCIA DELTA</t>
        </is>
      </c>
      <c r="F114" s="15" t="n">
        <v>41864</v>
      </c>
      <c r="G114" s="16" t="n">
        <v>15440.26</v>
      </c>
      <c r="H114" s="17" t="n">
        <v>0.368819510796866</v>
      </c>
      <c r="I114" s="16" t="n">
        <v>3014.21</v>
      </c>
      <c r="J114" s="16" t="n">
        <v>268.63</v>
      </c>
      <c r="K114" s="16" t="n">
        <v>0</v>
      </c>
      <c r="L114" s="16" t="n">
        <v>0</v>
      </c>
      <c r="M114" s="16" t="n">
        <v>0</v>
      </c>
      <c r="N114" s="16" t="n">
        <v>12157.42</v>
      </c>
      <c r="O114" s="17" t="n">
        <v>0.31875</v>
      </c>
      <c r="P114" s="18" t="n">
        <v>12</v>
      </c>
      <c r="Q114" s="18" t="n">
        <v>2</v>
      </c>
      <c r="R114" s="16" t="n">
        <v>13343.98</v>
      </c>
      <c r="S114" s="14" t="inlineStr">
        <is>
          <t>BLANCA TARDIA</t>
        </is>
      </c>
      <c r="T114" s="14" t="inlineStr">
        <is>
          <t>CITRICOS</t>
        </is>
      </c>
      <c r="U114" s="19">
        <f>IFERROR(166.386*I114/F114,0)</f>
        <v/>
      </c>
      <c r="V114" s="19">
        <f>IFERROR(166.386*M114/F114,0)</f>
        <v/>
      </c>
      <c r="W114" s="19">
        <f>IFERROR(166.386*L114/F114,0)</f>
        <v/>
      </c>
    </row>
    <row r="115">
      <c r="A115" s="14" t="n">
        <v>2205</v>
      </c>
      <c r="B115" s="14" t="inlineStr">
        <is>
          <t>BLANCA TARDIA</t>
        </is>
      </c>
      <c r="C115" s="15" t="n">
        <v>1491</v>
      </c>
      <c r="D115" s="14" t="inlineStr">
        <is>
          <t>JIMENEZ LORENTE,SONIA</t>
        </is>
      </c>
      <c r="E115" s="14" t="inlineStr">
        <is>
          <t>VALENCIA DELTA</t>
        </is>
      </c>
      <c r="F115" s="15" t="n">
        <v>30223</v>
      </c>
      <c r="G115" s="16" t="n">
        <v>12011.2</v>
      </c>
      <c r="H115" s="17" t="n">
        <v>0.3974191840651159</v>
      </c>
      <c r="I115" s="16" t="n">
        <v>2176.06</v>
      </c>
      <c r="J115" s="16" t="n">
        <v>194.12</v>
      </c>
      <c r="K115" s="16" t="n">
        <v>0</v>
      </c>
      <c r="L115" s="16" t="n">
        <v>0</v>
      </c>
      <c r="M115" s="16" t="n">
        <v>471.74</v>
      </c>
      <c r="N115" s="16" t="n">
        <v>10112.76</v>
      </c>
      <c r="O115" s="17" t="n">
        <v>0.36726</v>
      </c>
      <c r="P115" s="18" t="n">
        <v>12</v>
      </c>
      <c r="Q115" s="18" t="n">
        <v>2</v>
      </c>
      <c r="R115" s="16" t="n">
        <v>11099.77</v>
      </c>
      <c r="S115" s="14" t="inlineStr">
        <is>
          <t>BLANCA TARDIA</t>
        </is>
      </c>
      <c r="T115" s="14" t="inlineStr">
        <is>
          <t>CITRICOS</t>
        </is>
      </c>
      <c r="U115" s="19">
        <f>IFERROR(166.386*I115/F115,0)</f>
        <v/>
      </c>
      <c r="V115" s="19">
        <f>IFERROR(166.386*M115/F115,0)</f>
        <v/>
      </c>
      <c r="W115" s="19">
        <f>IFERROR(166.386*L115/F115,0)</f>
        <v/>
      </c>
    </row>
    <row r="116">
      <c r="A116" s="14" t="n">
        <v>2205</v>
      </c>
      <c r="B116" s="14" t="inlineStr">
        <is>
          <t>BLANCA TARDIA</t>
        </is>
      </c>
      <c r="C116" s="15" t="n">
        <v>1528</v>
      </c>
      <c r="D116" s="14" t="inlineStr">
        <is>
          <t>RAMOS BRUGAROLAS, IGNACIO</t>
        </is>
      </c>
      <c r="E116" s="14" t="inlineStr">
        <is>
          <t>VALENCIA LATE</t>
        </is>
      </c>
      <c r="F116" s="15" t="n">
        <v>222487</v>
      </c>
      <c r="G116" s="16" t="n">
        <v>86642.3</v>
      </c>
      <c r="H116" s="17" t="n">
        <v>0.3894263485057554</v>
      </c>
      <c r="I116" s="16" t="n">
        <v>17344.27</v>
      </c>
      <c r="J116" s="16" t="n">
        <v>1871.19</v>
      </c>
      <c r="K116" s="16" t="n">
        <v>0</v>
      </c>
      <c r="L116" s="16" t="n">
        <v>0</v>
      </c>
      <c r="M116" s="16" t="n">
        <v>0</v>
      </c>
      <c r="N116" s="16" t="n">
        <v>67426.84</v>
      </c>
      <c r="O116" s="17" t="n">
        <v>0.33264</v>
      </c>
      <c r="P116" s="18" t="n">
        <v>12</v>
      </c>
      <c r="Q116" s="18" t="n">
        <v>2</v>
      </c>
      <c r="R116" s="16" t="n">
        <v>74007.7</v>
      </c>
      <c r="S116" s="14" t="inlineStr">
        <is>
          <t>BLANCA TARDIA</t>
        </is>
      </c>
      <c r="T116" s="14" t="inlineStr">
        <is>
          <t>CITRICOS</t>
        </is>
      </c>
      <c r="U116" s="19">
        <f>IFERROR(166.386*I116/F116,0)</f>
        <v/>
      </c>
      <c r="V116" s="19">
        <f>IFERROR(166.386*M116/F116,0)</f>
        <v/>
      </c>
      <c r="W116" s="19">
        <f>IFERROR(166.386*L116/F116,0)</f>
        <v/>
      </c>
    </row>
    <row r="117">
      <c r="A117" s="14" t="n">
        <v>2205</v>
      </c>
      <c r="B117" s="14" t="inlineStr">
        <is>
          <t>BLANCA TARDIA</t>
        </is>
      </c>
      <c r="C117" s="15" t="n">
        <v>1534</v>
      </c>
      <c r="D117" s="14" t="inlineStr">
        <is>
          <t>RAMOS BRUGAROLAS, JOSE RAMON</t>
        </is>
      </c>
      <c r="E117" s="14" t="inlineStr">
        <is>
          <t>VALENCIA LATE</t>
        </is>
      </c>
      <c r="F117" s="15" t="n">
        <v>108512</v>
      </c>
      <c r="G117" s="16" t="n">
        <v>43353.96</v>
      </c>
      <c r="H117" s="17" t="n">
        <v>0.3995314803892657</v>
      </c>
      <c r="I117" s="16" t="n">
        <v>7812.86</v>
      </c>
      <c r="J117" s="16" t="n">
        <v>999.52</v>
      </c>
      <c r="K117" s="16" t="n">
        <v>0</v>
      </c>
      <c r="L117" s="16" t="n">
        <v>0</v>
      </c>
      <c r="M117" s="16" t="n">
        <v>0</v>
      </c>
      <c r="N117" s="16" t="n">
        <v>34541.58</v>
      </c>
      <c r="O117" s="17" t="n">
        <v>0.34939</v>
      </c>
      <c r="P117" s="18" t="n">
        <v>12</v>
      </c>
      <c r="Q117" s="18" t="n">
        <v>2</v>
      </c>
      <c r="R117" s="16" t="n">
        <v>37912.84</v>
      </c>
      <c r="S117" s="14" t="inlineStr">
        <is>
          <t>BLANCA TARDIA</t>
        </is>
      </c>
      <c r="T117" s="14" t="inlineStr">
        <is>
          <t>CITRICOS</t>
        </is>
      </c>
      <c r="U117" s="19">
        <f>IFERROR(166.386*I117/F117,0)</f>
        <v/>
      </c>
      <c r="V117" s="19">
        <f>IFERROR(166.386*M117/F117,0)</f>
        <v/>
      </c>
      <c r="W117" s="19">
        <f>IFERROR(166.386*L117/F117,0)</f>
        <v/>
      </c>
    </row>
    <row r="118">
      <c r="A118" s="14" t="n">
        <v>2205</v>
      </c>
      <c r="B118" s="14" t="inlineStr">
        <is>
          <t>BLANCA TARDIA</t>
        </is>
      </c>
      <c r="C118" s="15" t="n">
        <v>1592</v>
      </c>
      <c r="D118" s="14" t="inlineStr">
        <is>
          <t>SANTIAGO ESCABIA, JUAN</t>
        </is>
      </c>
      <c r="E118" s="14" t="inlineStr">
        <is>
          <t>BARBERINA</t>
        </is>
      </c>
      <c r="F118" s="15" t="n">
        <v>50210</v>
      </c>
      <c r="G118" s="16" t="n">
        <v>20165.77</v>
      </c>
      <c r="H118" s="17" t="n">
        <v>0.4016285600477992</v>
      </c>
      <c r="I118" s="16" t="n">
        <v>3138.13</v>
      </c>
      <c r="J118" s="16" t="n">
        <v>716.3099999999999</v>
      </c>
      <c r="K118" s="16" t="n">
        <v>0</v>
      </c>
      <c r="L118" s="16" t="n">
        <v>0</v>
      </c>
      <c r="M118" s="16" t="n">
        <v>0</v>
      </c>
      <c r="N118" s="16" t="n">
        <v>16311.33</v>
      </c>
      <c r="O118" s="17" t="n">
        <v>0.35657</v>
      </c>
      <c r="P118" s="18" t="n">
        <v>12</v>
      </c>
      <c r="Q118" s="18" t="n">
        <v>2</v>
      </c>
      <c r="R118" s="16" t="n">
        <v>17903.32</v>
      </c>
      <c r="S118" s="14" t="inlineStr">
        <is>
          <t>BLANCA TARDIA</t>
        </is>
      </c>
      <c r="T118" s="14" t="inlineStr">
        <is>
          <t>CITRICOS</t>
        </is>
      </c>
      <c r="U118" s="19">
        <f>IFERROR(166.386*I118/F118,0)</f>
        <v/>
      </c>
      <c r="V118" s="19">
        <f>IFERROR(166.386*M118/F118,0)</f>
        <v/>
      </c>
      <c r="W118" s="19">
        <f>IFERROR(166.386*L118/F118,0)</f>
        <v/>
      </c>
    </row>
    <row r="119">
      <c r="A119" s="14" t="n">
        <v>2205</v>
      </c>
      <c r="B119" s="14" t="inlineStr">
        <is>
          <t>BLANCA TARDIA</t>
        </is>
      </c>
      <c r="C119" s="15" t="n">
        <v>1594</v>
      </c>
      <c r="D119" s="14" t="inlineStr">
        <is>
          <t>CANO MANZANARES, ISABEL MARIA</t>
        </is>
      </c>
      <c r="E119" s="14" t="inlineStr">
        <is>
          <t>BARBERINA</t>
        </is>
      </c>
      <c r="F119" s="15" t="n">
        <v>71644</v>
      </c>
      <c r="G119" s="16" t="n">
        <v>32142.48</v>
      </c>
      <c r="H119" s="17" t="n">
        <v>0.4486416168834794</v>
      </c>
      <c r="I119" s="16" t="n">
        <v>4477.75</v>
      </c>
      <c r="J119" s="16" t="n">
        <v>455.73</v>
      </c>
      <c r="K119" s="16" t="n">
        <v>0</v>
      </c>
      <c r="L119" s="16" t="n">
        <v>795.25</v>
      </c>
      <c r="M119" s="16" t="n">
        <v>1203.75</v>
      </c>
      <c r="N119" s="16" t="n">
        <v>29208</v>
      </c>
      <c r="O119" s="17" t="n">
        <v>0.44747</v>
      </c>
      <c r="P119" s="18" t="n">
        <v>12</v>
      </c>
      <c r="Q119" s="18" t="n">
        <v>2</v>
      </c>
      <c r="R119" s="16" t="n">
        <v>32058.7</v>
      </c>
      <c r="S119" s="14" t="inlineStr">
        <is>
          <t>BLANCA TARDIA</t>
        </is>
      </c>
      <c r="T119" s="14" t="inlineStr">
        <is>
          <t>CITRICOS</t>
        </is>
      </c>
      <c r="U119" s="19">
        <f>IFERROR(166.386*I119/F119,0)</f>
        <v/>
      </c>
      <c r="V119" s="19">
        <f>IFERROR(166.386*M119/F119,0)</f>
        <v/>
      </c>
      <c r="W119" s="19">
        <f>IFERROR(166.386*L119/F119,0)</f>
        <v/>
      </c>
    </row>
    <row r="120">
      <c r="A120" s="14" t="n">
        <v>2205</v>
      </c>
      <c r="B120" s="14" t="inlineStr">
        <is>
          <t>BLANCA TARDIA</t>
        </is>
      </c>
      <c r="C120" s="15" t="n">
        <v>1596</v>
      </c>
      <c r="D120" s="14" t="inlineStr">
        <is>
          <t>RUEDA GARCIA, Mª MERCEDES</t>
        </is>
      </c>
      <c r="E120" s="14" t="inlineStr">
        <is>
          <t>VALENCIA DELTA</t>
        </is>
      </c>
      <c r="F120" s="15" t="n">
        <v>50698</v>
      </c>
      <c r="G120" s="16" t="n">
        <v>19424.03</v>
      </c>
      <c r="H120" s="17" t="n">
        <v>0.3831320762160243</v>
      </c>
      <c r="I120" s="16" t="n">
        <v>3650.26</v>
      </c>
      <c r="J120" s="16" t="n">
        <v>798.29</v>
      </c>
      <c r="K120" s="16" t="n">
        <v>0</v>
      </c>
      <c r="L120" s="16" t="n">
        <v>0</v>
      </c>
      <c r="M120" s="16" t="n">
        <v>785.38</v>
      </c>
      <c r="N120" s="16" t="n">
        <v>15760.86</v>
      </c>
      <c r="O120" s="17" t="n">
        <v>0.34122</v>
      </c>
      <c r="P120" s="18" t="n">
        <v>12</v>
      </c>
      <c r="Q120" s="18" t="n">
        <v>2</v>
      </c>
      <c r="R120" s="16" t="n">
        <v>17299.12</v>
      </c>
      <c r="S120" s="14" t="inlineStr">
        <is>
          <t>BLANCA TARDIA</t>
        </is>
      </c>
      <c r="T120" s="14" t="inlineStr">
        <is>
          <t>CITRICOS</t>
        </is>
      </c>
      <c r="U120" s="19">
        <f>IFERROR(166.386*I120/F120,0)</f>
        <v/>
      </c>
      <c r="V120" s="19">
        <f>IFERROR(166.386*M120/F120,0)</f>
        <v/>
      </c>
      <c r="W120" s="19">
        <f>IFERROR(166.386*L120/F120,0)</f>
        <v/>
      </c>
    </row>
    <row r="121">
      <c r="A121" s="14" t="n">
        <v>2205</v>
      </c>
      <c r="B121" s="14" t="inlineStr">
        <is>
          <t>BLANCA TARDIA</t>
        </is>
      </c>
      <c r="C121" s="15" t="n">
        <v>1609</v>
      </c>
      <c r="D121" s="14" t="inlineStr">
        <is>
          <t>GARCIA BARRAGAN, ROCIO</t>
        </is>
      </c>
      <c r="E121" s="14" t="inlineStr">
        <is>
          <t>BARBERINA</t>
        </is>
      </c>
      <c r="F121" s="15" t="n">
        <v>12800</v>
      </c>
      <c r="G121" s="16" t="n">
        <v>5218.71</v>
      </c>
      <c r="H121" s="17" t="n">
        <v>0.40771171875</v>
      </c>
      <c r="I121" s="16" t="n">
        <v>800</v>
      </c>
      <c r="J121" s="16" t="n">
        <v>374.4</v>
      </c>
      <c r="K121" s="16" t="n">
        <v>0</v>
      </c>
      <c r="L121" s="16" t="n">
        <v>0</v>
      </c>
      <c r="M121" s="16" t="n">
        <v>0</v>
      </c>
      <c r="N121" s="16" t="n">
        <v>4044.31</v>
      </c>
      <c r="O121" s="17" t="n">
        <v>0.3468</v>
      </c>
      <c r="P121" s="18" t="n">
        <v>12</v>
      </c>
      <c r="Q121" s="18" t="n">
        <v>2</v>
      </c>
      <c r="R121" s="16" t="n">
        <v>4439.03</v>
      </c>
      <c r="S121" s="14" t="inlineStr">
        <is>
          <t>BLANCA TARDIA</t>
        </is>
      </c>
      <c r="T121" s="14" t="inlineStr">
        <is>
          <t>CITRICOS</t>
        </is>
      </c>
      <c r="U121" s="19">
        <f>IFERROR(166.386*I121/F121,0)</f>
        <v/>
      </c>
      <c r="V121" s="19">
        <f>IFERROR(166.386*M121/F121,0)</f>
        <v/>
      </c>
      <c r="W121" s="19">
        <f>IFERROR(166.386*L121/F121,0)</f>
        <v/>
      </c>
    </row>
    <row r="122">
      <c r="A122" s="14" t="n">
        <v>2205</v>
      </c>
      <c r="B122" s="14" t="inlineStr">
        <is>
          <t>BLANCA TARDIA</t>
        </is>
      </c>
      <c r="C122" s="15" t="n">
        <v>1614</v>
      </c>
      <c r="D122" s="14" t="inlineStr">
        <is>
          <t>MARIN SERRANO 2025 S.C.</t>
        </is>
      </c>
      <c r="E122" s="14" t="inlineStr">
        <is>
          <t>VALENCIA LATE</t>
        </is>
      </c>
      <c r="F122" s="15" t="n">
        <v>104697</v>
      </c>
      <c r="G122" s="16" t="n">
        <v>38245.41</v>
      </c>
      <c r="H122" s="17" t="n">
        <v>0.3652961402905527</v>
      </c>
      <c r="I122" s="16" t="n">
        <v>7538.18</v>
      </c>
      <c r="J122" s="16" t="n">
        <v>200.6</v>
      </c>
      <c r="K122" s="16" t="n">
        <v>0</v>
      </c>
      <c r="L122" s="16" t="n">
        <v>0</v>
      </c>
      <c r="M122" s="16" t="n">
        <v>0</v>
      </c>
      <c r="N122" s="16" t="n">
        <v>30506.63</v>
      </c>
      <c r="O122" s="17" t="n">
        <v>0.31982</v>
      </c>
      <c r="P122" s="18" t="n">
        <v>12</v>
      </c>
      <c r="Q122" s="18" t="n">
        <v>2</v>
      </c>
      <c r="R122" s="16" t="n">
        <v>33484.08</v>
      </c>
      <c r="S122" s="14" t="inlineStr">
        <is>
          <t>BLANCA TARDIA</t>
        </is>
      </c>
      <c r="T122" s="14" t="inlineStr">
        <is>
          <t>CITRICOS</t>
        </is>
      </c>
      <c r="U122" s="19">
        <f>IFERROR(166.386*I122/F122,0)</f>
        <v/>
      </c>
      <c r="V122" s="19">
        <f>IFERROR(166.386*M122/F122,0)</f>
        <v/>
      </c>
      <c r="W122" s="19">
        <f>IFERROR(166.386*L122/F122,0)</f>
        <v/>
      </c>
    </row>
    <row r="123">
      <c r="A123" s="14" t="n">
        <v>2205</v>
      </c>
      <c r="B123" s="14" t="inlineStr">
        <is>
          <t>BLANCA TARDIA</t>
        </is>
      </c>
      <c r="C123" s="15" t="n">
        <v>1615</v>
      </c>
      <c r="D123" s="14" t="inlineStr">
        <is>
          <t>RURAL PRIME S.L.</t>
        </is>
      </c>
      <c r="E123" s="14" t="inlineStr">
        <is>
          <t>VALENCIA DELTA</t>
        </is>
      </c>
      <c r="F123" s="15" t="n">
        <v>115118</v>
      </c>
      <c r="G123" s="16" t="n">
        <v>45137.21</v>
      </c>
      <c r="H123" s="17" t="n">
        <v>0.3920951545370837</v>
      </c>
      <c r="I123" s="16" t="n">
        <v>8288.49</v>
      </c>
      <c r="J123" s="16" t="n">
        <v>0</v>
      </c>
      <c r="K123" s="16" t="n">
        <v>0</v>
      </c>
      <c r="L123" s="16" t="n">
        <v>0</v>
      </c>
      <c r="M123" s="16" t="n">
        <v>0</v>
      </c>
      <c r="N123" s="16" t="n">
        <v>36848.72</v>
      </c>
      <c r="O123" s="17" t="n">
        <v>0.3329</v>
      </c>
      <c r="P123" s="18" t="n">
        <v>4</v>
      </c>
      <c r="Q123" s="18" t="n">
        <v>0</v>
      </c>
      <c r="R123" s="16" t="n">
        <v>38322.67</v>
      </c>
      <c r="S123" s="14" t="inlineStr">
        <is>
          <t>BLANCA TARDIA</t>
        </is>
      </c>
      <c r="T123" s="14" t="inlineStr">
        <is>
          <t>CITRICOS</t>
        </is>
      </c>
      <c r="U123" s="19">
        <f>IFERROR(166.386*I123/F123,0)</f>
        <v/>
      </c>
      <c r="V123" s="19">
        <f>IFERROR(166.386*M123/F123,0)</f>
        <v/>
      </c>
      <c r="W123" s="19">
        <f>IFERROR(166.386*L123/F123,0)</f>
        <v/>
      </c>
    </row>
    <row r="124">
      <c r="A124" s="14" t="n">
        <v>2206</v>
      </c>
      <c r="B124" s="14" t="inlineStr">
        <is>
          <t>BLANCA TEMPRANA sem 3</t>
        </is>
      </c>
      <c r="C124" s="15" t="n">
        <v>1384</v>
      </c>
      <c r="D124" s="14" t="inlineStr">
        <is>
          <t>RIEGO MARTIN,ANA BELEN</t>
        </is>
      </c>
      <c r="E124" s="14" t="inlineStr">
        <is>
          <t>SALUSTIANA</t>
        </is>
      </c>
      <c r="F124" s="15" t="n">
        <v>11620</v>
      </c>
      <c r="G124" s="16" t="n">
        <v>4276.53</v>
      </c>
      <c r="H124" s="17" t="n">
        <v>0.3680318416523236</v>
      </c>
      <c r="I124" s="16" t="n">
        <v>836.64</v>
      </c>
      <c r="J124" s="16" t="n">
        <v>129.09</v>
      </c>
      <c r="K124" s="16" t="n">
        <v>0</v>
      </c>
      <c r="L124" s="16" t="n">
        <v>0</v>
      </c>
      <c r="M124" s="16" t="n">
        <v>170.39</v>
      </c>
      <c r="N124" s="16" t="n">
        <v>3481.19</v>
      </c>
      <c r="O124" s="17" t="n">
        <v>0.32883</v>
      </c>
      <c r="P124" s="18" t="n">
        <v>12</v>
      </c>
      <c r="Q124" s="18" t="n">
        <v>2</v>
      </c>
      <c r="R124" s="16" t="n">
        <v>3820.95</v>
      </c>
      <c r="S124" s="14" t="inlineStr">
        <is>
          <t>BLANCA TEMPRANA sem 3</t>
        </is>
      </c>
      <c r="T124" s="14" t="inlineStr">
        <is>
          <t>CITRICOS</t>
        </is>
      </c>
      <c r="U124" s="19">
        <f>IFERROR(166.386*I124/F124,0)</f>
        <v/>
      </c>
      <c r="V124" s="19">
        <f>IFERROR(166.386*M124/F124,0)</f>
        <v/>
      </c>
      <c r="W124" s="19">
        <f>IFERROR(166.386*L124/F124,0)</f>
        <v/>
      </c>
    </row>
    <row r="125">
      <c r="A125" s="14" t="n">
        <v>2206</v>
      </c>
      <c r="B125" s="14" t="inlineStr">
        <is>
          <t>BLANCA TEMPRANA sem 3</t>
        </is>
      </c>
      <c r="C125" s="15" t="n">
        <v>1411</v>
      </c>
      <c r="D125" s="14" t="inlineStr">
        <is>
          <t>HERMANOS PEÑA GRIÑAN S.C.</t>
        </is>
      </c>
      <c r="E125" s="14" t="inlineStr">
        <is>
          <t>SALUSTIANA</t>
        </is>
      </c>
      <c r="F125" s="15" t="n">
        <v>12774</v>
      </c>
      <c r="G125" s="16" t="n">
        <v>4784.24</v>
      </c>
      <c r="H125" s="17" t="n">
        <v>0.3745295130734304</v>
      </c>
      <c r="I125" s="16" t="n">
        <v>919.73</v>
      </c>
      <c r="J125" s="16" t="n">
        <v>106.04</v>
      </c>
      <c r="K125" s="16" t="n">
        <v>0</v>
      </c>
      <c r="L125" s="16" t="n">
        <v>0</v>
      </c>
      <c r="M125" s="16" t="n">
        <v>0</v>
      </c>
      <c r="N125" s="16" t="n">
        <v>3758.47</v>
      </c>
      <c r="O125" s="17" t="n">
        <v>0.32295</v>
      </c>
      <c r="P125" s="18" t="n">
        <v>12</v>
      </c>
      <c r="Q125" s="18" t="n">
        <v>2</v>
      </c>
      <c r="R125" s="16" t="n">
        <v>4125.3</v>
      </c>
      <c r="S125" s="14" t="inlineStr">
        <is>
          <t>BLANCA TEMPRANA sem 3</t>
        </is>
      </c>
      <c r="T125" s="14" t="inlineStr">
        <is>
          <t>CITRICOS</t>
        </is>
      </c>
      <c r="U125" s="19">
        <f>IFERROR(166.386*I125/F125,0)</f>
        <v/>
      </c>
      <c r="V125" s="19">
        <f>IFERROR(166.386*M125/F125,0)</f>
        <v/>
      </c>
      <c r="W125" s="19">
        <f>IFERROR(166.386*L125/F125,0)</f>
        <v/>
      </c>
    </row>
    <row r="126">
      <c r="A126" s="14" t="n">
        <v>2206</v>
      </c>
      <c r="B126" s="14" t="inlineStr">
        <is>
          <t>BLANCA TEMPRANA sem 3</t>
        </is>
      </c>
      <c r="C126" s="15" t="n">
        <v>1540</v>
      </c>
      <c r="D126" s="14" t="inlineStr">
        <is>
          <t>AGRICOLA SANCHEZ CUENCA S.C.</t>
        </is>
      </c>
      <c r="E126" s="14" t="inlineStr">
        <is>
          <t>SALUSTIANA</t>
        </is>
      </c>
      <c r="F126" s="15" t="n">
        <v>23480</v>
      </c>
      <c r="G126" s="16" t="n">
        <v>8167.78</v>
      </c>
      <c r="H126" s="17" t="n">
        <v>0.3478611584327087</v>
      </c>
      <c r="I126" s="16" t="n">
        <v>1690.56</v>
      </c>
      <c r="J126" s="16" t="n">
        <v>121.57</v>
      </c>
      <c r="K126" s="16" t="n">
        <v>0</v>
      </c>
      <c r="L126" s="16" t="n">
        <v>0</v>
      </c>
      <c r="M126" s="16" t="n">
        <v>316.02</v>
      </c>
      <c r="N126" s="16" t="n">
        <v>6671.67</v>
      </c>
      <c r="O126" s="17" t="n">
        <v>0.31187</v>
      </c>
      <c r="P126" s="18" t="n">
        <v>12</v>
      </c>
      <c r="Q126" s="18" t="n">
        <v>2</v>
      </c>
      <c r="R126" s="16" t="n">
        <v>7322.82</v>
      </c>
      <c r="S126" s="14" t="inlineStr">
        <is>
          <t>BLANCA TEMPRANA sem 3</t>
        </is>
      </c>
      <c r="T126" s="14" t="inlineStr">
        <is>
          <t>CITRICOS</t>
        </is>
      </c>
      <c r="U126" s="19">
        <f>IFERROR(166.386*I126/F126,0)</f>
        <v/>
      </c>
      <c r="V126" s="19">
        <f>IFERROR(166.386*M126/F126,0)</f>
        <v/>
      </c>
      <c r="W126" s="19">
        <f>IFERROR(166.386*L126/F126,0)</f>
        <v/>
      </c>
    </row>
    <row r="127">
      <c r="A127" s="14" t="n">
        <v>2206</v>
      </c>
      <c r="B127" s="14" t="inlineStr">
        <is>
          <t>BLANCA TEMPRANA sem 3</t>
        </is>
      </c>
      <c r="C127" s="15" t="n">
        <v>1570</v>
      </c>
      <c r="D127" s="14" t="inlineStr">
        <is>
          <t>FAMILIA LOPEZ CASTILLO S.C.</t>
        </is>
      </c>
      <c r="E127" s="14" t="inlineStr">
        <is>
          <t>SALUSTIANA</t>
        </is>
      </c>
      <c r="F127" s="15" t="n">
        <v>21640</v>
      </c>
      <c r="G127" s="16" t="n">
        <v>7291.68</v>
      </c>
      <c r="H127" s="17" t="n">
        <v>0.3369537892791127</v>
      </c>
      <c r="I127" s="16" t="n">
        <v>1558.08</v>
      </c>
      <c r="J127" s="16" t="n">
        <v>294.45</v>
      </c>
      <c r="K127" s="16" t="n">
        <v>0</v>
      </c>
      <c r="L127" s="16" t="n">
        <v>0</v>
      </c>
      <c r="M127" s="16" t="n">
        <v>0</v>
      </c>
      <c r="N127" s="16" t="n">
        <v>5439.15</v>
      </c>
      <c r="O127" s="17" t="n">
        <v>0.27588</v>
      </c>
      <c r="P127" s="18" t="n">
        <v>12</v>
      </c>
      <c r="Q127" s="18" t="n">
        <v>2</v>
      </c>
      <c r="R127" s="16" t="n">
        <v>5970.01</v>
      </c>
      <c r="S127" s="14" t="inlineStr">
        <is>
          <t>BLANCA TEMPRANA sem 3</t>
        </is>
      </c>
      <c r="T127" s="14" t="inlineStr">
        <is>
          <t>CITRICOS</t>
        </is>
      </c>
      <c r="U127" s="19">
        <f>IFERROR(166.386*I127/F127,0)</f>
        <v/>
      </c>
      <c r="V127" s="19">
        <f>IFERROR(166.386*M127/F127,0)</f>
        <v/>
      </c>
      <c r="W127" s="19">
        <f>IFERROR(166.386*L127/F127,0)</f>
        <v/>
      </c>
    </row>
    <row r="128">
      <c r="A128" s="14" t="n">
        <v>2206</v>
      </c>
      <c r="B128" s="14" t="inlineStr">
        <is>
          <t>BLANCA TEMPRANA sem 3</t>
        </is>
      </c>
      <c r="C128" s="15" t="n">
        <v>1582</v>
      </c>
      <c r="D128" s="14" t="inlineStr">
        <is>
          <t>IGEÑO SANCHEZ, JOSE CARLOS</t>
        </is>
      </c>
      <c r="E128" s="14" t="inlineStr">
        <is>
          <t>SALUSTIANA</t>
        </is>
      </c>
      <c r="F128" s="15" t="n">
        <v>24020</v>
      </c>
      <c r="G128" s="16" t="n">
        <v>9095.450000000001</v>
      </c>
      <c r="H128" s="17" t="n">
        <v>0.3786615320566195</v>
      </c>
      <c r="I128" s="16" t="n">
        <v>1729.44</v>
      </c>
      <c r="J128" s="16" t="n">
        <v>114.84</v>
      </c>
      <c r="K128" s="16" t="n">
        <v>0</v>
      </c>
      <c r="L128" s="16" t="n">
        <v>266.62</v>
      </c>
      <c r="M128" s="16" t="n">
        <v>374.29</v>
      </c>
      <c r="N128" s="16" t="n">
        <v>7892.08</v>
      </c>
      <c r="O128" s="17" t="n">
        <v>0.36063</v>
      </c>
      <c r="P128" s="18" t="n">
        <v>12</v>
      </c>
      <c r="Q128" s="18" t="n">
        <v>2</v>
      </c>
      <c r="R128" s="16" t="n">
        <v>8662.35</v>
      </c>
      <c r="S128" s="14" t="inlineStr">
        <is>
          <t>BLANCA TEMPRANA sem 3</t>
        </is>
      </c>
      <c r="T128" s="14" t="inlineStr">
        <is>
          <t>CITRICOS</t>
        </is>
      </c>
      <c r="U128" s="19">
        <f>IFERROR(166.386*I128/F128,0)</f>
        <v/>
      </c>
      <c r="V128" s="19">
        <f>IFERROR(166.386*M128/F128,0)</f>
        <v/>
      </c>
      <c r="W128" s="19">
        <f>IFERROR(166.386*L128/F128,0)</f>
        <v/>
      </c>
    </row>
    <row r="129">
      <c r="A129" s="14" t="n">
        <v>2206</v>
      </c>
      <c r="B129" s="14" t="inlineStr">
        <is>
          <t>BLANCA TEMPRANA sem 3</t>
        </is>
      </c>
      <c r="C129" s="15" t="n">
        <v>1585</v>
      </c>
      <c r="D129" s="14" t="inlineStr">
        <is>
          <t>CESPEDES AGUILAR, PATRICIA</t>
        </is>
      </c>
      <c r="E129" s="14" t="inlineStr">
        <is>
          <t>SALUSTIANA</t>
        </is>
      </c>
      <c r="F129" s="15" t="n">
        <v>21133</v>
      </c>
      <c r="G129" s="16" t="n">
        <v>7130.43</v>
      </c>
      <c r="H129" s="17" t="n">
        <v>0.3374073723560309</v>
      </c>
      <c r="I129" s="16" t="n">
        <v>1521.58</v>
      </c>
      <c r="J129" s="16" t="n">
        <v>142.24</v>
      </c>
      <c r="K129" s="16" t="n">
        <v>0</v>
      </c>
      <c r="L129" s="16" t="n">
        <v>0</v>
      </c>
      <c r="M129" s="16" t="n">
        <v>276.57</v>
      </c>
      <c r="N129" s="16" t="n">
        <v>5743.18</v>
      </c>
      <c r="O129" s="17" t="n">
        <v>0.29829</v>
      </c>
      <c r="P129" s="18" t="n">
        <v>12</v>
      </c>
      <c r="Q129" s="18" t="n">
        <v>2</v>
      </c>
      <c r="R129" s="16" t="n">
        <v>6303.71</v>
      </c>
      <c r="S129" s="14" t="inlineStr">
        <is>
          <t>BLANCA TEMPRANA sem 3</t>
        </is>
      </c>
      <c r="T129" s="14" t="inlineStr">
        <is>
          <t>CITRICOS</t>
        </is>
      </c>
      <c r="U129" s="19">
        <f>IFERROR(166.386*I129/F129,0)</f>
        <v/>
      </c>
      <c r="V129" s="19">
        <f>IFERROR(166.386*M129/F129,0)</f>
        <v/>
      </c>
      <c r="W129" s="19">
        <f>IFERROR(166.386*L129/F129,0)</f>
        <v/>
      </c>
    </row>
    <row r="130">
      <c r="A130" s="14" t="n">
        <v>2207</v>
      </c>
      <c r="B130" s="14" t="inlineStr">
        <is>
          <t>BLANCA TEMPRANA sem 4 y +</t>
        </is>
      </c>
      <c r="C130" s="15" t="n">
        <v>869</v>
      </c>
      <c r="D130" s="14" t="inlineStr">
        <is>
          <t>IGEÑO LUQUE,JOSE</t>
        </is>
      </c>
      <c r="E130" s="14" t="inlineStr">
        <is>
          <t>SALUSTIANA</t>
        </is>
      </c>
      <c r="F130" s="15" t="n">
        <v>34508</v>
      </c>
      <c r="G130" s="16" t="n">
        <v>13200.56</v>
      </c>
      <c r="H130" s="17" t="n">
        <v>0.3825362234844094</v>
      </c>
      <c r="I130" s="16" t="n">
        <v>2476.51</v>
      </c>
      <c r="J130" s="16" t="n">
        <v>179.4</v>
      </c>
      <c r="K130" s="16" t="n">
        <v>0</v>
      </c>
      <c r="L130" s="16" t="n">
        <v>383.04</v>
      </c>
      <c r="M130" s="16" t="n">
        <v>0</v>
      </c>
      <c r="N130" s="16" t="n">
        <v>10927.69</v>
      </c>
      <c r="O130" s="17" t="n">
        <v>0.34758</v>
      </c>
      <c r="P130" s="18" t="n">
        <v>12</v>
      </c>
      <c r="Q130" s="18" t="n">
        <v>2</v>
      </c>
      <c r="R130" s="16" t="n">
        <v>11994.23</v>
      </c>
      <c r="S130" s="14" t="inlineStr">
        <is>
          <t>BLANCA TEMPRANA sem 4 y +</t>
        </is>
      </c>
      <c r="T130" s="14" t="inlineStr">
        <is>
          <t>CITRICOS</t>
        </is>
      </c>
      <c r="U130" s="19">
        <f>IFERROR(166.386*I130/F130,0)</f>
        <v/>
      </c>
      <c r="V130" s="19">
        <f>IFERROR(166.386*M130/F130,0)</f>
        <v/>
      </c>
      <c r="W130" s="19">
        <f>IFERROR(166.386*L130/F130,0)</f>
        <v/>
      </c>
    </row>
    <row r="131">
      <c r="A131" s="14" t="n">
        <v>2207</v>
      </c>
      <c r="B131" s="14" t="inlineStr">
        <is>
          <t>BLANCA TEMPRANA sem 4 y +</t>
        </is>
      </c>
      <c r="C131" s="15" t="n">
        <v>883</v>
      </c>
      <c r="D131" s="14" t="inlineStr">
        <is>
          <t>TORO SANCHEZ,TERESA</t>
        </is>
      </c>
      <c r="E131" s="14" t="inlineStr">
        <is>
          <t>SALUSTIANA</t>
        </is>
      </c>
      <c r="F131" s="15" t="n">
        <v>140757</v>
      </c>
      <c r="G131" s="16" t="n">
        <v>50393.77</v>
      </c>
      <c r="H131" s="17" t="n">
        <v>0.3580196366788153</v>
      </c>
      <c r="I131" s="16" t="n">
        <v>10134.51</v>
      </c>
      <c r="J131" s="16" t="n">
        <v>1036.55</v>
      </c>
      <c r="K131" s="16" t="n">
        <v>0</v>
      </c>
      <c r="L131" s="16" t="n">
        <v>0</v>
      </c>
      <c r="M131" s="16" t="n">
        <v>2116.51</v>
      </c>
      <c r="N131" s="16" t="n">
        <v>41339.22</v>
      </c>
      <c r="O131" s="17" t="n">
        <v>0.32236</v>
      </c>
      <c r="P131" s="18" t="n">
        <v>12</v>
      </c>
      <c r="Q131" s="18" t="n">
        <v>2</v>
      </c>
      <c r="R131" s="16" t="n">
        <v>45373.93</v>
      </c>
      <c r="S131" s="14" t="inlineStr">
        <is>
          <t>BLANCA TEMPRANA sem 4 y +</t>
        </is>
      </c>
      <c r="T131" s="14" t="inlineStr">
        <is>
          <t>CITRICOS</t>
        </is>
      </c>
      <c r="U131" s="19">
        <f>IFERROR(166.386*I131/F131,0)</f>
        <v/>
      </c>
      <c r="V131" s="19">
        <f>IFERROR(166.386*M131/F131,0)</f>
        <v/>
      </c>
      <c r="W131" s="19">
        <f>IFERROR(166.386*L131/F131,0)</f>
        <v/>
      </c>
    </row>
    <row r="132">
      <c r="A132" s="14" t="n">
        <v>2207</v>
      </c>
      <c r="B132" s="14" t="inlineStr">
        <is>
          <t>BLANCA TEMPRANA sem 4 y +</t>
        </is>
      </c>
      <c r="C132" s="15" t="n">
        <v>937</v>
      </c>
      <c r="D132" s="14" t="inlineStr">
        <is>
          <t>GALVEZ MACIAS,FRANCISCO</t>
        </is>
      </c>
      <c r="E132" s="14" t="inlineStr">
        <is>
          <t>SALUSTIANA</t>
        </is>
      </c>
      <c r="F132" s="15" t="n">
        <v>211701</v>
      </c>
      <c r="G132" s="16" t="n">
        <v>71010.71000000001</v>
      </c>
      <c r="H132" s="17" t="n">
        <v>0.3354292610804862</v>
      </c>
      <c r="I132" s="16" t="n">
        <v>13504.39</v>
      </c>
      <c r="J132" s="16" t="n">
        <v>1730.23</v>
      </c>
      <c r="K132" s="16" t="n">
        <v>0</v>
      </c>
      <c r="L132" s="16" t="n">
        <v>0</v>
      </c>
      <c r="M132" s="16" t="n">
        <v>2836.23</v>
      </c>
      <c r="N132" s="16" t="n">
        <v>58612.32</v>
      </c>
      <c r="O132" s="17" t="n">
        <v>0.30389</v>
      </c>
      <c r="P132" s="18" t="n">
        <v>12</v>
      </c>
      <c r="Q132" s="18" t="n">
        <v>2</v>
      </c>
      <c r="R132" s="16" t="n">
        <v>64332.88</v>
      </c>
      <c r="S132" s="14" t="inlineStr">
        <is>
          <t>BLANCA TEMPRANA sem 4 y +</t>
        </is>
      </c>
      <c r="T132" s="14" t="inlineStr">
        <is>
          <t>CITRICOS</t>
        </is>
      </c>
      <c r="U132" s="19">
        <f>IFERROR(166.386*I132/F132,0)</f>
        <v/>
      </c>
      <c r="V132" s="19">
        <f>IFERROR(166.386*M132/F132,0)</f>
        <v/>
      </c>
      <c r="W132" s="19">
        <f>IFERROR(166.386*L132/F132,0)</f>
        <v/>
      </c>
    </row>
    <row r="133">
      <c r="A133" s="14" t="n">
        <v>2207</v>
      </c>
      <c r="B133" s="14" t="inlineStr">
        <is>
          <t>BLANCA TEMPRANA sem 4 y +</t>
        </is>
      </c>
      <c r="C133" s="15" t="n">
        <v>1072</v>
      </c>
      <c r="D133" s="14" t="inlineStr">
        <is>
          <t>GARCIA DELGADO,JUAN MANUEL</t>
        </is>
      </c>
      <c r="E133" s="14" t="inlineStr">
        <is>
          <t>SALUSTIANA</t>
        </is>
      </c>
      <c r="F133" s="15" t="n">
        <v>11898</v>
      </c>
      <c r="G133" s="16" t="n">
        <v>4208.14</v>
      </c>
      <c r="H133" s="17" t="n">
        <v>0.3536846528828375</v>
      </c>
      <c r="I133" s="16" t="n">
        <v>856.66</v>
      </c>
      <c r="J133" s="16" t="n">
        <v>177.24</v>
      </c>
      <c r="K133" s="16" t="n">
        <v>0</v>
      </c>
      <c r="L133" s="16" t="n">
        <v>0</v>
      </c>
      <c r="M133" s="16" t="n">
        <v>0</v>
      </c>
      <c r="N133" s="16" t="n">
        <v>3174.24</v>
      </c>
      <c r="O133" s="17" t="n">
        <v>0.29283</v>
      </c>
      <c r="P133" s="18" t="n">
        <v>12</v>
      </c>
      <c r="Q133" s="18" t="n">
        <v>2</v>
      </c>
      <c r="R133" s="16" t="n">
        <v>3484.05</v>
      </c>
      <c r="S133" s="14" t="inlineStr">
        <is>
          <t>BLANCA TEMPRANA sem 4 y +</t>
        </is>
      </c>
      <c r="T133" s="14" t="inlineStr">
        <is>
          <t>CITRICOS</t>
        </is>
      </c>
      <c r="U133" s="19">
        <f>IFERROR(166.386*I133/F133,0)</f>
        <v/>
      </c>
      <c r="V133" s="19">
        <f>IFERROR(166.386*M133/F133,0)</f>
        <v/>
      </c>
      <c r="W133" s="19">
        <f>IFERROR(166.386*L133/F133,0)</f>
        <v/>
      </c>
    </row>
    <row r="134">
      <c r="A134" s="14" t="n">
        <v>2207</v>
      </c>
      <c r="B134" s="14" t="inlineStr">
        <is>
          <t>BLANCA TEMPRANA sem 4 y +</t>
        </is>
      </c>
      <c r="C134" s="15" t="n">
        <v>1128</v>
      </c>
      <c r="D134" s="14" t="inlineStr">
        <is>
          <t>CARRILLO PEÑALVER,JOSE</t>
        </is>
      </c>
      <c r="E134" s="14" t="inlineStr">
        <is>
          <t>SALUSTIANA</t>
        </is>
      </c>
      <c r="F134" s="15" t="n">
        <v>20913</v>
      </c>
      <c r="G134" s="16" t="n">
        <v>8189</v>
      </c>
      <c r="H134" s="17" t="n">
        <v>0.3915746186582508</v>
      </c>
      <c r="I134" s="16" t="n">
        <v>0</v>
      </c>
      <c r="J134" s="16" t="n">
        <v>368.9</v>
      </c>
      <c r="K134" s="16" t="n">
        <v>0</v>
      </c>
      <c r="L134" s="16" t="n">
        <v>194.67</v>
      </c>
      <c r="M134" s="16" t="n">
        <v>0</v>
      </c>
      <c r="N134" s="16" t="n">
        <v>8014.77</v>
      </c>
      <c r="O134" s="17" t="n">
        <v>0.42065</v>
      </c>
      <c r="P134" s="18" t="n">
        <v>12</v>
      </c>
      <c r="Q134" s="18" t="n">
        <v>2</v>
      </c>
      <c r="R134" s="16" t="n">
        <v>8797.01</v>
      </c>
      <c r="S134" s="14" t="inlineStr">
        <is>
          <t>BLANCA TEMPRANA sem 4 y +</t>
        </is>
      </c>
      <c r="T134" s="14" t="inlineStr">
        <is>
          <t>CITRICOS</t>
        </is>
      </c>
      <c r="U134" s="19">
        <f>IFERROR(166.386*I134/F134,0)</f>
        <v/>
      </c>
      <c r="V134" s="19">
        <f>IFERROR(166.386*M134/F134,0)</f>
        <v/>
      </c>
      <c r="W134" s="19">
        <f>IFERROR(166.386*L134/F134,0)</f>
        <v/>
      </c>
    </row>
    <row r="135">
      <c r="A135" s="14" t="n">
        <v>2207</v>
      </c>
      <c r="B135" s="14" t="inlineStr">
        <is>
          <t>BLANCA TEMPRANA sem 4 y +</t>
        </is>
      </c>
      <c r="C135" s="15" t="n">
        <v>1133</v>
      </c>
      <c r="D135" s="14" t="inlineStr">
        <is>
          <t>MAYFE S.C.</t>
        </is>
      </c>
      <c r="E135" s="14" t="inlineStr">
        <is>
          <t>SALUSTIANA</t>
        </is>
      </c>
      <c r="F135" s="15" t="n">
        <v>69429</v>
      </c>
      <c r="G135" s="16" t="n">
        <v>23375.98</v>
      </c>
      <c r="H135" s="17" t="n">
        <v>0.3366889916317389</v>
      </c>
      <c r="I135" s="16" t="n">
        <v>4998.89</v>
      </c>
      <c r="J135" s="16" t="n">
        <v>659.6</v>
      </c>
      <c r="K135" s="16" t="n">
        <v>0</v>
      </c>
      <c r="L135" s="16" t="n">
        <v>0</v>
      </c>
      <c r="M135" s="16" t="n">
        <v>0</v>
      </c>
      <c r="N135" s="16" t="n">
        <v>17717.49</v>
      </c>
      <c r="O135" s="17" t="n">
        <v>0.2801</v>
      </c>
      <c r="P135" s="18" t="n">
        <v>12</v>
      </c>
      <c r="Q135" s="18" t="n">
        <v>2</v>
      </c>
      <c r="R135" s="16" t="n">
        <v>19446.72</v>
      </c>
      <c r="S135" s="14" t="inlineStr">
        <is>
          <t>BLANCA TEMPRANA sem 4 y +</t>
        </is>
      </c>
      <c r="T135" s="14" t="inlineStr">
        <is>
          <t>CITRICOS</t>
        </is>
      </c>
      <c r="U135" s="19">
        <f>IFERROR(166.386*I135/F135,0)</f>
        <v/>
      </c>
      <c r="V135" s="19">
        <f>IFERROR(166.386*M135/F135,0)</f>
        <v/>
      </c>
      <c r="W135" s="19">
        <f>IFERROR(166.386*L135/F135,0)</f>
        <v/>
      </c>
    </row>
    <row r="136">
      <c r="A136" s="14" t="n">
        <v>2207</v>
      </c>
      <c r="B136" s="14" t="inlineStr">
        <is>
          <t>BLANCA TEMPRANA sem 4 y +</t>
        </is>
      </c>
      <c r="C136" s="15" t="n">
        <v>1178</v>
      </c>
      <c r="D136" s="14" t="inlineStr">
        <is>
          <t>CALZADO GARCIA,FRANCISCO JAVIER</t>
        </is>
      </c>
      <c r="E136" s="14" t="inlineStr">
        <is>
          <t>SALUSTIANA</t>
        </is>
      </c>
      <c r="F136" s="15" t="n">
        <v>73741</v>
      </c>
      <c r="G136" s="16" t="n">
        <v>27580.1</v>
      </c>
      <c r="H136" s="17" t="n">
        <v>0.3740130999037171</v>
      </c>
      <c r="I136" s="16" t="n">
        <v>5309.36</v>
      </c>
      <c r="J136" s="16" t="n">
        <v>908.01</v>
      </c>
      <c r="K136" s="16" t="n">
        <v>0</v>
      </c>
      <c r="L136" s="16" t="n">
        <v>0</v>
      </c>
      <c r="M136" s="16" t="n">
        <v>1175.79</v>
      </c>
      <c r="N136" s="16" t="n">
        <v>22538.52</v>
      </c>
      <c r="O136" s="17" t="n">
        <v>0.33548</v>
      </c>
      <c r="P136" s="18" t="n">
        <v>12</v>
      </c>
      <c r="Q136" s="18" t="n">
        <v>2</v>
      </c>
      <c r="R136" s="16" t="n">
        <v>24738.28</v>
      </c>
      <c r="S136" s="14" t="inlineStr">
        <is>
          <t>BLANCA TEMPRANA sem 4 y +</t>
        </is>
      </c>
      <c r="T136" s="14" t="inlineStr">
        <is>
          <t>CITRICOS</t>
        </is>
      </c>
      <c r="U136" s="19">
        <f>IFERROR(166.386*I136/F136,0)</f>
        <v/>
      </c>
      <c r="V136" s="19">
        <f>IFERROR(166.386*M136/F136,0)</f>
        <v/>
      </c>
      <c r="W136" s="19">
        <f>IFERROR(166.386*L136/F136,0)</f>
        <v/>
      </c>
    </row>
    <row r="137">
      <c r="A137" s="14" t="n">
        <v>2207</v>
      </c>
      <c r="B137" s="14" t="inlineStr">
        <is>
          <t>BLANCA TEMPRANA sem 4 y +</t>
        </is>
      </c>
      <c r="C137" s="15" t="n">
        <v>1202</v>
      </c>
      <c r="D137" s="14" t="inlineStr">
        <is>
          <t>FUENTES HINOJOSA,MANUEL</t>
        </is>
      </c>
      <c r="E137" s="14" t="inlineStr">
        <is>
          <t>SALUSTIANA</t>
        </is>
      </c>
      <c r="F137" s="15" t="n">
        <v>30834</v>
      </c>
      <c r="G137" s="16" t="n">
        <v>11947.03</v>
      </c>
      <c r="H137" s="17" t="n">
        <v>0.3874628656677693</v>
      </c>
      <c r="I137" s="16" t="n">
        <v>2220.05</v>
      </c>
      <c r="J137" s="16" t="n">
        <v>457.66</v>
      </c>
      <c r="K137" s="16" t="n">
        <v>0</v>
      </c>
      <c r="L137" s="16" t="n">
        <v>0</v>
      </c>
      <c r="M137" s="16" t="n">
        <v>0</v>
      </c>
      <c r="N137" s="16" t="n">
        <v>9269.32</v>
      </c>
      <c r="O137" s="17" t="n">
        <v>0.32996</v>
      </c>
      <c r="P137" s="18" t="n">
        <v>12</v>
      </c>
      <c r="Q137" s="18" t="n">
        <v>2</v>
      </c>
      <c r="R137" s="16" t="n">
        <v>10174.01</v>
      </c>
      <c r="S137" s="14" t="inlineStr">
        <is>
          <t>BLANCA TEMPRANA sem 4 y +</t>
        </is>
      </c>
      <c r="T137" s="14" t="inlineStr">
        <is>
          <t>CITRICOS</t>
        </is>
      </c>
      <c r="U137" s="19">
        <f>IFERROR(166.386*I137/F137,0)</f>
        <v/>
      </c>
      <c r="V137" s="19">
        <f>IFERROR(166.386*M137/F137,0)</f>
        <v/>
      </c>
      <c r="W137" s="19">
        <f>IFERROR(166.386*L137/F137,0)</f>
        <v/>
      </c>
    </row>
    <row r="138">
      <c r="A138" s="14" t="n">
        <v>2207</v>
      </c>
      <c r="B138" s="14" t="inlineStr">
        <is>
          <t>BLANCA TEMPRANA sem 4 y +</t>
        </is>
      </c>
      <c r="C138" s="15" t="n">
        <v>1219</v>
      </c>
      <c r="D138" s="14" t="inlineStr">
        <is>
          <t>LORA BUIZA,GREGORIO</t>
        </is>
      </c>
      <c r="E138" s="14" t="inlineStr">
        <is>
          <t>SALUSTIANA</t>
        </is>
      </c>
      <c r="F138" s="15" t="n">
        <v>3679</v>
      </c>
      <c r="G138" s="16" t="n">
        <v>1259.38</v>
      </c>
      <c r="H138" s="17" t="n">
        <v>0.3423158466974721</v>
      </c>
      <c r="I138" s="16" t="n">
        <v>264.89</v>
      </c>
      <c r="J138" s="16" t="n">
        <v>27.62</v>
      </c>
      <c r="K138" s="16" t="n">
        <v>0</v>
      </c>
      <c r="L138" s="16" t="n">
        <v>0</v>
      </c>
      <c r="M138" s="16" t="n">
        <v>0</v>
      </c>
      <c r="N138" s="16" t="n">
        <v>966.87</v>
      </c>
      <c r="O138" s="17" t="n">
        <v>0.28846</v>
      </c>
      <c r="P138" s="18" t="n">
        <v>12</v>
      </c>
      <c r="Q138" s="18" t="n">
        <v>2</v>
      </c>
      <c r="R138" s="16" t="n">
        <v>1061.24</v>
      </c>
      <c r="S138" s="14" t="inlineStr">
        <is>
          <t>BLANCA TEMPRANA sem 4 y +</t>
        </is>
      </c>
      <c r="T138" s="14" t="inlineStr">
        <is>
          <t>CITRICOS</t>
        </is>
      </c>
      <c r="U138" s="19">
        <f>IFERROR(166.386*I138/F138,0)</f>
        <v/>
      </c>
      <c r="V138" s="19">
        <f>IFERROR(166.386*M138/F138,0)</f>
        <v/>
      </c>
      <c r="W138" s="19">
        <f>IFERROR(166.386*L138/F138,0)</f>
        <v/>
      </c>
    </row>
    <row r="139">
      <c r="A139" s="14" t="n">
        <v>2207</v>
      </c>
      <c r="B139" s="14" t="inlineStr">
        <is>
          <t>BLANCA TEMPRANA sem 4 y +</t>
        </is>
      </c>
      <c r="C139" s="15" t="n">
        <v>1251</v>
      </c>
      <c r="D139" s="14" t="inlineStr">
        <is>
          <t>DURAN ALMENARA,ANGELES</t>
        </is>
      </c>
      <c r="E139" s="14" t="inlineStr">
        <is>
          <t>SALUSTIANA</t>
        </is>
      </c>
      <c r="F139" s="15" t="n">
        <v>38737</v>
      </c>
      <c r="G139" s="16" t="n">
        <v>13484.29</v>
      </c>
      <c r="H139" s="17" t="n">
        <v>0.3480984588378037</v>
      </c>
      <c r="I139" s="16" t="n">
        <v>2789.06</v>
      </c>
      <c r="J139" s="16" t="n">
        <v>176.61</v>
      </c>
      <c r="K139" s="16" t="n">
        <v>0</v>
      </c>
      <c r="L139" s="16" t="n">
        <v>0</v>
      </c>
      <c r="M139" s="16" t="n">
        <v>0</v>
      </c>
      <c r="N139" s="16" t="n">
        <v>10518.62</v>
      </c>
      <c r="O139" s="17" t="n">
        <v>0.29804</v>
      </c>
      <c r="P139" s="18" t="n">
        <v>12</v>
      </c>
      <c r="Q139" s="18" t="n">
        <v>2</v>
      </c>
      <c r="R139" s="16" t="n">
        <v>11545.24</v>
      </c>
      <c r="S139" s="14" t="inlineStr">
        <is>
          <t>BLANCA TEMPRANA sem 4 y +</t>
        </is>
      </c>
      <c r="T139" s="14" t="inlineStr">
        <is>
          <t>CITRICOS</t>
        </is>
      </c>
      <c r="U139" s="19">
        <f>IFERROR(166.386*I139/F139,0)</f>
        <v/>
      </c>
      <c r="V139" s="19">
        <f>IFERROR(166.386*M139/F139,0)</f>
        <v/>
      </c>
      <c r="W139" s="19">
        <f>IFERROR(166.386*L139/F139,0)</f>
        <v/>
      </c>
    </row>
    <row r="140">
      <c r="A140" s="14" t="n">
        <v>2207</v>
      </c>
      <c r="B140" s="14" t="inlineStr">
        <is>
          <t>BLANCA TEMPRANA sem 4 y +</t>
        </is>
      </c>
      <c r="C140" s="15" t="n">
        <v>1272</v>
      </c>
      <c r="D140" s="14" t="inlineStr">
        <is>
          <t>HERMANOS GONZALEZ ROLDAN,S.C.</t>
        </is>
      </c>
      <c r="E140" s="14" t="inlineStr">
        <is>
          <t>SALUSTIANA</t>
        </is>
      </c>
      <c r="F140" s="15" t="n">
        <v>74671</v>
      </c>
      <c r="G140" s="16" t="n">
        <v>23566.58</v>
      </c>
      <c r="H140" s="17" t="n">
        <v>0.3156055228937606</v>
      </c>
      <c r="I140" s="16" t="n">
        <v>5376.32</v>
      </c>
      <c r="J140" s="16" t="n">
        <v>1372.38</v>
      </c>
      <c r="K140" s="16" t="n">
        <v>328.139992067</v>
      </c>
      <c r="L140" s="16" t="n">
        <v>0</v>
      </c>
      <c r="M140" s="16" t="n">
        <v>921.38</v>
      </c>
      <c r="N140" s="16" t="n">
        <v>18067.4</v>
      </c>
      <c r="O140" s="17" t="n">
        <v>0.26558</v>
      </c>
      <c r="P140" s="18" t="n">
        <v>12</v>
      </c>
      <c r="Q140" s="18" t="n">
        <v>2</v>
      </c>
      <c r="R140" s="16" t="n">
        <v>19830.78</v>
      </c>
      <c r="S140" s="14" t="inlineStr">
        <is>
          <t>BLANCA TEMPRANA sem 4 y +</t>
        </is>
      </c>
      <c r="T140" s="14" t="inlineStr">
        <is>
          <t>CITRICOS</t>
        </is>
      </c>
      <c r="U140" s="19">
        <f>IFERROR(166.386*I140/F140,0)</f>
        <v/>
      </c>
      <c r="V140" s="19">
        <f>IFERROR(166.386*M140/F140,0)</f>
        <v/>
      </c>
      <c r="W140" s="19">
        <f>IFERROR(166.386*L140/F140,0)</f>
        <v/>
      </c>
    </row>
    <row r="141">
      <c r="A141" s="14" t="n">
        <v>2207</v>
      </c>
      <c r="B141" s="14" t="inlineStr">
        <is>
          <t>BLANCA TEMPRANA sem 4 y +</t>
        </is>
      </c>
      <c r="C141" s="15" t="n">
        <v>1316</v>
      </c>
      <c r="D141" s="14" t="inlineStr">
        <is>
          <t>JIMENA GARCIA,JUAN MANUEL</t>
        </is>
      </c>
      <c r="E141" s="14" t="inlineStr">
        <is>
          <t>SALUSTIANA</t>
        </is>
      </c>
      <c r="F141" s="15" t="n">
        <v>57732</v>
      </c>
      <c r="G141" s="16" t="n">
        <v>19428.84</v>
      </c>
      <c r="H141" s="17" t="n">
        <v>0.3365350239035543</v>
      </c>
      <c r="I141" s="16" t="n">
        <v>4156.7</v>
      </c>
      <c r="J141" s="16" t="n">
        <v>388.12</v>
      </c>
      <c r="K141" s="16" t="n">
        <v>0</v>
      </c>
      <c r="L141" s="16" t="n">
        <v>0</v>
      </c>
      <c r="M141" s="16" t="n">
        <v>0</v>
      </c>
      <c r="N141" s="16" t="n">
        <v>14884.02</v>
      </c>
      <c r="O141" s="17" t="n">
        <v>0.28297</v>
      </c>
      <c r="P141" s="18" t="n">
        <v>12</v>
      </c>
      <c r="Q141" s="18" t="n">
        <v>2</v>
      </c>
      <c r="R141" s="16" t="n">
        <v>16336.7</v>
      </c>
      <c r="S141" s="14" t="inlineStr">
        <is>
          <t>BLANCA TEMPRANA sem 4 y +</t>
        </is>
      </c>
      <c r="T141" s="14" t="inlineStr">
        <is>
          <t>CITRICOS</t>
        </is>
      </c>
      <c r="U141" s="19">
        <f>IFERROR(166.386*I141/F141,0)</f>
        <v/>
      </c>
      <c r="V141" s="19">
        <f>IFERROR(166.386*M141/F141,0)</f>
        <v/>
      </c>
      <c r="W141" s="19">
        <f>IFERROR(166.386*L141/F141,0)</f>
        <v/>
      </c>
    </row>
    <row r="142">
      <c r="A142" s="14" t="n">
        <v>2207</v>
      </c>
      <c r="B142" s="14" t="inlineStr">
        <is>
          <t>BLANCA TEMPRANA sem 4 y +</t>
        </is>
      </c>
      <c r="C142" s="15" t="n">
        <v>1350</v>
      </c>
      <c r="D142" s="14" t="inlineStr">
        <is>
          <t>FAMILIA GONZALEZ LACAL S.C.</t>
        </is>
      </c>
      <c r="E142" s="14" t="inlineStr">
        <is>
          <t>SALUSTIANA</t>
        </is>
      </c>
      <c r="F142" s="15" t="n">
        <v>24320</v>
      </c>
      <c r="G142" s="16" t="n">
        <v>8122.34</v>
      </c>
      <c r="H142" s="17" t="n">
        <v>0.3339777960526316</v>
      </c>
      <c r="I142" s="16" t="n">
        <v>1751.04</v>
      </c>
      <c r="J142" s="16" t="n">
        <v>339.66</v>
      </c>
      <c r="K142" s="16" t="n">
        <v>0</v>
      </c>
      <c r="L142" s="16" t="n">
        <v>0</v>
      </c>
      <c r="M142" s="16" t="n">
        <v>306.98</v>
      </c>
      <c r="N142" s="16" t="n">
        <v>6338.62</v>
      </c>
      <c r="O142" s="17" t="n">
        <v>0.28607</v>
      </c>
      <c r="P142" s="18" t="n">
        <v>12</v>
      </c>
      <c r="Q142" s="18" t="n">
        <v>2</v>
      </c>
      <c r="R142" s="16" t="n">
        <v>6957.27</v>
      </c>
      <c r="S142" s="14" t="inlineStr">
        <is>
          <t>BLANCA TEMPRANA sem 4 y +</t>
        </is>
      </c>
      <c r="T142" s="14" t="inlineStr">
        <is>
          <t>CITRICOS</t>
        </is>
      </c>
      <c r="U142" s="19">
        <f>IFERROR(166.386*I142/F142,0)</f>
        <v/>
      </c>
      <c r="V142" s="19">
        <f>IFERROR(166.386*M142/F142,0)</f>
        <v/>
      </c>
      <c r="W142" s="19">
        <f>IFERROR(166.386*L142/F142,0)</f>
        <v/>
      </c>
    </row>
    <row r="143">
      <c r="A143" s="14" t="n">
        <v>2207</v>
      </c>
      <c r="B143" s="14" t="inlineStr">
        <is>
          <t>BLANCA TEMPRANA sem 4 y +</t>
        </is>
      </c>
      <c r="C143" s="15" t="n">
        <v>1354</v>
      </c>
      <c r="D143" s="14" t="inlineStr">
        <is>
          <t>MARTIN PORTALES,ALFREDO</t>
        </is>
      </c>
      <c r="E143" s="14" t="inlineStr">
        <is>
          <t>SALUSTIANA</t>
        </is>
      </c>
      <c r="F143" s="15" t="n">
        <v>148012</v>
      </c>
      <c r="G143" s="16" t="n">
        <v>53301.47</v>
      </c>
      <c r="H143" s="17" t="n">
        <v>0.3601158689835959</v>
      </c>
      <c r="I143" s="16" t="n">
        <v>10656.87</v>
      </c>
      <c r="J143" s="16" t="n">
        <v>988.5599999999999</v>
      </c>
      <c r="K143" s="16" t="n">
        <v>0</v>
      </c>
      <c r="L143" s="16" t="n">
        <v>0</v>
      </c>
      <c r="M143" s="16" t="n">
        <v>0</v>
      </c>
      <c r="N143" s="16" t="n">
        <v>41656.04</v>
      </c>
      <c r="O143" s="17" t="n">
        <v>0.30891</v>
      </c>
      <c r="P143" s="18" t="n">
        <v>12</v>
      </c>
      <c r="Q143" s="18" t="n">
        <v>2</v>
      </c>
      <c r="R143" s="16" t="n">
        <v>45721.67</v>
      </c>
      <c r="S143" s="14" t="inlineStr">
        <is>
          <t>BLANCA TEMPRANA sem 4 y +</t>
        </is>
      </c>
      <c r="T143" s="14" t="inlineStr">
        <is>
          <t>CITRICOS</t>
        </is>
      </c>
      <c r="U143" s="19">
        <f>IFERROR(166.386*I143/F143,0)</f>
        <v/>
      </c>
      <c r="V143" s="19">
        <f>IFERROR(166.386*M143/F143,0)</f>
        <v/>
      </c>
      <c r="W143" s="19">
        <f>IFERROR(166.386*L143/F143,0)</f>
        <v/>
      </c>
    </row>
    <row r="144">
      <c r="A144" s="14" t="n">
        <v>2207</v>
      </c>
      <c r="B144" s="14" t="inlineStr">
        <is>
          <t>BLANCA TEMPRANA sem 4 y +</t>
        </is>
      </c>
      <c r="C144" s="15" t="n">
        <v>1355</v>
      </c>
      <c r="D144" s="14" t="inlineStr">
        <is>
          <t>CANO MANZANARES,JUAN ANTONIO</t>
        </is>
      </c>
      <c r="E144" s="14" t="inlineStr">
        <is>
          <t>SALUSTIANA</t>
        </is>
      </c>
      <c r="F144" s="15" t="n">
        <v>212858</v>
      </c>
      <c r="G144" s="16" t="n">
        <v>81403.11</v>
      </c>
      <c r="H144" s="17" t="n">
        <v>0.3824291781375377</v>
      </c>
      <c r="I144" s="16" t="n">
        <v>15356.78</v>
      </c>
      <c r="J144" s="16" t="n">
        <v>836.58</v>
      </c>
      <c r="K144" s="16" t="n">
        <v>0</v>
      </c>
      <c r="L144" s="16" t="n">
        <v>2094.37</v>
      </c>
      <c r="M144" s="16" t="n">
        <v>3410.06</v>
      </c>
      <c r="N144" s="16" t="n">
        <v>70714.17999999999</v>
      </c>
      <c r="O144" s="17" t="n">
        <v>0.36464</v>
      </c>
      <c r="P144" s="18" t="n">
        <v>12</v>
      </c>
      <c r="Q144" s="18" t="n">
        <v>2</v>
      </c>
      <c r="R144" s="16" t="n">
        <v>77615.88</v>
      </c>
      <c r="S144" s="14" t="inlineStr">
        <is>
          <t>BLANCA TEMPRANA sem 4 y +</t>
        </is>
      </c>
      <c r="T144" s="14" t="inlineStr">
        <is>
          <t>CITRICOS</t>
        </is>
      </c>
      <c r="U144" s="19">
        <f>IFERROR(166.386*I144/F144,0)</f>
        <v/>
      </c>
      <c r="V144" s="19">
        <f>IFERROR(166.386*M144/F144,0)</f>
        <v/>
      </c>
      <c r="W144" s="19">
        <f>IFERROR(166.386*L144/F144,0)</f>
        <v/>
      </c>
    </row>
    <row r="145">
      <c r="A145" s="14" t="n">
        <v>2207</v>
      </c>
      <c r="B145" s="14" t="inlineStr">
        <is>
          <t>BLANCA TEMPRANA sem 4 y +</t>
        </is>
      </c>
      <c r="C145" s="15" t="n">
        <v>1374</v>
      </c>
      <c r="D145" s="14" t="inlineStr">
        <is>
          <t>MORENO SANCHEZ,JOSE ANTONIO</t>
        </is>
      </c>
      <c r="E145" s="14" t="inlineStr">
        <is>
          <t>SALUSTIANA</t>
        </is>
      </c>
      <c r="F145" s="15" t="n">
        <v>51699</v>
      </c>
      <c r="G145" s="16" t="n">
        <v>19898.38</v>
      </c>
      <c r="H145" s="17" t="n">
        <v>0.384889069421072</v>
      </c>
      <c r="I145" s="16" t="n">
        <v>3722.33</v>
      </c>
      <c r="J145" s="16" t="n">
        <v>285.84</v>
      </c>
      <c r="K145" s="16" t="n">
        <v>0</v>
      </c>
      <c r="L145" s="16" t="n">
        <v>0</v>
      </c>
      <c r="M145" s="16" t="n">
        <v>0</v>
      </c>
      <c r="N145" s="16" t="n">
        <v>15890.21</v>
      </c>
      <c r="O145" s="17" t="n">
        <v>0.33736</v>
      </c>
      <c r="P145" s="18" t="n">
        <v>12</v>
      </c>
      <c r="Q145" s="18" t="n">
        <v>2</v>
      </c>
      <c r="R145" s="16" t="n">
        <v>17441.09</v>
      </c>
      <c r="S145" s="14" t="inlineStr">
        <is>
          <t>BLANCA TEMPRANA sem 4 y +</t>
        </is>
      </c>
      <c r="T145" s="14" t="inlineStr">
        <is>
          <t>CITRICOS</t>
        </is>
      </c>
      <c r="U145" s="19">
        <f>IFERROR(166.386*I145/F145,0)</f>
        <v/>
      </c>
      <c r="V145" s="19">
        <f>IFERROR(166.386*M145/F145,0)</f>
        <v/>
      </c>
      <c r="W145" s="19">
        <f>IFERROR(166.386*L145/F145,0)</f>
        <v/>
      </c>
    </row>
    <row r="146">
      <c r="A146" s="14" t="n">
        <v>2207</v>
      </c>
      <c r="B146" s="14" t="inlineStr">
        <is>
          <t>BLANCA TEMPRANA sem 4 y +</t>
        </is>
      </c>
      <c r="C146" s="15" t="n">
        <v>1389</v>
      </c>
      <c r="D146" s="14" t="inlineStr">
        <is>
          <t>AGRICOLA HUERTA LA MEJORA S.C.</t>
        </is>
      </c>
      <c r="E146" s="14" t="inlineStr">
        <is>
          <t>SALUSTIANA</t>
        </is>
      </c>
      <c r="F146" s="15" t="n">
        <v>47840</v>
      </c>
      <c r="G146" s="16" t="n">
        <v>18031.68</v>
      </c>
      <c r="H146" s="17" t="n">
        <v>0.3769163879598662</v>
      </c>
      <c r="I146" s="16" t="n">
        <v>3444.48</v>
      </c>
      <c r="J146" s="16" t="n">
        <v>719.65</v>
      </c>
      <c r="K146" s="16" t="n">
        <v>0</v>
      </c>
      <c r="L146" s="16" t="n">
        <v>0</v>
      </c>
      <c r="M146" s="16" t="n">
        <v>757.92</v>
      </c>
      <c r="N146" s="16" t="n">
        <v>14625.47</v>
      </c>
      <c r="O146" s="17" t="n">
        <v>0.33555</v>
      </c>
      <c r="P146" s="18" t="n">
        <v>12</v>
      </c>
      <c r="Q146" s="18" t="n">
        <v>2</v>
      </c>
      <c r="R146" s="16" t="n">
        <v>16052.92</v>
      </c>
      <c r="S146" s="14" t="inlineStr">
        <is>
          <t>BLANCA TEMPRANA sem 4 y +</t>
        </is>
      </c>
      <c r="T146" s="14" t="inlineStr">
        <is>
          <t>CITRICOS</t>
        </is>
      </c>
      <c r="U146" s="19">
        <f>IFERROR(166.386*I146/F146,0)</f>
        <v/>
      </c>
      <c r="V146" s="19">
        <f>IFERROR(166.386*M146/F146,0)</f>
        <v/>
      </c>
      <c r="W146" s="19">
        <f>IFERROR(166.386*L146/F146,0)</f>
        <v/>
      </c>
    </row>
    <row r="147">
      <c r="A147" s="14" t="n">
        <v>2207</v>
      </c>
      <c r="B147" s="14" t="inlineStr">
        <is>
          <t>BLANCA TEMPRANA sem 4 y +</t>
        </is>
      </c>
      <c r="C147" s="15" t="n">
        <v>1395</v>
      </c>
      <c r="D147" s="14" t="inlineStr">
        <is>
          <t>AGRICOLA HERMANOS BUIZA S.C.</t>
        </is>
      </c>
      <c r="E147" s="14" t="inlineStr">
        <is>
          <t>SALUSTIANA</t>
        </is>
      </c>
      <c r="F147" s="15" t="n">
        <v>22880</v>
      </c>
      <c r="G147" s="16" t="n">
        <v>7948.23</v>
      </c>
      <c r="H147" s="17" t="n">
        <v>0.3473876748251749</v>
      </c>
      <c r="I147" s="16" t="n">
        <v>1647.36</v>
      </c>
      <c r="J147" s="16" t="n">
        <v>86.45</v>
      </c>
      <c r="K147" s="16" t="n">
        <v>0</v>
      </c>
      <c r="L147" s="16" t="n">
        <v>114.55</v>
      </c>
      <c r="M147" s="16" t="n">
        <v>328.22</v>
      </c>
      <c r="N147" s="16" t="n">
        <v>6657.19</v>
      </c>
      <c r="O147" s="17" t="n">
        <v>0.31936</v>
      </c>
      <c r="P147" s="18" t="n">
        <v>12</v>
      </c>
      <c r="Q147" s="18" t="n">
        <v>2</v>
      </c>
      <c r="R147" s="16" t="n">
        <v>7306.93</v>
      </c>
      <c r="S147" s="14" t="inlineStr">
        <is>
          <t>BLANCA TEMPRANA sem 4 y +</t>
        </is>
      </c>
      <c r="T147" s="14" t="inlineStr">
        <is>
          <t>CITRICOS</t>
        </is>
      </c>
      <c r="U147" s="19">
        <f>IFERROR(166.386*I147/F147,0)</f>
        <v/>
      </c>
      <c r="V147" s="19">
        <f>IFERROR(166.386*M147/F147,0)</f>
        <v/>
      </c>
      <c r="W147" s="19">
        <f>IFERROR(166.386*L147/F147,0)</f>
        <v/>
      </c>
    </row>
    <row r="148">
      <c r="A148" s="14" t="n">
        <v>2207</v>
      </c>
      <c r="B148" s="14" t="inlineStr">
        <is>
          <t>BLANCA TEMPRANA sem 4 y +</t>
        </is>
      </c>
      <c r="C148" s="15" t="n">
        <v>1411</v>
      </c>
      <c r="D148" s="14" t="inlineStr">
        <is>
          <t>HERMANOS PEÑA GRIÑAN S.C.</t>
        </is>
      </c>
      <c r="E148" s="14" t="inlineStr">
        <is>
          <t>SALUSTIANA</t>
        </is>
      </c>
      <c r="F148" s="15" t="n">
        <v>66051</v>
      </c>
      <c r="G148" s="16" t="n">
        <v>24568.15</v>
      </c>
      <c r="H148" s="17" t="n">
        <v>0.3719572754386762</v>
      </c>
      <c r="I148" s="16" t="n">
        <v>4753.65</v>
      </c>
      <c r="J148" s="16" t="n">
        <v>548.33</v>
      </c>
      <c r="K148" s="16" t="n">
        <v>0</v>
      </c>
      <c r="L148" s="16" t="n">
        <v>0</v>
      </c>
      <c r="M148" s="16" t="n">
        <v>0</v>
      </c>
      <c r="N148" s="16" t="n">
        <v>19266.17</v>
      </c>
      <c r="O148" s="17" t="n">
        <v>0.32015</v>
      </c>
      <c r="P148" s="18" t="n">
        <v>12</v>
      </c>
      <c r="Q148" s="18" t="n">
        <v>2</v>
      </c>
      <c r="R148" s="16" t="n">
        <v>21146.55</v>
      </c>
      <c r="S148" s="14" t="inlineStr">
        <is>
          <t>BLANCA TEMPRANA sem 4 y +</t>
        </is>
      </c>
      <c r="T148" s="14" t="inlineStr">
        <is>
          <t>CITRICOS</t>
        </is>
      </c>
      <c r="U148" s="19">
        <f>IFERROR(166.386*I148/F148,0)</f>
        <v/>
      </c>
      <c r="V148" s="19">
        <f>IFERROR(166.386*M148/F148,0)</f>
        <v/>
      </c>
      <c r="W148" s="19">
        <f>IFERROR(166.386*L148/F148,0)</f>
        <v/>
      </c>
    </row>
    <row r="149">
      <c r="A149" s="14" t="n">
        <v>2207</v>
      </c>
      <c r="B149" s="14" t="inlineStr">
        <is>
          <t>BLANCA TEMPRANA sem 4 y +</t>
        </is>
      </c>
      <c r="C149" s="15" t="n">
        <v>1419</v>
      </c>
      <c r="D149" s="14" t="inlineStr">
        <is>
          <t>MORAL GARCIA,JOSE ANTONIO</t>
        </is>
      </c>
      <c r="E149" s="14" t="inlineStr">
        <is>
          <t>SALUSTIANA</t>
        </is>
      </c>
      <c r="F149" s="15" t="n">
        <v>22950</v>
      </c>
      <c r="G149" s="16" t="n">
        <v>7464.66</v>
      </c>
      <c r="H149" s="17" t="n">
        <v>0.3252575163398693</v>
      </c>
      <c r="I149" s="16" t="n">
        <v>1652.4</v>
      </c>
      <c r="J149" s="16" t="n">
        <v>142.89</v>
      </c>
      <c r="K149" s="16" t="n">
        <v>0</v>
      </c>
      <c r="L149" s="16" t="n">
        <v>114.44</v>
      </c>
      <c r="M149" s="16" t="n">
        <v>0</v>
      </c>
      <c r="N149" s="16" t="n">
        <v>5783.81</v>
      </c>
      <c r="O149" s="17" t="n">
        <v>0.27661</v>
      </c>
      <c r="P149" s="18" t="n">
        <v>12</v>
      </c>
      <c r="Q149" s="18" t="n">
        <v>2</v>
      </c>
      <c r="R149" s="16" t="n">
        <v>6348.31</v>
      </c>
      <c r="S149" s="14" t="inlineStr">
        <is>
          <t>BLANCA TEMPRANA sem 4 y +</t>
        </is>
      </c>
      <c r="T149" s="14" t="inlineStr">
        <is>
          <t>CITRICOS</t>
        </is>
      </c>
      <c r="U149" s="19">
        <f>IFERROR(166.386*I149/F149,0)</f>
        <v/>
      </c>
      <c r="V149" s="19">
        <f>IFERROR(166.386*M149/F149,0)</f>
        <v/>
      </c>
      <c r="W149" s="19">
        <f>IFERROR(166.386*L149/F149,0)</f>
        <v/>
      </c>
    </row>
    <row r="150">
      <c r="A150" s="14" t="n">
        <v>2207</v>
      </c>
      <c r="B150" s="14" t="inlineStr">
        <is>
          <t>BLANCA TEMPRANA sem 4 y +</t>
        </is>
      </c>
      <c r="C150" s="15" t="n">
        <v>1421</v>
      </c>
      <c r="D150" s="14" t="inlineStr">
        <is>
          <t>GARCIA GONZALEZ,ISIDORA</t>
        </is>
      </c>
      <c r="E150" s="14" t="inlineStr">
        <is>
          <t>SALUSTIANA</t>
        </is>
      </c>
      <c r="F150" s="15" t="n">
        <v>36875</v>
      </c>
      <c r="G150" s="16" t="n">
        <v>12343.35</v>
      </c>
      <c r="H150" s="17" t="n">
        <v>0.3347349152542373</v>
      </c>
      <c r="I150" s="16" t="n">
        <v>2655</v>
      </c>
      <c r="J150" s="16" t="n">
        <v>214.5</v>
      </c>
      <c r="K150" s="16" t="n">
        <v>0</v>
      </c>
      <c r="L150" s="16" t="n">
        <v>0</v>
      </c>
      <c r="M150" s="16" t="n">
        <v>0</v>
      </c>
      <c r="N150" s="16" t="n">
        <v>9473.85</v>
      </c>
      <c r="O150" s="17" t="n">
        <v>0.28199</v>
      </c>
      <c r="P150" s="18" t="n">
        <v>12</v>
      </c>
      <c r="Q150" s="18" t="n">
        <v>2</v>
      </c>
      <c r="R150" s="16" t="n">
        <v>10398.5</v>
      </c>
      <c r="S150" s="14" t="inlineStr">
        <is>
          <t>BLANCA TEMPRANA sem 4 y +</t>
        </is>
      </c>
      <c r="T150" s="14" t="inlineStr">
        <is>
          <t>CITRICOS</t>
        </is>
      </c>
      <c r="U150" s="19">
        <f>IFERROR(166.386*I150/F150,0)</f>
        <v/>
      </c>
      <c r="V150" s="19">
        <f>IFERROR(166.386*M150/F150,0)</f>
        <v/>
      </c>
      <c r="W150" s="19">
        <f>IFERROR(166.386*L150/F150,0)</f>
        <v/>
      </c>
    </row>
    <row r="151">
      <c r="A151" s="14" t="n">
        <v>2207</v>
      </c>
      <c r="B151" s="14" t="inlineStr">
        <is>
          <t>BLANCA TEMPRANA sem 4 y +</t>
        </is>
      </c>
      <c r="C151" s="15" t="n">
        <v>1443</v>
      </c>
      <c r="D151" s="14" t="inlineStr">
        <is>
          <t>TOMENO SUAREZ,ALBERTO</t>
        </is>
      </c>
      <c r="E151" s="14" t="inlineStr">
        <is>
          <t>SALUSTIANA</t>
        </is>
      </c>
      <c r="F151" s="15" t="n">
        <v>34222</v>
      </c>
      <c r="G151" s="16" t="n">
        <v>11662.25</v>
      </c>
      <c r="H151" s="17" t="n">
        <v>0.3407822453392554</v>
      </c>
      <c r="I151" s="16" t="n">
        <v>0</v>
      </c>
      <c r="J151" s="16" t="n">
        <v>211.61</v>
      </c>
      <c r="K151" s="16" t="n">
        <v>0</v>
      </c>
      <c r="L151" s="16" t="n">
        <v>124.94</v>
      </c>
      <c r="M151" s="16" t="n">
        <v>492.06</v>
      </c>
      <c r="N151" s="16" t="n">
        <v>12067.64</v>
      </c>
      <c r="O151" s="17" t="n">
        <v>0.38704</v>
      </c>
      <c r="P151" s="18" t="n">
        <v>12</v>
      </c>
      <c r="Q151" s="18" t="n">
        <v>2</v>
      </c>
      <c r="R151" s="16" t="n">
        <v>13245.44</v>
      </c>
      <c r="S151" s="14" t="inlineStr">
        <is>
          <t>BLANCA TEMPRANA sem 4 y +</t>
        </is>
      </c>
      <c r="T151" s="14" t="inlineStr">
        <is>
          <t>CITRICOS</t>
        </is>
      </c>
      <c r="U151" s="19">
        <f>IFERROR(166.386*I151/F151,0)</f>
        <v/>
      </c>
      <c r="V151" s="19">
        <f>IFERROR(166.386*M151/F151,0)</f>
        <v/>
      </c>
      <c r="W151" s="19">
        <f>IFERROR(166.386*L151/F151,0)</f>
        <v/>
      </c>
    </row>
    <row r="152">
      <c r="A152" s="14" t="n">
        <v>2207</v>
      </c>
      <c r="B152" s="14" t="inlineStr">
        <is>
          <t>BLANCA TEMPRANA sem 4 y +</t>
        </is>
      </c>
      <c r="C152" s="15" t="n">
        <v>1485</v>
      </c>
      <c r="D152" s="14" t="inlineStr">
        <is>
          <t>HNOS. CRESPO RUIZ S.C.</t>
        </is>
      </c>
      <c r="E152" s="14" t="inlineStr">
        <is>
          <t>SALUSTIANA</t>
        </is>
      </c>
      <c r="F152" s="15" t="n">
        <v>143835</v>
      </c>
      <c r="G152" s="16" t="n">
        <v>55407.6</v>
      </c>
      <c r="H152" s="17" t="n">
        <v>0.3852163937845448</v>
      </c>
      <c r="I152" s="16" t="n">
        <v>10356.12</v>
      </c>
      <c r="J152" s="16" t="n">
        <v>625.39</v>
      </c>
      <c r="K152" s="16" t="n">
        <v>0</v>
      </c>
      <c r="L152" s="16" t="n">
        <v>0</v>
      </c>
      <c r="M152" s="16" t="n">
        <v>0</v>
      </c>
      <c r="N152" s="16" t="n">
        <v>44426.09</v>
      </c>
      <c r="O152" s="17" t="n">
        <v>0.33901</v>
      </c>
      <c r="P152" s="18" t="n">
        <v>12</v>
      </c>
      <c r="Q152" s="18" t="n">
        <v>2</v>
      </c>
      <c r="R152" s="16" t="n">
        <v>48762.08</v>
      </c>
      <c r="S152" s="14" t="inlineStr">
        <is>
          <t>BLANCA TEMPRANA sem 4 y +</t>
        </is>
      </c>
      <c r="T152" s="14" t="inlineStr">
        <is>
          <t>CITRICOS</t>
        </is>
      </c>
      <c r="U152" s="19">
        <f>IFERROR(166.386*I152/F152,0)</f>
        <v/>
      </c>
      <c r="V152" s="19">
        <f>IFERROR(166.386*M152/F152,0)</f>
        <v/>
      </c>
      <c r="W152" s="19">
        <f>IFERROR(166.386*L152/F152,0)</f>
        <v/>
      </c>
    </row>
    <row r="153">
      <c r="A153" s="14" t="n">
        <v>2207</v>
      </c>
      <c r="B153" s="14" t="inlineStr">
        <is>
          <t>BLANCA TEMPRANA sem 4 y +</t>
        </is>
      </c>
      <c r="C153" s="15" t="n">
        <v>1512</v>
      </c>
      <c r="D153" s="14" t="inlineStr">
        <is>
          <t>HERNANDEZ MOLINA,ANTONIO</t>
        </is>
      </c>
      <c r="E153" s="14" t="inlineStr">
        <is>
          <t>SALUSTIANA</t>
        </is>
      </c>
      <c r="F153" s="15" t="n">
        <v>41174</v>
      </c>
      <c r="G153" s="16" t="n">
        <v>13467.72</v>
      </c>
      <c r="H153" s="17" t="n">
        <v>0.3270928255695342</v>
      </c>
      <c r="I153" s="16" t="n">
        <v>2964.53</v>
      </c>
      <c r="J153" s="16" t="n">
        <v>284.75</v>
      </c>
      <c r="K153" s="16" t="n">
        <v>0</v>
      </c>
      <c r="L153" s="16" t="n">
        <v>0</v>
      </c>
      <c r="M153" s="16" t="n">
        <v>0</v>
      </c>
      <c r="N153" s="16" t="n">
        <v>10218.44</v>
      </c>
      <c r="O153" s="17" t="n">
        <v>0.2724</v>
      </c>
      <c r="P153" s="18" t="n">
        <v>12</v>
      </c>
      <c r="Q153" s="18" t="n">
        <v>2</v>
      </c>
      <c r="R153" s="16" t="n">
        <v>11215.76</v>
      </c>
      <c r="S153" s="14" t="inlineStr">
        <is>
          <t>BLANCA TEMPRANA sem 4 y +</t>
        </is>
      </c>
      <c r="T153" s="14" t="inlineStr">
        <is>
          <t>CITRICOS</t>
        </is>
      </c>
      <c r="U153" s="19">
        <f>IFERROR(166.386*I153/F153,0)</f>
        <v/>
      </c>
      <c r="V153" s="19">
        <f>IFERROR(166.386*M153/F153,0)</f>
        <v/>
      </c>
      <c r="W153" s="19">
        <f>IFERROR(166.386*L153/F153,0)</f>
        <v/>
      </c>
    </row>
    <row r="154">
      <c r="A154" s="14" t="n">
        <v>2207</v>
      </c>
      <c r="B154" s="14" t="inlineStr">
        <is>
          <t>BLANCA TEMPRANA sem 4 y +</t>
        </is>
      </c>
      <c r="C154" s="15" t="n">
        <v>1523</v>
      </c>
      <c r="D154" s="14" t="inlineStr">
        <is>
          <t>RODRIGUEZ MEJÍAS, JOSE ANTONIO</t>
        </is>
      </c>
      <c r="E154" s="14" t="inlineStr">
        <is>
          <t>SALUSTIANA</t>
        </is>
      </c>
      <c r="F154" s="15" t="n">
        <v>243865</v>
      </c>
      <c r="G154" s="16" t="n">
        <v>91744.92</v>
      </c>
      <c r="H154" s="17" t="n">
        <v>0.3762119205298013</v>
      </c>
      <c r="I154" s="16" t="n">
        <v>17693.49</v>
      </c>
      <c r="J154" s="16" t="n">
        <v>1771.84</v>
      </c>
      <c r="K154" s="16" t="n">
        <v>0</v>
      </c>
      <c r="L154" s="16" t="n">
        <v>2247.92</v>
      </c>
      <c r="M154" s="16" t="n">
        <v>3868.67</v>
      </c>
      <c r="N154" s="16" t="n">
        <v>78396.17999999999</v>
      </c>
      <c r="O154" s="17" t="n">
        <v>0.35285</v>
      </c>
      <c r="P154" s="18" t="n">
        <v>12</v>
      </c>
      <c r="Q154" s="18" t="n">
        <v>2</v>
      </c>
      <c r="R154" s="16" t="n">
        <v>86047.64999999999</v>
      </c>
      <c r="S154" s="14" t="inlineStr">
        <is>
          <t>BLANCA TEMPRANA sem 4 y +</t>
        </is>
      </c>
      <c r="T154" s="14" t="inlineStr">
        <is>
          <t>CITRICOS</t>
        </is>
      </c>
      <c r="U154" s="19">
        <f>IFERROR(166.386*I154/F154,0)</f>
        <v/>
      </c>
      <c r="V154" s="19">
        <f>IFERROR(166.386*M154/F154,0)</f>
        <v/>
      </c>
      <c r="W154" s="19">
        <f>IFERROR(166.386*L154/F154,0)</f>
        <v/>
      </c>
    </row>
    <row r="155">
      <c r="A155" s="14" t="n">
        <v>2207</v>
      </c>
      <c r="B155" s="14" t="inlineStr">
        <is>
          <t>BLANCA TEMPRANA sem 4 y +</t>
        </is>
      </c>
      <c r="C155" s="15" t="n">
        <v>1529</v>
      </c>
      <c r="D155" s="14" t="inlineStr">
        <is>
          <t>RAMOS BRUGAROLAS, JOSE</t>
        </is>
      </c>
      <c r="E155" s="14" t="inlineStr">
        <is>
          <t>SALUSTIANA</t>
        </is>
      </c>
      <c r="F155" s="15" t="n">
        <v>40245</v>
      </c>
      <c r="G155" s="16" t="n">
        <v>15237.54</v>
      </c>
      <c r="H155" s="17" t="n">
        <v>0.3786194558330228</v>
      </c>
      <c r="I155" s="16" t="n">
        <v>3018.38</v>
      </c>
      <c r="J155" s="16" t="n">
        <v>266.03</v>
      </c>
      <c r="K155" s="16" t="n">
        <v>0</v>
      </c>
      <c r="L155" s="16" t="n">
        <v>0</v>
      </c>
      <c r="M155" s="16" t="n">
        <v>0</v>
      </c>
      <c r="N155" s="16" t="n">
        <v>11953.13</v>
      </c>
      <c r="O155" s="17" t="n">
        <v>0.326</v>
      </c>
      <c r="P155" s="18" t="n">
        <v>12</v>
      </c>
      <c r="Q155" s="18" t="n">
        <v>2</v>
      </c>
      <c r="R155" s="16" t="n">
        <v>13119.76</v>
      </c>
      <c r="S155" s="14" t="inlineStr">
        <is>
          <t>BLANCA TEMPRANA sem 4 y +</t>
        </is>
      </c>
      <c r="T155" s="14" t="inlineStr">
        <is>
          <t>CITRICOS</t>
        </is>
      </c>
      <c r="U155" s="19">
        <f>IFERROR(166.386*I155/F155,0)</f>
        <v/>
      </c>
      <c r="V155" s="19">
        <f>IFERROR(166.386*M155/F155,0)</f>
        <v/>
      </c>
      <c r="W155" s="19">
        <f>IFERROR(166.386*L155/F155,0)</f>
        <v/>
      </c>
    </row>
    <row r="156">
      <c r="A156" s="14" t="n">
        <v>2207</v>
      </c>
      <c r="B156" s="14" t="inlineStr">
        <is>
          <t>BLANCA TEMPRANA sem 4 y +</t>
        </is>
      </c>
      <c r="C156" s="15" t="n">
        <v>1540</v>
      </c>
      <c r="D156" s="14" t="inlineStr">
        <is>
          <t>AGRICOLA SANCHEZ CUENCA S.C.</t>
        </is>
      </c>
      <c r="E156" s="14" t="inlineStr">
        <is>
          <t>SALUSTIANA</t>
        </is>
      </c>
      <c r="F156" s="15" t="n">
        <v>200979</v>
      </c>
      <c r="G156" s="16" t="n">
        <v>74145.41</v>
      </c>
      <c r="H156" s="17" t="n">
        <v>0.3689211808198867</v>
      </c>
      <c r="I156" s="16" t="n">
        <v>14470.49</v>
      </c>
      <c r="J156" s="16" t="n">
        <v>1040.63</v>
      </c>
      <c r="K156" s="16" t="n">
        <v>0</v>
      </c>
      <c r="L156" s="16" t="n">
        <v>0</v>
      </c>
      <c r="M156" s="16" t="n">
        <v>3067.91</v>
      </c>
      <c r="N156" s="16" t="n">
        <v>61702.2</v>
      </c>
      <c r="O156" s="17" t="n">
        <v>0.33697</v>
      </c>
      <c r="P156" s="18" t="n">
        <v>12</v>
      </c>
      <c r="Q156" s="18" t="n">
        <v>2</v>
      </c>
      <c r="R156" s="16" t="n">
        <v>67724.33</v>
      </c>
      <c r="S156" s="14" t="inlineStr">
        <is>
          <t>BLANCA TEMPRANA sem 4 y +</t>
        </is>
      </c>
      <c r="T156" s="14" t="inlineStr">
        <is>
          <t>CITRICOS</t>
        </is>
      </c>
      <c r="U156" s="19">
        <f>IFERROR(166.386*I156/F156,0)</f>
        <v/>
      </c>
      <c r="V156" s="19">
        <f>IFERROR(166.386*M156/F156,0)</f>
        <v/>
      </c>
      <c r="W156" s="19">
        <f>IFERROR(166.386*L156/F156,0)</f>
        <v/>
      </c>
    </row>
    <row r="157">
      <c r="A157" s="14" t="n">
        <v>2207</v>
      </c>
      <c r="B157" s="14" t="inlineStr">
        <is>
          <t>BLANCA TEMPRANA sem 4 y +</t>
        </is>
      </c>
      <c r="C157" s="15" t="n">
        <v>1544</v>
      </c>
      <c r="D157" s="14" t="inlineStr">
        <is>
          <t>HARO ORDOÑO, ALVARO</t>
        </is>
      </c>
      <c r="E157" s="14" t="inlineStr">
        <is>
          <t>SALUSTIANA</t>
        </is>
      </c>
      <c r="F157" s="15" t="n">
        <v>30040</v>
      </c>
      <c r="G157" s="16" t="n">
        <v>10405.43</v>
      </c>
      <c r="H157" s="17" t="n">
        <v>0.3463858189081225</v>
      </c>
      <c r="I157" s="16" t="n">
        <v>2162.88</v>
      </c>
      <c r="J157" s="16" t="n">
        <v>169</v>
      </c>
      <c r="K157" s="16" t="n">
        <v>0</v>
      </c>
      <c r="L157" s="16" t="n">
        <v>0</v>
      </c>
      <c r="M157" s="16" t="n">
        <v>0</v>
      </c>
      <c r="N157" s="16" t="n">
        <v>8073.55</v>
      </c>
      <c r="O157" s="17" t="n">
        <v>0.29499</v>
      </c>
      <c r="P157" s="18" t="n">
        <v>12</v>
      </c>
      <c r="Q157" s="18" t="n">
        <v>2</v>
      </c>
      <c r="R157" s="16" t="n">
        <v>8861.530000000001</v>
      </c>
      <c r="S157" s="14" t="inlineStr">
        <is>
          <t>BLANCA TEMPRANA sem 4 y +</t>
        </is>
      </c>
      <c r="T157" s="14" t="inlineStr">
        <is>
          <t>CITRICOS</t>
        </is>
      </c>
      <c r="U157" s="19">
        <f>IFERROR(166.386*I157/F157,0)</f>
        <v/>
      </c>
      <c r="V157" s="19">
        <f>IFERROR(166.386*M157/F157,0)</f>
        <v/>
      </c>
      <c r="W157" s="19">
        <f>IFERROR(166.386*L157/F157,0)</f>
        <v/>
      </c>
    </row>
    <row r="158">
      <c r="A158" s="14" t="n">
        <v>2207</v>
      </c>
      <c r="B158" s="14" t="inlineStr">
        <is>
          <t>BLANCA TEMPRANA sem 4 y +</t>
        </is>
      </c>
      <c r="C158" s="15" t="n">
        <v>1564</v>
      </c>
      <c r="D158" s="14" t="inlineStr">
        <is>
          <t>VARELA MUÑOZ, ANTONIO</t>
        </is>
      </c>
      <c r="E158" s="14" t="inlineStr">
        <is>
          <t>SALUSTIANA</t>
        </is>
      </c>
      <c r="F158" s="15" t="n">
        <v>28013</v>
      </c>
      <c r="G158" s="16" t="n">
        <v>9831.85</v>
      </c>
      <c r="H158" s="17" t="n">
        <v>0.3509745475315033</v>
      </c>
      <c r="I158" s="16" t="n">
        <v>2016.94</v>
      </c>
      <c r="J158" s="16" t="n">
        <v>163.87</v>
      </c>
      <c r="K158" s="16" t="n">
        <v>0</v>
      </c>
      <c r="L158" s="16" t="n">
        <v>0</v>
      </c>
      <c r="M158" s="16" t="n">
        <v>0</v>
      </c>
      <c r="N158" s="16" t="n">
        <v>7651.04</v>
      </c>
      <c r="O158" s="17" t="n">
        <v>0.29978</v>
      </c>
      <c r="P158" s="18" t="n">
        <v>12</v>
      </c>
      <c r="Q158" s="18" t="n">
        <v>2</v>
      </c>
      <c r="R158" s="16" t="n">
        <v>8397.780000000001</v>
      </c>
      <c r="S158" s="14" t="inlineStr">
        <is>
          <t>BLANCA TEMPRANA sem 4 y +</t>
        </is>
      </c>
      <c r="T158" s="14" t="inlineStr">
        <is>
          <t>CITRICOS</t>
        </is>
      </c>
      <c r="U158" s="19">
        <f>IFERROR(166.386*I158/F158,0)</f>
        <v/>
      </c>
      <c r="V158" s="19">
        <f>IFERROR(166.386*M158/F158,0)</f>
        <v/>
      </c>
      <c r="W158" s="19">
        <f>IFERROR(166.386*L158/F158,0)</f>
        <v/>
      </c>
    </row>
    <row r="159">
      <c r="A159" s="14" t="n">
        <v>2207</v>
      </c>
      <c r="B159" s="14" t="inlineStr">
        <is>
          <t>BLANCA TEMPRANA sem 4 y +</t>
        </is>
      </c>
      <c r="C159" s="15" t="n">
        <v>1577</v>
      </c>
      <c r="D159" s="14" t="inlineStr">
        <is>
          <t>GOMEZ GUERRERO, MARIA MERCEDES</t>
        </is>
      </c>
      <c r="E159" s="14" t="inlineStr">
        <is>
          <t>SALUSTIANA</t>
        </is>
      </c>
      <c r="F159" s="15" t="n">
        <v>139693</v>
      </c>
      <c r="G159" s="16" t="n">
        <v>51769.2</v>
      </c>
      <c r="H159" s="17" t="n">
        <v>0.3705926567544544</v>
      </c>
      <c r="I159" s="16" t="n">
        <v>10057.89</v>
      </c>
      <c r="J159" s="16" t="n">
        <v>891.5599999999999</v>
      </c>
      <c r="K159" s="16" t="n">
        <v>0</v>
      </c>
      <c r="L159" s="16" t="n">
        <v>0</v>
      </c>
      <c r="M159" s="16" t="n">
        <v>2136.13</v>
      </c>
      <c r="N159" s="16" t="n">
        <v>42955.88</v>
      </c>
      <c r="O159" s="17" t="n">
        <v>0.33751</v>
      </c>
      <c r="P159" s="18" t="n">
        <v>12</v>
      </c>
      <c r="Q159" s="18" t="n">
        <v>2</v>
      </c>
      <c r="R159" s="16" t="n">
        <v>47148.37</v>
      </c>
      <c r="S159" s="14" t="inlineStr">
        <is>
          <t>BLANCA TEMPRANA sem 4 y +</t>
        </is>
      </c>
      <c r="T159" s="14" t="inlineStr">
        <is>
          <t>CITRICOS</t>
        </is>
      </c>
      <c r="U159" s="19">
        <f>IFERROR(166.386*I159/F159,0)</f>
        <v/>
      </c>
      <c r="V159" s="19">
        <f>IFERROR(166.386*M159/F159,0)</f>
        <v/>
      </c>
      <c r="W159" s="19">
        <f>IFERROR(166.386*L159/F159,0)</f>
        <v/>
      </c>
    </row>
    <row r="160">
      <c r="A160" s="14" t="n">
        <v>2207</v>
      </c>
      <c r="B160" s="14" t="inlineStr">
        <is>
          <t>BLANCA TEMPRANA sem 4 y +</t>
        </is>
      </c>
      <c r="C160" s="15" t="n">
        <v>1579</v>
      </c>
      <c r="D160" s="14" t="inlineStr">
        <is>
          <t>PEREZ JIMENEZ, ALFONSA</t>
        </is>
      </c>
      <c r="E160" s="14" t="inlineStr">
        <is>
          <t>SALUSTIANA</t>
        </is>
      </c>
      <c r="F160" s="15" t="n">
        <v>6077</v>
      </c>
      <c r="G160" s="16" t="n">
        <v>2053.81</v>
      </c>
      <c r="H160" s="17" t="n">
        <v>0.3379644561461247</v>
      </c>
      <c r="I160" s="16" t="n">
        <v>437.54</v>
      </c>
      <c r="J160" s="16" t="n">
        <v>0</v>
      </c>
      <c r="K160" s="16" t="n">
        <v>0</v>
      </c>
      <c r="L160" s="16" t="n">
        <v>0</v>
      </c>
      <c r="M160" s="16" t="n">
        <v>0</v>
      </c>
      <c r="N160" s="16" t="n">
        <v>1616.27</v>
      </c>
      <c r="O160" s="17" t="n">
        <v>0.29192</v>
      </c>
      <c r="P160" s="18" t="n">
        <v>12</v>
      </c>
      <c r="Q160" s="18" t="n">
        <v>2</v>
      </c>
      <c r="R160" s="16" t="n">
        <v>1774.02</v>
      </c>
      <c r="S160" s="14" t="inlineStr">
        <is>
          <t>BLANCA TEMPRANA sem 4 y +</t>
        </is>
      </c>
      <c r="T160" s="14" t="inlineStr">
        <is>
          <t>CITRICOS</t>
        </is>
      </c>
      <c r="U160" s="19">
        <f>IFERROR(166.386*I160/F160,0)</f>
        <v/>
      </c>
      <c r="V160" s="19">
        <f>IFERROR(166.386*M160/F160,0)</f>
        <v/>
      </c>
      <c r="W160" s="19">
        <f>IFERROR(166.386*L160/F160,0)</f>
        <v/>
      </c>
    </row>
    <row r="161">
      <c r="A161" s="14" t="n">
        <v>2207</v>
      </c>
      <c r="B161" s="14" t="inlineStr">
        <is>
          <t>BLANCA TEMPRANA sem 4 y +</t>
        </is>
      </c>
      <c r="C161" s="15" t="n">
        <v>1582</v>
      </c>
      <c r="D161" s="14" t="inlineStr">
        <is>
          <t>IGEÑO SANCHEZ, JOSE CARLOS</t>
        </is>
      </c>
      <c r="E161" s="14" t="inlineStr">
        <is>
          <t>SALUSTIANA</t>
        </is>
      </c>
      <c r="F161" s="15" t="n">
        <v>181394</v>
      </c>
      <c r="G161" s="16" t="n">
        <v>68624.89</v>
      </c>
      <c r="H161" s="17" t="n">
        <v>0.3783195144271586</v>
      </c>
      <c r="I161" s="16" t="n">
        <v>13018.17</v>
      </c>
      <c r="J161" s="16" t="n">
        <v>867.27</v>
      </c>
      <c r="K161" s="16" t="n">
        <v>0</v>
      </c>
      <c r="L161" s="16" t="n">
        <v>2013.47</v>
      </c>
      <c r="M161" s="16" t="n">
        <v>2778.46</v>
      </c>
      <c r="N161" s="16" t="n">
        <v>59531.38</v>
      </c>
      <c r="O161" s="17" t="n">
        <v>0.36022</v>
      </c>
      <c r="P161" s="18" t="n">
        <v>12</v>
      </c>
      <c r="Q161" s="18" t="n">
        <v>2</v>
      </c>
      <c r="R161" s="16" t="n">
        <v>65341.64</v>
      </c>
      <c r="S161" s="14" t="inlineStr">
        <is>
          <t>BLANCA TEMPRANA sem 4 y +</t>
        </is>
      </c>
      <c r="T161" s="14" t="inlineStr">
        <is>
          <t>CITRICOS</t>
        </is>
      </c>
      <c r="U161" s="19">
        <f>IFERROR(166.386*I161/F161,0)</f>
        <v/>
      </c>
      <c r="V161" s="19">
        <f>IFERROR(166.386*M161/F161,0)</f>
        <v/>
      </c>
      <c r="W161" s="19">
        <f>IFERROR(166.386*L161/F161,0)</f>
        <v/>
      </c>
    </row>
    <row r="162">
      <c r="A162" s="14" t="n">
        <v>2207</v>
      </c>
      <c r="B162" s="14" t="inlineStr">
        <is>
          <t>BLANCA TEMPRANA sem 4 y +</t>
        </is>
      </c>
      <c r="C162" s="15" t="n">
        <v>1585</v>
      </c>
      <c r="D162" s="14" t="inlineStr">
        <is>
          <t>CESPEDES AGUILAR, PATRICIA</t>
        </is>
      </c>
      <c r="E162" s="14" t="inlineStr">
        <is>
          <t>SALUSTIANA</t>
        </is>
      </c>
      <c r="F162" s="15" t="n">
        <v>141229</v>
      </c>
      <c r="G162" s="16" t="n">
        <v>52584.63</v>
      </c>
      <c r="H162" s="17" t="n">
        <v>0.3723359225088332</v>
      </c>
      <c r="I162" s="16" t="n">
        <v>10234.55</v>
      </c>
      <c r="J162" s="16" t="n">
        <v>950.5599999999999</v>
      </c>
      <c r="K162" s="16" t="n">
        <v>0</v>
      </c>
      <c r="L162" s="16" t="n">
        <v>0</v>
      </c>
      <c r="M162" s="16" t="n">
        <v>2175.48</v>
      </c>
      <c r="N162" s="16" t="n">
        <v>43575</v>
      </c>
      <c r="O162" s="17" t="n">
        <v>0.33866</v>
      </c>
      <c r="P162" s="18" t="n">
        <v>12</v>
      </c>
      <c r="Q162" s="18" t="n">
        <v>2</v>
      </c>
      <c r="R162" s="16" t="n">
        <v>47827.92</v>
      </c>
      <c r="S162" s="14" t="inlineStr">
        <is>
          <t>BLANCA TEMPRANA sem 4 y +</t>
        </is>
      </c>
      <c r="T162" s="14" t="inlineStr">
        <is>
          <t>CITRICOS</t>
        </is>
      </c>
      <c r="U162" s="19">
        <f>IFERROR(166.386*I162/F162,0)</f>
        <v/>
      </c>
      <c r="V162" s="19">
        <f>IFERROR(166.386*M162/F162,0)</f>
        <v/>
      </c>
      <c r="W162" s="19">
        <f>IFERROR(166.386*L162/F162,0)</f>
        <v/>
      </c>
    </row>
    <row r="163">
      <c r="A163" s="14" t="n">
        <v>2207</v>
      </c>
      <c r="B163" s="14" t="inlineStr">
        <is>
          <t>BLANCA TEMPRANA sem 4 y +</t>
        </is>
      </c>
      <c r="C163" s="15" t="n">
        <v>1597</v>
      </c>
      <c r="D163" s="14" t="inlineStr">
        <is>
          <t>CARBALLO SIRIA, ANTONIO JOSE</t>
        </is>
      </c>
      <c r="E163" s="14" t="inlineStr">
        <is>
          <t>SALUSTIANA</t>
        </is>
      </c>
      <c r="F163" s="15" t="n">
        <v>72085</v>
      </c>
      <c r="G163" s="16" t="n">
        <v>24202.59</v>
      </c>
      <c r="H163" s="17" t="n">
        <v>0.3357507109662204</v>
      </c>
      <c r="I163" s="16" t="n">
        <v>5190.12</v>
      </c>
      <c r="J163" s="16" t="n">
        <v>661.41</v>
      </c>
      <c r="K163" s="16" t="n">
        <v>0</v>
      </c>
      <c r="L163" s="16" t="n">
        <v>0</v>
      </c>
      <c r="M163" s="16" t="n">
        <v>0</v>
      </c>
      <c r="N163" s="16" t="n">
        <v>18351.06</v>
      </c>
      <c r="O163" s="17" t="n">
        <v>0.27942</v>
      </c>
      <c r="P163" s="18" t="n">
        <v>12</v>
      </c>
      <c r="Q163" s="18" t="n">
        <v>2</v>
      </c>
      <c r="R163" s="16" t="n">
        <v>20142.12</v>
      </c>
      <c r="S163" s="14" t="inlineStr">
        <is>
          <t>BLANCA TEMPRANA sem 4 y +</t>
        </is>
      </c>
      <c r="T163" s="14" t="inlineStr">
        <is>
          <t>CITRICOS</t>
        </is>
      </c>
      <c r="U163" s="19">
        <f>IFERROR(166.386*I163/F163,0)</f>
        <v/>
      </c>
      <c r="V163" s="19">
        <f>IFERROR(166.386*M163/F163,0)</f>
        <v/>
      </c>
      <c r="W163" s="19">
        <f>IFERROR(166.386*L163/F163,0)</f>
        <v/>
      </c>
    </row>
    <row r="164">
      <c r="A164" s="14" t="n">
        <v>2208</v>
      </c>
      <c r="B164" s="14" t="inlineStr">
        <is>
          <t>BLANCA TEMPRANA sem antep</t>
        </is>
      </c>
      <c r="C164" s="15" t="n">
        <v>466</v>
      </c>
      <c r="D164" s="14" t="inlineStr">
        <is>
          <t>CRUZ RUIZ,JESUS</t>
        </is>
      </c>
      <c r="E164" s="14" t="inlineStr">
        <is>
          <t>SALUSTIANA</t>
        </is>
      </c>
      <c r="F164" s="15" t="n">
        <v>76942</v>
      </c>
      <c r="G164" s="16" t="n">
        <v>26417.75</v>
      </c>
      <c r="H164" s="17" t="n">
        <v>0.3433462868134439</v>
      </c>
      <c r="I164" s="16" t="n">
        <v>4949.14</v>
      </c>
      <c r="J164" s="16" t="n">
        <v>479.1</v>
      </c>
      <c r="K164" s="16" t="n">
        <v>0</v>
      </c>
      <c r="L164" s="16" t="n">
        <v>0</v>
      </c>
      <c r="M164" s="16" t="n">
        <v>1068.14</v>
      </c>
      <c r="N164" s="16" t="n">
        <v>22057.65</v>
      </c>
      <c r="O164" s="17" t="n">
        <v>0.31466</v>
      </c>
      <c r="P164" s="18" t="n">
        <v>12</v>
      </c>
      <c r="Q164" s="18" t="n">
        <v>2</v>
      </c>
      <c r="R164" s="16" t="n">
        <v>24210.48</v>
      </c>
      <c r="S164" s="14" t="inlineStr">
        <is>
          <t>BLANCA TEMPRANA sem antep</t>
        </is>
      </c>
      <c r="T164" s="14" t="inlineStr">
        <is>
          <t>CITRICOS</t>
        </is>
      </c>
      <c r="U164" s="19">
        <f>IFERROR(166.386*I164/F164,0)</f>
        <v/>
      </c>
      <c r="V164" s="19">
        <f>IFERROR(166.386*M164/F164,0)</f>
        <v/>
      </c>
      <c r="W164" s="19">
        <f>IFERROR(166.386*L164/F164,0)</f>
        <v/>
      </c>
    </row>
    <row r="165">
      <c r="A165" s="14" t="n">
        <v>2208</v>
      </c>
      <c r="B165" s="14" t="inlineStr">
        <is>
          <t>BLANCA TEMPRANA sem antep</t>
        </is>
      </c>
      <c r="C165" s="15" t="n">
        <v>937</v>
      </c>
      <c r="D165" s="14" t="inlineStr">
        <is>
          <t>GALVEZ MACIAS,FRANCISCO</t>
        </is>
      </c>
      <c r="E165" s="14" t="inlineStr">
        <is>
          <t>SALUSTIANA</t>
        </is>
      </c>
      <c r="F165" s="15" t="n">
        <v>13436</v>
      </c>
      <c r="G165" s="16" t="n">
        <v>4104.41</v>
      </c>
      <c r="H165" s="17" t="n">
        <v>0.3054785650491217</v>
      </c>
      <c r="I165" s="16" t="n">
        <v>1010.72</v>
      </c>
      <c r="J165" s="16" t="n">
        <v>109.81</v>
      </c>
      <c r="K165" s="16" t="n">
        <v>195.10993348</v>
      </c>
      <c r="L165" s="16" t="n">
        <v>0</v>
      </c>
      <c r="M165" s="16" t="n">
        <v>155.03</v>
      </c>
      <c r="N165" s="16" t="n">
        <v>3334.02</v>
      </c>
      <c r="O165" s="17" t="n">
        <v>0.27236</v>
      </c>
      <c r="P165" s="18" t="n">
        <v>12</v>
      </c>
      <c r="Q165" s="18" t="n">
        <v>2</v>
      </c>
      <c r="R165" s="16" t="n">
        <v>3659.42</v>
      </c>
      <c r="S165" s="14" t="inlineStr">
        <is>
          <t>BLANCA TEMPRANA sem antep</t>
        </is>
      </c>
      <c r="T165" s="14" t="inlineStr">
        <is>
          <t>CITRICOS</t>
        </is>
      </c>
      <c r="U165" s="19">
        <f>IFERROR(166.386*I165/F165,0)</f>
        <v/>
      </c>
      <c r="V165" s="19">
        <f>IFERROR(166.386*M165/F165,0)</f>
        <v/>
      </c>
      <c r="W165" s="19">
        <f>IFERROR(166.386*L165/F165,0)</f>
        <v/>
      </c>
    </row>
    <row r="166">
      <c r="A166" s="14" t="n">
        <v>2208</v>
      </c>
      <c r="B166" s="14" t="inlineStr">
        <is>
          <t>BLANCA TEMPRANA sem antep</t>
        </is>
      </c>
      <c r="C166" s="15" t="n">
        <v>1117</v>
      </c>
      <c r="D166" s="14" t="inlineStr">
        <is>
          <t>COCA LAGUNA,FERMIN</t>
        </is>
      </c>
      <c r="E166" s="14" t="inlineStr">
        <is>
          <t>SALUSTIANA</t>
        </is>
      </c>
      <c r="F166" s="15" t="n">
        <v>14940</v>
      </c>
      <c r="G166" s="16" t="n">
        <v>4783.11</v>
      </c>
      <c r="H166" s="17" t="n">
        <v>0.3201546184738956</v>
      </c>
      <c r="I166" s="16" t="n">
        <v>1075.68</v>
      </c>
      <c r="J166" s="16" t="n">
        <v>187.2</v>
      </c>
      <c r="K166" s="16" t="n">
        <v>0</v>
      </c>
      <c r="L166" s="16" t="n">
        <v>0</v>
      </c>
      <c r="M166" s="16" t="n">
        <v>0</v>
      </c>
      <c r="N166" s="16" t="n">
        <v>3520.23</v>
      </c>
      <c r="O166" s="17" t="n">
        <v>0.24015</v>
      </c>
      <c r="P166" s="18" t="n">
        <v>4</v>
      </c>
      <c r="Q166" s="18" t="n">
        <v>2</v>
      </c>
      <c r="R166" s="16" t="n">
        <v>3587.82</v>
      </c>
      <c r="S166" s="14" t="inlineStr">
        <is>
          <t>BLANCA TEMPRANA sem antep</t>
        </is>
      </c>
      <c r="T166" s="14" t="inlineStr">
        <is>
          <t>CITRICOS</t>
        </is>
      </c>
      <c r="U166" s="19">
        <f>IFERROR(166.386*I166/F166,0)</f>
        <v/>
      </c>
      <c r="V166" s="19">
        <f>IFERROR(166.386*M166/F166,0)</f>
        <v/>
      </c>
      <c r="W166" s="19">
        <f>IFERROR(166.386*L166/F166,0)</f>
        <v/>
      </c>
    </row>
    <row r="167">
      <c r="A167" s="14" t="n">
        <v>2208</v>
      </c>
      <c r="B167" s="14" t="inlineStr">
        <is>
          <t>BLANCA TEMPRANA sem antep</t>
        </is>
      </c>
      <c r="C167" s="15" t="n">
        <v>1124</v>
      </c>
      <c r="D167" s="14" t="inlineStr">
        <is>
          <t>VARON RUIZ,ANTONIO</t>
        </is>
      </c>
      <c r="E167" s="14" t="inlineStr">
        <is>
          <t>SALUSTIANA</t>
        </is>
      </c>
      <c r="F167" s="15" t="n">
        <v>86017</v>
      </c>
      <c r="G167" s="16" t="n">
        <v>29929.92</v>
      </c>
      <c r="H167" s="17" t="n">
        <v>0.3479535440668705</v>
      </c>
      <c r="I167" s="16" t="n">
        <v>6193.22</v>
      </c>
      <c r="J167" s="16" t="n">
        <v>501.84</v>
      </c>
      <c r="K167" s="16" t="n">
        <v>0</v>
      </c>
      <c r="L167" s="16" t="n">
        <v>0</v>
      </c>
      <c r="M167" s="16" t="n">
        <v>1155.44</v>
      </c>
      <c r="N167" s="16" t="n">
        <v>24390.3</v>
      </c>
      <c r="O167" s="17" t="n">
        <v>0.31123</v>
      </c>
      <c r="P167" s="18" t="n">
        <v>12</v>
      </c>
      <c r="Q167" s="18" t="n">
        <v>2</v>
      </c>
      <c r="R167" s="16" t="n">
        <v>26770.79</v>
      </c>
      <c r="S167" s="14" t="inlineStr">
        <is>
          <t>BLANCA TEMPRANA sem antep</t>
        </is>
      </c>
      <c r="T167" s="14" t="inlineStr">
        <is>
          <t>CITRICOS</t>
        </is>
      </c>
      <c r="U167" s="19">
        <f>IFERROR(166.386*I167/F167,0)</f>
        <v/>
      </c>
      <c r="V167" s="19">
        <f>IFERROR(166.386*M167/F167,0)</f>
        <v/>
      </c>
      <c r="W167" s="19">
        <f>IFERROR(166.386*L167/F167,0)</f>
        <v/>
      </c>
    </row>
    <row r="168">
      <c r="A168" s="14" t="n">
        <v>2208</v>
      </c>
      <c r="B168" s="14" t="inlineStr">
        <is>
          <t>BLANCA TEMPRANA sem antep</t>
        </is>
      </c>
      <c r="C168" s="15" t="n">
        <v>1126</v>
      </c>
      <c r="D168" s="14" t="inlineStr">
        <is>
          <t>PAVON CARABALLO,ANA MARIA</t>
        </is>
      </c>
      <c r="E168" s="14" t="inlineStr">
        <is>
          <t>SALUSTIANA</t>
        </is>
      </c>
      <c r="F168" s="15" t="n">
        <v>70855</v>
      </c>
      <c r="G168" s="16" t="n">
        <v>25742.54</v>
      </c>
      <c r="H168" s="17" t="n">
        <v>0.363312963093642</v>
      </c>
      <c r="I168" s="16" t="n">
        <v>5101.55</v>
      </c>
      <c r="J168" s="16" t="n">
        <v>331.15</v>
      </c>
      <c r="K168" s="16" t="n">
        <v>0</v>
      </c>
      <c r="L168" s="16" t="n">
        <v>0</v>
      </c>
      <c r="M168" s="16" t="n">
        <v>0</v>
      </c>
      <c r="N168" s="16" t="n">
        <v>20309.84</v>
      </c>
      <c r="O168" s="17" t="n">
        <v>0.31462</v>
      </c>
      <c r="P168" s="18" t="n">
        <v>12</v>
      </c>
      <c r="Q168" s="18" t="n">
        <v>2</v>
      </c>
      <c r="R168" s="16" t="n">
        <v>22292.08</v>
      </c>
      <c r="S168" s="14" t="inlineStr">
        <is>
          <t>BLANCA TEMPRANA sem antep</t>
        </is>
      </c>
      <c r="T168" s="14" t="inlineStr">
        <is>
          <t>CITRICOS</t>
        </is>
      </c>
      <c r="U168" s="19">
        <f>IFERROR(166.386*I168/F168,0)</f>
        <v/>
      </c>
      <c r="V168" s="19">
        <f>IFERROR(166.386*M168/F168,0)</f>
        <v/>
      </c>
      <c r="W168" s="19">
        <f>IFERROR(166.386*L168/F168,0)</f>
        <v/>
      </c>
    </row>
    <row r="169">
      <c r="A169" s="14" t="n">
        <v>2208</v>
      </c>
      <c r="B169" s="14" t="inlineStr">
        <is>
          <t>BLANCA TEMPRANA sem antep</t>
        </is>
      </c>
      <c r="C169" s="15" t="n">
        <v>1128</v>
      </c>
      <c r="D169" s="14" t="inlineStr">
        <is>
          <t>CARRILLO PEÑALVER,JOSE</t>
        </is>
      </c>
      <c r="E169" s="14" t="inlineStr">
        <is>
          <t>SALUSTIANA</t>
        </is>
      </c>
      <c r="F169" s="15" t="n">
        <v>2185</v>
      </c>
      <c r="G169" s="16" t="n">
        <v>814.02</v>
      </c>
      <c r="H169" s="17" t="n">
        <v>0.3725491990846682</v>
      </c>
      <c r="I169" s="16" t="n">
        <v>0</v>
      </c>
      <c r="J169" s="16" t="n">
        <v>38.54</v>
      </c>
      <c r="K169" s="16" t="n">
        <v>0</v>
      </c>
      <c r="L169" s="16" t="n">
        <v>24.25</v>
      </c>
      <c r="M169" s="16" t="n">
        <v>0</v>
      </c>
      <c r="N169" s="16" t="n">
        <v>799.73</v>
      </c>
      <c r="O169" s="17" t="n">
        <v>0.40173</v>
      </c>
      <c r="P169" s="18" t="n">
        <v>12</v>
      </c>
      <c r="Q169" s="18" t="n">
        <v>2</v>
      </c>
      <c r="R169" s="16" t="n">
        <v>877.78</v>
      </c>
      <c r="S169" s="14" t="inlineStr">
        <is>
          <t>BLANCA TEMPRANA sem antep</t>
        </is>
      </c>
      <c r="T169" s="14" t="inlineStr">
        <is>
          <t>CITRICOS</t>
        </is>
      </c>
      <c r="U169" s="19">
        <f>IFERROR(166.386*I169/F169,0)</f>
        <v/>
      </c>
      <c r="V169" s="19">
        <f>IFERROR(166.386*M169/F169,0)</f>
        <v/>
      </c>
      <c r="W169" s="19">
        <f>IFERROR(166.386*L169/F169,0)</f>
        <v/>
      </c>
    </row>
    <row r="170">
      <c r="A170" s="14" t="n">
        <v>2208</v>
      </c>
      <c r="B170" s="14" t="inlineStr">
        <is>
          <t>BLANCA TEMPRANA sem antep</t>
        </is>
      </c>
      <c r="C170" s="15" t="n">
        <v>1283</v>
      </c>
      <c r="D170" s="14" t="inlineStr">
        <is>
          <t>MOLINA HIDALGO,ISABEL</t>
        </is>
      </c>
      <c r="E170" s="14" t="inlineStr">
        <is>
          <t>SALUSTIANA</t>
        </is>
      </c>
      <c r="F170" s="15" t="n">
        <v>31675</v>
      </c>
      <c r="G170" s="16" t="n">
        <v>8391.290000000001</v>
      </c>
      <c r="H170" s="17" t="n">
        <v>0.2649183898973954</v>
      </c>
      <c r="I170" s="16" t="n">
        <v>2280.61</v>
      </c>
      <c r="J170" s="16" t="n">
        <v>361.41</v>
      </c>
      <c r="K170" s="16" t="n">
        <v>1744.70999675</v>
      </c>
      <c r="L170" s="16" t="n">
        <v>0</v>
      </c>
      <c r="M170" s="16" t="n">
        <v>0</v>
      </c>
      <c r="N170" s="16" t="n">
        <v>7493.98</v>
      </c>
      <c r="O170" s="17" t="n">
        <v>0.25968</v>
      </c>
      <c r="P170" s="18" t="n">
        <v>12</v>
      </c>
      <c r="Q170" s="18" t="n">
        <v>2</v>
      </c>
      <c r="R170" s="16" t="n">
        <v>8225.389999999999</v>
      </c>
      <c r="S170" s="14" t="inlineStr">
        <is>
          <t>BLANCA TEMPRANA sem antep</t>
        </is>
      </c>
      <c r="T170" s="14" t="inlineStr">
        <is>
          <t>CITRICOS</t>
        </is>
      </c>
      <c r="U170" s="19">
        <f>IFERROR(166.386*I170/F170,0)</f>
        <v/>
      </c>
      <c r="V170" s="19">
        <f>IFERROR(166.386*M170/F170,0)</f>
        <v/>
      </c>
      <c r="W170" s="19">
        <f>IFERROR(166.386*L170/F170,0)</f>
        <v/>
      </c>
    </row>
    <row r="171">
      <c r="A171" s="14" t="n">
        <v>2208</v>
      </c>
      <c r="B171" s="14" t="inlineStr">
        <is>
          <t>BLANCA TEMPRANA sem antep</t>
        </is>
      </c>
      <c r="C171" s="15" t="n">
        <v>1487</v>
      </c>
      <c r="D171" s="14" t="inlineStr">
        <is>
          <t>BENITO ARIZA, MATIAS</t>
        </is>
      </c>
      <c r="E171" s="14" t="inlineStr">
        <is>
          <t>SALUSTIANA</t>
        </is>
      </c>
      <c r="F171" s="15" t="n">
        <v>64139</v>
      </c>
      <c r="G171" s="16" t="n">
        <v>21115.43</v>
      </c>
      <c r="H171" s="17" t="n">
        <v>0.3292135829994231</v>
      </c>
      <c r="I171" s="16" t="n">
        <v>4618.01</v>
      </c>
      <c r="J171" s="16" t="n">
        <v>482.15</v>
      </c>
      <c r="K171" s="16" t="n">
        <v>0</v>
      </c>
      <c r="L171" s="16" t="n">
        <v>0</v>
      </c>
      <c r="M171" s="16" t="n">
        <v>863.11</v>
      </c>
      <c r="N171" s="16" t="n">
        <v>16878.38</v>
      </c>
      <c r="O171" s="17" t="n">
        <v>0.28884</v>
      </c>
      <c r="P171" s="18" t="n">
        <v>12</v>
      </c>
      <c r="Q171" s="18" t="n">
        <v>2</v>
      </c>
      <c r="R171" s="16" t="n">
        <v>18525.71</v>
      </c>
      <c r="S171" s="14" t="inlineStr">
        <is>
          <t>BLANCA TEMPRANA sem antep</t>
        </is>
      </c>
      <c r="T171" s="14" t="inlineStr">
        <is>
          <t>CITRICOS</t>
        </is>
      </c>
      <c r="U171" s="19">
        <f>IFERROR(166.386*I171/F171,0)</f>
        <v/>
      </c>
      <c r="V171" s="19">
        <f>IFERROR(166.386*M171/F171,0)</f>
        <v/>
      </c>
      <c r="W171" s="19">
        <f>IFERROR(166.386*L171/F171,0)</f>
        <v/>
      </c>
    </row>
    <row r="172">
      <c r="A172" s="14" t="n">
        <v>2208</v>
      </c>
      <c r="B172" s="14" t="inlineStr">
        <is>
          <t>BLANCA TEMPRANA sem antep</t>
        </is>
      </c>
      <c r="C172" s="15" t="n">
        <v>1589</v>
      </c>
      <c r="D172" s="14" t="inlineStr">
        <is>
          <t>PRIOR PORTILLO, JUAN ANTONIO</t>
        </is>
      </c>
      <c r="E172" s="14" t="inlineStr">
        <is>
          <t>SALUSTIANA</t>
        </is>
      </c>
      <c r="F172" s="15" t="n">
        <v>12150</v>
      </c>
      <c r="G172" s="16" t="n">
        <v>3769.31</v>
      </c>
      <c r="H172" s="17" t="n">
        <v>0.3102312757201646</v>
      </c>
      <c r="I172" s="16" t="n">
        <v>874.8</v>
      </c>
      <c r="J172" s="16" t="n">
        <v>75.79000000000001</v>
      </c>
      <c r="K172" s="16" t="n">
        <v>118.6899966</v>
      </c>
      <c r="L172" s="16" t="n">
        <v>0</v>
      </c>
      <c r="M172" s="16" t="n">
        <v>136.38</v>
      </c>
      <c r="N172" s="16" t="n">
        <v>3073.79</v>
      </c>
      <c r="O172" s="17" t="n">
        <v>0.27768</v>
      </c>
      <c r="P172" s="18" t="n">
        <v>12</v>
      </c>
      <c r="Q172" s="18" t="n">
        <v>2</v>
      </c>
      <c r="R172" s="16" t="n">
        <v>3373.79</v>
      </c>
      <c r="S172" s="14" t="inlineStr">
        <is>
          <t>BLANCA TEMPRANA sem antep</t>
        </is>
      </c>
      <c r="T172" s="14" t="inlineStr">
        <is>
          <t>CITRICOS</t>
        </is>
      </c>
      <c r="U172" s="19">
        <f>IFERROR(166.386*I172/F172,0)</f>
        <v/>
      </c>
      <c r="V172" s="19">
        <f>IFERROR(166.386*M172/F172,0)</f>
        <v/>
      </c>
      <c r="W172" s="19">
        <f>IFERROR(166.386*L172/F172,0)</f>
        <v/>
      </c>
    </row>
    <row r="173">
      <c r="A173" s="14" t="n">
        <v>2208</v>
      </c>
      <c r="B173" s="14" t="inlineStr">
        <is>
          <t>BLANCA TEMPRANA sem antep</t>
        </is>
      </c>
      <c r="C173" s="15" t="n">
        <v>1624</v>
      </c>
      <c r="D173" s="14" t="inlineStr">
        <is>
          <t>SANCHEZ GUIL, JUAN JAVIER</t>
        </is>
      </c>
      <c r="E173" s="14" t="inlineStr">
        <is>
          <t>SALUSTIANA</t>
        </is>
      </c>
      <c r="F173" s="15" t="n">
        <v>36943</v>
      </c>
      <c r="G173" s="16" t="n">
        <v>10747.79</v>
      </c>
      <c r="H173" s="17" t="n">
        <v>0.2909289987277698</v>
      </c>
      <c r="I173" s="16" t="n">
        <v>2659.9</v>
      </c>
      <c r="J173" s="16" t="n">
        <v>311.96</v>
      </c>
      <c r="K173" s="16" t="n">
        <v>1073.969953</v>
      </c>
      <c r="L173" s="16" t="n">
        <v>0</v>
      </c>
      <c r="M173" s="16" t="n">
        <v>0</v>
      </c>
      <c r="N173" s="16" t="n">
        <v>8849.9</v>
      </c>
      <c r="O173" s="17" t="n">
        <v>0.26294</v>
      </c>
      <c r="P173" s="18" t="n">
        <v>12</v>
      </c>
      <c r="Q173" s="18" t="n">
        <v>2</v>
      </c>
      <c r="R173" s="16" t="n">
        <v>9713.65</v>
      </c>
      <c r="S173" s="14" t="inlineStr">
        <is>
          <t>BLANCA TEMPRANA sem antep</t>
        </is>
      </c>
      <c r="T173" s="14" t="inlineStr">
        <is>
          <t>CITRICOS</t>
        </is>
      </c>
      <c r="U173" s="19">
        <f>IFERROR(166.386*I173/F173,0)</f>
        <v/>
      </c>
      <c r="V173" s="19">
        <f>IFERROR(166.386*M173/F173,0)</f>
        <v/>
      </c>
      <c r="W173" s="19">
        <f>IFERROR(166.386*L173/F173,0)</f>
        <v/>
      </c>
    </row>
    <row r="174">
      <c r="A174" s="14" t="n">
        <v>2209</v>
      </c>
      <c r="B174" s="14" t="inlineStr">
        <is>
          <t>BLANCA TEMPRANA sem penult</t>
        </is>
      </c>
      <c r="C174" s="15" t="n">
        <v>1126</v>
      </c>
      <c r="D174" s="14" t="inlineStr">
        <is>
          <t>PAVON CARABALLO,ANA MARIA</t>
        </is>
      </c>
      <c r="E174" s="14" t="inlineStr">
        <is>
          <t>SALUSTIANA</t>
        </is>
      </c>
      <c r="F174" s="15" t="n">
        <v>41413</v>
      </c>
      <c r="G174" s="16" t="n">
        <v>14674.56</v>
      </c>
      <c r="H174" s="17" t="n">
        <v>0.3543467027261971</v>
      </c>
      <c r="I174" s="16" t="n">
        <v>2981.74</v>
      </c>
      <c r="J174" s="16" t="n">
        <v>193.55</v>
      </c>
      <c r="K174" s="16" t="n">
        <v>0</v>
      </c>
      <c r="L174" s="16" t="n">
        <v>0</v>
      </c>
      <c r="M174" s="16" t="n">
        <v>0</v>
      </c>
      <c r="N174" s="16" t="n">
        <v>11499.27</v>
      </c>
      <c r="O174" s="17" t="n">
        <v>0.30477</v>
      </c>
      <c r="P174" s="18" t="n">
        <v>12</v>
      </c>
      <c r="Q174" s="18" t="n">
        <v>2</v>
      </c>
      <c r="R174" s="16" t="n">
        <v>12621.6</v>
      </c>
      <c r="S174" s="14" t="inlineStr">
        <is>
          <t>BLANCA TEMPRANA sem penult</t>
        </is>
      </c>
      <c r="T174" s="14" t="inlineStr">
        <is>
          <t>CITRICOS</t>
        </is>
      </c>
      <c r="U174" s="19">
        <f>IFERROR(166.386*I174/F174,0)</f>
        <v/>
      </c>
      <c r="V174" s="19">
        <f>IFERROR(166.386*M174/F174,0)</f>
        <v/>
      </c>
      <c r="W174" s="19">
        <f>IFERROR(166.386*L174/F174,0)</f>
        <v/>
      </c>
    </row>
    <row r="175">
      <c r="A175" s="14" t="n">
        <v>2209</v>
      </c>
      <c r="B175" s="14" t="inlineStr">
        <is>
          <t>BLANCA TEMPRANA sem penult</t>
        </is>
      </c>
      <c r="C175" s="15" t="n">
        <v>1145</v>
      </c>
      <c r="D175" s="14" t="inlineStr">
        <is>
          <t>LEON RIOS,JUAN ANTONIO</t>
        </is>
      </c>
      <c r="E175" s="14" t="inlineStr">
        <is>
          <t>SALUSTIANA</t>
        </is>
      </c>
      <c r="F175" s="15" t="n">
        <v>43955</v>
      </c>
      <c r="G175" s="16" t="n">
        <v>14021.11</v>
      </c>
      <c r="H175" s="17" t="n">
        <v>0.3189878284609259</v>
      </c>
      <c r="I175" s="16" t="n">
        <v>3164.76</v>
      </c>
      <c r="J175" s="16" t="n">
        <v>542.1</v>
      </c>
      <c r="K175" s="16" t="n">
        <v>44.49002026</v>
      </c>
      <c r="L175" s="16" t="n">
        <v>0</v>
      </c>
      <c r="M175" s="16" t="n">
        <v>0</v>
      </c>
      <c r="N175" s="16" t="n">
        <v>10358.74</v>
      </c>
      <c r="O175" s="17" t="n">
        <v>0.25867</v>
      </c>
      <c r="P175" s="18" t="n">
        <v>12</v>
      </c>
      <c r="Q175" s="18" t="n">
        <v>2</v>
      </c>
      <c r="R175" s="16" t="n">
        <v>11369.75</v>
      </c>
      <c r="S175" s="14" t="inlineStr">
        <is>
          <t>BLANCA TEMPRANA sem penult</t>
        </is>
      </c>
      <c r="T175" s="14" t="inlineStr">
        <is>
          <t>CITRICOS</t>
        </is>
      </c>
      <c r="U175" s="19">
        <f>IFERROR(166.386*I175/F175,0)</f>
        <v/>
      </c>
      <c r="V175" s="19">
        <f>IFERROR(166.386*M175/F175,0)</f>
        <v/>
      </c>
      <c r="W175" s="19">
        <f>IFERROR(166.386*L175/F175,0)</f>
        <v/>
      </c>
    </row>
    <row r="176">
      <c r="A176" s="14" t="n">
        <v>2209</v>
      </c>
      <c r="B176" s="14" t="inlineStr">
        <is>
          <t>BLANCA TEMPRANA sem penult</t>
        </is>
      </c>
      <c r="C176" s="15" t="n">
        <v>1272</v>
      </c>
      <c r="D176" s="14" t="inlineStr">
        <is>
          <t>HERMANOS GONZALEZ ROLDAN,S.C.</t>
        </is>
      </c>
      <c r="E176" s="14" t="inlineStr">
        <is>
          <t>SALUSTIANA</t>
        </is>
      </c>
      <c r="F176" s="15" t="n">
        <v>42360</v>
      </c>
      <c r="G176" s="16" t="n">
        <v>12809.96</v>
      </c>
      <c r="H176" s="17" t="n">
        <v>0.3024069877242682</v>
      </c>
      <c r="I176" s="16" t="n">
        <v>3049.92</v>
      </c>
      <c r="J176" s="16" t="n">
        <v>778.53</v>
      </c>
      <c r="K176" s="16" t="n">
        <v>745.2399036</v>
      </c>
      <c r="L176" s="16" t="n">
        <v>0</v>
      </c>
      <c r="M176" s="16" t="n">
        <v>500.62</v>
      </c>
      <c r="N176" s="16" t="n">
        <v>10227.37</v>
      </c>
      <c r="O176" s="17" t="n">
        <v>0.265</v>
      </c>
      <c r="P176" s="18" t="n">
        <v>12</v>
      </c>
      <c r="Q176" s="18" t="n">
        <v>2</v>
      </c>
      <c r="R176" s="16" t="n">
        <v>11225.56</v>
      </c>
      <c r="S176" s="14" t="inlineStr">
        <is>
          <t>BLANCA TEMPRANA sem penult</t>
        </is>
      </c>
      <c r="T176" s="14" t="inlineStr">
        <is>
          <t>CITRICOS</t>
        </is>
      </c>
      <c r="U176" s="19">
        <f>IFERROR(166.386*I176/F176,0)</f>
        <v/>
      </c>
      <c r="V176" s="19">
        <f>IFERROR(166.386*M176/F176,0)</f>
        <v/>
      </c>
      <c r="W176" s="19">
        <f>IFERROR(166.386*L176/F176,0)</f>
        <v/>
      </c>
    </row>
    <row r="177">
      <c r="A177" s="14" t="n">
        <v>2209</v>
      </c>
      <c r="B177" s="14" t="inlineStr">
        <is>
          <t>BLANCA TEMPRANA sem penult</t>
        </is>
      </c>
      <c r="C177" s="15" t="n">
        <v>1395</v>
      </c>
      <c r="D177" s="14" t="inlineStr">
        <is>
          <t>AGRICOLA HERMANOS BUIZA S.C.</t>
        </is>
      </c>
      <c r="E177" s="14" t="inlineStr">
        <is>
          <t>SALUSTIANA</t>
        </is>
      </c>
      <c r="F177" s="15" t="n">
        <v>59680</v>
      </c>
      <c r="G177" s="16" t="n">
        <v>19804.97</v>
      </c>
      <c r="H177" s="17" t="n">
        <v>0.3318527144772118</v>
      </c>
      <c r="I177" s="16" t="n">
        <v>4296.96</v>
      </c>
      <c r="J177" s="16" t="n">
        <v>225.48</v>
      </c>
      <c r="K177" s="16" t="n">
        <v>0</v>
      </c>
      <c r="L177" s="16" t="n">
        <v>118.33</v>
      </c>
      <c r="M177" s="16" t="n">
        <v>792.1799999999999</v>
      </c>
      <c r="N177" s="16" t="n">
        <v>16193.04</v>
      </c>
      <c r="O177" s="17" t="n">
        <v>0.29781</v>
      </c>
      <c r="P177" s="18" t="n">
        <v>12</v>
      </c>
      <c r="Q177" s="18" t="n">
        <v>2</v>
      </c>
      <c r="R177" s="16" t="n">
        <v>17773.48</v>
      </c>
      <c r="S177" s="14" t="inlineStr">
        <is>
          <t>BLANCA TEMPRANA sem penult</t>
        </is>
      </c>
      <c r="T177" s="14" t="inlineStr">
        <is>
          <t>CITRICOS</t>
        </is>
      </c>
      <c r="U177" s="19">
        <f>IFERROR(166.386*I177/F177,0)</f>
        <v/>
      </c>
      <c r="V177" s="19">
        <f>IFERROR(166.386*M177/F177,0)</f>
        <v/>
      </c>
      <c r="W177" s="19">
        <f>IFERROR(166.386*L177/F177,0)</f>
        <v/>
      </c>
    </row>
    <row r="178">
      <c r="A178" s="14" t="n">
        <v>2209</v>
      </c>
      <c r="B178" s="14" t="inlineStr">
        <is>
          <t>BLANCA TEMPRANA sem penult</t>
        </is>
      </c>
      <c r="C178" s="15" t="n">
        <v>1419</v>
      </c>
      <c r="D178" s="14" t="inlineStr">
        <is>
          <t>MORAL GARCIA,JOSE ANTONIO</t>
        </is>
      </c>
      <c r="E178" s="14" t="inlineStr">
        <is>
          <t>SALUSTIANA</t>
        </is>
      </c>
      <c r="F178" s="15" t="n">
        <v>46846</v>
      </c>
      <c r="G178" s="16" t="n">
        <v>15034.84</v>
      </c>
      <c r="H178" s="17" t="n">
        <v>0.3209418093327072</v>
      </c>
      <c r="I178" s="16" t="n">
        <v>3372.91</v>
      </c>
      <c r="J178" s="16" t="n">
        <v>291.68</v>
      </c>
      <c r="K178" s="16" t="n">
        <v>0</v>
      </c>
      <c r="L178" s="16" t="n">
        <v>228.11</v>
      </c>
      <c r="M178" s="16" t="n">
        <v>0</v>
      </c>
      <c r="N178" s="16" t="n">
        <v>11598.36</v>
      </c>
      <c r="O178" s="17" t="n">
        <v>0.27175</v>
      </c>
      <c r="P178" s="18" t="n">
        <v>12</v>
      </c>
      <c r="Q178" s="18" t="n">
        <v>2</v>
      </c>
      <c r="R178" s="16" t="n">
        <v>12730.36</v>
      </c>
      <c r="S178" s="14" t="inlineStr">
        <is>
          <t>BLANCA TEMPRANA sem penult</t>
        </is>
      </c>
      <c r="T178" s="14" t="inlineStr">
        <is>
          <t>CITRICOS</t>
        </is>
      </c>
      <c r="U178" s="19">
        <f>IFERROR(166.386*I178/F178,0)</f>
        <v/>
      </c>
      <c r="V178" s="19">
        <f>IFERROR(166.386*M178/F178,0)</f>
        <v/>
      </c>
      <c r="W178" s="19">
        <f>IFERROR(166.386*L178/F178,0)</f>
        <v/>
      </c>
    </row>
    <row r="179">
      <c r="A179" s="14" t="n">
        <v>2209</v>
      </c>
      <c r="B179" s="14" t="inlineStr">
        <is>
          <t>BLANCA TEMPRANA sem penult</t>
        </is>
      </c>
      <c r="C179" s="15" t="n">
        <v>1529</v>
      </c>
      <c r="D179" s="14" t="inlineStr">
        <is>
          <t>RAMOS BRUGAROLAS, JOSE</t>
        </is>
      </c>
      <c r="E179" s="14" t="inlineStr">
        <is>
          <t>SALUSTIANA</t>
        </is>
      </c>
      <c r="F179" s="15" t="n">
        <v>2638</v>
      </c>
      <c r="G179" s="16" t="n">
        <v>994.61</v>
      </c>
      <c r="H179" s="17" t="n">
        <v>0.3770318423047763</v>
      </c>
      <c r="I179" s="16" t="n">
        <v>197.85</v>
      </c>
      <c r="J179" s="16" t="n">
        <v>17.44</v>
      </c>
      <c r="K179" s="16" t="n">
        <v>0</v>
      </c>
      <c r="L179" s="16" t="n">
        <v>0</v>
      </c>
      <c r="M179" s="16" t="n">
        <v>0</v>
      </c>
      <c r="N179" s="16" t="n">
        <v>779.3200000000001</v>
      </c>
      <c r="O179" s="17" t="n">
        <v>0.32425</v>
      </c>
      <c r="P179" s="18" t="n">
        <v>12</v>
      </c>
      <c r="Q179" s="18" t="n">
        <v>2</v>
      </c>
      <c r="R179" s="16" t="n">
        <v>855.38</v>
      </c>
      <c r="S179" s="14" t="inlineStr">
        <is>
          <t>BLANCA TEMPRANA sem penult</t>
        </is>
      </c>
      <c r="T179" s="14" t="inlineStr">
        <is>
          <t>CITRICOS</t>
        </is>
      </c>
      <c r="U179" s="19">
        <f>IFERROR(166.386*I179/F179,0)</f>
        <v/>
      </c>
      <c r="V179" s="19">
        <f>IFERROR(166.386*M179/F179,0)</f>
        <v/>
      </c>
      <c r="W179" s="19">
        <f>IFERROR(166.386*L179/F179,0)</f>
        <v/>
      </c>
    </row>
    <row r="180">
      <c r="A180" s="14" t="n">
        <v>2209</v>
      </c>
      <c r="B180" s="14" t="inlineStr">
        <is>
          <t>BLANCA TEMPRANA sem penult</t>
        </is>
      </c>
      <c r="C180" s="15" t="n">
        <v>1589</v>
      </c>
      <c r="D180" s="14" t="inlineStr">
        <is>
          <t>PRIOR PORTILLO, JUAN ANTONIO</t>
        </is>
      </c>
      <c r="E180" s="14" t="inlineStr">
        <is>
          <t>SALUSTIANA</t>
        </is>
      </c>
      <c r="F180" s="15" t="n">
        <v>38316</v>
      </c>
      <c r="G180" s="16" t="n">
        <v>12109.19</v>
      </c>
      <c r="H180" s="17" t="n">
        <v>0.3160348157427706</v>
      </c>
      <c r="I180" s="16" t="n">
        <v>2758.75</v>
      </c>
      <c r="J180" s="16" t="n">
        <v>239</v>
      </c>
      <c r="K180" s="16" t="n">
        <v>151.929990144</v>
      </c>
      <c r="L180" s="16" t="n">
        <v>0</v>
      </c>
      <c r="M180" s="16" t="n">
        <v>442.92</v>
      </c>
      <c r="N180" s="16" t="n">
        <v>9706.290000000001</v>
      </c>
      <c r="O180" s="17" t="n">
        <v>0.27805</v>
      </c>
      <c r="P180" s="18" t="n">
        <v>12</v>
      </c>
      <c r="Q180" s="18" t="n">
        <v>2</v>
      </c>
      <c r="R180" s="16" t="n">
        <v>10653.62</v>
      </c>
      <c r="S180" s="14" t="inlineStr">
        <is>
          <t>BLANCA TEMPRANA sem penult</t>
        </is>
      </c>
      <c r="T180" s="14" t="inlineStr">
        <is>
          <t>CITRICOS</t>
        </is>
      </c>
      <c r="U180" s="19">
        <f>IFERROR(166.386*I180/F180,0)</f>
        <v/>
      </c>
      <c r="V180" s="19">
        <f>IFERROR(166.386*M180/F180,0)</f>
        <v/>
      </c>
      <c r="W180" s="19">
        <f>IFERROR(166.386*L180/F180,0)</f>
        <v/>
      </c>
    </row>
    <row r="181">
      <c r="A181" s="14" t="n">
        <v>2211</v>
      </c>
      <c r="B181" s="14" t="inlineStr">
        <is>
          <t>BLANCA TEMPRANA sem ultim</t>
        </is>
      </c>
      <c r="C181" s="15" t="n">
        <v>1316</v>
      </c>
      <c r="D181" s="14" t="inlineStr">
        <is>
          <t>JIMENA GARCIA,JUAN MANUEL</t>
        </is>
      </c>
      <c r="E181" s="14" t="inlineStr">
        <is>
          <t>SALUSTIANA</t>
        </is>
      </c>
      <c r="F181" s="15" t="n">
        <v>6964</v>
      </c>
      <c r="G181" s="16" t="n">
        <v>2155.9</v>
      </c>
      <c r="H181" s="17" t="n">
        <v>0.3095778288340034</v>
      </c>
      <c r="I181" s="16" t="n">
        <v>435.25</v>
      </c>
      <c r="J181" s="16" t="n">
        <v>46.82</v>
      </c>
      <c r="K181" s="16" t="n">
        <v>72.57999187999999</v>
      </c>
      <c r="L181" s="16" t="n">
        <v>0</v>
      </c>
      <c r="M181" s="16" t="n">
        <v>0</v>
      </c>
      <c r="N181" s="16" t="n">
        <v>1746.41</v>
      </c>
      <c r="O181" s="17" t="n">
        <v>0.27525</v>
      </c>
      <c r="P181" s="18" t="n">
        <v>12</v>
      </c>
      <c r="Q181" s="18" t="n">
        <v>2</v>
      </c>
      <c r="R181" s="16" t="n">
        <v>1916.86</v>
      </c>
      <c r="S181" s="14" t="inlineStr">
        <is>
          <t>BLANCA TEMPRANA sem ultim</t>
        </is>
      </c>
      <c r="T181" s="14" t="inlineStr">
        <is>
          <t>CITRICOS</t>
        </is>
      </c>
      <c r="U181" s="19">
        <f>IFERROR(166.386*I181/F181,0)</f>
        <v/>
      </c>
      <c r="V181" s="19">
        <f>IFERROR(166.386*M181/F181,0)</f>
        <v/>
      </c>
      <c r="W181" s="19">
        <f>IFERROR(166.386*L181/F181,0)</f>
        <v/>
      </c>
    </row>
    <row r="182">
      <c r="A182" s="14" t="n">
        <v>2211</v>
      </c>
      <c r="B182" s="14" t="inlineStr">
        <is>
          <t>BLANCA TEMPRANA sem ultim</t>
        </is>
      </c>
      <c r="C182" s="15" t="n">
        <v>1395</v>
      </c>
      <c r="D182" s="14" t="inlineStr">
        <is>
          <t>AGRICOLA HERMANOS BUIZA S.C.</t>
        </is>
      </c>
      <c r="E182" s="14" t="inlineStr">
        <is>
          <t>SALUSTIANA</t>
        </is>
      </c>
      <c r="F182" s="15" t="n">
        <v>32175</v>
      </c>
      <c r="G182" s="16" t="n">
        <v>11485.91</v>
      </c>
      <c r="H182" s="17" t="n">
        <v>0.3569824397824398</v>
      </c>
      <c r="I182" s="16" t="n">
        <v>2316.6</v>
      </c>
      <c r="J182" s="16" t="n">
        <v>121.56</v>
      </c>
      <c r="K182" s="16" t="n">
        <v>0</v>
      </c>
      <c r="L182" s="16" t="n">
        <v>104.4</v>
      </c>
      <c r="M182" s="16" t="n">
        <v>482.78</v>
      </c>
      <c r="N182" s="16" t="n">
        <v>9634.93</v>
      </c>
      <c r="O182" s="17" t="n">
        <v>0.32868</v>
      </c>
      <c r="P182" s="18" t="n">
        <v>12</v>
      </c>
      <c r="Q182" s="18" t="n">
        <v>2</v>
      </c>
      <c r="R182" s="16" t="n">
        <v>10575.3</v>
      </c>
      <c r="S182" s="14" t="inlineStr">
        <is>
          <t>BLANCA TEMPRANA sem ultim</t>
        </is>
      </c>
      <c r="T182" s="14" t="inlineStr">
        <is>
          <t>CITRICOS</t>
        </is>
      </c>
      <c r="U182" s="19">
        <f>IFERROR(166.386*I182/F182,0)</f>
        <v/>
      </c>
      <c r="V182" s="19">
        <f>IFERROR(166.386*M182/F182,0)</f>
        <v/>
      </c>
      <c r="W182" s="19">
        <f>IFERROR(166.386*L182/F182,0)</f>
        <v/>
      </c>
    </row>
    <row r="183">
      <c r="A183" s="14" t="n">
        <v>2211</v>
      </c>
      <c r="B183" s="14" t="inlineStr">
        <is>
          <t>BLANCA TEMPRANA sem ultim</t>
        </is>
      </c>
      <c r="C183" s="15" t="n">
        <v>1419</v>
      </c>
      <c r="D183" s="14" t="inlineStr">
        <is>
          <t>MORAL GARCIA,JOSE ANTONIO</t>
        </is>
      </c>
      <c r="E183" s="14" t="inlineStr">
        <is>
          <t>SALUSTIANA</t>
        </is>
      </c>
      <c r="F183" s="15" t="n">
        <v>45125</v>
      </c>
      <c r="G183" s="16" t="n">
        <v>15097.56</v>
      </c>
      <c r="H183" s="17" t="n">
        <v>0.3345719667590027</v>
      </c>
      <c r="I183" s="16" t="n">
        <v>3249</v>
      </c>
      <c r="J183" s="16" t="n">
        <v>280.96</v>
      </c>
      <c r="K183" s="16" t="n">
        <v>0</v>
      </c>
      <c r="L183" s="16" t="n">
        <v>119.71</v>
      </c>
      <c r="M183" s="16" t="n">
        <v>0</v>
      </c>
      <c r="N183" s="16" t="n">
        <v>11687.31</v>
      </c>
      <c r="O183" s="17" t="n">
        <v>0.28428</v>
      </c>
      <c r="P183" s="18" t="n">
        <v>12</v>
      </c>
      <c r="Q183" s="18" t="n">
        <v>2</v>
      </c>
      <c r="R183" s="16" t="n">
        <v>12827.99</v>
      </c>
      <c r="S183" s="14" t="inlineStr">
        <is>
          <t>BLANCA TEMPRANA sem ultim</t>
        </is>
      </c>
      <c r="T183" s="14" t="inlineStr">
        <is>
          <t>CITRICOS</t>
        </is>
      </c>
      <c r="U183" s="19">
        <f>IFERROR(166.386*I183/F183,0)</f>
        <v/>
      </c>
      <c r="V183" s="19">
        <f>IFERROR(166.386*M183/F183,0)</f>
        <v/>
      </c>
      <c r="W183" s="19">
        <f>IFERROR(166.386*L183/F183,0)</f>
        <v/>
      </c>
    </row>
    <row r="184">
      <c r="A184" s="14" t="n">
        <v>2211</v>
      </c>
      <c r="B184" s="14" t="inlineStr">
        <is>
          <t>BLANCA TEMPRANA sem ultim</t>
        </is>
      </c>
      <c r="C184" s="15" t="n">
        <v>1561</v>
      </c>
      <c r="D184" s="14" t="inlineStr">
        <is>
          <t>SUAREZ SANCHEZ, Mª DEL PILAR</t>
        </is>
      </c>
      <c r="E184" s="14" t="inlineStr">
        <is>
          <t>SALUSTIANA</t>
        </is>
      </c>
      <c r="F184" s="15" t="n">
        <v>85225</v>
      </c>
      <c r="G184" s="16" t="n">
        <v>29866.88</v>
      </c>
      <c r="H184" s="17" t="n">
        <v>0.3504474039307715</v>
      </c>
      <c r="I184" s="16" t="n">
        <v>0</v>
      </c>
      <c r="J184" s="16" t="n">
        <v>692.9299999999999</v>
      </c>
      <c r="K184" s="16" t="n">
        <v>0</v>
      </c>
      <c r="L184" s="16" t="n">
        <v>557.6799999999999</v>
      </c>
      <c r="M184" s="16" t="n">
        <v>1171.5</v>
      </c>
      <c r="N184" s="16" t="n">
        <v>30903.13</v>
      </c>
      <c r="O184" s="17" t="n">
        <v>0.398</v>
      </c>
      <c r="P184" s="18" t="n">
        <v>12</v>
      </c>
      <c r="Q184" s="18" t="n">
        <v>2</v>
      </c>
      <c r="R184" s="16" t="n">
        <v>33919.28</v>
      </c>
      <c r="S184" s="14" t="inlineStr">
        <is>
          <t>BLANCA TEMPRANA sem ultim</t>
        </is>
      </c>
      <c r="T184" s="14" t="inlineStr">
        <is>
          <t>CITRICOS</t>
        </is>
      </c>
      <c r="U184" s="19">
        <f>IFERROR(166.386*I184/F184,0)</f>
        <v/>
      </c>
      <c r="V184" s="19">
        <f>IFERROR(166.386*M184/F184,0)</f>
        <v/>
      </c>
      <c r="W184" s="19">
        <f>IFERROR(166.386*L184/F184,0)</f>
        <v/>
      </c>
    </row>
    <row r="185">
      <c r="A185" s="14" t="n">
        <v>2212</v>
      </c>
      <c r="B185" s="14" t="inlineStr">
        <is>
          <t>BLANCA TEMPRANA sem1</t>
        </is>
      </c>
      <c r="C185" s="15" t="n">
        <v>1585</v>
      </c>
      <c r="D185" s="14" t="inlineStr">
        <is>
          <t>CESPEDES AGUILAR, PATRICIA</t>
        </is>
      </c>
      <c r="E185" s="14" t="inlineStr">
        <is>
          <t>SALUSTIANA</t>
        </is>
      </c>
      <c r="F185" s="15" t="n">
        <v>45284</v>
      </c>
      <c r="G185" s="16" t="n">
        <v>16739.31</v>
      </c>
      <c r="H185" s="17" t="n">
        <v>0.3696517533786768</v>
      </c>
      <c r="I185" s="16" t="n">
        <v>3260.45</v>
      </c>
      <c r="J185" s="16" t="n">
        <v>304.79</v>
      </c>
      <c r="K185" s="16" t="n">
        <v>0</v>
      </c>
      <c r="L185" s="16" t="n">
        <v>0</v>
      </c>
      <c r="M185" s="16" t="n">
        <v>619.46</v>
      </c>
      <c r="N185" s="16" t="n">
        <v>13793.53</v>
      </c>
      <c r="O185" s="17" t="n">
        <v>0.33433</v>
      </c>
      <c r="P185" s="18" t="n">
        <v>12</v>
      </c>
      <c r="Q185" s="18" t="n">
        <v>2</v>
      </c>
      <c r="R185" s="16" t="n">
        <v>15139.78</v>
      </c>
      <c r="S185" s="14" t="inlineStr">
        <is>
          <t>BLANCA TEMPRANA sem1</t>
        </is>
      </c>
      <c r="T185" s="14" t="inlineStr">
        <is>
          <t>CITRICOS</t>
        </is>
      </c>
      <c r="U185" s="19">
        <f>IFERROR(166.386*I185/F185,0)</f>
        <v/>
      </c>
      <c r="V185" s="19">
        <f>IFERROR(166.386*M185/F185,0)</f>
        <v/>
      </c>
      <c r="W185" s="19">
        <f>IFERROR(166.386*L185/F185,0)</f>
        <v/>
      </c>
    </row>
    <row r="186">
      <c r="A186" s="14" t="n">
        <v>2212</v>
      </c>
      <c r="B186" s="14" t="inlineStr">
        <is>
          <t>BLANCA TEMPRANA sem1</t>
        </is>
      </c>
      <c r="C186" s="15" t="n">
        <v>1614</v>
      </c>
      <c r="D186" s="14" t="inlineStr">
        <is>
          <t>MARIN SERRANO 2025 S.C.</t>
        </is>
      </c>
      <c r="E186" s="14" t="inlineStr">
        <is>
          <t>SALUSTIANA</t>
        </is>
      </c>
      <c r="F186" s="15" t="n">
        <v>120955</v>
      </c>
      <c r="G186" s="16" t="n">
        <v>43994.02</v>
      </c>
      <c r="H186" s="17" t="n">
        <v>0.3637222107395312</v>
      </c>
      <c r="I186" s="16" t="n">
        <v>8708.76</v>
      </c>
      <c r="J186" s="16" t="n">
        <v>231.75</v>
      </c>
      <c r="K186" s="16" t="n">
        <v>0</v>
      </c>
      <c r="L186" s="16" t="n">
        <v>0</v>
      </c>
      <c r="M186" s="16" t="n">
        <v>0</v>
      </c>
      <c r="N186" s="16" t="n">
        <v>35053.51</v>
      </c>
      <c r="O186" s="17" t="n">
        <v>0.31809</v>
      </c>
      <c r="P186" s="18" t="n">
        <v>12</v>
      </c>
      <c r="Q186" s="18" t="n">
        <v>2</v>
      </c>
      <c r="R186" s="16" t="n">
        <v>38474.73</v>
      </c>
      <c r="S186" s="14" t="inlineStr">
        <is>
          <t>BLANCA TEMPRANA sem1</t>
        </is>
      </c>
      <c r="T186" s="14" t="inlineStr">
        <is>
          <t>CITRICOS</t>
        </is>
      </c>
      <c r="U186" s="19">
        <f>IFERROR(166.386*I186/F186,0)</f>
        <v/>
      </c>
      <c r="V186" s="19">
        <f>IFERROR(166.386*M186/F186,0)</f>
        <v/>
      </c>
      <c r="W186" s="19">
        <f>IFERROR(166.386*L186/F186,0)</f>
        <v/>
      </c>
    </row>
    <row r="187">
      <c r="A187" s="14" t="n">
        <v>2326</v>
      </c>
      <c r="B187" s="14" t="inlineStr">
        <is>
          <t>Caracara</t>
        </is>
      </c>
      <c r="C187" s="15" t="n">
        <v>1528</v>
      </c>
      <c r="D187" s="14" t="inlineStr">
        <is>
          <t>RAMOS BRUGAROLAS, IGNACIO</t>
        </is>
      </c>
      <c r="E187" s="14" t="inlineStr">
        <is>
          <t>CARA CARA</t>
        </is>
      </c>
      <c r="F187" s="15" t="n">
        <v>14855</v>
      </c>
      <c r="G187" s="16" t="n">
        <v>4753.6</v>
      </c>
      <c r="H187" s="17" t="n">
        <v>0.32</v>
      </c>
      <c r="I187" s="16" t="n">
        <v>950.9400000000001</v>
      </c>
      <c r="J187" s="16" t="n">
        <v>124.94</v>
      </c>
      <c r="K187" s="16" t="n">
        <v>0</v>
      </c>
      <c r="L187" s="16" t="n">
        <v>0</v>
      </c>
      <c r="M187" s="16" t="n">
        <v>0</v>
      </c>
      <c r="N187" s="16" t="n">
        <v>3677.72</v>
      </c>
      <c r="O187" s="17" t="n">
        <v>0.27174</v>
      </c>
      <c r="P187" s="18" t="n">
        <v>12</v>
      </c>
      <c r="Q187" s="18" t="n">
        <v>2</v>
      </c>
      <c r="R187" s="16" t="n">
        <v>4036.67</v>
      </c>
      <c r="S187" s="14" t="inlineStr">
        <is>
          <t>Caracara</t>
        </is>
      </c>
      <c r="T187" s="14" t="inlineStr">
        <is>
          <t>CITRICOS</t>
        </is>
      </c>
      <c r="U187" s="19">
        <f>IFERROR(166.386*I187/F187,0)</f>
        <v/>
      </c>
      <c r="V187" s="19">
        <f>IFERROR(166.386*M187/F187,0)</f>
        <v/>
      </c>
      <c r="W187" s="19">
        <f>IFERROR(166.386*L187/F187,0)</f>
        <v/>
      </c>
    </row>
    <row r="188">
      <c r="A188" s="20" t="n"/>
      <c r="B188" s="20" t="n"/>
      <c r="C188" s="21" t="n"/>
      <c r="D188" s="20" t="inlineStr">
        <is>
          <t>TOTAL GENERAL</t>
        </is>
      </c>
      <c r="E188" s="20" t="n"/>
      <c r="F188" s="21" t="n">
        <v>9947601</v>
      </c>
      <c r="G188" s="22" t="n">
        <v>3753858.46</v>
      </c>
      <c r="H188" s="23" t="n"/>
      <c r="I188" s="22" t="n">
        <v>651398.15</v>
      </c>
      <c r="J188" s="22" t="n">
        <v>73892.24000000001</v>
      </c>
      <c r="K188" s="22" t="n">
        <v>4564.399795281</v>
      </c>
      <c r="L188" s="22" t="n">
        <v>17591.46</v>
      </c>
      <c r="M188" s="22" t="n">
        <v>65701.53999999999</v>
      </c>
      <c r="N188" s="22" t="n">
        <v>3116425.47</v>
      </c>
      <c r="O188" s="23" t="n">
        <v>0.3435693761742153</v>
      </c>
      <c r="P188" s="24" t="n"/>
      <c r="Q188" s="24" t="n"/>
      <c r="R188" s="22" t="n">
        <v>3417691.07</v>
      </c>
      <c r="S188" s="20" t="n"/>
      <c r="T188" s="20" t="n"/>
      <c r="U188" s="25" t="n"/>
      <c r="V188" s="25" t="n"/>
      <c r="W188" s="25" t="n"/>
    </row>
  </sheetData>
  <autoFilter ref="A1:W188"/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5" customWidth="1" min="4" max="4"/>
    <col width="45" customWidth="1" min="5" max="5"/>
    <col width="28" customWidth="1" min="6" max="6"/>
    <col width="12" customWidth="1" min="7" max="7"/>
  </cols>
  <sheetData>
    <row r="1">
      <c r="A1" s="1" t="inlineStr">
        <is>
          <t>Id Remesa</t>
        </is>
      </c>
      <c r="B1" s="1" t="inlineStr">
        <is>
          <t>Remesa</t>
        </is>
      </c>
      <c r="C1" s="1" t="inlineStr">
        <is>
          <t>Fase</t>
        </is>
      </c>
      <c r="D1" s="1" t="inlineStr">
        <is>
          <t>Tipo de error</t>
        </is>
      </c>
      <c r="E1" s="1" t="inlineStr">
        <is>
          <t>Mensaje</t>
        </is>
      </c>
      <c r="F1" s="2" t="inlineStr">
        <is>
          <t>Fecha y hora</t>
        </is>
      </c>
      <c r="G1" s="1" t="inlineStr">
        <is>
          <t>Estado</t>
        </is>
      </c>
    </row>
    <row r="2">
      <c r="A2" s="5" t="n">
        <v>2201</v>
      </c>
      <c r="B2" s="5" t="inlineStr">
        <is>
          <t>NAVEL TEMPRANA sem antep</t>
        </is>
      </c>
      <c r="C2" s="5" t="inlineStr">
        <is>
          <t>ERROR</t>
        </is>
      </c>
      <c r="D2" s="5" t="inlineStr">
        <is>
          <t>ValueError</t>
        </is>
      </c>
      <c r="E2" s="5" t="inlineStr">
        <is>
          <t>El cálculo no contiene líneas para exportar</t>
        </is>
      </c>
      <c r="F2" s="6" t="n">
        <v>46231.74403596089</v>
      </c>
      <c r="G2" s="5" t="inlineStr">
        <is>
          <t>ERROR</t>
        </is>
      </c>
    </row>
    <row r="3">
      <c r="A3" s="5" t="n">
        <v>2210</v>
      </c>
      <c r="B3" s="5" t="inlineStr">
        <is>
          <t>NAVEL TEMPRANA sem penult</t>
        </is>
      </c>
      <c r="C3" s="5" t="inlineStr">
        <is>
          <t>ERROR</t>
        </is>
      </c>
      <c r="D3" s="5" t="inlineStr">
        <is>
          <t>ValueError</t>
        </is>
      </c>
      <c r="E3" s="5" t="inlineStr">
        <is>
          <t>El cálculo no contiene líneas para exportar</t>
        </is>
      </c>
      <c r="F3" s="6" t="n">
        <v>46231.74403596089</v>
      </c>
      <c r="G3" s="5" t="inlineStr">
        <is>
          <t>ERROR</t>
        </is>
      </c>
    </row>
    <row r="4">
      <c r="A4" s="5" t="n">
        <v>2197</v>
      </c>
      <c r="B4" s="5" t="inlineStr">
        <is>
          <t>NAVEL TEMPRANA sem1</t>
        </is>
      </c>
      <c r="C4" s="5" t="inlineStr">
        <is>
          <t>WARNING</t>
        </is>
      </c>
      <c r="D4" s="5" t="inlineStr">
        <is>
          <t>Warning</t>
        </is>
      </c>
      <c r="E4" s="5" t="inlineStr">
        <is>
          <t>44 entregas ya figuran como liquidadas.</t>
        </is>
      </c>
      <c r="F4" s="6" t="n">
        <v>46231.74403596089</v>
      </c>
      <c r="G4" s="5" t="inlineStr">
        <is>
          <t>WARNING</t>
        </is>
      </c>
    </row>
    <row r="5">
      <c r="A5" s="5" t="n">
        <v>2197</v>
      </c>
      <c r="B5" s="5" t="inlineStr">
        <is>
          <t>NAVEL TEMPRANA sem1</t>
        </is>
      </c>
      <c r="C5" s="5" t="inlineStr">
        <is>
          <t>WARNING</t>
        </is>
      </c>
      <c r="D5" s="5" t="inlineStr">
        <is>
          <t>Warning</t>
        </is>
      </c>
      <c r="E5" s="5" t="inlineStr">
        <is>
          <t>No existe tarifa BonCalidad para socio=818 campaña=2026 empresa=1 cultivo=CITRICOS.</t>
        </is>
      </c>
      <c r="F5" s="6" t="n">
        <v>46231.74403596089</v>
      </c>
      <c r="G5" s="5" t="inlineStr">
        <is>
          <t>WARNING</t>
        </is>
      </c>
    </row>
    <row r="6">
      <c r="A6" s="5" t="n">
        <v>2197</v>
      </c>
      <c r="B6" s="5" t="inlineStr">
        <is>
          <t>NAVEL TEMPRANA sem1</t>
        </is>
      </c>
      <c r="C6" s="5" t="inlineStr">
        <is>
          <t>WARNING</t>
        </is>
      </c>
      <c r="D6" s="5" t="inlineStr">
        <is>
          <t>Warning</t>
        </is>
      </c>
      <c r="E6" s="5" t="inlineStr">
        <is>
          <t>No existe fuente acumulada disponible; saldo informativo calculado con cuota ya aplicada = 0.</t>
        </is>
      </c>
      <c r="F6" s="6" t="n">
        <v>46231.74403596089</v>
      </c>
      <c r="G6" s="5" t="inlineStr">
        <is>
          <t>WARNING</t>
        </is>
      </c>
    </row>
    <row r="7">
      <c r="A7" s="5" t="n">
        <v>2197</v>
      </c>
      <c r="B7" s="5" t="inlineStr">
        <is>
          <t>NAVEL TEMPRANA sem1</t>
        </is>
      </c>
      <c r="C7" s="5" t="inlineStr">
        <is>
          <t>WARNING</t>
        </is>
      </c>
      <c r="D7" s="5" t="inlineStr">
        <is>
          <t>Warning</t>
        </is>
      </c>
      <c r="E7" s="5" t="inlineStr">
        <is>
          <t>No existe tarifa BonCalidad para socio=1184 campaña=2026 empresa=1 cultivo=CITRICOS.</t>
        </is>
      </c>
      <c r="F7" s="6" t="n">
        <v>46231.74403596089</v>
      </c>
      <c r="G7" s="5" t="inlineStr">
        <is>
          <t>WARNING</t>
        </is>
      </c>
    </row>
    <row r="8">
      <c r="A8" s="5" t="n">
        <v>2197</v>
      </c>
      <c r="B8" s="5" t="inlineStr">
        <is>
          <t>NAVEL TEMPRANA sem1</t>
        </is>
      </c>
      <c r="C8" s="5" t="inlineStr">
        <is>
          <t>WARNING</t>
        </is>
      </c>
      <c r="D8" s="5" t="inlineStr">
        <is>
          <t>Warning</t>
        </is>
      </c>
      <c r="E8" s="5" t="inlineStr">
        <is>
          <t>No existe tarifa BonCalidad para socio=1395 campaña=2026 empresa=1 cultivo=CITRICOS.</t>
        </is>
      </c>
      <c r="F8" s="6" t="n">
        <v>46231.74403596089</v>
      </c>
      <c r="G8" s="5" t="inlineStr">
        <is>
          <t>WARNING</t>
        </is>
      </c>
    </row>
    <row r="9">
      <c r="A9" s="5" t="n">
        <v>2197</v>
      </c>
      <c r="B9" s="5" t="inlineStr">
        <is>
          <t>NAVEL TEMPRANA sem1</t>
        </is>
      </c>
      <c r="C9" s="5" t="inlineStr">
        <is>
          <t>WARNING</t>
        </is>
      </c>
      <c r="D9" s="5" t="inlineStr">
        <is>
          <t>Warning</t>
        </is>
      </c>
      <c r="E9" s="5" t="inlineStr">
        <is>
          <t>No existe tarifa BonCalidad para socio=1529 campaña=2026 empresa=1 cultivo=CITRICOS.</t>
        </is>
      </c>
      <c r="F9" s="6" t="n">
        <v>46231.74403596089</v>
      </c>
      <c r="G9" s="5" t="inlineStr">
        <is>
          <t>WARNING</t>
        </is>
      </c>
    </row>
    <row r="10">
      <c r="A10" s="5" t="n">
        <v>2197</v>
      </c>
      <c r="B10" s="5" t="inlineStr">
        <is>
          <t>NAVEL TEMPRANA sem1</t>
        </is>
      </c>
      <c r="C10" s="5" t="inlineStr">
        <is>
          <t>WARNING</t>
        </is>
      </c>
      <c r="D10" s="5" t="inlineStr">
        <is>
          <t>Warning</t>
        </is>
      </c>
      <c r="E10" s="5" t="inlineStr">
        <is>
          <t>No existe tarifa BonCalidad para socio=1530 campaña=2026 empresa=1 cultivo=CITRICOS.</t>
        </is>
      </c>
      <c r="F10" s="6" t="n">
        <v>46231.74403596089</v>
      </c>
      <c r="G10" s="5" t="inlineStr">
        <is>
          <t>WARNING</t>
        </is>
      </c>
    </row>
    <row r="11">
      <c r="A11" s="5" t="n">
        <v>2197</v>
      </c>
      <c r="B11" s="5" t="inlineStr">
        <is>
          <t>NAVEL TEMPRANA sem1</t>
        </is>
      </c>
      <c r="C11" s="5" t="inlineStr">
        <is>
          <t>WARNING</t>
        </is>
      </c>
      <c r="D11" s="5" t="inlineStr">
        <is>
          <t>Warning</t>
        </is>
      </c>
      <c r="E11" s="5" t="inlineStr">
        <is>
          <t>No existe tarifa BonCalidad para socio=1588 campaña=2026 empresa=1 cultivo=CITRICOS.</t>
        </is>
      </c>
      <c r="F11" s="6" t="n">
        <v>46231.74403596089</v>
      </c>
      <c r="G11" s="5" t="inlineStr">
        <is>
          <t>WARNING</t>
        </is>
      </c>
    </row>
    <row r="12">
      <c r="A12" s="5" t="n">
        <v>2198</v>
      </c>
      <c r="B12" s="5" t="inlineStr">
        <is>
          <t>NAVEL TEMPRANA sem2</t>
        </is>
      </c>
      <c r="C12" s="5" t="inlineStr">
        <is>
          <t>WARNING</t>
        </is>
      </c>
      <c r="D12" s="5" t="inlineStr">
        <is>
          <t>Warning</t>
        </is>
      </c>
      <c r="E12" s="5" t="inlineStr">
        <is>
          <t>26 entregas ya figuran como liquidadas.</t>
        </is>
      </c>
      <c r="F12" s="6" t="n">
        <v>46231.74403596089</v>
      </c>
      <c r="G12" s="5" t="inlineStr">
        <is>
          <t>WARNING</t>
        </is>
      </c>
    </row>
    <row r="13">
      <c r="A13" s="5" t="n">
        <v>2198</v>
      </c>
      <c r="B13" s="5" t="inlineStr">
        <is>
          <t>NAVEL TEMPRANA sem2</t>
        </is>
      </c>
      <c r="C13" s="5" t="inlineStr">
        <is>
          <t>WARNING</t>
        </is>
      </c>
      <c r="D13" s="5" t="inlineStr">
        <is>
          <t>Warning</t>
        </is>
      </c>
      <c r="E13" s="5" t="inlineStr">
        <is>
          <t>No existe tarifa BonCalidad para socio=818 campaña=2026 empresa=1 cultivo=CITRICOS.</t>
        </is>
      </c>
      <c r="F13" s="6" t="n">
        <v>46231.74403596089</v>
      </c>
      <c r="G13" s="5" t="inlineStr">
        <is>
          <t>WARNING</t>
        </is>
      </c>
    </row>
    <row r="14">
      <c r="A14" s="5" t="n">
        <v>2198</v>
      </c>
      <c r="B14" s="5" t="inlineStr">
        <is>
          <t>NAVEL TEMPRANA sem2</t>
        </is>
      </c>
      <c r="C14" s="5" t="inlineStr">
        <is>
          <t>WARNING</t>
        </is>
      </c>
      <c r="D14" s="5" t="inlineStr">
        <is>
          <t>Warning</t>
        </is>
      </c>
      <c r="E14" s="5" t="inlineStr">
        <is>
          <t>No existe fuente acumulada disponible; saldo informativo calculado con cuota ya aplicada = 0.</t>
        </is>
      </c>
      <c r="F14" s="6" t="n">
        <v>46231.74403596089</v>
      </c>
      <c r="G14" s="5" t="inlineStr">
        <is>
          <t>WARNING</t>
        </is>
      </c>
    </row>
    <row r="15">
      <c r="A15" s="5" t="n">
        <v>2198</v>
      </c>
      <c r="B15" s="5" t="inlineStr">
        <is>
          <t>NAVEL TEMPRANA sem2</t>
        </is>
      </c>
      <c r="C15" s="5" t="inlineStr">
        <is>
          <t>WARNING</t>
        </is>
      </c>
      <c r="D15" s="5" t="inlineStr">
        <is>
          <t>Warning</t>
        </is>
      </c>
      <c r="E15" s="5" t="inlineStr">
        <is>
          <t>No existe tarifa BonCalidad para socio=1395 campaña=2026 empresa=1 cultivo=CITRICOS.</t>
        </is>
      </c>
      <c r="F15" s="6" t="n">
        <v>46231.74403596089</v>
      </c>
      <c r="G15" s="5" t="inlineStr">
        <is>
          <t>WARNING</t>
        </is>
      </c>
    </row>
    <row r="16">
      <c r="A16" s="5" t="n">
        <v>2198</v>
      </c>
      <c r="B16" s="5" t="inlineStr">
        <is>
          <t>NAVEL TEMPRANA sem2</t>
        </is>
      </c>
      <c r="C16" s="5" t="inlineStr">
        <is>
          <t>WARNING</t>
        </is>
      </c>
      <c r="D16" s="5" t="inlineStr">
        <is>
          <t>Warning</t>
        </is>
      </c>
      <c r="E16" s="5" t="inlineStr">
        <is>
          <t>No existe tarifa BonCalidad para socio=1499 campaña=2026 empresa=1 cultivo=CITRICOS.</t>
        </is>
      </c>
      <c r="F16" s="6" t="n">
        <v>46231.74403596089</v>
      </c>
      <c r="G16" s="5" t="inlineStr">
        <is>
          <t>WARNING</t>
        </is>
      </c>
    </row>
    <row r="17">
      <c r="A17" s="5" t="n">
        <v>2198</v>
      </c>
      <c r="B17" s="5" t="inlineStr">
        <is>
          <t>NAVEL TEMPRANA sem2</t>
        </is>
      </c>
      <c r="C17" s="5" t="inlineStr">
        <is>
          <t>WARNING</t>
        </is>
      </c>
      <c r="D17" s="5" t="inlineStr">
        <is>
          <t>Warning</t>
        </is>
      </c>
      <c r="E17" s="5" t="inlineStr">
        <is>
          <t>No existe tarifa BonCalidad para socio=1529 campaña=2026 empresa=1 cultivo=CITRICOS.</t>
        </is>
      </c>
      <c r="F17" s="6" t="n">
        <v>46231.74403596089</v>
      </c>
      <c r="G17" s="5" t="inlineStr">
        <is>
          <t>WARNING</t>
        </is>
      </c>
    </row>
    <row r="18">
      <c r="A18" s="5" t="n">
        <v>2198</v>
      </c>
      <c r="B18" s="5" t="inlineStr">
        <is>
          <t>NAVEL TEMPRANA sem2</t>
        </is>
      </c>
      <c r="C18" s="5" t="inlineStr">
        <is>
          <t>WARNING</t>
        </is>
      </c>
      <c r="D18" s="5" t="inlineStr">
        <is>
          <t>Warning</t>
        </is>
      </c>
      <c r="E18" s="5" t="inlineStr">
        <is>
          <t>No existe tarifa BonCalidad para socio=1530 campaña=2026 empresa=1 cultivo=CITRICOS.</t>
        </is>
      </c>
      <c r="F18" s="6" t="n">
        <v>46231.74403596089</v>
      </c>
      <c r="G18" s="5" t="inlineStr">
        <is>
          <t>WARNING</t>
        </is>
      </c>
    </row>
    <row r="19">
      <c r="A19" s="5" t="n">
        <v>2198</v>
      </c>
      <c r="B19" s="5" t="inlineStr">
        <is>
          <t>NAVEL TEMPRANA sem2</t>
        </is>
      </c>
      <c r="C19" s="5" t="inlineStr">
        <is>
          <t>WARNING</t>
        </is>
      </c>
      <c r="D19" s="5" t="inlineStr">
        <is>
          <t>Warning</t>
        </is>
      </c>
      <c r="E19" s="5" t="inlineStr">
        <is>
          <t>No existe tarifa BonCalidad para socio=1588 campaña=2026 empresa=1 cultivo=CITRICOS.</t>
        </is>
      </c>
      <c r="F19" s="6" t="n">
        <v>46231.74403596089</v>
      </c>
      <c r="G19" s="5" t="inlineStr">
        <is>
          <t>WARNING</t>
        </is>
      </c>
    </row>
    <row r="20">
      <c r="A20" s="5" t="n">
        <v>2199</v>
      </c>
      <c r="B20" s="5" t="inlineStr">
        <is>
          <t>NAVEL TEMPRANA sem 3</t>
        </is>
      </c>
      <c r="C20" s="5" t="inlineStr">
        <is>
          <t>WARNING</t>
        </is>
      </c>
      <c r="D20" s="5" t="inlineStr">
        <is>
          <t>Warning</t>
        </is>
      </c>
      <c r="E20" s="5" t="inlineStr">
        <is>
          <t>43 entregas ya figuran como liquidadas.</t>
        </is>
      </c>
      <c r="F20" s="6" t="n">
        <v>46231.74403596089</v>
      </c>
      <c r="G20" s="5" t="inlineStr">
        <is>
          <t>WARNING</t>
        </is>
      </c>
    </row>
    <row r="21">
      <c r="A21" s="5" t="n">
        <v>2199</v>
      </c>
      <c r="B21" s="5" t="inlineStr">
        <is>
          <t>NAVEL TEMPRANA sem 3</t>
        </is>
      </c>
      <c r="C21" s="5" t="inlineStr">
        <is>
          <t>WARNING</t>
        </is>
      </c>
      <c r="D21" s="5" t="inlineStr">
        <is>
          <t>Warning</t>
        </is>
      </c>
      <c r="E21" s="5" t="inlineStr">
        <is>
          <t>No existe tarifa BonCalidad para socio=1040 campaña=2026 empresa=1 cultivo=CITRICOS.</t>
        </is>
      </c>
      <c r="F21" s="6" t="n">
        <v>46231.74403596089</v>
      </c>
      <c r="G21" s="5" t="inlineStr">
        <is>
          <t>WARNING</t>
        </is>
      </c>
    </row>
    <row r="22">
      <c r="A22" s="5" t="n">
        <v>2199</v>
      </c>
      <c r="B22" s="5" t="inlineStr">
        <is>
          <t>NAVEL TEMPRANA sem 3</t>
        </is>
      </c>
      <c r="C22" s="5" t="inlineStr">
        <is>
          <t>WARNING</t>
        </is>
      </c>
      <c r="D22" s="5" t="inlineStr">
        <is>
          <t>Warning</t>
        </is>
      </c>
      <c r="E22" s="5" t="inlineStr">
        <is>
          <t>No existe fuente acumulada disponible; saldo informativo calculado con cuota ya aplicada = 0.</t>
        </is>
      </c>
      <c r="F22" s="6" t="n">
        <v>46231.74403596089</v>
      </c>
      <c r="G22" s="5" t="inlineStr">
        <is>
          <t>WARNING</t>
        </is>
      </c>
    </row>
    <row r="23">
      <c r="A23" s="5" t="n">
        <v>2199</v>
      </c>
      <c r="B23" s="5" t="inlineStr">
        <is>
          <t>NAVEL TEMPRANA sem 3</t>
        </is>
      </c>
      <c r="C23" s="5" t="inlineStr">
        <is>
          <t>WARNING</t>
        </is>
      </c>
      <c r="D23" s="5" t="inlineStr">
        <is>
          <t>Warning</t>
        </is>
      </c>
      <c r="E23" s="5" t="inlineStr">
        <is>
          <t>No existe tarifa BonCalidad para socio=1395 campaña=2026 empresa=1 cultivo=CITRICOS.</t>
        </is>
      </c>
      <c r="F23" s="6" t="n">
        <v>46231.74403596089</v>
      </c>
      <c r="G23" s="5" t="inlineStr">
        <is>
          <t>WARNING</t>
        </is>
      </c>
    </row>
    <row r="24">
      <c r="A24" s="5" t="n">
        <v>2199</v>
      </c>
      <c r="B24" s="5" t="inlineStr">
        <is>
          <t>NAVEL TEMPRANA sem 3</t>
        </is>
      </c>
      <c r="C24" s="5" t="inlineStr">
        <is>
          <t>WARNING</t>
        </is>
      </c>
      <c r="D24" s="5" t="inlineStr">
        <is>
          <t>Warning</t>
        </is>
      </c>
      <c r="E24" s="5" t="inlineStr">
        <is>
          <t>No existe tarifa BonCalidad para socio=1499 campaña=2026 empresa=1 cultivo=CITRICOS.</t>
        </is>
      </c>
      <c r="F24" s="6" t="n">
        <v>46231.74403596089</v>
      </c>
      <c r="G24" s="5" t="inlineStr">
        <is>
          <t>WARNING</t>
        </is>
      </c>
    </row>
    <row r="25">
      <c r="A25" s="5" t="n">
        <v>2199</v>
      </c>
      <c r="B25" s="5" t="inlineStr">
        <is>
          <t>NAVEL TEMPRANA sem 3</t>
        </is>
      </c>
      <c r="C25" s="5" t="inlineStr">
        <is>
          <t>WARNING</t>
        </is>
      </c>
      <c r="D25" s="5" t="inlineStr">
        <is>
          <t>Warning</t>
        </is>
      </c>
      <c r="E25" s="5" t="inlineStr">
        <is>
          <t>No existe tarifa BonCalidad para socio=1525 campaña=2026 empresa=1 cultivo=CITRICOS.</t>
        </is>
      </c>
      <c r="F25" s="6" t="n">
        <v>46231.74403596089</v>
      </c>
      <c r="G25" s="5" t="inlineStr">
        <is>
          <t>WARNING</t>
        </is>
      </c>
    </row>
    <row r="26">
      <c r="A26" s="5" t="n">
        <v>2199</v>
      </c>
      <c r="B26" s="5" t="inlineStr">
        <is>
          <t>NAVEL TEMPRANA sem 3</t>
        </is>
      </c>
      <c r="C26" s="5" t="inlineStr">
        <is>
          <t>WARNING</t>
        </is>
      </c>
      <c r="D26" s="5" t="inlineStr">
        <is>
          <t>Warning</t>
        </is>
      </c>
      <c r="E26" s="5" t="inlineStr">
        <is>
          <t>No existe tarifa BonCalidad para socio=1529 campaña=2026 empresa=1 cultivo=CITRICOS.</t>
        </is>
      </c>
      <c r="F26" s="6" t="n">
        <v>46231.74403596089</v>
      </c>
      <c r="G26" s="5" t="inlineStr">
        <is>
          <t>WARNING</t>
        </is>
      </c>
    </row>
    <row r="27">
      <c r="A27" s="5" t="n">
        <v>2199</v>
      </c>
      <c r="B27" s="5" t="inlineStr">
        <is>
          <t>NAVEL TEMPRANA sem 3</t>
        </is>
      </c>
      <c r="C27" s="5" t="inlineStr">
        <is>
          <t>WARNING</t>
        </is>
      </c>
      <c r="D27" s="5" t="inlineStr">
        <is>
          <t>Warning</t>
        </is>
      </c>
      <c r="E27" s="5" t="inlineStr">
        <is>
          <t>No existe tarifa BonCalidad para socio=1530 campaña=2026 empresa=1 cultivo=CITRICOS.</t>
        </is>
      </c>
      <c r="F27" s="6" t="n">
        <v>46231.74403596089</v>
      </c>
      <c r="G27" s="5" t="inlineStr">
        <is>
          <t>WARNING</t>
        </is>
      </c>
    </row>
    <row r="28">
      <c r="A28" s="5" t="n">
        <v>2199</v>
      </c>
      <c r="B28" s="5" t="inlineStr">
        <is>
          <t>NAVEL TEMPRANA sem 3</t>
        </is>
      </c>
      <c r="C28" s="5" t="inlineStr">
        <is>
          <t>WARNING</t>
        </is>
      </c>
      <c r="D28" s="5" t="inlineStr">
        <is>
          <t>Warning</t>
        </is>
      </c>
      <c r="E28" s="5" t="inlineStr">
        <is>
          <t>No existe tarifa BonCalidad para socio=1537 campaña=2026 empresa=1 cultivo=CITRICOS.</t>
        </is>
      </c>
      <c r="F28" s="6" t="n">
        <v>46231.74403596089</v>
      </c>
      <c r="G28" s="5" t="inlineStr">
        <is>
          <t>WARNING</t>
        </is>
      </c>
    </row>
    <row r="29">
      <c r="A29" s="5" t="n">
        <v>2200</v>
      </c>
      <c r="B29" s="5" t="inlineStr">
        <is>
          <t>NAVEL TEMPRANA sem 4 y +</t>
        </is>
      </c>
      <c r="C29" s="5" t="inlineStr">
        <is>
          <t>WARNING</t>
        </is>
      </c>
      <c r="D29" s="5" t="inlineStr">
        <is>
          <t>Warning</t>
        </is>
      </c>
      <c r="E29" s="5" t="inlineStr">
        <is>
          <t>222 entregas ya figuran como liquidadas.</t>
        </is>
      </c>
      <c r="F29" s="6" t="n">
        <v>46231.74403596089</v>
      </c>
      <c r="G29" s="5" t="inlineStr">
        <is>
          <t>WARNING</t>
        </is>
      </c>
    </row>
    <row r="30">
      <c r="A30" s="5" t="n">
        <v>2200</v>
      </c>
      <c r="B30" s="5" t="inlineStr">
        <is>
          <t>NAVEL TEMPRANA sem 4 y +</t>
        </is>
      </c>
      <c r="C30" s="5" t="inlineStr">
        <is>
          <t>WARNING</t>
        </is>
      </c>
      <c r="D30" s="5" t="inlineStr">
        <is>
          <t>Warning</t>
        </is>
      </c>
      <c r="E30" s="5" t="inlineStr">
        <is>
          <t>No existe tarifa BonCalidad para socio=487 campaña=2026 empresa=1 cultivo=CITRICOS.</t>
        </is>
      </c>
      <c r="F30" s="6" t="n">
        <v>46231.74403596089</v>
      </c>
      <c r="G30" s="5" t="inlineStr">
        <is>
          <t>WARNING</t>
        </is>
      </c>
    </row>
    <row r="31">
      <c r="A31" s="5" t="n">
        <v>2200</v>
      </c>
      <c r="B31" s="5" t="inlineStr">
        <is>
          <t>NAVEL TEMPRANA sem 4 y +</t>
        </is>
      </c>
      <c r="C31" s="5" t="inlineStr">
        <is>
          <t>WARNING</t>
        </is>
      </c>
      <c r="D31" s="5" t="inlineStr">
        <is>
          <t>Warning</t>
        </is>
      </c>
      <c r="E31" s="5" t="inlineStr">
        <is>
          <t>No existe fuente acumulada disponible; saldo informativo calculado con cuota ya aplicada = 0.</t>
        </is>
      </c>
      <c r="F31" s="6" t="n">
        <v>46231.74403596089</v>
      </c>
      <c r="G31" s="5" t="inlineStr">
        <is>
          <t>WARNING</t>
        </is>
      </c>
    </row>
    <row r="32">
      <c r="A32" s="5" t="n">
        <v>2200</v>
      </c>
      <c r="B32" s="5" t="inlineStr">
        <is>
          <t>NAVEL TEMPRANA sem 4 y +</t>
        </is>
      </c>
      <c r="C32" s="5" t="inlineStr">
        <is>
          <t>WARNING</t>
        </is>
      </c>
      <c r="D32" s="5" t="inlineStr">
        <is>
          <t>Warning</t>
        </is>
      </c>
      <c r="E32" s="5" t="inlineStr">
        <is>
          <t>No existe tarifa BonCalidad para socio=877 campaña=2026 empresa=1 cultivo=CITRICOS.</t>
        </is>
      </c>
      <c r="F32" s="6" t="n">
        <v>46231.74403596089</v>
      </c>
      <c r="G32" s="5" t="inlineStr">
        <is>
          <t>WARNING</t>
        </is>
      </c>
    </row>
    <row r="33">
      <c r="A33" s="5" t="n">
        <v>2200</v>
      </c>
      <c r="B33" s="5" t="inlineStr">
        <is>
          <t>NAVEL TEMPRANA sem 4 y +</t>
        </is>
      </c>
      <c r="C33" s="5" t="inlineStr">
        <is>
          <t>WARNING</t>
        </is>
      </c>
      <c r="D33" s="5" t="inlineStr">
        <is>
          <t>Warning</t>
        </is>
      </c>
      <c r="E33" s="5" t="inlineStr">
        <is>
          <t>No existe tarifa BonCalidad para socio=886 campaña=2026 empresa=1 cultivo=CITRICOS.</t>
        </is>
      </c>
      <c r="F33" s="6" t="n">
        <v>46231.74403596089</v>
      </c>
      <c r="G33" s="5" t="inlineStr">
        <is>
          <t>WARNING</t>
        </is>
      </c>
    </row>
    <row r="34">
      <c r="A34" s="5" t="n">
        <v>2200</v>
      </c>
      <c r="B34" s="5" t="inlineStr">
        <is>
          <t>NAVEL TEMPRANA sem 4 y +</t>
        </is>
      </c>
      <c r="C34" s="5" t="inlineStr">
        <is>
          <t>WARNING</t>
        </is>
      </c>
      <c r="D34" s="5" t="inlineStr">
        <is>
          <t>Warning</t>
        </is>
      </c>
      <c r="E34" s="5" t="inlineStr">
        <is>
          <t>El socio 886 figura certificado GlobalGAP en CITRICOS, KAKIS, MANDARINA pero no en KAKIS. Se ha aplicado la certificación global del socio. Revise DEEPP.</t>
        </is>
      </c>
      <c r="F34" s="6" t="n">
        <v>46231.74403596089</v>
      </c>
      <c r="G34" s="5" t="inlineStr">
        <is>
          <t>WARNING</t>
        </is>
      </c>
    </row>
    <row r="35">
      <c r="A35" s="5" t="n">
        <v>2200</v>
      </c>
      <c r="B35" s="5" t="inlineStr">
        <is>
          <t>NAVEL TEMPRANA sem 4 y +</t>
        </is>
      </c>
      <c r="C35" s="5" t="inlineStr">
        <is>
          <t>WARNING</t>
        </is>
      </c>
      <c r="D35" s="5" t="inlineStr">
        <is>
          <t>Warning</t>
        </is>
      </c>
      <c r="E35" s="5" t="inlineStr">
        <is>
          <t>No existe tarifa BonCalidad para socio=994 campaña=2026 empresa=1 cultivo=CITRICOS.</t>
        </is>
      </c>
      <c r="F35" s="6" t="n">
        <v>46231.74403596089</v>
      </c>
      <c r="G35" s="5" t="inlineStr">
        <is>
          <t>WARNING</t>
        </is>
      </c>
    </row>
    <row r="36">
      <c r="A36" s="5" t="n">
        <v>2200</v>
      </c>
      <c r="B36" s="5" t="inlineStr">
        <is>
          <t>NAVEL TEMPRANA sem 4 y +</t>
        </is>
      </c>
      <c r="C36" s="5" t="inlineStr">
        <is>
          <t>WARNING</t>
        </is>
      </c>
      <c r="D36" s="5" t="inlineStr">
        <is>
          <t>Warning</t>
        </is>
      </c>
      <c r="E36" s="5" t="inlineStr">
        <is>
          <t>No existe tarifa BonCalidad para socio=1099 campaña=2026 empresa=1 cultivo=CITRICOS.</t>
        </is>
      </c>
      <c r="F36" s="6" t="n">
        <v>46231.74403596089</v>
      </c>
      <c r="G36" s="5" t="inlineStr">
        <is>
          <t>WARNING</t>
        </is>
      </c>
    </row>
    <row r="37">
      <c r="A37" s="5" t="n">
        <v>2200</v>
      </c>
      <c r="B37" s="5" t="inlineStr">
        <is>
          <t>NAVEL TEMPRANA sem 4 y +</t>
        </is>
      </c>
      <c r="C37" s="5" t="inlineStr">
        <is>
          <t>WARNING</t>
        </is>
      </c>
      <c r="D37" s="5" t="inlineStr">
        <is>
          <t>Warning</t>
        </is>
      </c>
      <c r="E37" s="5" t="inlineStr">
        <is>
          <t>No existe tarifa BonCalidad para socio=1103 campaña=2026 empresa=1 cultivo=CITRICOS.</t>
        </is>
      </c>
      <c r="F37" s="6" t="n">
        <v>46231.74403596089</v>
      </c>
      <c r="G37" s="5" t="inlineStr">
        <is>
          <t>WARNING</t>
        </is>
      </c>
    </row>
    <row r="38">
      <c r="A38" s="5" t="n">
        <v>2200</v>
      </c>
      <c r="B38" s="5" t="inlineStr">
        <is>
          <t>NAVEL TEMPRANA sem 4 y +</t>
        </is>
      </c>
      <c r="C38" s="5" t="inlineStr">
        <is>
          <t>WARNING</t>
        </is>
      </c>
      <c r="D38" s="5" t="inlineStr">
        <is>
          <t>Warning</t>
        </is>
      </c>
      <c r="E38" s="5" t="inlineStr">
        <is>
          <t>No existe tarifa BonCalidad para socio=1129 campaña=2026 empresa=1 cultivo=CITRICOS.</t>
        </is>
      </c>
      <c r="F38" s="6" t="n">
        <v>46231.74403596089</v>
      </c>
      <c r="G38" s="5" t="inlineStr">
        <is>
          <t>WARNING</t>
        </is>
      </c>
    </row>
    <row r="39">
      <c r="A39" s="5" t="n">
        <v>2200</v>
      </c>
      <c r="B39" s="5" t="inlineStr">
        <is>
          <t>NAVEL TEMPRANA sem 4 y +</t>
        </is>
      </c>
      <c r="C39" s="5" t="inlineStr">
        <is>
          <t>WARNING</t>
        </is>
      </c>
      <c r="D39" s="5" t="inlineStr">
        <is>
          <t>Warning</t>
        </is>
      </c>
      <c r="E39" s="5" t="inlineStr">
        <is>
          <t>No existe tarifa BonCalidad para socio=1158 campaña=2026 empresa=1 cultivo=CITRICOS.</t>
        </is>
      </c>
      <c r="F39" s="6" t="n">
        <v>46231.74403596089</v>
      </c>
      <c r="G39" s="5" t="inlineStr">
        <is>
          <t>WARNING</t>
        </is>
      </c>
    </row>
    <row r="40">
      <c r="A40" s="5" t="n">
        <v>2200</v>
      </c>
      <c r="B40" s="5" t="inlineStr">
        <is>
          <t>NAVEL TEMPRANA sem 4 y +</t>
        </is>
      </c>
      <c r="C40" s="5" t="inlineStr">
        <is>
          <t>WARNING</t>
        </is>
      </c>
      <c r="D40" s="5" t="inlineStr">
        <is>
          <t>Warning</t>
        </is>
      </c>
      <c r="E40" s="5" t="inlineStr">
        <is>
          <t>No existe tarifa BonCalidad para socio=1197 campaña=2026 empresa=1 cultivo=CITRICOS.</t>
        </is>
      </c>
      <c r="F40" s="6" t="n">
        <v>46231.74403596089</v>
      </c>
      <c r="G40" s="5" t="inlineStr">
        <is>
          <t>WARNING</t>
        </is>
      </c>
    </row>
    <row r="41">
      <c r="A41" s="5" t="n">
        <v>2200</v>
      </c>
      <c r="B41" s="5" t="inlineStr">
        <is>
          <t>NAVEL TEMPRANA sem 4 y +</t>
        </is>
      </c>
      <c r="C41" s="5" t="inlineStr">
        <is>
          <t>WARNING</t>
        </is>
      </c>
      <c r="D41" s="5" t="inlineStr">
        <is>
          <t>Warning</t>
        </is>
      </c>
      <c r="E41" s="5" t="inlineStr">
        <is>
          <t>No existe tarifa BonCalidad para socio=1243 campaña=2026 empresa=1 cultivo=CITRICOS.</t>
        </is>
      </c>
      <c r="F41" s="6" t="n">
        <v>46231.74403596089</v>
      </c>
      <c r="G41" s="5" t="inlineStr">
        <is>
          <t>WARNING</t>
        </is>
      </c>
    </row>
    <row r="42">
      <c r="A42" s="5" t="n">
        <v>2200</v>
      </c>
      <c r="B42" s="5" t="inlineStr">
        <is>
          <t>NAVEL TEMPRANA sem 4 y +</t>
        </is>
      </c>
      <c r="C42" s="5" t="inlineStr">
        <is>
          <t>WARNING</t>
        </is>
      </c>
      <c r="D42" s="5" t="inlineStr">
        <is>
          <t>Warning</t>
        </is>
      </c>
      <c r="E42" s="5" t="inlineStr">
        <is>
          <t>No existe tarifa BonCalidad para socio=1252 campaña=2026 empresa=1 cultivo=CITRICOS.</t>
        </is>
      </c>
      <c r="F42" s="6" t="n">
        <v>46231.74403596089</v>
      </c>
      <c r="G42" s="5" t="inlineStr">
        <is>
          <t>WARNING</t>
        </is>
      </c>
    </row>
    <row r="43">
      <c r="A43" s="5" t="n">
        <v>2200</v>
      </c>
      <c r="B43" s="5" t="inlineStr">
        <is>
          <t>NAVEL TEMPRANA sem 4 y +</t>
        </is>
      </c>
      <c r="C43" s="5" t="inlineStr">
        <is>
          <t>WARNING</t>
        </is>
      </c>
      <c r="D43" s="5" t="inlineStr">
        <is>
          <t>Warning</t>
        </is>
      </c>
      <c r="E43" s="5" t="inlineStr">
        <is>
          <t>No existe tarifa BonCalidad para socio=1272 campaña=2026 empresa=1 cultivo=CITRICOS.</t>
        </is>
      </c>
      <c r="F43" s="6" t="n">
        <v>46231.74403596089</v>
      </c>
      <c r="G43" s="5" t="inlineStr">
        <is>
          <t>WARNING</t>
        </is>
      </c>
    </row>
    <row r="44">
      <c r="A44" s="5" t="n">
        <v>2200</v>
      </c>
      <c r="B44" s="5" t="inlineStr">
        <is>
          <t>NAVEL TEMPRANA sem 4 y +</t>
        </is>
      </c>
      <c r="C44" s="5" t="inlineStr">
        <is>
          <t>WARNING</t>
        </is>
      </c>
      <c r="D44" s="5" t="inlineStr">
        <is>
          <t>Warning</t>
        </is>
      </c>
      <c r="E44" s="5" t="inlineStr">
        <is>
          <t>No existe tarifa BonCalidad para socio=1278 campaña=2026 empresa=1 cultivo=CITRICOS.</t>
        </is>
      </c>
      <c r="F44" s="6" t="n">
        <v>46231.74403596089</v>
      </c>
      <c r="G44" s="5" t="inlineStr">
        <is>
          <t>WARNING</t>
        </is>
      </c>
    </row>
    <row r="45">
      <c r="A45" s="5" t="n">
        <v>2200</v>
      </c>
      <c r="B45" s="5" t="inlineStr">
        <is>
          <t>NAVEL TEMPRANA sem 4 y +</t>
        </is>
      </c>
      <c r="C45" s="5" t="inlineStr">
        <is>
          <t>WARNING</t>
        </is>
      </c>
      <c r="D45" s="5" t="inlineStr">
        <is>
          <t>Warning</t>
        </is>
      </c>
      <c r="E45" s="5" t="inlineStr">
        <is>
          <t>No existe tarifa BonCalidad para socio=1301 campaña=2026 empresa=1 cultivo=CITRICOS.</t>
        </is>
      </c>
      <c r="F45" s="6" t="n">
        <v>46231.74403596089</v>
      </c>
      <c r="G45" s="5" t="inlineStr">
        <is>
          <t>WARNING</t>
        </is>
      </c>
    </row>
    <row r="46">
      <c r="A46" s="5" t="n">
        <v>2200</v>
      </c>
      <c r="B46" s="5" t="inlineStr">
        <is>
          <t>NAVEL TEMPRANA sem 4 y +</t>
        </is>
      </c>
      <c r="C46" s="5" t="inlineStr">
        <is>
          <t>WARNING</t>
        </is>
      </c>
      <c r="D46" s="5" t="inlineStr">
        <is>
          <t>Warning</t>
        </is>
      </c>
      <c r="E46" s="5" t="inlineStr">
        <is>
          <t>No existe tarifa BonCalidad para socio=1309 campaña=2026 empresa=1 cultivo=CITRICOS.</t>
        </is>
      </c>
      <c r="F46" s="6" t="n">
        <v>46231.74403596089</v>
      </c>
      <c r="G46" s="5" t="inlineStr">
        <is>
          <t>WARNING</t>
        </is>
      </c>
    </row>
    <row r="47">
      <c r="A47" s="5" t="n">
        <v>2200</v>
      </c>
      <c r="B47" s="5" t="inlineStr">
        <is>
          <t>NAVEL TEMPRANA sem 4 y +</t>
        </is>
      </c>
      <c r="C47" s="5" t="inlineStr">
        <is>
          <t>WARNING</t>
        </is>
      </c>
      <c r="D47" s="5" t="inlineStr">
        <is>
          <t>Warning</t>
        </is>
      </c>
      <c r="E47" s="5" t="inlineStr">
        <is>
          <t>No existe tarifa BonCalidad para socio=1316 campaña=2026 empresa=1 cultivo=CITRICOS.</t>
        </is>
      </c>
      <c r="F47" s="6" t="n">
        <v>46231.74403596089</v>
      </c>
      <c r="G47" s="5" t="inlineStr">
        <is>
          <t>WARNING</t>
        </is>
      </c>
    </row>
    <row r="48">
      <c r="A48" s="5" t="n">
        <v>2200</v>
      </c>
      <c r="B48" s="5" t="inlineStr">
        <is>
          <t>NAVEL TEMPRANA sem 4 y +</t>
        </is>
      </c>
      <c r="C48" s="5" t="inlineStr">
        <is>
          <t>WARNING</t>
        </is>
      </c>
      <c r="D48" s="5" t="inlineStr">
        <is>
          <t>Warning</t>
        </is>
      </c>
      <c r="E48" s="5" t="inlineStr">
        <is>
          <t>No existe tarifa BonCalidad para socio=1395 campaña=2026 empresa=1 cultivo=CITRICOS.</t>
        </is>
      </c>
      <c r="F48" s="6" t="n">
        <v>46231.74403596089</v>
      </c>
      <c r="G48" s="5" t="inlineStr">
        <is>
          <t>WARNING</t>
        </is>
      </c>
    </row>
    <row r="49">
      <c r="A49" s="5" t="n">
        <v>2200</v>
      </c>
      <c r="B49" s="5" t="inlineStr">
        <is>
          <t>NAVEL TEMPRANA sem 4 y +</t>
        </is>
      </c>
      <c r="C49" s="5" t="inlineStr">
        <is>
          <t>WARNING</t>
        </is>
      </c>
      <c r="D49" s="5" t="inlineStr">
        <is>
          <t>Warning</t>
        </is>
      </c>
      <c r="E49" s="5" t="inlineStr">
        <is>
          <t>No existe tarifa BonCalidad para socio=1411 campaña=2026 empresa=1 cultivo=CITRICOS.</t>
        </is>
      </c>
      <c r="F49" s="6" t="n">
        <v>46231.74403596089</v>
      </c>
      <c r="G49" s="5" t="inlineStr">
        <is>
          <t>WARNING</t>
        </is>
      </c>
    </row>
    <row r="50">
      <c r="A50" s="5" t="n">
        <v>2200</v>
      </c>
      <c r="B50" s="5" t="inlineStr">
        <is>
          <t>NAVEL TEMPRANA sem 4 y +</t>
        </is>
      </c>
      <c r="C50" s="5" t="inlineStr">
        <is>
          <t>WARNING</t>
        </is>
      </c>
      <c r="D50" s="5" t="inlineStr">
        <is>
          <t>Warning</t>
        </is>
      </c>
      <c r="E50" s="5" t="inlineStr">
        <is>
          <t>No existe tarifa BonCalidad para socio=1416 campaña=2026 empresa=1 cultivo=CITRICOS.</t>
        </is>
      </c>
      <c r="F50" s="6" t="n">
        <v>46231.74403596089</v>
      </c>
      <c r="G50" s="5" t="inlineStr">
        <is>
          <t>WARNING</t>
        </is>
      </c>
    </row>
    <row r="51">
      <c r="A51" s="5" t="n">
        <v>2200</v>
      </c>
      <c r="B51" s="5" t="inlineStr">
        <is>
          <t>NAVEL TEMPRANA sem 4 y +</t>
        </is>
      </c>
      <c r="C51" s="5" t="inlineStr">
        <is>
          <t>WARNING</t>
        </is>
      </c>
      <c r="D51" s="5" t="inlineStr">
        <is>
          <t>Warning</t>
        </is>
      </c>
      <c r="E51" s="5" t="inlineStr">
        <is>
          <t>No existe tarifa BonCalidad para socio=1419 campaña=2026 empresa=1 cultivo=CITRICOS.</t>
        </is>
      </c>
      <c r="F51" s="6" t="n">
        <v>46231.74403596089</v>
      </c>
      <c r="G51" s="5" t="inlineStr">
        <is>
          <t>WARNING</t>
        </is>
      </c>
    </row>
    <row r="52">
      <c r="A52" s="5" t="n">
        <v>2200</v>
      </c>
      <c r="B52" s="5" t="inlineStr">
        <is>
          <t>NAVEL TEMPRANA sem 4 y +</t>
        </is>
      </c>
      <c r="C52" s="5" t="inlineStr">
        <is>
          <t>WARNING</t>
        </is>
      </c>
      <c r="D52" s="5" t="inlineStr">
        <is>
          <t>Warning</t>
        </is>
      </c>
      <c r="E52" s="5" t="inlineStr">
        <is>
          <t>No existe tarifa BonCalidad para socio=1443 campaña=2026 empresa=1 cultivo=CITRICOS.</t>
        </is>
      </c>
      <c r="F52" s="6" t="n">
        <v>46231.74403596089</v>
      </c>
      <c r="G52" s="5" t="inlineStr">
        <is>
          <t>WARNING</t>
        </is>
      </c>
    </row>
    <row r="53">
      <c r="A53" s="5" t="n">
        <v>2200</v>
      </c>
      <c r="B53" s="5" t="inlineStr">
        <is>
          <t>NAVEL TEMPRANA sem 4 y +</t>
        </is>
      </c>
      <c r="C53" s="5" t="inlineStr">
        <is>
          <t>WARNING</t>
        </is>
      </c>
      <c r="D53" s="5" t="inlineStr">
        <is>
          <t>Warning</t>
        </is>
      </c>
      <c r="E53" s="5" t="inlineStr">
        <is>
          <t>No existe tarifa BonCalidad para socio=1445 campaña=2026 empresa=1 cultivo=CITRICOS.</t>
        </is>
      </c>
      <c r="F53" s="6" t="n">
        <v>46231.74403596089</v>
      </c>
      <c r="G53" s="5" t="inlineStr">
        <is>
          <t>WARNING</t>
        </is>
      </c>
    </row>
    <row r="54">
      <c r="A54" s="5" t="n">
        <v>2200</v>
      </c>
      <c r="B54" s="5" t="inlineStr">
        <is>
          <t>NAVEL TEMPRANA sem 4 y +</t>
        </is>
      </c>
      <c r="C54" s="5" t="inlineStr">
        <is>
          <t>WARNING</t>
        </is>
      </c>
      <c r="D54" s="5" t="inlineStr">
        <is>
          <t>Warning</t>
        </is>
      </c>
      <c r="E54" s="5" t="inlineStr">
        <is>
          <t>No existe tarifa BonCalidad para socio=1456 campaña=2026 empresa=1 cultivo=CITRICOS.</t>
        </is>
      </c>
      <c r="F54" s="6" t="n">
        <v>46231.74403596089</v>
      </c>
      <c r="G54" s="5" t="inlineStr">
        <is>
          <t>WARNING</t>
        </is>
      </c>
    </row>
    <row r="55">
      <c r="A55" s="5" t="n">
        <v>2200</v>
      </c>
      <c r="B55" s="5" t="inlineStr">
        <is>
          <t>NAVEL TEMPRANA sem 4 y +</t>
        </is>
      </c>
      <c r="C55" s="5" t="inlineStr">
        <is>
          <t>WARNING</t>
        </is>
      </c>
      <c r="D55" s="5" t="inlineStr">
        <is>
          <t>Warning</t>
        </is>
      </c>
      <c r="E55" s="5" t="inlineStr">
        <is>
          <t>No existe tarifa BonCalidad para socio=1488 campaña=2026 empresa=1 cultivo=CITRICOS.</t>
        </is>
      </c>
      <c r="F55" s="6" t="n">
        <v>46231.74403596089</v>
      </c>
      <c r="G55" s="5" t="inlineStr">
        <is>
          <t>WARNING</t>
        </is>
      </c>
    </row>
    <row r="56">
      <c r="A56" s="5" t="n">
        <v>2200</v>
      </c>
      <c r="B56" s="5" t="inlineStr">
        <is>
          <t>NAVEL TEMPRANA sem 4 y +</t>
        </is>
      </c>
      <c r="C56" s="5" t="inlineStr">
        <is>
          <t>WARNING</t>
        </is>
      </c>
      <c r="D56" s="5" t="inlineStr">
        <is>
          <t>Warning</t>
        </is>
      </c>
      <c r="E56" s="5" t="inlineStr">
        <is>
          <t>No existe tarifa BonCalidad para socio=1491 campaña=2026 empresa=1 cultivo=CITRICOS.</t>
        </is>
      </c>
      <c r="F56" s="6" t="n">
        <v>46231.74403596089</v>
      </c>
      <c r="G56" s="5" t="inlineStr">
        <is>
          <t>WARNING</t>
        </is>
      </c>
    </row>
    <row r="57">
      <c r="A57" s="5" t="n">
        <v>2200</v>
      </c>
      <c r="B57" s="5" t="inlineStr">
        <is>
          <t>NAVEL TEMPRANA sem 4 y +</t>
        </is>
      </c>
      <c r="C57" s="5" t="inlineStr">
        <is>
          <t>WARNING</t>
        </is>
      </c>
      <c r="D57" s="5" t="inlineStr">
        <is>
          <t>Warning</t>
        </is>
      </c>
      <c r="E57" s="5" t="inlineStr">
        <is>
          <t>No existe tarifa BonCalidad para socio=1499 campaña=2026 empresa=1 cultivo=CITRICOS.</t>
        </is>
      </c>
      <c r="F57" s="6" t="n">
        <v>46231.74403596089</v>
      </c>
      <c r="G57" s="5" t="inlineStr">
        <is>
          <t>WARNING</t>
        </is>
      </c>
    </row>
    <row r="58">
      <c r="A58" s="5" t="n">
        <v>2200</v>
      </c>
      <c r="B58" s="5" t="inlineStr">
        <is>
          <t>NAVEL TEMPRANA sem 4 y +</t>
        </is>
      </c>
      <c r="C58" s="5" t="inlineStr">
        <is>
          <t>WARNING</t>
        </is>
      </c>
      <c r="D58" s="5" t="inlineStr">
        <is>
          <t>Warning</t>
        </is>
      </c>
      <c r="E58" s="5" t="inlineStr">
        <is>
          <t>No existe tarifa BonCalidad para socio=1518 campaña=2026 empresa=1 cultivo=CITRICOS.</t>
        </is>
      </c>
      <c r="F58" s="6" t="n">
        <v>46231.74403596089</v>
      </c>
      <c r="G58" s="5" t="inlineStr">
        <is>
          <t>WARNING</t>
        </is>
      </c>
    </row>
    <row r="59">
      <c r="A59" s="5" t="n">
        <v>2200</v>
      </c>
      <c r="B59" s="5" t="inlineStr">
        <is>
          <t>NAVEL TEMPRANA sem 4 y +</t>
        </is>
      </c>
      <c r="C59" s="5" t="inlineStr">
        <is>
          <t>WARNING</t>
        </is>
      </c>
      <c r="D59" s="5" t="inlineStr">
        <is>
          <t>Warning</t>
        </is>
      </c>
      <c r="E59" s="5" t="inlineStr">
        <is>
          <t>No existe tarifa BonCalidad para socio=1520 campaña=2026 empresa=1 cultivo=CITRICOS.</t>
        </is>
      </c>
      <c r="F59" s="6" t="n">
        <v>46231.74403596089</v>
      </c>
      <c r="G59" s="5" t="inlineStr">
        <is>
          <t>WARNING</t>
        </is>
      </c>
    </row>
    <row r="60">
      <c r="A60" s="5" t="n">
        <v>2200</v>
      </c>
      <c r="B60" s="5" t="inlineStr">
        <is>
          <t>NAVEL TEMPRANA sem 4 y +</t>
        </is>
      </c>
      <c r="C60" s="5" t="inlineStr">
        <is>
          <t>WARNING</t>
        </is>
      </c>
      <c r="D60" s="5" t="inlineStr">
        <is>
          <t>Warning</t>
        </is>
      </c>
      <c r="E60" s="5" t="inlineStr">
        <is>
          <t>No existe tarifa BonCalidad para socio=1521 campaña=2026 empresa=1 cultivo=CITRICOS.</t>
        </is>
      </c>
      <c r="F60" s="6" t="n">
        <v>46231.74403596089</v>
      </c>
      <c r="G60" s="5" t="inlineStr">
        <is>
          <t>WARNING</t>
        </is>
      </c>
    </row>
    <row r="61">
      <c r="A61" s="5" t="n">
        <v>2200</v>
      </c>
      <c r="B61" s="5" t="inlineStr">
        <is>
          <t>NAVEL TEMPRANA sem 4 y +</t>
        </is>
      </c>
      <c r="C61" s="5" t="inlineStr">
        <is>
          <t>WARNING</t>
        </is>
      </c>
      <c r="D61" s="5" t="inlineStr">
        <is>
          <t>Warning</t>
        </is>
      </c>
      <c r="E61" s="5" t="inlineStr">
        <is>
          <t>No existe tarifa BonCalidad para socio=1525 campaña=2026 empresa=1 cultivo=CITRICOS.</t>
        </is>
      </c>
      <c r="F61" s="6" t="n">
        <v>46231.74403596089</v>
      </c>
      <c r="G61" s="5" t="inlineStr">
        <is>
          <t>WARNING</t>
        </is>
      </c>
    </row>
    <row r="62">
      <c r="A62" s="5" t="n">
        <v>2200</v>
      </c>
      <c r="B62" s="5" t="inlineStr">
        <is>
          <t>NAVEL TEMPRANA sem 4 y +</t>
        </is>
      </c>
      <c r="C62" s="5" t="inlineStr">
        <is>
          <t>WARNING</t>
        </is>
      </c>
      <c r="D62" s="5" t="inlineStr">
        <is>
          <t>Warning</t>
        </is>
      </c>
      <c r="E62" s="5" t="inlineStr">
        <is>
          <t>No existe tarifa BonCalidad para socio=1527 campaña=2026 empresa=1 cultivo=CITRICOS.</t>
        </is>
      </c>
      <c r="F62" s="6" t="n">
        <v>46231.74403596089</v>
      </c>
      <c r="G62" s="5" t="inlineStr">
        <is>
          <t>WARNING</t>
        </is>
      </c>
    </row>
    <row r="63">
      <c r="A63" s="5" t="n">
        <v>2200</v>
      </c>
      <c r="B63" s="5" t="inlineStr">
        <is>
          <t>NAVEL TEMPRANA sem 4 y +</t>
        </is>
      </c>
      <c r="C63" s="5" t="inlineStr">
        <is>
          <t>WARNING</t>
        </is>
      </c>
      <c r="D63" s="5" t="inlineStr">
        <is>
          <t>Warning</t>
        </is>
      </c>
      <c r="E63" s="5" t="inlineStr">
        <is>
          <t>No existe tarifa BonCalidad para socio=1529 campaña=2026 empresa=1 cultivo=CITRICOS.</t>
        </is>
      </c>
      <c r="F63" s="6" t="n">
        <v>46231.74403596089</v>
      </c>
      <c r="G63" s="5" t="inlineStr">
        <is>
          <t>WARNING</t>
        </is>
      </c>
    </row>
    <row r="64">
      <c r="A64" s="5" t="n">
        <v>2200</v>
      </c>
      <c r="B64" s="5" t="inlineStr">
        <is>
          <t>NAVEL TEMPRANA sem 4 y +</t>
        </is>
      </c>
      <c r="C64" s="5" t="inlineStr">
        <is>
          <t>WARNING</t>
        </is>
      </c>
      <c r="D64" s="5" t="inlineStr">
        <is>
          <t>Warning</t>
        </is>
      </c>
      <c r="E64" s="5" t="inlineStr">
        <is>
          <t>No existe tarifa BonCalidad para socio=1545 campaña=2026 empresa=1 cultivo=CITRICOS.</t>
        </is>
      </c>
      <c r="F64" s="6" t="n">
        <v>46231.74403596089</v>
      </c>
      <c r="G64" s="5" t="inlineStr">
        <is>
          <t>WARNING</t>
        </is>
      </c>
    </row>
    <row r="65">
      <c r="A65" s="5" t="n">
        <v>2200</v>
      </c>
      <c r="B65" s="5" t="inlineStr">
        <is>
          <t>NAVEL TEMPRANA sem 4 y +</t>
        </is>
      </c>
      <c r="C65" s="5" t="inlineStr">
        <is>
          <t>WARNING</t>
        </is>
      </c>
      <c r="D65" s="5" t="inlineStr">
        <is>
          <t>Warning</t>
        </is>
      </c>
      <c r="E65" s="5" t="inlineStr">
        <is>
          <t>No existe tarifa BonCalidad para socio=1546 campaña=2026 empresa=1 cultivo=CITRICOS.</t>
        </is>
      </c>
      <c r="F65" s="6" t="n">
        <v>46231.74403596089</v>
      </c>
      <c r="G65" s="5" t="inlineStr">
        <is>
          <t>WARNING</t>
        </is>
      </c>
    </row>
    <row r="66">
      <c r="A66" s="5" t="n">
        <v>2200</v>
      </c>
      <c r="B66" s="5" t="inlineStr">
        <is>
          <t>NAVEL TEMPRANA sem 4 y +</t>
        </is>
      </c>
      <c r="C66" s="5" t="inlineStr">
        <is>
          <t>WARNING</t>
        </is>
      </c>
      <c r="D66" s="5" t="inlineStr">
        <is>
          <t>Warning</t>
        </is>
      </c>
      <c r="E66" s="5" t="inlineStr">
        <is>
          <t>No existe tarifa BonCalidad para socio=1548 campaña=2026 empresa=1 cultivo=CITRICOS.</t>
        </is>
      </c>
      <c r="F66" s="6" t="n">
        <v>46231.74403596089</v>
      </c>
      <c r="G66" s="5" t="inlineStr">
        <is>
          <t>WARNING</t>
        </is>
      </c>
    </row>
    <row r="67">
      <c r="A67" s="5" t="n">
        <v>2200</v>
      </c>
      <c r="B67" s="5" t="inlineStr">
        <is>
          <t>NAVEL TEMPRANA sem 4 y +</t>
        </is>
      </c>
      <c r="C67" s="5" t="inlineStr">
        <is>
          <t>WARNING</t>
        </is>
      </c>
      <c r="D67" s="5" t="inlineStr">
        <is>
          <t>Warning</t>
        </is>
      </c>
      <c r="E67" s="5" t="inlineStr">
        <is>
          <t>No existe tarifa BonCalidad para socio=1572 campaña=2026 empresa=1 cultivo=CITRICOS.</t>
        </is>
      </c>
      <c r="F67" s="6" t="n">
        <v>46231.74403596089</v>
      </c>
      <c r="G67" s="5" t="inlineStr">
        <is>
          <t>WARNING</t>
        </is>
      </c>
    </row>
    <row r="68">
      <c r="A68" s="5" t="n">
        <v>2200</v>
      </c>
      <c r="B68" s="5" t="inlineStr">
        <is>
          <t>NAVEL TEMPRANA sem 4 y +</t>
        </is>
      </c>
      <c r="C68" s="5" t="inlineStr">
        <is>
          <t>WARNING</t>
        </is>
      </c>
      <c r="D68" s="5" t="inlineStr">
        <is>
          <t>Warning</t>
        </is>
      </c>
      <c r="E68" s="5" t="inlineStr">
        <is>
          <t>Cuota Ha no aplicable: sin superficie sujeta a cuota.</t>
        </is>
      </c>
      <c r="F68" s="6" t="n">
        <v>46231.74403596089</v>
      </c>
      <c r="G68" s="5" t="inlineStr">
        <is>
          <t>WARNING</t>
        </is>
      </c>
    </row>
    <row r="69">
      <c r="A69" s="5" t="n">
        <v>2200</v>
      </c>
      <c r="B69" s="5" t="inlineStr">
        <is>
          <t>NAVEL TEMPRANA sem 4 y +</t>
        </is>
      </c>
      <c r="C69" s="5" t="inlineStr">
        <is>
          <t>WARNING</t>
        </is>
      </c>
      <c r="D69" s="5" t="inlineStr">
        <is>
          <t>Warning</t>
        </is>
      </c>
      <c r="E69" s="5" t="inlineStr">
        <is>
          <t>No existe tarifa BonCalidad para socio=1573 campaña=2026 empresa=1 cultivo=CITRICOS.</t>
        </is>
      </c>
      <c r="F69" s="6" t="n">
        <v>46231.74403596089</v>
      </c>
      <c r="G69" s="5" t="inlineStr">
        <is>
          <t>WARNING</t>
        </is>
      </c>
    </row>
    <row r="70">
      <c r="A70" s="5" t="n">
        <v>2200</v>
      </c>
      <c r="B70" s="5" t="inlineStr">
        <is>
          <t>NAVEL TEMPRANA sem 4 y +</t>
        </is>
      </c>
      <c r="C70" s="5" t="inlineStr">
        <is>
          <t>WARNING</t>
        </is>
      </c>
      <c r="D70" s="5" t="inlineStr">
        <is>
          <t>Warning</t>
        </is>
      </c>
      <c r="E70" s="5" t="inlineStr">
        <is>
          <t>No existe tarifa BonCalidad para socio=1588 campaña=2026 empresa=1 cultivo=CITRICOS.</t>
        </is>
      </c>
      <c r="F70" s="6" t="n">
        <v>46231.74403596089</v>
      </c>
      <c r="G70" s="5" t="inlineStr">
        <is>
          <t>WARNING</t>
        </is>
      </c>
    </row>
    <row r="71">
      <c r="A71" s="5" t="n">
        <v>2200</v>
      </c>
      <c r="B71" s="5" t="inlineStr">
        <is>
          <t>NAVEL TEMPRANA sem 4 y +</t>
        </is>
      </c>
      <c r="C71" s="5" t="inlineStr">
        <is>
          <t>WARNING</t>
        </is>
      </c>
      <c r="D71" s="5" t="inlineStr">
        <is>
          <t>Warning</t>
        </is>
      </c>
      <c r="E71" s="5" t="inlineStr">
        <is>
          <t>No existe tarifa BonCalidad para socio=1592 campaña=2026 empresa=1 cultivo=CITRICOS.</t>
        </is>
      </c>
      <c r="F71" s="6" t="n">
        <v>46231.74403596089</v>
      </c>
      <c r="G71" s="5" t="inlineStr">
        <is>
          <t>WARNING</t>
        </is>
      </c>
    </row>
    <row r="72">
      <c r="A72" s="5" t="n">
        <v>2200</v>
      </c>
      <c r="B72" s="5" t="inlineStr">
        <is>
          <t>NAVEL TEMPRANA sem 4 y +</t>
        </is>
      </c>
      <c r="C72" s="5" t="inlineStr">
        <is>
          <t>WARNING</t>
        </is>
      </c>
      <c r="D72" s="5" t="inlineStr">
        <is>
          <t>Warning</t>
        </is>
      </c>
      <c r="E72" s="5" t="inlineStr">
        <is>
          <t>No existe tarifa BonCalidad para socio=1595 campaña=2026 empresa=1 cultivo=CITRICOS.</t>
        </is>
      </c>
      <c r="F72" s="6" t="n">
        <v>46231.74403596089</v>
      </c>
      <c r="G72" s="5" t="inlineStr">
        <is>
          <t>WARNING</t>
        </is>
      </c>
    </row>
    <row r="73">
      <c r="A73" s="5" t="n">
        <v>2200</v>
      </c>
      <c r="B73" s="5" t="inlineStr">
        <is>
          <t>NAVEL TEMPRANA sem 4 y +</t>
        </is>
      </c>
      <c r="C73" s="5" t="inlineStr">
        <is>
          <t>WARNING</t>
        </is>
      </c>
      <c r="D73" s="5" t="inlineStr">
        <is>
          <t>Warning</t>
        </is>
      </c>
      <c r="E73" s="5" t="inlineStr">
        <is>
          <t>No existe tarifa BonCalidad para socio=1598 campaña=2026 empresa=1 cultivo=CITRICOS.</t>
        </is>
      </c>
      <c r="F73" s="6" t="n">
        <v>46231.74403596089</v>
      </c>
      <c r="G73" s="5" t="inlineStr">
        <is>
          <t>WARNING</t>
        </is>
      </c>
    </row>
    <row r="74">
      <c r="A74" s="5" t="n">
        <v>2200</v>
      </c>
      <c r="B74" s="5" t="inlineStr">
        <is>
          <t>NAVEL TEMPRANA sem 4 y +</t>
        </is>
      </c>
      <c r="C74" s="5" t="inlineStr">
        <is>
          <t>WARNING</t>
        </is>
      </c>
      <c r="D74" s="5" t="inlineStr">
        <is>
          <t>Warning</t>
        </is>
      </c>
      <c r="E74" s="5" t="inlineStr">
        <is>
          <t>No existe tarifa BonCalidad para socio=1607 campaña=2026 empresa=1 cultivo=CITRICOS.</t>
        </is>
      </c>
      <c r="F74" s="6" t="n">
        <v>46231.74403596089</v>
      </c>
      <c r="G74" s="5" t="inlineStr">
        <is>
          <t>WARNING</t>
        </is>
      </c>
    </row>
    <row r="75">
      <c r="A75" s="5" t="n">
        <v>2200</v>
      </c>
      <c r="B75" s="5" t="inlineStr">
        <is>
          <t>NAVEL TEMPRANA sem 4 y +</t>
        </is>
      </c>
      <c r="C75" s="5" t="inlineStr">
        <is>
          <t>WARNING</t>
        </is>
      </c>
      <c r="D75" s="5" t="inlineStr">
        <is>
          <t>Warning</t>
        </is>
      </c>
      <c r="E75" s="5" t="inlineStr">
        <is>
          <t>No existe tarifa BonCalidad para socio=1608 campaña=2026 empresa=1 cultivo=CITRICOS.</t>
        </is>
      </c>
      <c r="F75" s="6" t="n">
        <v>46231.74403596089</v>
      </c>
      <c r="G75" s="5" t="inlineStr">
        <is>
          <t>WARNING</t>
        </is>
      </c>
    </row>
    <row r="76">
      <c r="A76" s="5" t="n">
        <v>2200</v>
      </c>
      <c r="B76" s="5" t="inlineStr">
        <is>
          <t>NAVEL TEMPRANA sem 4 y +</t>
        </is>
      </c>
      <c r="C76" s="5" t="inlineStr">
        <is>
          <t>WARNING</t>
        </is>
      </c>
      <c r="D76" s="5" t="inlineStr">
        <is>
          <t>Warning</t>
        </is>
      </c>
      <c r="E76" s="5" t="inlineStr">
        <is>
          <t>No existe tarifa BonCalidad para socio=1610 campaña=2026 empresa=1 cultivo=CITRICOS.</t>
        </is>
      </c>
      <c r="F76" s="6" t="n">
        <v>46231.74403596089</v>
      </c>
      <c r="G76" s="5" t="inlineStr">
        <is>
          <t>WARNING</t>
        </is>
      </c>
    </row>
    <row r="77">
      <c r="A77" s="5" t="n">
        <v>2200</v>
      </c>
      <c r="B77" s="5" t="inlineStr">
        <is>
          <t>NAVEL TEMPRANA sem 4 y +</t>
        </is>
      </c>
      <c r="C77" s="5" t="inlineStr">
        <is>
          <t>WARNING</t>
        </is>
      </c>
      <c r="D77" s="5" t="inlineStr">
        <is>
          <t>Warning</t>
        </is>
      </c>
      <c r="E77" s="5" t="inlineStr">
        <is>
          <t>No existe tarifa BonCalidad para socio=1613 campaña=2026 empresa=1 cultivo=CITRICOS.</t>
        </is>
      </c>
      <c r="F77" s="6" t="n">
        <v>46231.74403596089</v>
      </c>
      <c r="G77" s="5" t="inlineStr">
        <is>
          <t>WARNING</t>
        </is>
      </c>
    </row>
    <row r="78">
      <c r="A78" s="5" t="n">
        <v>2200</v>
      </c>
      <c r="B78" s="5" t="inlineStr">
        <is>
          <t>NAVEL TEMPRANA sem 4 y +</t>
        </is>
      </c>
      <c r="C78" s="5" t="inlineStr">
        <is>
          <t>WARNING</t>
        </is>
      </c>
      <c r="D78" s="5" t="inlineStr">
        <is>
          <t>Warning</t>
        </is>
      </c>
      <c r="E78" s="5" t="inlineStr">
        <is>
          <t>No existe tarifa BonCalidad para socio=1614 campaña=2026 empresa=1 cultivo=CITRICOS.</t>
        </is>
      </c>
      <c r="F78" s="6" t="n">
        <v>46231.74403596089</v>
      </c>
      <c r="G78" s="5" t="inlineStr">
        <is>
          <t>WARNING</t>
        </is>
      </c>
    </row>
    <row r="79">
      <c r="A79" s="5" t="n">
        <v>2200</v>
      </c>
      <c r="B79" s="5" t="inlineStr">
        <is>
          <t>NAVEL TEMPRANA sem 4 y +</t>
        </is>
      </c>
      <c r="C79" s="5" t="inlineStr">
        <is>
          <t>WARNING</t>
        </is>
      </c>
      <c r="D79" s="5" t="inlineStr">
        <is>
          <t>Warning</t>
        </is>
      </c>
      <c r="E79" s="5" t="inlineStr">
        <is>
          <t>No existe tarifa BonCalidad para socio=1617 campaña=2026 empresa=1 cultivo=CITRICOS.</t>
        </is>
      </c>
      <c r="F79" s="6" t="n">
        <v>46231.74403596089</v>
      </c>
      <c r="G79" s="5" t="inlineStr">
        <is>
          <t>WARNING</t>
        </is>
      </c>
    </row>
    <row r="80">
      <c r="A80" s="5" t="n">
        <v>2200</v>
      </c>
      <c r="B80" s="5" t="inlineStr">
        <is>
          <t>NAVEL TEMPRANA sem 4 y +</t>
        </is>
      </c>
      <c r="C80" s="5" t="inlineStr">
        <is>
          <t>WARNING</t>
        </is>
      </c>
      <c r="D80" s="5" t="inlineStr">
        <is>
          <t>Warning</t>
        </is>
      </c>
      <c r="E80" s="5" t="inlineStr">
        <is>
          <t>No existe tarifa BonCalidad para socio=1623 campaña=2026 empresa=1 cultivo=CITRICOS.</t>
        </is>
      </c>
      <c r="F80" s="6" t="n">
        <v>46231.74403596089</v>
      </c>
      <c r="G80" s="5" t="inlineStr">
        <is>
          <t>WARNING</t>
        </is>
      </c>
    </row>
    <row r="81">
      <c r="A81" s="5" t="n">
        <v>2202</v>
      </c>
      <c r="B81" s="5" t="inlineStr">
        <is>
          <t>NAVEL TEMPRANA sem ultim</t>
        </is>
      </c>
      <c r="C81" s="5" t="inlineStr">
        <is>
          <t>WARNING</t>
        </is>
      </c>
      <c r="D81" s="5" t="inlineStr">
        <is>
          <t>Warning</t>
        </is>
      </c>
      <c r="E81" s="5" t="inlineStr">
        <is>
          <t>3 entregas ya figuran como liquidadas.</t>
        </is>
      </c>
      <c r="F81" s="6" t="n">
        <v>46231.74403596089</v>
      </c>
      <c r="G81" s="5" t="inlineStr">
        <is>
          <t>WARNING</t>
        </is>
      </c>
    </row>
    <row r="82">
      <c r="A82" s="5" t="n">
        <v>2202</v>
      </c>
      <c r="B82" s="5" t="inlineStr">
        <is>
          <t>NAVEL TEMPRANA sem ultim</t>
        </is>
      </c>
      <c r="C82" s="5" t="inlineStr">
        <is>
          <t>WARNING</t>
        </is>
      </c>
      <c r="D82" s="5" t="inlineStr">
        <is>
          <t>Warning</t>
        </is>
      </c>
      <c r="E82" s="5" t="inlineStr">
        <is>
          <t>No existe tarifa BonCalidad para socio=1429 campaña=2026 empresa=1 cultivo=CITRICOS.</t>
        </is>
      </c>
      <c r="F82" s="6" t="n">
        <v>46231.74403596089</v>
      </c>
      <c r="G82" s="5" t="inlineStr">
        <is>
          <t>WARNING</t>
        </is>
      </c>
    </row>
    <row r="83">
      <c r="A83" s="5" t="n">
        <v>2202</v>
      </c>
      <c r="B83" s="5" t="inlineStr">
        <is>
          <t>NAVEL TEMPRANA sem ultim</t>
        </is>
      </c>
      <c r="C83" s="5" t="inlineStr">
        <is>
          <t>WARNING</t>
        </is>
      </c>
      <c r="D83" s="5" t="inlineStr">
        <is>
          <t>Warning</t>
        </is>
      </c>
      <c r="E83" s="5" t="inlineStr">
        <is>
          <t>No existe fuente acumulada disponible; saldo informativo calculado con cuota ya aplicada = 0.</t>
        </is>
      </c>
      <c r="F83" s="6" t="n">
        <v>46231.74403596089</v>
      </c>
      <c r="G83" s="5" t="inlineStr">
        <is>
          <t>WARNING</t>
        </is>
      </c>
    </row>
    <row r="84">
      <c r="A84" s="5" t="n">
        <v>2203</v>
      </c>
      <c r="B84" s="5" t="inlineStr">
        <is>
          <t>BLANCA TEMPRANA sem2</t>
        </is>
      </c>
      <c r="C84" s="5" t="inlineStr">
        <is>
          <t>WARNING</t>
        </is>
      </c>
      <c r="D84" s="5" t="inlineStr">
        <is>
          <t>Warning</t>
        </is>
      </c>
      <c r="E84" s="5" t="inlineStr">
        <is>
          <t>32 entregas ya figuran como liquidadas.</t>
        </is>
      </c>
      <c r="F84" s="6" t="n">
        <v>46231.74403596089</v>
      </c>
      <c r="G84" s="5" t="inlineStr">
        <is>
          <t>WARNING</t>
        </is>
      </c>
    </row>
    <row r="85">
      <c r="A85" s="5" t="n">
        <v>2203</v>
      </c>
      <c r="B85" s="5" t="inlineStr">
        <is>
          <t>BLANCA TEMPRANA sem2</t>
        </is>
      </c>
      <c r="C85" s="5" t="inlineStr">
        <is>
          <t>WARNING</t>
        </is>
      </c>
      <c r="D85" s="5" t="inlineStr">
        <is>
          <t>Warning</t>
        </is>
      </c>
      <c r="E85" s="5" t="inlineStr">
        <is>
          <t>No existe tarifa BonCalidad para socio=1177 campaña=2026 empresa=1 cultivo=CITRICOS.</t>
        </is>
      </c>
      <c r="F85" s="6" t="n">
        <v>46231.74403596089</v>
      </c>
      <c r="G85" s="5" t="inlineStr">
        <is>
          <t>WARNING</t>
        </is>
      </c>
    </row>
    <row r="86">
      <c r="A86" s="5" t="n">
        <v>2203</v>
      </c>
      <c r="B86" s="5" t="inlineStr">
        <is>
          <t>BLANCA TEMPRANA sem2</t>
        </is>
      </c>
      <c r="C86" s="5" t="inlineStr">
        <is>
          <t>WARNING</t>
        </is>
      </c>
      <c r="D86" s="5" t="inlineStr">
        <is>
          <t>Warning</t>
        </is>
      </c>
      <c r="E86" s="5" t="inlineStr">
        <is>
          <t>No existe fuente acumulada disponible; saldo informativo calculado con cuota ya aplicada = 0.</t>
        </is>
      </c>
      <c r="F86" s="6" t="n">
        <v>46231.74403596089</v>
      </c>
      <c r="G86" s="5" t="inlineStr">
        <is>
          <t>WARNING</t>
        </is>
      </c>
    </row>
    <row r="87">
      <c r="A87" s="5" t="n">
        <v>2203</v>
      </c>
      <c r="B87" s="5" t="inlineStr">
        <is>
          <t>BLANCA TEMPRANA sem2</t>
        </is>
      </c>
      <c r="C87" s="5" t="inlineStr">
        <is>
          <t>WARNING</t>
        </is>
      </c>
      <c r="D87" s="5" t="inlineStr">
        <is>
          <t>Warning</t>
        </is>
      </c>
      <c r="E87" s="5" t="inlineStr">
        <is>
          <t>No existe tarifa BonCalidad para socio=1384 campaña=2026 empresa=1 cultivo=CITRICOS.</t>
        </is>
      </c>
      <c r="F87" s="6" t="n">
        <v>46231.74403596089</v>
      </c>
      <c r="G87" s="5" t="inlineStr">
        <is>
          <t>WARNING</t>
        </is>
      </c>
    </row>
    <row r="88">
      <c r="A88" s="5" t="n">
        <v>2203</v>
      </c>
      <c r="B88" s="5" t="inlineStr">
        <is>
          <t>BLANCA TEMPRANA sem2</t>
        </is>
      </c>
      <c r="C88" s="5" t="inlineStr">
        <is>
          <t>WARNING</t>
        </is>
      </c>
      <c r="D88" s="5" t="inlineStr">
        <is>
          <t>Warning</t>
        </is>
      </c>
      <c r="E88" s="5" t="inlineStr">
        <is>
          <t>No existe tarifa BonCalidad para socio=1585 campaña=2026 empresa=1 cultivo=CITRICOS.</t>
        </is>
      </c>
      <c r="F88" s="6" t="n">
        <v>46231.74403596089</v>
      </c>
      <c r="G88" s="5" t="inlineStr">
        <is>
          <t>WARNING</t>
        </is>
      </c>
    </row>
    <row r="89">
      <c r="A89" s="5" t="n">
        <v>2203</v>
      </c>
      <c r="B89" s="5" t="inlineStr">
        <is>
          <t>BLANCA TEMPRANA sem2</t>
        </is>
      </c>
      <c r="C89" s="5" t="inlineStr">
        <is>
          <t>WARNING</t>
        </is>
      </c>
      <c r="D89" s="5" t="inlineStr">
        <is>
          <t>Warning</t>
        </is>
      </c>
      <c r="E89" s="5" t="inlineStr">
        <is>
          <t>No existe tarifa BonCalidad para socio=1614 campaña=2026 empresa=1 cultivo=CITRICOS.</t>
        </is>
      </c>
      <c r="F89" s="6" t="n">
        <v>46231.74403596089</v>
      </c>
      <c r="G89" s="5" t="inlineStr">
        <is>
          <t>WARNING</t>
        </is>
      </c>
    </row>
    <row r="90">
      <c r="A90" s="5" t="n">
        <v>2204</v>
      </c>
      <c r="B90" s="5" t="inlineStr">
        <is>
          <t>NAVEL TARDIA</t>
        </is>
      </c>
      <c r="C90" s="5" t="inlineStr">
        <is>
          <t>WARNING</t>
        </is>
      </c>
      <c r="D90" s="5" t="inlineStr">
        <is>
          <t>Warning</t>
        </is>
      </c>
      <c r="E90" s="5" t="inlineStr">
        <is>
          <t>No existe tarifa BonCalidad para socio=798 campaña=2026 empresa=1 cultivo=CITRICOS.</t>
        </is>
      </c>
      <c r="F90" s="6" t="n">
        <v>46231.74403596089</v>
      </c>
      <c r="G90" s="5" t="inlineStr">
        <is>
          <t>WARNING</t>
        </is>
      </c>
    </row>
    <row r="91">
      <c r="A91" s="5" t="n">
        <v>2204</v>
      </c>
      <c r="B91" s="5" t="inlineStr">
        <is>
          <t>NAVEL TARDIA</t>
        </is>
      </c>
      <c r="C91" s="5" t="inlineStr">
        <is>
          <t>WARNING</t>
        </is>
      </c>
      <c r="D91" s="5" t="inlineStr">
        <is>
          <t>Warning</t>
        </is>
      </c>
      <c r="E91" s="5" t="inlineStr">
        <is>
          <t>No existe fuente acumulada disponible; saldo informativo calculado con cuota ya aplicada = 0.</t>
        </is>
      </c>
      <c r="F91" s="6" t="n">
        <v>46231.74403596089</v>
      </c>
      <c r="G91" s="5" t="inlineStr">
        <is>
          <t>WARNING</t>
        </is>
      </c>
    </row>
    <row r="92">
      <c r="A92" s="5" t="n">
        <v>2204</v>
      </c>
      <c r="B92" s="5" t="inlineStr">
        <is>
          <t>NAVEL TARDIA</t>
        </is>
      </c>
      <c r="C92" s="5" t="inlineStr">
        <is>
          <t>WARNING</t>
        </is>
      </c>
      <c r="D92" s="5" t="inlineStr">
        <is>
          <t>Warning</t>
        </is>
      </c>
      <c r="E92" s="5" t="inlineStr">
        <is>
          <t>No existe tarifa BonCalidad para socio=818 campaña=2026 empresa=1 cultivo=CITRICOS.</t>
        </is>
      </c>
      <c r="F92" s="6" t="n">
        <v>46231.74403596089</v>
      </c>
      <c r="G92" s="5" t="inlineStr">
        <is>
          <t>WARNING</t>
        </is>
      </c>
    </row>
    <row r="93">
      <c r="A93" s="5" t="n">
        <v>2204</v>
      </c>
      <c r="B93" s="5" t="inlineStr">
        <is>
          <t>NAVEL TARDIA</t>
        </is>
      </c>
      <c r="C93" s="5" t="inlineStr">
        <is>
          <t>WARNING</t>
        </is>
      </c>
      <c r="D93" s="5" t="inlineStr">
        <is>
          <t>Warning</t>
        </is>
      </c>
      <c r="E93" s="5" t="inlineStr">
        <is>
          <t>No existe tarifa BonCalidad para socio=904 campaña=2026 empresa=1 cultivo=CITRICOS.</t>
        </is>
      </c>
      <c r="F93" s="6" t="n">
        <v>46231.74403596089</v>
      </c>
      <c r="G93" s="5" t="inlineStr">
        <is>
          <t>WARNING</t>
        </is>
      </c>
    </row>
    <row r="94">
      <c r="A94" s="5" t="n">
        <v>2204</v>
      </c>
      <c r="B94" s="5" t="inlineStr">
        <is>
          <t>NAVEL TARDIA</t>
        </is>
      </c>
      <c r="C94" s="5" t="inlineStr">
        <is>
          <t>WARNING</t>
        </is>
      </c>
      <c r="D94" s="5" t="inlineStr">
        <is>
          <t>Warning</t>
        </is>
      </c>
      <c r="E94" s="5" t="inlineStr">
        <is>
          <t>No existe tarifa BonCalidad para socio=937 campaña=2026 empresa=1 cultivo=CITRICOS.</t>
        </is>
      </c>
      <c r="F94" s="6" t="n">
        <v>46231.74403596089</v>
      </c>
      <c r="G94" s="5" t="inlineStr">
        <is>
          <t>WARNING</t>
        </is>
      </c>
    </row>
    <row r="95">
      <c r="A95" s="5" t="n">
        <v>2204</v>
      </c>
      <c r="B95" s="5" t="inlineStr">
        <is>
          <t>NAVEL TARDIA</t>
        </is>
      </c>
      <c r="C95" s="5" t="inlineStr">
        <is>
          <t>WARNING</t>
        </is>
      </c>
      <c r="D95" s="5" t="inlineStr">
        <is>
          <t>Warning</t>
        </is>
      </c>
      <c r="E95" s="5" t="inlineStr">
        <is>
          <t>No existe tarifa BonCalidad para socio=994 campaña=2026 empresa=1 cultivo=CITRICOS.</t>
        </is>
      </c>
      <c r="F95" s="6" t="n">
        <v>46231.74403596089</v>
      </c>
      <c r="G95" s="5" t="inlineStr">
        <is>
          <t>WARNING</t>
        </is>
      </c>
    </row>
    <row r="96">
      <c r="A96" s="5" t="n">
        <v>2204</v>
      </c>
      <c r="B96" s="5" t="inlineStr">
        <is>
          <t>NAVEL TARDIA</t>
        </is>
      </c>
      <c r="C96" s="5" t="inlineStr">
        <is>
          <t>WARNING</t>
        </is>
      </c>
      <c r="D96" s="5" t="inlineStr">
        <is>
          <t>Warning</t>
        </is>
      </c>
      <c r="E96" s="5" t="inlineStr">
        <is>
          <t>No existe tarifa BonCalidad para socio=1133 campaña=2026 empresa=1 cultivo=CITRICOS.</t>
        </is>
      </c>
      <c r="F96" s="6" t="n">
        <v>46231.74403596089</v>
      </c>
      <c r="G96" s="5" t="inlineStr">
        <is>
          <t>WARNING</t>
        </is>
      </c>
    </row>
    <row r="97">
      <c r="A97" s="5" t="n">
        <v>2204</v>
      </c>
      <c r="B97" s="5" t="inlineStr">
        <is>
          <t>NAVEL TARDIA</t>
        </is>
      </c>
      <c r="C97" s="5" t="inlineStr">
        <is>
          <t>WARNING</t>
        </is>
      </c>
      <c r="D97" s="5" t="inlineStr">
        <is>
          <t>Warning</t>
        </is>
      </c>
      <c r="E97" s="5" t="inlineStr">
        <is>
          <t>No existe tarifa BonCalidad para socio=1205 campaña=2026 empresa=1 cultivo=CITRICOS.</t>
        </is>
      </c>
      <c r="F97" s="6" t="n">
        <v>46231.74403596089</v>
      </c>
      <c r="G97" s="5" t="inlineStr">
        <is>
          <t>WARNING</t>
        </is>
      </c>
    </row>
    <row r="98">
      <c r="A98" s="5" t="n">
        <v>2204</v>
      </c>
      <c r="B98" s="5" t="inlineStr">
        <is>
          <t>NAVEL TARDIA</t>
        </is>
      </c>
      <c r="C98" s="5" t="inlineStr">
        <is>
          <t>WARNING</t>
        </is>
      </c>
      <c r="D98" s="5" t="inlineStr">
        <is>
          <t>Warning</t>
        </is>
      </c>
      <c r="E98" s="5" t="inlineStr">
        <is>
          <t>No existe tarifa BonCalidad para socio=1252 campaña=2026 empresa=1 cultivo=CITRICOS.</t>
        </is>
      </c>
      <c r="F98" s="6" t="n">
        <v>46231.74403596089</v>
      </c>
      <c r="G98" s="5" t="inlineStr">
        <is>
          <t>WARNING</t>
        </is>
      </c>
    </row>
    <row r="99">
      <c r="A99" s="5" t="n">
        <v>2204</v>
      </c>
      <c r="B99" s="5" t="inlineStr">
        <is>
          <t>NAVEL TARDIA</t>
        </is>
      </c>
      <c r="C99" s="5" t="inlineStr">
        <is>
          <t>WARNING</t>
        </is>
      </c>
      <c r="D99" s="5" t="inlineStr">
        <is>
          <t>Warning</t>
        </is>
      </c>
      <c r="E99" s="5" t="inlineStr">
        <is>
          <t>No existe tarifa BonCalidad para socio=1255 campaña=2026 empresa=1 cultivo=CITRICOS.</t>
        </is>
      </c>
      <c r="F99" s="6" t="n">
        <v>46231.74403596089</v>
      </c>
      <c r="G99" s="5" t="inlineStr">
        <is>
          <t>WARNING</t>
        </is>
      </c>
    </row>
    <row r="100">
      <c r="A100" s="5" t="n">
        <v>2204</v>
      </c>
      <c r="B100" s="5" t="inlineStr">
        <is>
          <t>NAVEL TARDIA</t>
        </is>
      </c>
      <c r="C100" s="5" t="inlineStr">
        <is>
          <t>WARNING</t>
        </is>
      </c>
      <c r="D100" s="5" t="inlineStr">
        <is>
          <t>Warning</t>
        </is>
      </c>
      <c r="E100" s="5" t="inlineStr">
        <is>
          <t>No existe tarifa BonCalidad para socio=1272 campaña=2026 empresa=1 cultivo=CITRICOS.</t>
        </is>
      </c>
      <c r="F100" s="6" t="n">
        <v>46231.74403596089</v>
      </c>
      <c r="G100" s="5" t="inlineStr">
        <is>
          <t>WARNING</t>
        </is>
      </c>
    </row>
    <row r="101">
      <c r="A101" s="5" t="n">
        <v>2204</v>
      </c>
      <c r="B101" s="5" t="inlineStr">
        <is>
          <t>NAVEL TARDIA</t>
        </is>
      </c>
      <c r="C101" s="5" t="inlineStr">
        <is>
          <t>WARNING</t>
        </is>
      </c>
      <c r="D101" s="5" t="inlineStr">
        <is>
          <t>Warning</t>
        </is>
      </c>
      <c r="E101" s="5" t="inlineStr">
        <is>
          <t>No existe tarifa BonCalidad para socio=1389 campaña=2026 empresa=1 cultivo=CITRICOS.</t>
        </is>
      </c>
      <c r="F101" s="6" t="n">
        <v>46231.74403596089</v>
      </c>
      <c r="G101" s="5" t="inlineStr">
        <is>
          <t>WARNING</t>
        </is>
      </c>
    </row>
    <row r="102">
      <c r="A102" s="5" t="n">
        <v>2204</v>
      </c>
      <c r="B102" s="5" t="inlineStr">
        <is>
          <t>NAVEL TARDIA</t>
        </is>
      </c>
      <c r="C102" s="5" t="inlineStr">
        <is>
          <t>WARNING</t>
        </is>
      </c>
      <c r="D102" s="5" t="inlineStr">
        <is>
          <t>Warning</t>
        </is>
      </c>
      <c r="E102" s="5" t="inlineStr">
        <is>
          <t>No existe tarifa BonCalidad para socio=1415 campaña=2026 empresa=1 cultivo=CITRICOS.</t>
        </is>
      </c>
      <c r="F102" s="6" t="n">
        <v>46231.74403596089</v>
      </c>
      <c r="G102" s="5" t="inlineStr">
        <is>
          <t>WARNING</t>
        </is>
      </c>
    </row>
    <row r="103">
      <c r="A103" s="5" t="n">
        <v>2204</v>
      </c>
      <c r="B103" s="5" t="inlineStr">
        <is>
          <t>NAVEL TARDIA</t>
        </is>
      </c>
      <c r="C103" s="5" t="inlineStr">
        <is>
          <t>WARNING</t>
        </is>
      </c>
      <c r="D103" s="5" t="inlineStr">
        <is>
          <t>Warning</t>
        </is>
      </c>
      <c r="E103" s="5" t="inlineStr">
        <is>
          <t>No existe tarifa BonCalidad para socio=1445 campaña=2026 empresa=1 cultivo=CITRICOS.</t>
        </is>
      </c>
      <c r="F103" s="6" t="n">
        <v>46231.74403596089</v>
      </c>
      <c r="G103" s="5" t="inlineStr">
        <is>
          <t>WARNING</t>
        </is>
      </c>
    </row>
    <row r="104">
      <c r="A104" s="5" t="n">
        <v>2204</v>
      </c>
      <c r="B104" s="5" t="inlineStr">
        <is>
          <t>NAVEL TARDIA</t>
        </is>
      </c>
      <c r="C104" s="5" t="inlineStr">
        <is>
          <t>WARNING</t>
        </is>
      </c>
      <c r="D104" s="5" t="inlineStr">
        <is>
          <t>Warning</t>
        </is>
      </c>
      <c r="E104" s="5" t="inlineStr">
        <is>
          <t>No existe tarifa BonCalidad para socio=1466 campaña=2026 empresa=1 cultivo=CITRICOS.</t>
        </is>
      </c>
      <c r="F104" s="6" t="n">
        <v>46231.74403596089</v>
      </c>
      <c r="G104" s="5" t="inlineStr">
        <is>
          <t>WARNING</t>
        </is>
      </c>
    </row>
    <row r="105">
      <c r="A105" s="5" t="n">
        <v>2204</v>
      </c>
      <c r="B105" s="5" t="inlineStr">
        <is>
          <t>NAVEL TARDIA</t>
        </is>
      </c>
      <c r="C105" s="5" t="inlineStr">
        <is>
          <t>WARNING</t>
        </is>
      </c>
      <c r="D105" s="5" t="inlineStr">
        <is>
          <t>Warning</t>
        </is>
      </c>
      <c r="E105" s="5" t="inlineStr">
        <is>
          <t>No existe tarifa BonCalidad para socio=1491 campaña=2026 empresa=1 cultivo=CITRICOS.</t>
        </is>
      </c>
      <c r="F105" s="6" t="n">
        <v>46231.74403596089</v>
      </c>
      <c r="G105" s="5" t="inlineStr">
        <is>
          <t>WARNING</t>
        </is>
      </c>
    </row>
    <row r="106">
      <c r="A106" s="5" t="n">
        <v>2204</v>
      </c>
      <c r="B106" s="5" t="inlineStr">
        <is>
          <t>NAVEL TARDIA</t>
        </is>
      </c>
      <c r="C106" s="5" t="inlineStr">
        <is>
          <t>WARNING</t>
        </is>
      </c>
      <c r="D106" s="5" t="inlineStr">
        <is>
          <t>Warning</t>
        </is>
      </c>
      <c r="E106" s="5" t="inlineStr">
        <is>
          <t>No existe tarifa BonCalidad para socio=1500 campaña=2026 empresa=1 cultivo=CITRICOS.</t>
        </is>
      </c>
      <c r="F106" s="6" t="n">
        <v>46231.74403596089</v>
      </c>
      <c r="G106" s="5" t="inlineStr">
        <is>
          <t>WARNING</t>
        </is>
      </c>
    </row>
    <row r="107">
      <c r="A107" s="5" t="n">
        <v>2204</v>
      </c>
      <c r="B107" s="5" t="inlineStr">
        <is>
          <t>NAVEL TARDIA</t>
        </is>
      </c>
      <c r="C107" s="5" t="inlineStr">
        <is>
          <t>WARNING</t>
        </is>
      </c>
      <c r="D107" s="5" t="inlineStr">
        <is>
          <t>Warning</t>
        </is>
      </c>
      <c r="E107" s="5" t="inlineStr">
        <is>
          <t>No existe tarifa BonCalidad para socio=1523 campaña=2026 empresa=1 cultivo=CITRICOS.</t>
        </is>
      </c>
      <c r="F107" s="6" t="n">
        <v>46231.74403596089</v>
      </c>
      <c r="G107" s="5" t="inlineStr">
        <is>
          <t>WARNING</t>
        </is>
      </c>
    </row>
    <row r="108">
      <c r="A108" s="5" t="n">
        <v>2204</v>
      </c>
      <c r="B108" s="5" t="inlineStr">
        <is>
          <t>NAVEL TARDIA</t>
        </is>
      </c>
      <c r="C108" s="5" t="inlineStr">
        <is>
          <t>WARNING</t>
        </is>
      </c>
      <c r="D108" s="5" t="inlineStr">
        <is>
          <t>Warning</t>
        </is>
      </c>
      <c r="E108" s="5" t="inlineStr">
        <is>
          <t>El socio 1523 figura certificado GlobalGAP en CITRICOS, KAKIS, MANDARINA pero no en CITRICOS. Se ha aplicado la certificación global del socio. Revise DEEPP.</t>
        </is>
      </c>
      <c r="F108" s="6" t="n">
        <v>46231.74403596089</v>
      </c>
      <c r="G108" s="5" t="inlineStr">
        <is>
          <t>WARNING</t>
        </is>
      </c>
    </row>
    <row r="109">
      <c r="A109" s="5" t="n">
        <v>2204</v>
      </c>
      <c r="B109" s="5" t="inlineStr">
        <is>
          <t>NAVEL TARDIA</t>
        </is>
      </c>
      <c r="C109" s="5" t="inlineStr">
        <is>
          <t>WARNING</t>
        </is>
      </c>
      <c r="D109" s="5" t="inlineStr">
        <is>
          <t>Warning</t>
        </is>
      </c>
      <c r="E109" s="5" t="inlineStr">
        <is>
          <t>No existe tarifa BonCalidad para socio=1528 campaña=2026 empresa=1 cultivo=CITRICOS.</t>
        </is>
      </c>
      <c r="F109" s="6" t="n">
        <v>46231.74403596089</v>
      </c>
      <c r="G109" s="5" t="inlineStr">
        <is>
          <t>WARNING</t>
        </is>
      </c>
    </row>
    <row r="110">
      <c r="A110" s="5" t="n">
        <v>2204</v>
      </c>
      <c r="B110" s="5" t="inlineStr">
        <is>
          <t>NAVEL TARDIA</t>
        </is>
      </c>
      <c r="C110" s="5" t="inlineStr">
        <is>
          <t>WARNING</t>
        </is>
      </c>
      <c r="D110" s="5" t="inlineStr">
        <is>
          <t>Warning</t>
        </is>
      </c>
      <c r="E110" s="5" t="inlineStr">
        <is>
          <t>No existe tarifa BonCalidad para socio=1529 campaña=2026 empresa=1 cultivo=CITRICOS.</t>
        </is>
      </c>
      <c r="F110" s="6" t="n">
        <v>46231.74403596089</v>
      </c>
      <c r="G110" s="5" t="inlineStr">
        <is>
          <t>WARNING</t>
        </is>
      </c>
    </row>
    <row r="111">
      <c r="A111" s="5" t="n">
        <v>2204</v>
      </c>
      <c r="B111" s="5" t="inlineStr">
        <is>
          <t>NAVEL TARDIA</t>
        </is>
      </c>
      <c r="C111" s="5" t="inlineStr">
        <is>
          <t>WARNING</t>
        </is>
      </c>
      <c r="D111" s="5" t="inlineStr">
        <is>
          <t>Warning</t>
        </is>
      </c>
      <c r="E111" s="5" t="inlineStr">
        <is>
          <t>No existe tarifa BonCalidad para socio=1534 campaña=2026 empresa=1 cultivo=CITRICOS.</t>
        </is>
      </c>
      <c r="F111" s="6" t="n">
        <v>46231.74403596089</v>
      </c>
      <c r="G111" s="5" t="inlineStr">
        <is>
          <t>WARNING</t>
        </is>
      </c>
    </row>
    <row r="112">
      <c r="A112" s="5" t="n">
        <v>2204</v>
      </c>
      <c r="B112" s="5" t="inlineStr">
        <is>
          <t>NAVEL TARDIA</t>
        </is>
      </c>
      <c r="C112" s="5" t="inlineStr">
        <is>
          <t>WARNING</t>
        </is>
      </c>
      <c r="D112" s="5" t="inlineStr">
        <is>
          <t>Warning</t>
        </is>
      </c>
      <c r="E112" s="5" t="inlineStr">
        <is>
          <t>No existe tarifa BonCalidad para socio=1550 campaña=2026 empresa=1 cultivo=CITRICOS.</t>
        </is>
      </c>
      <c r="F112" s="6" t="n">
        <v>46231.74403596089</v>
      </c>
      <c r="G112" s="5" t="inlineStr">
        <is>
          <t>WARNING</t>
        </is>
      </c>
    </row>
    <row r="113">
      <c r="A113" s="5" t="n">
        <v>2204</v>
      </c>
      <c r="B113" s="5" t="inlineStr">
        <is>
          <t>NAVEL TARDIA</t>
        </is>
      </c>
      <c r="C113" s="5" t="inlineStr">
        <is>
          <t>WARNING</t>
        </is>
      </c>
      <c r="D113" s="5" t="inlineStr">
        <is>
          <t>Warning</t>
        </is>
      </c>
      <c r="E113" s="5" t="inlineStr">
        <is>
          <t>El socio 1550 figura certificado GlobalGAP en CITRICOS, MANDARINA pero no en CITRICOS, MANDARINA. Se ha aplicado la certificación global del socio. Revise DEEPP.</t>
        </is>
      </c>
      <c r="F113" s="6" t="n">
        <v>46231.74403596089</v>
      </c>
      <c r="G113" s="5" t="inlineStr">
        <is>
          <t>WARNING</t>
        </is>
      </c>
    </row>
    <row r="114">
      <c r="A114" s="5" t="n">
        <v>2204</v>
      </c>
      <c r="B114" s="5" t="inlineStr">
        <is>
          <t>NAVEL TARDIA</t>
        </is>
      </c>
      <c r="C114" s="5" t="inlineStr">
        <is>
          <t>WARNING</t>
        </is>
      </c>
      <c r="D114" s="5" t="inlineStr">
        <is>
          <t>Warning</t>
        </is>
      </c>
      <c r="E114" s="5" t="inlineStr">
        <is>
          <t>No existe tarifa BonCalidad para socio=1583 campaña=2026 empresa=1 cultivo=CITRICOS.</t>
        </is>
      </c>
      <c r="F114" s="6" t="n">
        <v>46231.74403596089</v>
      </c>
      <c r="G114" s="5" t="inlineStr">
        <is>
          <t>WARNING</t>
        </is>
      </c>
    </row>
    <row r="115">
      <c r="A115" s="5" t="n">
        <v>2204</v>
      </c>
      <c r="B115" s="5" t="inlineStr">
        <is>
          <t>NAVEL TARDIA</t>
        </is>
      </c>
      <c r="C115" s="5" t="inlineStr">
        <is>
          <t>WARNING</t>
        </is>
      </c>
      <c r="D115" s="5" t="inlineStr">
        <is>
          <t>Warning</t>
        </is>
      </c>
      <c r="E115" s="5" t="inlineStr">
        <is>
          <t>No existe tarifa BonCalidad para socio=1591 campaña=2026 empresa=1 cultivo=CITRICOS.</t>
        </is>
      </c>
      <c r="F115" s="6" t="n">
        <v>46231.74403596089</v>
      </c>
      <c r="G115" s="5" t="inlineStr">
        <is>
          <t>WARNING</t>
        </is>
      </c>
    </row>
    <row r="116">
      <c r="A116" s="5" t="n">
        <v>2204</v>
      </c>
      <c r="B116" s="5" t="inlineStr">
        <is>
          <t>NAVEL TARDIA</t>
        </is>
      </c>
      <c r="C116" s="5" t="inlineStr">
        <is>
          <t>WARNING</t>
        </is>
      </c>
      <c r="D116" s="5" t="inlineStr">
        <is>
          <t>Warning</t>
        </is>
      </c>
      <c r="E116" s="5" t="inlineStr">
        <is>
          <t>No existe tarifa BonCalidad para socio=1597 campaña=2026 empresa=1 cultivo=CITRICOS.</t>
        </is>
      </c>
      <c r="F116" s="6" t="n">
        <v>46231.74403596089</v>
      </c>
      <c r="G116" s="5" t="inlineStr">
        <is>
          <t>WARNING</t>
        </is>
      </c>
    </row>
    <row r="117">
      <c r="A117" s="5" t="n">
        <v>2204</v>
      </c>
      <c r="B117" s="5" t="inlineStr">
        <is>
          <t>NAVEL TARDIA</t>
        </is>
      </c>
      <c r="C117" s="5" t="inlineStr">
        <is>
          <t>WARNING</t>
        </is>
      </c>
      <c r="D117" s="5" t="inlineStr">
        <is>
          <t>Warning</t>
        </is>
      </c>
      <c r="E117" s="5" t="inlineStr">
        <is>
          <t>No existe tarifa BonCalidad para socio=1610 campaña=2026 empresa=1 cultivo=CITRICOS.</t>
        </is>
      </c>
      <c r="F117" s="6" t="n">
        <v>46231.74403596089</v>
      </c>
      <c r="G117" s="5" t="inlineStr">
        <is>
          <t>WARNING</t>
        </is>
      </c>
    </row>
    <row r="118">
      <c r="A118" s="5" t="n">
        <v>2204</v>
      </c>
      <c r="B118" s="5" t="inlineStr">
        <is>
          <t>NAVEL TARDIA</t>
        </is>
      </c>
      <c r="C118" s="5" t="inlineStr">
        <is>
          <t>WARNING</t>
        </is>
      </c>
      <c r="D118" s="5" t="inlineStr">
        <is>
          <t>Warning</t>
        </is>
      </c>
      <c r="E118" s="5" t="inlineStr">
        <is>
          <t>Cuota Ha no aplicable: sin superficie sujeta a cuota.</t>
        </is>
      </c>
      <c r="F118" s="6" t="n">
        <v>46231.74403596089</v>
      </c>
      <c r="G118" s="5" t="inlineStr">
        <is>
          <t>WARNING</t>
        </is>
      </c>
    </row>
    <row r="119">
      <c r="A119" s="5" t="n">
        <v>2204</v>
      </c>
      <c r="B119" s="5" t="inlineStr">
        <is>
          <t>NAVEL TARDIA</t>
        </is>
      </c>
      <c r="C119" s="5" t="inlineStr">
        <is>
          <t>WARNING</t>
        </is>
      </c>
      <c r="D119" s="5" t="inlineStr">
        <is>
          <t>Warning</t>
        </is>
      </c>
      <c r="E119" s="5" t="inlineStr">
        <is>
          <t>No existe tarifa BonCalidad para socio=1614 campaña=2026 empresa=1 cultivo=CITRICOS.</t>
        </is>
      </c>
      <c r="F119" s="6" t="n">
        <v>46231.74403596089</v>
      </c>
      <c r="G119" s="5" t="inlineStr">
        <is>
          <t>WARNING</t>
        </is>
      </c>
    </row>
    <row r="120">
      <c r="A120" s="5" t="n">
        <v>2204</v>
      </c>
      <c r="B120" s="5" t="inlineStr">
        <is>
          <t>NAVEL TARDIA</t>
        </is>
      </c>
      <c r="C120" s="5" t="inlineStr">
        <is>
          <t>WARNING</t>
        </is>
      </c>
      <c r="D120" s="5" t="inlineStr">
        <is>
          <t>Warning</t>
        </is>
      </c>
      <c r="E120" s="5" t="inlineStr">
        <is>
          <t>No existe tarifa BonCalidad para socio=1627 campaña=2026 empresa=1 cultivo=CITRICOS.</t>
        </is>
      </c>
      <c r="F120" s="6" t="n">
        <v>46231.74403596089</v>
      </c>
      <c r="G120" s="5" t="inlineStr">
        <is>
          <t>WARNING</t>
        </is>
      </c>
    </row>
    <row r="121">
      <c r="A121" s="5" t="n">
        <v>2205</v>
      </c>
      <c r="B121" s="5" t="inlineStr">
        <is>
          <t>BLANCA TARDIA</t>
        </is>
      </c>
      <c r="C121" s="5" t="inlineStr">
        <is>
          <t>WARNING</t>
        </is>
      </c>
      <c r="D121" s="5" t="inlineStr">
        <is>
          <t>Warning</t>
        </is>
      </c>
      <c r="E121" s="5" t="inlineStr">
        <is>
          <t>No existe tarifa BonCalidad para socio=909 campaña=2026 empresa=1 cultivo=CITRICOS.</t>
        </is>
      </c>
      <c r="F121" s="6" t="n">
        <v>46231.74403596089</v>
      </c>
      <c r="G121" s="5" t="inlineStr">
        <is>
          <t>WARNING</t>
        </is>
      </c>
    </row>
    <row r="122">
      <c r="A122" s="5" t="n">
        <v>2205</v>
      </c>
      <c r="B122" s="5" t="inlineStr">
        <is>
          <t>BLANCA TARDIA</t>
        </is>
      </c>
      <c r="C122" s="5" t="inlineStr">
        <is>
          <t>WARNING</t>
        </is>
      </c>
      <c r="D122" s="5" t="inlineStr">
        <is>
          <t>Warning</t>
        </is>
      </c>
      <c r="E122" s="5" t="inlineStr">
        <is>
          <t>No existe fuente acumulada disponible; saldo informativo calculado con cuota ya aplicada = 0.</t>
        </is>
      </c>
      <c r="F122" s="6" t="n">
        <v>46231.74403596089</v>
      </c>
      <c r="G122" s="5" t="inlineStr">
        <is>
          <t>WARNING</t>
        </is>
      </c>
    </row>
    <row r="123">
      <c r="A123" s="5" t="n">
        <v>2205</v>
      </c>
      <c r="B123" s="5" t="inlineStr">
        <is>
          <t>BLANCA TARDIA</t>
        </is>
      </c>
      <c r="C123" s="5" t="inlineStr">
        <is>
          <t>WARNING</t>
        </is>
      </c>
      <c r="D123" s="5" t="inlineStr">
        <is>
          <t>Warning</t>
        </is>
      </c>
      <c r="E123" s="5" t="inlineStr">
        <is>
          <t>No existe tarifa BonCalidad para socio=1072 campaña=2026 empresa=1 cultivo=CITRICOS.</t>
        </is>
      </c>
      <c r="F123" s="6" t="n">
        <v>46231.74403596089</v>
      </c>
      <c r="G123" s="5" t="inlineStr">
        <is>
          <t>WARNING</t>
        </is>
      </c>
    </row>
    <row r="124">
      <c r="A124" s="5" t="n">
        <v>2205</v>
      </c>
      <c r="B124" s="5" t="inlineStr">
        <is>
          <t>BLANCA TARDIA</t>
        </is>
      </c>
      <c r="C124" s="5" t="inlineStr">
        <is>
          <t>WARNING</t>
        </is>
      </c>
      <c r="D124" s="5" t="inlineStr">
        <is>
          <t>Warning</t>
        </is>
      </c>
      <c r="E124" s="5" t="inlineStr">
        <is>
          <t>No existe tarifa BonCalidad para socio=1426 campaña=2026 empresa=1 cultivo=CITRICOS.</t>
        </is>
      </c>
      <c r="F124" s="6" t="n">
        <v>46231.74403596089</v>
      </c>
      <c r="G124" s="5" t="inlineStr">
        <is>
          <t>WARNING</t>
        </is>
      </c>
    </row>
    <row r="125">
      <c r="A125" s="5" t="n">
        <v>2205</v>
      </c>
      <c r="B125" s="5" t="inlineStr">
        <is>
          <t>BLANCA TARDIA</t>
        </is>
      </c>
      <c r="C125" s="5" t="inlineStr">
        <is>
          <t>WARNING</t>
        </is>
      </c>
      <c r="D125" s="5" t="inlineStr">
        <is>
          <t>Warning</t>
        </is>
      </c>
      <c r="E125" s="5" t="inlineStr">
        <is>
          <t>No existe tarifa BonCalidad para socio=1491 campaña=2026 empresa=1 cultivo=CITRICOS.</t>
        </is>
      </c>
      <c r="F125" s="6" t="n">
        <v>46231.74403596089</v>
      </c>
      <c r="G125" s="5" t="inlineStr">
        <is>
          <t>WARNING</t>
        </is>
      </c>
    </row>
    <row r="126">
      <c r="A126" s="5" t="n">
        <v>2205</v>
      </c>
      <c r="B126" s="5" t="inlineStr">
        <is>
          <t>BLANCA TARDIA</t>
        </is>
      </c>
      <c r="C126" s="5" t="inlineStr">
        <is>
          <t>WARNING</t>
        </is>
      </c>
      <c r="D126" s="5" t="inlineStr">
        <is>
          <t>Warning</t>
        </is>
      </c>
      <c r="E126" s="5" t="inlineStr">
        <is>
          <t>No existe tarifa BonCalidad para socio=1528 campaña=2026 empresa=1 cultivo=CITRICOS.</t>
        </is>
      </c>
      <c r="F126" s="6" t="n">
        <v>46231.74403596089</v>
      </c>
      <c r="G126" s="5" t="inlineStr">
        <is>
          <t>WARNING</t>
        </is>
      </c>
    </row>
    <row r="127">
      <c r="A127" s="5" t="n">
        <v>2205</v>
      </c>
      <c r="B127" s="5" t="inlineStr">
        <is>
          <t>BLANCA TARDIA</t>
        </is>
      </c>
      <c r="C127" s="5" t="inlineStr">
        <is>
          <t>WARNING</t>
        </is>
      </c>
      <c r="D127" s="5" t="inlineStr">
        <is>
          <t>Warning</t>
        </is>
      </c>
      <c r="E127" s="5" t="inlineStr">
        <is>
          <t>No existe tarifa BonCalidad para socio=1534 campaña=2026 empresa=1 cultivo=CITRICOS.</t>
        </is>
      </c>
      <c r="F127" s="6" t="n">
        <v>46231.74403596089</v>
      </c>
      <c r="G127" s="5" t="inlineStr">
        <is>
          <t>WARNING</t>
        </is>
      </c>
    </row>
    <row r="128">
      <c r="A128" s="5" t="n">
        <v>2205</v>
      </c>
      <c r="B128" s="5" t="inlineStr">
        <is>
          <t>BLANCA TARDIA</t>
        </is>
      </c>
      <c r="C128" s="5" t="inlineStr">
        <is>
          <t>WARNING</t>
        </is>
      </c>
      <c r="D128" s="5" t="inlineStr">
        <is>
          <t>Warning</t>
        </is>
      </c>
      <c r="E128" s="5" t="inlineStr">
        <is>
          <t>No existe tarifa BonCalidad para socio=1592 campaña=2026 empresa=1 cultivo=CITRICOS.</t>
        </is>
      </c>
      <c r="F128" s="6" t="n">
        <v>46231.74403596089</v>
      </c>
      <c r="G128" s="5" t="inlineStr">
        <is>
          <t>WARNING</t>
        </is>
      </c>
    </row>
    <row r="129">
      <c r="A129" s="5" t="n">
        <v>2205</v>
      </c>
      <c r="B129" s="5" t="inlineStr">
        <is>
          <t>BLANCA TARDIA</t>
        </is>
      </c>
      <c r="C129" s="5" t="inlineStr">
        <is>
          <t>WARNING</t>
        </is>
      </c>
      <c r="D129" s="5" t="inlineStr">
        <is>
          <t>Warning</t>
        </is>
      </c>
      <c r="E129" s="5" t="inlineStr">
        <is>
          <t>No existe tarifa BonCalidad para socio=1594 campaña=2026 empresa=1 cultivo=CITRICOS.</t>
        </is>
      </c>
      <c r="F129" s="6" t="n">
        <v>46231.74403596089</v>
      </c>
      <c r="G129" s="5" t="inlineStr">
        <is>
          <t>WARNING</t>
        </is>
      </c>
    </row>
    <row r="130">
      <c r="A130" s="5" t="n">
        <v>2205</v>
      </c>
      <c r="B130" s="5" t="inlineStr">
        <is>
          <t>BLANCA TARDIA</t>
        </is>
      </c>
      <c r="C130" s="5" t="inlineStr">
        <is>
          <t>WARNING</t>
        </is>
      </c>
      <c r="D130" s="5" t="inlineStr">
        <is>
          <t>Warning</t>
        </is>
      </c>
      <c r="E130" s="5" t="inlineStr">
        <is>
          <t>No existe tarifa BonCalidad para socio=1596 campaña=2026 empresa=1 cultivo=CITRICOS.</t>
        </is>
      </c>
      <c r="F130" s="6" t="n">
        <v>46231.74403596089</v>
      </c>
      <c r="G130" s="5" t="inlineStr">
        <is>
          <t>WARNING</t>
        </is>
      </c>
    </row>
    <row r="131">
      <c r="A131" s="5" t="n">
        <v>2205</v>
      </c>
      <c r="B131" s="5" t="inlineStr">
        <is>
          <t>BLANCA TARDIA</t>
        </is>
      </c>
      <c r="C131" s="5" t="inlineStr">
        <is>
          <t>WARNING</t>
        </is>
      </c>
      <c r="D131" s="5" t="inlineStr">
        <is>
          <t>Warning</t>
        </is>
      </c>
      <c r="E131" s="5" t="inlineStr">
        <is>
          <t>No existe tarifa BonCalidad para socio=1609 campaña=2026 empresa=1 cultivo=CITRICOS.</t>
        </is>
      </c>
      <c r="F131" s="6" t="n">
        <v>46231.74403596089</v>
      </c>
      <c r="G131" s="5" t="inlineStr">
        <is>
          <t>WARNING</t>
        </is>
      </c>
    </row>
    <row r="132">
      <c r="A132" s="5" t="n">
        <v>2205</v>
      </c>
      <c r="B132" s="5" t="inlineStr">
        <is>
          <t>BLANCA TARDIA</t>
        </is>
      </c>
      <c r="C132" s="5" t="inlineStr">
        <is>
          <t>WARNING</t>
        </is>
      </c>
      <c r="D132" s="5" t="inlineStr">
        <is>
          <t>Warning</t>
        </is>
      </c>
      <c r="E132" s="5" t="inlineStr">
        <is>
          <t>Socio=1609: no existe registro activo; se utiliza el único disponible.</t>
        </is>
      </c>
      <c r="F132" s="6" t="n">
        <v>46231.74403596089</v>
      </c>
      <c r="G132" s="5" t="inlineStr">
        <is>
          <t>WARNING</t>
        </is>
      </c>
    </row>
    <row r="133">
      <c r="A133" s="5" t="n">
        <v>2205</v>
      </c>
      <c r="B133" s="5" t="inlineStr">
        <is>
          <t>BLANCA TARDIA</t>
        </is>
      </c>
      <c r="C133" s="5" t="inlineStr">
        <is>
          <t>WARNING</t>
        </is>
      </c>
      <c r="D133" s="5" t="inlineStr">
        <is>
          <t>Warning</t>
        </is>
      </c>
      <c r="E133" s="5" t="inlineStr">
        <is>
          <t>No existe tarifa BonCalidad para socio=1614 campaña=2026 empresa=1 cultivo=CITRICOS.</t>
        </is>
      </c>
      <c r="F133" s="6" t="n">
        <v>46231.74403596089</v>
      </c>
      <c r="G133" s="5" t="inlineStr">
        <is>
          <t>WARNING</t>
        </is>
      </c>
    </row>
    <row r="134">
      <c r="A134" s="5" t="n">
        <v>2205</v>
      </c>
      <c r="B134" s="5" t="inlineStr">
        <is>
          <t>BLANCA TARDIA</t>
        </is>
      </c>
      <c r="C134" s="5" t="inlineStr">
        <is>
          <t>WARNING</t>
        </is>
      </c>
      <c r="D134" s="5" t="inlineStr">
        <is>
          <t>Warning</t>
        </is>
      </c>
      <c r="E134" s="5" t="inlineStr">
        <is>
          <t>No existe tarifa BonCalidad para socio=1615 campaña=2026 empresa=1 cultivo=CITRICOS.</t>
        </is>
      </c>
      <c r="F134" s="6" t="n">
        <v>46231.74403596089</v>
      </c>
      <c r="G134" s="5" t="inlineStr">
        <is>
          <t>WARNING</t>
        </is>
      </c>
    </row>
    <row r="135">
      <c r="A135" s="5" t="n">
        <v>2205</v>
      </c>
      <c r="B135" s="5" t="inlineStr">
        <is>
          <t>BLANCA TARDIA</t>
        </is>
      </c>
      <c r="C135" s="5" t="inlineStr">
        <is>
          <t>WARNING</t>
        </is>
      </c>
      <c r="D135" s="5" t="inlineStr">
        <is>
          <t>Warning</t>
        </is>
      </c>
      <c r="E135" s="5" t="inlineStr">
        <is>
          <t>Cuota Ha no aplicable: sin superficie sujeta a cuota.</t>
        </is>
      </c>
      <c r="F135" s="6" t="n">
        <v>46231.74403596089</v>
      </c>
      <c r="G135" s="5" t="inlineStr">
        <is>
          <t>WARNING</t>
        </is>
      </c>
    </row>
    <row r="136">
      <c r="A136" s="5" t="n">
        <v>2206</v>
      </c>
      <c r="B136" s="5" t="inlineStr">
        <is>
          <t>BLANCA TEMPRANA sem 3</t>
        </is>
      </c>
      <c r="C136" s="5" t="inlineStr">
        <is>
          <t>WARNING</t>
        </is>
      </c>
      <c r="D136" s="5" t="inlineStr">
        <is>
          <t>Warning</t>
        </is>
      </c>
      <c r="E136" s="5" t="inlineStr">
        <is>
          <t>14 entregas ya figuran como liquidadas.</t>
        </is>
      </c>
      <c r="F136" s="6" t="n">
        <v>46231.74403596089</v>
      </c>
      <c r="G136" s="5" t="inlineStr">
        <is>
          <t>WARNING</t>
        </is>
      </c>
    </row>
    <row r="137">
      <c r="A137" s="5" t="n">
        <v>2206</v>
      </c>
      <c r="B137" s="5" t="inlineStr">
        <is>
          <t>BLANCA TEMPRANA sem 3</t>
        </is>
      </c>
      <c r="C137" s="5" t="inlineStr">
        <is>
          <t>WARNING</t>
        </is>
      </c>
      <c r="D137" s="5" t="inlineStr">
        <is>
          <t>Warning</t>
        </is>
      </c>
      <c r="E137" s="5" t="inlineStr">
        <is>
          <t>No existe tarifa BonCalidad para socio=1384 campaña=2026 empresa=1 cultivo=CITRICOS.</t>
        </is>
      </c>
      <c r="F137" s="6" t="n">
        <v>46231.74403596089</v>
      </c>
      <c r="G137" s="5" t="inlineStr">
        <is>
          <t>WARNING</t>
        </is>
      </c>
    </row>
    <row r="138">
      <c r="A138" s="5" t="n">
        <v>2206</v>
      </c>
      <c r="B138" s="5" t="inlineStr">
        <is>
          <t>BLANCA TEMPRANA sem 3</t>
        </is>
      </c>
      <c r="C138" s="5" t="inlineStr">
        <is>
          <t>WARNING</t>
        </is>
      </c>
      <c r="D138" s="5" t="inlineStr">
        <is>
          <t>Warning</t>
        </is>
      </c>
      <c r="E138" s="5" t="inlineStr">
        <is>
          <t>No existe fuente acumulada disponible; saldo informativo calculado con cuota ya aplicada = 0.</t>
        </is>
      </c>
      <c r="F138" s="6" t="n">
        <v>46231.74403596089</v>
      </c>
      <c r="G138" s="5" t="inlineStr">
        <is>
          <t>WARNING</t>
        </is>
      </c>
    </row>
    <row r="139">
      <c r="A139" s="5" t="n">
        <v>2206</v>
      </c>
      <c r="B139" s="5" t="inlineStr">
        <is>
          <t>BLANCA TEMPRANA sem 3</t>
        </is>
      </c>
      <c r="C139" s="5" t="inlineStr">
        <is>
          <t>WARNING</t>
        </is>
      </c>
      <c r="D139" s="5" t="inlineStr">
        <is>
          <t>Warning</t>
        </is>
      </c>
      <c r="E139" s="5" t="inlineStr">
        <is>
          <t>No existe tarifa BonCalidad para socio=1411 campaña=2026 empresa=1 cultivo=CITRICOS.</t>
        </is>
      </c>
      <c r="F139" s="6" t="n">
        <v>46231.74403596089</v>
      </c>
      <c r="G139" s="5" t="inlineStr">
        <is>
          <t>WARNING</t>
        </is>
      </c>
    </row>
    <row r="140">
      <c r="A140" s="5" t="n">
        <v>2206</v>
      </c>
      <c r="B140" s="5" t="inlineStr">
        <is>
          <t>BLANCA TEMPRANA sem 3</t>
        </is>
      </c>
      <c r="C140" s="5" t="inlineStr">
        <is>
          <t>WARNING</t>
        </is>
      </c>
      <c r="D140" s="5" t="inlineStr">
        <is>
          <t>Warning</t>
        </is>
      </c>
      <c r="E140" s="5" t="inlineStr">
        <is>
          <t>No existe tarifa BonCalidad para socio=1540 campaña=2026 empresa=1 cultivo=CITRICOS.</t>
        </is>
      </c>
      <c r="F140" s="6" t="n">
        <v>46231.74403596089</v>
      </c>
      <c r="G140" s="5" t="inlineStr">
        <is>
          <t>WARNING</t>
        </is>
      </c>
    </row>
    <row r="141">
      <c r="A141" s="5" t="n">
        <v>2206</v>
      </c>
      <c r="B141" s="5" t="inlineStr">
        <is>
          <t>BLANCA TEMPRANA sem 3</t>
        </is>
      </c>
      <c r="C141" s="5" t="inlineStr">
        <is>
          <t>WARNING</t>
        </is>
      </c>
      <c r="D141" s="5" t="inlineStr">
        <is>
          <t>Warning</t>
        </is>
      </c>
      <c r="E141" s="5" t="inlineStr">
        <is>
          <t>No existe tarifa BonCalidad para socio=1570 campaña=2026 empresa=1 cultivo=CITRICOS.</t>
        </is>
      </c>
      <c r="F141" s="6" t="n">
        <v>46231.74403596089</v>
      </c>
      <c r="G141" s="5" t="inlineStr">
        <is>
          <t>WARNING</t>
        </is>
      </c>
    </row>
    <row r="142">
      <c r="A142" s="5" t="n">
        <v>2206</v>
      </c>
      <c r="B142" s="5" t="inlineStr">
        <is>
          <t>BLANCA TEMPRANA sem 3</t>
        </is>
      </c>
      <c r="C142" s="5" t="inlineStr">
        <is>
          <t>WARNING</t>
        </is>
      </c>
      <c r="D142" s="5" t="inlineStr">
        <is>
          <t>Warning</t>
        </is>
      </c>
      <c r="E142" s="5" t="inlineStr">
        <is>
          <t>No existe tarifa BonCalidad para socio=1582 campaña=2026 empresa=1 cultivo=CITRICOS.</t>
        </is>
      </c>
      <c r="F142" s="6" t="n">
        <v>46231.74403596089</v>
      </c>
      <c r="G142" s="5" t="inlineStr">
        <is>
          <t>WARNING</t>
        </is>
      </c>
    </row>
    <row r="143">
      <c r="A143" s="5" t="n">
        <v>2206</v>
      </c>
      <c r="B143" s="5" t="inlineStr">
        <is>
          <t>BLANCA TEMPRANA sem 3</t>
        </is>
      </c>
      <c r="C143" s="5" t="inlineStr">
        <is>
          <t>WARNING</t>
        </is>
      </c>
      <c r="D143" s="5" t="inlineStr">
        <is>
          <t>Warning</t>
        </is>
      </c>
      <c r="E143" s="5" t="inlineStr">
        <is>
          <t>No existe tarifa BonCalidad para socio=1585 campaña=2026 empresa=1 cultivo=CITRICOS.</t>
        </is>
      </c>
      <c r="F143" s="6" t="n">
        <v>46231.74403596089</v>
      </c>
      <c r="G143" s="5" t="inlineStr">
        <is>
          <t>WARNING</t>
        </is>
      </c>
    </row>
    <row r="144">
      <c r="A144" s="5" t="n">
        <v>2207</v>
      </c>
      <c r="B144" s="5" t="inlineStr">
        <is>
          <t>BLANCA TEMPRANA sem 4 y +</t>
        </is>
      </c>
      <c r="C144" s="5" t="inlineStr">
        <is>
          <t>WARNING</t>
        </is>
      </c>
      <c r="D144" s="5" t="inlineStr">
        <is>
          <t>Warning</t>
        </is>
      </c>
      <c r="E144" s="5" t="inlineStr">
        <is>
          <t>312 entregas ya figuran como liquidadas.</t>
        </is>
      </c>
      <c r="F144" s="6" t="n">
        <v>46231.74403596089</v>
      </c>
      <c r="G144" s="5" t="inlineStr">
        <is>
          <t>WARNING</t>
        </is>
      </c>
    </row>
    <row r="145">
      <c r="A145" s="5" t="n">
        <v>2207</v>
      </c>
      <c r="B145" s="5" t="inlineStr">
        <is>
          <t>BLANCA TEMPRANA sem 4 y +</t>
        </is>
      </c>
      <c r="C145" s="5" t="inlineStr">
        <is>
          <t>WARNING</t>
        </is>
      </c>
      <c r="D145" s="5" t="inlineStr">
        <is>
          <t>Warning</t>
        </is>
      </c>
      <c r="E145" s="5" t="inlineStr">
        <is>
          <t>No existe tarifa BonCalidad para socio=869 campaña=2026 empresa=1 cultivo=CITRICOS.</t>
        </is>
      </c>
      <c r="F145" s="6" t="n">
        <v>46231.74403596089</v>
      </c>
      <c r="G145" s="5" t="inlineStr">
        <is>
          <t>WARNING</t>
        </is>
      </c>
    </row>
    <row r="146">
      <c r="A146" s="5" t="n">
        <v>2207</v>
      </c>
      <c r="B146" s="5" t="inlineStr">
        <is>
          <t>BLANCA TEMPRANA sem 4 y +</t>
        </is>
      </c>
      <c r="C146" s="5" t="inlineStr">
        <is>
          <t>WARNING</t>
        </is>
      </c>
      <c r="D146" s="5" t="inlineStr">
        <is>
          <t>Warning</t>
        </is>
      </c>
      <c r="E146" s="5" t="inlineStr">
        <is>
          <t>No existe fuente acumulada disponible; saldo informativo calculado con cuota ya aplicada = 0.</t>
        </is>
      </c>
      <c r="F146" s="6" t="n">
        <v>46231.74403596089</v>
      </c>
      <c r="G146" s="5" t="inlineStr">
        <is>
          <t>WARNING</t>
        </is>
      </c>
    </row>
    <row r="147">
      <c r="A147" s="5" t="n">
        <v>2207</v>
      </c>
      <c r="B147" s="5" t="inlineStr">
        <is>
          <t>BLANCA TEMPRANA sem 4 y +</t>
        </is>
      </c>
      <c r="C147" s="5" t="inlineStr">
        <is>
          <t>WARNING</t>
        </is>
      </c>
      <c r="D147" s="5" t="inlineStr">
        <is>
          <t>Warning</t>
        </is>
      </c>
      <c r="E147" s="5" t="inlineStr">
        <is>
          <t>No existe tarifa BonCalidad para socio=883 campaña=2026 empresa=1 cultivo=CITRICOS.</t>
        </is>
      </c>
      <c r="F147" s="6" t="n">
        <v>46231.74403596089</v>
      </c>
      <c r="G147" s="5" t="inlineStr">
        <is>
          <t>WARNING</t>
        </is>
      </c>
    </row>
    <row r="148">
      <c r="A148" s="5" t="n">
        <v>2207</v>
      </c>
      <c r="B148" s="5" t="inlineStr">
        <is>
          <t>BLANCA TEMPRANA sem 4 y +</t>
        </is>
      </c>
      <c r="C148" s="5" t="inlineStr">
        <is>
          <t>WARNING</t>
        </is>
      </c>
      <c r="D148" s="5" t="inlineStr">
        <is>
          <t>Warning</t>
        </is>
      </c>
      <c r="E148" s="5" t="inlineStr">
        <is>
          <t>No existe tarifa BonCalidad para socio=937 campaña=2026 empresa=1 cultivo=CITRICOS.</t>
        </is>
      </c>
      <c r="F148" s="6" t="n">
        <v>46231.74403596089</v>
      </c>
      <c r="G148" s="5" t="inlineStr">
        <is>
          <t>WARNING</t>
        </is>
      </c>
    </row>
    <row r="149">
      <c r="A149" s="5" t="n">
        <v>2207</v>
      </c>
      <c r="B149" s="5" t="inlineStr">
        <is>
          <t>BLANCA TEMPRANA sem 4 y +</t>
        </is>
      </c>
      <c r="C149" s="5" t="inlineStr">
        <is>
          <t>WARNING</t>
        </is>
      </c>
      <c r="D149" s="5" t="inlineStr">
        <is>
          <t>Warning</t>
        </is>
      </c>
      <c r="E149" s="5" t="inlineStr">
        <is>
          <t>No existe tarifa BonCalidad para socio=1072 campaña=2026 empresa=1 cultivo=CITRICOS.</t>
        </is>
      </c>
      <c r="F149" s="6" t="n">
        <v>46231.74403596089</v>
      </c>
      <c r="G149" s="5" t="inlineStr">
        <is>
          <t>WARNING</t>
        </is>
      </c>
    </row>
    <row r="150">
      <c r="A150" s="5" t="n">
        <v>2207</v>
      </c>
      <c r="B150" s="5" t="inlineStr">
        <is>
          <t>BLANCA TEMPRANA sem 4 y +</t>
        </is>
      </c>
      <c r="C150" s="5" t="inlineStr">
        <is>
          <t>WARNING</t>
        </is>
      </c>
      <c r="D150" s="5" t="inlineStr">
        <is>
          <t>Warning</t>
        </is>
      </c>
      <c r="E150" s="5" t="inlineStr">
        <is>
          <t>No existe tarifa BonCalidad para socio=1128 campaña=2026 empresa=1 cultivo=CITRICOS.</t>
        </is>
      </c>
      <c r="F150" s="6" t="n">
        <v>46231.74403596089</v>
      </c>
      <c r="G150" s="5" t="inlineStr">
        <is>
          <t>WARNING</t>
        </is>
      </c>
    </row>
    <row r="151">
      <c r="A151" s="5" t="n">
        <v>2207</v>
      </c>
      <c r="B151" s="5" t="inlineStr">
        <is>
          <t>BLANCA TEMPRANA sem 4 y +</t>
        </is>
      </c>
      <c r="C151" s="5" t="inlineStr">
        <is>
          <t>WARNING</t>
        </is>
      </c>
      <c r="D151" s="5" t="inlineStr">
        <is>
          <t>Warning</t>
        </is>
      </c>
      <c r="E151" s="5" t="inlineStr">
        <is>
          <t>No existe tarifa BonCalidad para socio=1133 campaña=2026 empresa=1 cultivo=CITRICOS.</t>
        </is>
      </c>
      <c r="F151" s="6" t="n">
        <v>46231.74403596089</v>
      </c>
      <c r="G151" s="5" t="inlineStr">
        <is>
          <t>WARNING</t>
        </is>
      </c>
    </row>
    <row r="152">
      <c r="A152" s="5" t="n">
        <v>2207</v>
      </c>
      <c r="B152" s="5" t="inlineStr">
        <is>
          <t>BLANCA TEMPRANA sem 4 y +</t>
        </is>
      </c>
      <c r="C152" s="5" t="inlineStr">
        <is>
          <t>WARNING</t>
        </is>
      </c>
      <c r="D152" s="5" t="inlineStr">
        <is>
          <t>Warning</t>
        </is>
      </c>
      <c r="E152" s="5" t="inlineStr">
        <is>
          <t>No existe tarifa BonCalidad para socio=1178 campaña=2026 empresa=1 cultivo=CITRICOS.</t>
        </is>
      </c>
      <c r="F152" s="6" t="n">
        <v>46231.74403596089</v>
      </c>
      <c r="G152" s="5" t="inlineStr">
        <is>
          <t>WARNING</t>
        </is>
      </c>
    </row>
    <row r="153">
      <c r="A153" s="5" t="n">
        <v>2207</v>
      </c>
      <c r="B153" s="5" t="inlineStr">
        <is>
          <t>BLANCA TEMPRANA sem 4 y +</t>
        </is>
      </c>
      <c r="C153" s="5" t="inlineStr">
        <is>
          <t>WARNING</t>
        </is>
      </c>
      <c r="D153" s="5" t="inlineStr">
        <is>
          <t>Warning</t>
        </is>
      </c>
      <c r="E153" s="5" t="inlineStr">
        <is>
          <t>No existe tarifa BonCalidad para socio=1202 campaña=2026 empresa=1 cultivo=CITRICOS.</t>
        </is>
      </c>
      <c r="F153" s="6" t="n">
        <v>46231.74403596089</v>
      </c>
      <c r="G153" s="5" t="inlineStr">
        <is>
          <t>WARNING</t>
        </is>
      </c>
    </row>
    <row r="154">
      <c r="A154" s="5" t="n">
        <v>2207</v>
      </c>
      <c r="B154" s="5" t="inlineStr">
        <is>
          <t>BLANCA TEMPRANA sem 4 y +</t>
        </is>
      </c>
      <c r="C154" s="5" t="inlineStr">
        <is>
          <t>WARNING</t>
        </is>
      </c>
      <c r="D154" s="5" t="inlineStr">
        <is>
          <t>Warning</t>
        </is>
      </c>
      <c r="E154" s="5" t="inlineStr">
        <is>
          <t>No existe tarifa BonCalidad para socio=1219 campaña=2026 empresa=1 cultivo=CITRICOS.</t>
        </is>
      </c>
      <c r="F154" s="6" t="n">
        <v>46231.74403596089</v>
      </c>
      <c r="G154" s="5" t="inlineStr">
        <is>
          <t>WARNING</t>
        </is>
      </c>
    </row>
    <row r="155">
      <c r="A155" s="5" t="n">
        <v>2207</v>
      </c>
      <c r="B155" s="5" t="inlineStr">
        <is>
          <t>BLANCA TEMPRANA sem 4 y +</t>
        </is>
      </c>
      <c r="C155" s="5" t="inlineStr">
        <is>
          <t>WARNING</t>
        </is>
      </c>
      <c r="D155" s="5" t="inlineStr">
        <is>
          <t>Warning</t>
        </is>
      </c>
      <c r="E155" s="5" t="inlineStr">
        <is>
          <t>No existe tarifa BonCalidad para socio=1251 campaña=2026 empresa=1 cultivo=CITRICOS.</t>
        </is>
      </c>
      <c r="F155" s="6" t="n">
        <v>46231.74403596089</v>
      </c>
      <c r="G155" s="5" t="inlineStr">
        <is>
          <t>WARNING</t>
        </is>
      </c>
    </row>
    <row r="156">
      <c r="A156" s="5" t="n">
        <v>2207</v>
      </c>
      <c r="B156" s="5" t="inlineStr">
        <is>
          <t>BLANCA TEMPRANA sem 4 y +</t>
        </is>
      </c>
      <c r="C156" s="5" t="inlineStr">
        <is>
          <t>WARNING</t>
        </is>
      </c>
      <c r="D156" s="5" t="inlineStr">
        <is>
          <t>Warning</t>
        </is>
      </c>
      <c r="E156" s="5" t="inlineStr">
        <is>
          <t>No existe tarifa BonCalidad para socio=1316 campaña=2026 empresa=1 cultivo=CITRICOS.</t>
        </is>
      </c>
      <c r="F156" s="6" t="n">
        <v>46231.74403596089</v>
      </c>
      <c r="G156" s="5" t="inlineStr">
        <is>
          <t>WARNING</t>
        </is>
      </c>
    </row>
    <row r="157">
      <c r="A157" s="5" t="n">
        <v>2207</v>
      </c>
      <c r="B157" s="5" t="inlineStr">
        <is>
          <t>BLANCA TEMPRANA sem 4 y +</t>
        </is>
      </c>
      <c r="C157" s="5" t="inlineStr">
        <is>
          <t>WARNING</t>
        </is>
      </c>
      <c r="D157" s="5" t="inlineStr">
        <is>
          <t>Warning</t>
        </is>
      </c>
      <c r="E157" s="5" t="inlineStr">
        <is>
          <t>No existe tarifa BonCalidad para socio=1350 campaña=2026 empresa=1 cultivo=CITRICOS.</t>
        </is>
      </c>
      <c r="F157" s="6" t="n">
        <v>46231.74403596089</v>
      </c>
      <c r="G157" s="5" t="inlineStr">
        <is>
          <t>WARNING</t>
        </is>
      </c>
    </row>
    <row r="158">
      <c r="A158" s="5" t="n">
        <v>2207</v>
      </c>
      <c r="B158" s="5" t="inlineStr">
        <is>
          <t>BLANCA TEMPRANA sem 4 y +</t>
        </is>
      </c>
      <c r="C158" s="5" t="inlineStr">
        <is>
          <t>WARNING</t>
        </is>
      </c>
      <c r="D158" s="5" t="inlineStr">
        <is>
          <t>Warning</t>
        </is>
      </c>
      <c r="E158" s="5" t="inlineStr">
        <is>
          <t>El socio 1350 figura certificado GlobalGAP en CITRICOS pero no en CITRICOS. Se ha aplicado la certificación global del socio. Revise DEEPP.</t>
        </is>
      </c>
      <c r="F158" s="6" t="n">
        <v>46231.74403596089</v>
      </c>
      <c r="G158" s="5" t="inlineStr">
        <is>
          <t>WARNING</t>
        </is>
      </c>
    </row>
    <row r="159">
      <c r="A159" s="5" t="n">
        <v>2207</v>
      </c>
      <c r="B159" s="5" t="inlineStr">
        <is>
          <t>BLANCA TEMPRANA sem 4 y +</t>
        </is>
      </c>
      <c r="C159" s="5" t="inlineStr">
        <is>
          <t>WARNING</t>
        </is>
      </c>
      <c r="D159" s="5" t="inlineStr">
        <is>
          <t>Warning</t>
        </is>
      </c>
      <c r="E159" s="5" t="inlineStr">
        <is>
          <t>No existe tarifa BonCalidad para socio=1354 campaña=2026 empresa=1 cultivo=CITRICOS.</t>
        </is>
      </c>
      <c r="F159" s="6" t="n">
        <v>46231.74403596089</v>
      </c>
      <c r="G159" s="5" t="inlineStr">
        <is>
          <t>WARNING</t>
        </is>
      </c>
    </row>
    <row r="160">
      <c r="A160" s="5" t="n">
        <v>2207</v>
      </c>
      <c r="B160" s="5" t="inlineStr">
        <is>
          <t>BLANCA TEMPRANA sem 4 y +</t>
        </is>
      </c>
      <c r="C160" s="5" t="inlineStr">
        <is>
          <t>WARNING</t>
        </is>
      </c>
      <c r="D160" s="5" t="inlineStr">
        <is>
          <t>Warning</t>
        </is>
      </c>
      <c r="E160" s="5" t="inlineStr">
        <is>
          <t>No existe tarifa BonCalidad para socio=1355 campaña=2026 empresa=1 cultivo=CITRICOS.</t>
        </is>
      </c>
      <c r="F160" s="6" t="n">
        <v>46231.74403596089</v>
      </c>
      <c r="G160" s="5" t="inlineStr">
        <is>
          <t>WARNING</t>
        </is>
      </c>
    </row>
    <row r="161">
      <c r="A161" s="5" t="n">
        <v>2207</v>
      </c>
      <c r="B161" s="5" t="inlineStr">
        <is>
          <t>BLANCA TEMPRANA sem 4 y +</t>
        </is>
      </c>
      <c r="C161" s="5" t="inlineStr">
        <is>
          <t>WARNING</t>
        </is>
      </c>
      <c r="D161" s="5" t="inlineStr">
        <is>
          <t>Warning</t>
        </is>
      </c>
      <c r="E161" s="5" t="inlineStr">
        <is>
          <t>No existe tarifa BonCalidad para socio=1374 campaña=2026 empresa=1 cultivo=CITRICOS.</t>
        </is>
      </c>
      <c r="F161" s="6" t="n">
        <v>46231.74403596089</v>
      </c>
      <c r="G161" s="5" t="inlineStr">
        <is>
          <t>WARNING</t>
        </is>
      </c>
    </row>
    <row r="162">
      <c r="A162" s="5" t="n">
        <v>2207</v>
      </c>
      <c r="B162" s="5" t="inlineStr">
        <is>
          <t>BLANCA TEMPRANA sem 4 y +</t>
        </is>
      </c>
      <c r="C162" s="5" t="inlineStr">
        <is>
          <t>WARNING</t>
        </is>
      </c>
      <c r="D162" s="5" t="inlineStr">
        <is>
          <t>Warning</t>
        </is>
      </c>
      <c r="E162" s="5" t="inlineStr">
        <is>
          <t>No existe tarifa BonCalidad para socio=1389 campaña=2026 empresa=1 cultivo=CITRICOS.</t>
        </is>
      </c>
      <c r="F162" s="6" t="n">
        <v>46231.74403596089</v>
      </c>
      <c r="G162" s="5" t="inlineStr">
        <is>
          <t>WARNING</t>
        </is>
      </c>
    </row>
    <row r="163">
      <c r="A163" s="5" t="n">
        <v>2207</v>
      </c>
      <c r="B163" s="5" t="inlineStr">
        <is>
          <t>BLANCA TEMPRANA sem 4 y +</t>
        </is>
      </c>
      <c r="C163" s="5" t="inlineStr">
        <is>
          <t>WARNING</t>
        </is>
      </c>
      <c r="D163" s="5" t="inlineStr">
        <is>
          <t>Warning</t>
        </is>
      </c>
      <c r="E163" s="5" t="inlineStr">
        <is>
          <t>No existe tarifa BonCalidad para socio=1395 campaña=2026 empresa=1 cultivo=CITRICOS.</t>
        </is>
      </c>
      <c r="F163" s="6" t="n">
        <v>46231.74403596089</v>
      </c>
      <c r="G163" s="5" t="inlineStr">
        <is>
          <t>WARNING</t>
        </is>
      </c>
    </row>
    <row r="164">
      <c r="A164" s="5" t="n">
        <v>2207</v>
      </c>
      <c r="B164" s="5" t="inlineStr">
        <is>
          <t>BLANCA TEMPRANA sem 4 y +</t>
        </is>
      </c>
      <c r="C164" s="5" t="inlineStr">
        <is>
          <t>WARNING</t>
        </is>
      </c>
      <c r="D164" s="5" t="inlineStr">
        <is>
          <t>Warning</t>
        </is>
      </c>
      <c r="E164" s="5" t="inlineStr">
        <is>
          <t>No existe tarifa BonCalidad para socio=1411 campaña=2026 empresa=1 cultivo=CITRICOS.</t>
        </is>
      </c>
      <c r="F164" s="6" t="n">
        <v>46231.74403596089</v>
      </c>
      <c r="G164" s="5" t="inlineStr">
        <is>
          <t>WARNING</t>
        </is>
      </c>
    </row>
    <row r="165">
      <c r="A165" s="5" t="n">
        <v>2207</v>
      </c>
      <c r="B165" s="5" t="inlineStr">
        <is>
          <t>BLANCA TEMPRANA sem 4 y +</t>
        </is>
      </c>
      <c r="C165" s="5" t="inlineStr">
        <is>
          <t>WARNING</t>
        </is>
      </c>
      <c r="D165" s="5" t="inlineStr">
        <is>
          <t>Warning</t>
        </is>
      </c>
      <c r="E165" s="5" t="inlineStr">
        <is>
          <t>No existe tarifa BonCalidad para socio=1419 campaña=2026 empresa=1 cultivo=CITRICOS.</t>
        </is>
      </c>
      <c r="F165" s="6" t="n">
        <v>46231.74403596089</v>
      </c>
      <c r="G165" s="5" t="inlineStr">
        <is>
          <t>WARNING</t>
        </is>
      </c>
    </row>
    <row r="166">
      <c r="A166" s="5" t="n">
        <v>2207</v>
      </c>
      <c r="B166" s="5" t="inlineStr">
        <is>
          <t>BLANCA TEMPRANA sem 4 y +</t>
        </is>
      </c>
      <c r="C166" s="5" t="inlineStr">
        <is>
          <t>WARNING</t>
        </is>
      </c>
      <c r="D166" s="5" t="inlineStr">
        <is>
          <t>Warning</t>
        </is>
      </c>
      <c r="E166" s="5" t="inlineStr">
        <is>
          <t>No existe tarifa BonCalidad para socio=1421 campaña=2026 empresa=1 cultivo=CITRICOS.</t>
        </is>
      </c>
      <c r="F166" s="6" t="n">
        <v>46231.74403596089</v>
      </c>
      <c r="G166" s="5" t="inlineStr">
        <is>
          <t>WARNING</t>
        </is>
      </c>
    </row>
    <row r="167">
      <c r="A167" s="5" t="n">
        <v>2207</v>
      </c>
      <c r="B167" s="5" t="inlineStr">
        <is>
          <t>BLANCA TEMPRANA sem 4 y +</t>
        </is>
      </c>
      <c r="C167" s="5" t="inlineStr">
        <is>
          <t>WARNING</t>
        </is>
      </c>
      <c r="D167" s="5" t="inlineStr">
        <is>
          <t>Warning</t>
        </is>
      </c>
      <c r="E167" s="5" t="inlineStr">
        <is>
          <t>No existe tarifa BonCalidad para socio=1443 campaña=2026 empresa=1 cultivo=CITRICOS.</t>
        </is>
      </c>
      <c r="F167" s="6" t="n">
        <v>46231.74403596089</v>
      </c>
      <c r="G167" s="5" t="inlineStr">
        <is>
          <t>WARNING</t>
        </is>
      </c>
    </row>
    <row r="168">
      <c r="A168" s="5" t="n">
        <v>2207</v>
      </c>
      <c r="B168" s="5" t="inlineStr">
        <is>
          <t>BLANCA TEMPRANA sem 4 y +</t>
        </is>
      </c>
      <c r="C168" s="5" t="inlineStr">
        <is>
          <t>WARNING</t>
        </is>
      </c>
      <c r="D168" s="5" t="inlineStr">
        <is>
          <t>Warning</t>
        </is>
      </c>
      <c r="E168" s="5" t="inlineStr">
        <is>
          <t>No existe tarifa BonCalidad para socio=1485 campaña=2026 empresa=1 cultivo=CITRICOS.</t>
        </is>
      </c>
      <c r="F168" s="6" t="n">
        <v>46231.74403596089</v>
      </c>
      <c r="G168" s="5" t="inlineStr">
        <is>
          <t>WARNING</t>
        </is>
      </c>
    </row>
    <row r="169">
      <c r="A169" s="5" t="n">
        <v>2207</v>
      </c>
      <c r="B169" s="5" t="inlineStr">
        <is>
          <t>BLANCA TEMPRANA sem 4 y +</t>
        </is>
      </c>
      <c r="C169" s="5" t="inlineStr">
        <is>
          <t>WARNING</t>
        </is>
      </c>
      <c r="D169" s="5" t="inlineStr">
        <is>
          <t>Warning</t>
        </is>
      </c>
      <c r="E169" s="5" t="inlineStr">
        <is>
          <t>No existe tarifa BonCalidad para socio=1512 campaña=2026 empresa=1 cultivo=CITRICOS.</t>
        </is>
      </c>
      <c r="F169" s="6" t="n">
        <v>46231.74403596089</v>
      </c>
      <c r="G169" s="5" t="inlineStr">
        <is>
          <t>WARNING</t>
        </is>
      </c>
    </row>
    <row r="170">
      <c r="A170" s="5" t="n">
        <v>2207</v>
      </c>
      <c r="B170" s="5" t="inlineStr">
        <is>
          <t>BLANCA TEMPRANA sem 4 y +</t>
        </is>
      </c>
      <c r="C170" s="5" t="inlineStr">
        <is>
          <t>WARNING</t>
        </is>
      </c>
      <c r="D170" s="5" t="inlineStr">
        <is>
          <t>Warning</t>
        </is>
      </c>
      <c r="E170" s="5" t="inlineStr">
        <is>
          <t>No existe tarifa BonCalidad para socio=1523 campaña=2026 empresa=1 cultivo=CITRICOS.</t>
        </is>
      </c>
      <c r="F170" s="6" t="n">
        <v>46231.74403596089</v>
      </c>
      <c r="G170" s="5" t="inlineStr">
        <is>
          <t>WARNING</t>
        </is>
      </c>
    </row>
    <row r="171">
      <c r="A171" s="5" t="n">
        <v>2207</v>
      </c>
      <c r="B171" s="5" t="inlineStr">
        <is>
          <t>BLANCA TEMPRANA sem 4 y +</t>
        </is>
      </c>
      <c r="C171" s="5" t="inlineStr">
        <is>
          <t>WARNING</t>
        </is>
      </c>
      <c r="D171" s="5" t="inlineStr">
        <is>
          <t>Warning</t>
        </is>
      </c>
      <c r="E171" s="5" t="inlineStr">
        <is>
          <t>El socio 1523 figura certificado GlobalGAP en CITRICOS, KAKIS, MANDARINA pero no en CITRICOS. Se ha aplicado la certificación global del socio. Revise DEEPP.</t>
        </is>
      </c>
      <c r="F171" s="6" t="n">
        <v>46231.74403596089</v>
      </c>
      <c r="G171" s="5" t="inlineStr">
        <is>
          <t>WARNING</t>
        </is>
      </c>
    </row>
    <row r="172">
      <c r="A172" s="5" t="n">
        <v>2207</v>
      </c>
      <c r="B172" s="5" t="inlineStr">
        <is>
          <t>BLANCA TEMPRANA sem 4 y +</t>
        </is>
      </c>
      <c r="C172" s="5" t="inlineStr">
        <is>
          <t>WARNING</t>
        </is>
      </c>
      <c r="D172" s="5" t="inlineStr">
        <is>
          <t>Warning</t>
        </is>
      </c>
      <c r="E172" s="5" t="inlineStr">
        <is>
          <t>No existe tarifa BonCalidad para socio=1529 campaña=2026 empresa=1 cultivo=CITRICOS.</t>
        </is>
      </c>
      <c r="F172" s="6" t="n">
        <v>46231.74403596089</v>
      </c>
      <c r="G172" s="5" t="inlineStr">
        <is>
          <t>WARNING</t>
        </is>
      </c>
    </row>
    <row r="173">
      <c r="A173" s="5" t="n">
        <v>2207</v>
      </c>
      <c r="B173" s="5" t="inlineStr">
        <is>
          <t>BLANCA TEMPRANA sem 4 y +</t>
        </is>
      </c>
      <c r="C173" s="5" t="inlineStr">
        <is>
          <t>WARNING</t>
        </is>
      </c>
      <c r="D173" s="5" t="inlineStr">
        <is>
          <t>Warning</t>
        </is>
      </c>
      <c r="E173" s="5" t="inlineStr">
        <is>
          <t>No existe tarifa BonCalidad para socio=1540 campaña=2026 empresa=1 cultivo=CITRICOS.</t>
        </is>
      </c>
      <c r="F173" s="6" t="n">
        <v>46231.74403596089</v>
      </c>
      <c r="G173" s="5" t="inlineStr">
        <is>
          <t>WARNING</t>
        </is>
      </c>
    </row>
    <row r="174">
      <c r="A174" s="5" t="n">
        <v>2207</v>
      </c>
      <c r="B174" s="5" t="inlineStr">
        <is>
          <t>BLANCA TEMPRANA sem 4 y +</t>
        </is>
      </c>
      <c r="C174" s="5" t="inlineStr">
        <is>
          <t>WARNING</t>
        </is>
      </c>
      <c r="D174" s="5" t="inlineStr">
        <is>
          <t>Warning</t>
        </is>
      </c>
      <c r="E174" s="5" t="inlineStr">
        <is>
          <t>No existe tarifa BonCalidad para socio=1544 campaña=2026 empresa=1 cultivo=CITRICOS.</t>
        </is>
      </c>
      <c r="F174" s="6" t="n">
        <v>46231.74403596089</v>
      </c>
      <c r="G174" s="5" t="inlineStr">
        <is>
          <t>WARNING</t>
        </is>
      </c>
    </row>
    <row r="175">
      <c r="A175" s="5" t="n">
        <v>2207</v>
      </c>
      <c r="B175" s="5" t="inlineStr">
        <is>
          <t>BLANCA TEMPRANA sem 4 y +</t>
        </is>
      </c>
      <c r="C175" s="5" t="inlineStr">
        <is>
          <t>WARNING</t>
        </is>
      </c>
      <c r="D175" s="5" t="inlineStr">
        <is>
          <t>Warning</t>
        </is>
      </c>
      <c r="E175" s="5" t="inlineStr">
        <is>
          <t>No existe tarifa BonCalidad para socio=1564 campaña=2026 empresa=1 cultivo=CITRICOS.</t>
        </is>
      </c>
      <c r="F175" s="6" t="n">
        <v>46231.74403596089</v>
      </c>
      <c r="G175" s="5" t="inlineStr">
        <is>
          <t>WARNING</t>
        </is>
      </c>
    </row>
    <row r="176">
      <c r="A176" s="5" t="n">
        <v>2207</v>
      </c>
      <c r="B176" s="5" t="inlineStr">
        <is>
          <t>BLANCA TEMPRANA sem 4 y +</t>
        </is>
      </c>
      <c r="C176" s="5" t="inlineStr">
        <is>
          <t>WARNING</t>
        </is>
      </c>
      <c r="D176" s="5" t="inlineStr">
        <is>
          <t>Warning</t>
        </is>
      </c>
      <c r="E176" s="5" t="inlineStr">
        <is>
          <t>No existe tarifa BonCalidad para socio=1577 campaña=2026 empresa=1 cultivo=CITRICOS.</t>
        </is>
      </c>
      <c r="F176" s="6" t="n">
        <v>46231.74403596089</v>
      </c>
      <c r="G176" s="5" t="inlineStr">
        <is>
          <t>WARNING</t>
        </is>
      </c>
    </row>
    <row r="177">
      <c r="A177" s="5" t="n">
        <v>2207</v>
      </c>
      <c r="B177" s="5" t="inlineStr">
        <is>
          <t>BLANCA TEMPRANA sem 4 y +</t>
        </is>
      </c>
      <c r="C177" s="5" t="inlineStr">
        <is>
          <t>WARNING</t>
        </is>
      </c>
      <c r="D177" s="5" t="inlineStr">
        <is>
          <t>Warning</t>
        </is>
      </c>
      <c r="E177" s="5" t="inlineStr">
        <is>
          <t>No existe tarifa BonCalidad para socio=1579 campaña=2026 empresa=1 cultivo=CITRICOS.</t>
        </is>
      </c>
      <c r="F177" s="6" t="n">
        <v>46231.74403596089</v>
      </c>
      <c r="G177" s="5" t="inlineStr">
        <is>
          <t>WARNING</t>
        </is>
      </c>
    </row>
    <row r="178">
      <c r="A178" s="5" t="n">
        <v>2207</v>
      </c>
      <c r="B178" s="5" t="inlineStr">
        <is>
          <t>BLANCA TEMPRANA sem 4 y +</t>
        </is>
      </c>
      <c r="C178" s="5" t="inlineStr">
        <is>
          <t>WARNING</t>
        </is>
      </c>
      <c r="D178" s="5" t="inlineStr">
        <is>
          <t>Warning</t>
        </is>
      </c>
      <c r="E178" s="5" t="inlineStr">
        <is>
          <t>Cuota Ha no aplicable: sin superficie sujeta a cuota.</t>
        </is>
      </c>
      <c r="F178" s="6" t="n">
        <v>46231.74403596089</v>
      </c>
      <c r="G178" s="5" t="inlineStr">
        <is>
          <t>WARNING</t>
        </is>
      </c>
    </row>
    <row r="179">
      <c r="A179" s="5" t="n">
        <v>2207</v>
      </c>
      <c r="B179" s="5" t="inlineStr">
        <is>
          <t>BLANCA TEMPRANA sem 4 y +</t>
        </is>
      </c>
      <c r="C179" s="5" t="inlineStr">
        <is>
          <t>WARNING</t>
        </is>
      </c>
      <c r="D179" s="5" t="inlineStr">
        <is>
          <t>Warning</t>
        </is>
      </c>
      <c r="E179" s="5" t="inlineStr">
        <is>
          <t>No existe tarifa BonCalidad para socio=1582 campaña=2026 empresa=1 cultivo=CITRICOS.</t>
        </is>
      </c>
      <c r="F179" s="6" t="n">
        <v>46231.74403596089</v>
      </c>
      <c r="G179" s="5" t="inlineStr">
        <is>
          <t>WARNING</t>
        </is>
      </c>
    </row>
    <row r="180">
      <c r="A180" s="5" t="n">
        <v>2207</v>
      </c>
      <c r="B180" s="5" t="inlineStr">
        <is>
          <t>BLANCA TEMPRANA sem 4 y +</t>
        </is>
      </c>
      <c r="C180" s="5" t="inlineStr">
        <is>
          <t>WARNING</t>
        </is>
      </c>
      <c r="D180" s="5" t="inlineStr">
        <is>
          <t>Warning</t>
        </is>
      </c>
      <c r="E180" s="5" t="inlineStr">
        <is>
          <t>No existe tarifa BonCalidad para socio=1585 campaña=2026 empresa=1 cultivo=CITRICOS.</t>
        </is>
      </c>
      <c r="F180" s="6" t="n">
        <v>46231.74403596089</v>
      </c>
      <c r="G180" s="5" t="inlineStr">
        <is>
          <t>WARNING</t>
        </is>
      </c>
    </row>
    <row r="181">
      <c r="A181" s="5" t="n">
        <v>2207</v>
      </c>
      <c r="B181" s="5" t="inlineStr">
        <is>
          <t>BLANCA TEMPRANA sem 4 y +</t>
        </is>
      </c>
      <c r="C181" s="5" t="inlineStr">
        <is>
          <t>WARNING</t>
        </is>
      </c>
      <c r="D181" s="5" t="inlineStr">
        <is>
          <t>Warning</t>
        </is>
      </c>
      <c r="E181" s="5" t="inlineStr">
        <is>
          <t>No existe tarifa BonCalidad para socio=1597 campaña=2026 empresa=1 cultivo=CITRICOS.</t>
        </is>
      </c>
      <c r="F181" s="6" t="n">
        <v>46231.74403596089</v>
      </c>
      <c r="G181" s="5" t="inlineStr">
        <is>
          <t>WARNING</t>
        </is>
      </c>
    </row>
    <row r="182">
      <c r="A182" s="5" t="n">
        <v>2208</v>
      </c>
      <c r="B182" s="5" t="inlineStr">
        <is>
          <t>BLANCA TEMPRANA sem antep</t>
        </is>
      </c>
      <c r="C182" s="5" t="inlineStr">
        <is>
          <t>WARNING</t>
        </is>
      </c>
      <c r="D182" s="5" t="inlineStr">
        <is>
          <t>Warning</t>
        </is>
      </c>
      <c r="E182" s="5" t="inlineStr">
        <is>
          <t>44 entregas ya figuran como liquidadas.</t>
        </is>
      </c>
      <c r="F182" s="6" t="n">
        <v>46231.74403596089</v>
      </c>
      <c r="G182" s="5" t="inlineStr">
        <is>
          <t>WARNING</t>
        </is>
      </c>
    </row>
    <row r="183">
      <c r="A183" s="5" t="n">
        <v>2208</v>
      </c>
      <c r="B183" s="5" t="inlineStr">
        <is>
          <t>BLANCA TEMPRANA sem antep</t>
        </is>
      </c>
      <c r="C183" s="5" t="inlineStr">
        <is>
          <t>WARNING</t>
        </is>
      </c>
      <c r="D183" s="5" t="inlineStr">
        <is>
          <t>Warning</t>
        </is>
      </c>
      <c r="E183" s="5" t="inlineStr">
        <is>
          <t>No existe tarifa BonCalidad para socio=466 campaña=2026 empresa=1 cultivo=CITRICOS.</t>
        </is>
      </c>
      <c r="F183" s="6" t="n">
        <v>46231.74403596089</v>
      </c>
      <c r="G183" s="5" t="inlineStr">
        <is>
          <t>WARNING</t>
        </is>
      </c>
    </row>
    <row r="184">
      <c r="A184" s="5" t="n">
        <v>2208</v>
      </c>
      <c r="B184" s="5" t="inlineStr">
        <is>
          <t>BLANCA TEMPRANA sem antep</t>
        </is>
      </c>
      <c r="C184" s="5" t="inlineStr">
        <is>
          <t>WARNING</t>
        </is>
      </c>
      <c r="D184" s="5" t="inlineStr">
        <is>
          <t>Warning</t>
        </is>
      </c>
      <c r="E184" s="5" t="inlineStr">
        <is>
          <t>No existe fuente acumulada disponible; saldo informativo calculado con cuota ya aplicada = 0.</t>
        </is>
      </c>
      <c r="F184" s="6" t="n">
        <v>46231.74403596089</v>
      </c>
      <c r="G184" s="5" t="inlineStr">
        <is>
          <t>WARNING</t>
        </is>
      </c>
    </row>
    <row r="185">
      <c r="A185" s="5" t="n">
        <v>2208</v>
      </c>
      <c r="B185" s="5" t="inlineStr">
        <is>
          <t>BLANCA TEMPRANA sem antep</t>
        </is>
      </c>
      <c r="C185" s="5" t="inlineStr">
        <is>
          <t>WARNING</t>
        </is>
      </c>
      <c r="D185" s="5" t="inlineStr">
        <is>
          <t>Warning</t>
        </is>
      </c>
      <c r="E185" s="5" t="inlineStr">
        <is>
          <t>No existe tarifa BonCalidad para socio=1117 campaña=2026 empresa=1 cultivo=CITRICOS.</t>
        </is>
      </c>
      <c r="F185" s="6" t="n">
        <v>46231.74403596089</v>
      </c>
      <c r="G185" s="5" t="inlineStr">
        <is>
          <t>WARNING</t>
        </is>
      </c>
    </row>
    <row r="186">
      <c r="A186" s="5" t="n">
        <v>2208</v>
      </c>
      <c r="B186" s="5" t="inlineStr">
        <is>
          <t>BLANCA TEMPRANA sem antep</t>
        </is>
      </c>
      <c r="C186" s="5" t="inlineStr">
        <is>
          <t>WARNING</t>
        </is>
      </c>
      <c r="D186" s="5" t="inlineStr">
        <is>
          <t>Warning</t>
        </is>
      </c>
      <c r="E186" s="5" t="inlineStr">
        <is>
          <t>No existe tarifa BonCalidad para socio=1124 campaña=2026 empresa=1 cultivo=CITRICOS.</t>
        </is>
      </c>
      <c r="F186" s="6" t="n">
        <v>46231.74403596089</v>
      </c>
      <c r="G186" s="5" t="inlineStr">
        <is>
          <t>WARNING</t>
        </is>
      </c>
    </row>
    <row r="187">
      <c r="A187" s="5" t="n">
        <v>2208</v>
      </c>
      <c r="B187" s="5" t="inlineStr">
        <is>
          <t>BLANCA TEMPRANA sem antep</t>
        </is>
      </c>
      <c r="C187" s="5" t="inlineStr">
        <is>
          <t>WARNING</t>
        </is>
      </c>
      <c r="D187" s="5" t="inlineStr">
        <is>
          <t>Warning</t>
        </is>
      </c>
      <c r="E187" s="5" t="inlineStr">
        <is>
          <t>No existe tarifa BonCalidad para socio=1126 campaña=2026 empresa=1 cultivo=CITRICOS.</t>
        </is>
      </c>
      <c r="F187" s="6" t="n">
        <v>46231.74403596089</v>
      </c>
      <c r="G187" s="5" t="inlineStr">
        <is>
          <t>WARNING</t>
        </is>
      </c>
    </row>
    <row r="188">
      <c r="A188" s="5" t="n">
        <v>2208</v>
      </c>
      <c r="B188" s="5" t="inlineStr">
        <is>
          <t>BLANCA TEMPRANA sem antep</t>
        </is>
      </c>
      <c r="C188" s="5" t="inlineStr">
        <is>
          <t>WARNING</t>
        </is>
      </c>
      <c r="D188" s="5" t="inlineStr">
        <is>
          <t>Warning</t>
        </is>
      </c>
      <c r="E188" s="5" t="inlineStr">
        <is>
          <t>No existe tarifa BonCalidad para socio=1128 campaña=2026 empresa=1 cultivo=CITRICOS.</t>
        </is>
      </c>
      <c r="F188" s="6" t="n">
        <v>46231.74403596089</v>
      </c>
      <c r="G188" s="5" t="inlineStr">
        <is>
          <t>WARNING</t>
        </is>
      </c>
    </row>
    <row r="189">
      <c r="A189" s="5" t="n">
        <v>2208</v>
      </c>
      <c r="B189" s="5" t="inlineStr">
        <is>
          <t>BLANCA TEMPRANA sem antep</t>
        </is>
      </c>
      <c r="C189" s="5" t="inlineStr">
        <is>
          <t>WARNING</t>
        </is>
      </c>
      <c r="D189" s="5" t="inlineStr">
        <is>
          <t>Warning</t>
        </is>
      </c>
      <c r="E189" s="5" t="inlineStr">
        <is>
          <t>No existe tarifa BonCalidad para socio=1487 campaña=2026 empresa=1 cultivo=CITRICOS.</t>
        </is>
      </c>
      <c r="F189" s="6" t="n">
        <v>46231.74403596089</v>
      </c>
      <c r="G189" s="5" t="inlineStr">
        <is>
          <t>WARNING</t>
        </is>
      </c>
    </row>
    <row r="190">
      <c r="A190" s="5" t="n">
        <v>2209</v>
      </c>
      <c r="B190" s="5" t="inlineStr">
        <is>
          <t>BLANCA TEMPRANA sem penult</t>
        </is>
      </c>
      <c r="C190" s="5" t="inlineStr">
        <is>
          <t>WARNING</t>
        </is>
      </c>
      <c r="D190" s="5" t="inlineStr">
        <is>
          <t>Warning</t>
        </is>
      </c>
      <c r="E190" s="5" t="inlineStr">
        <is>
          <t>30 entregas ya figuran como liquidadas.</t>
        </is>
      </c>
      <c r="F190" s="6" t="n">
        <v>46231.74403596089</v>
      </c>
      <c r="G190" s="5" t="inlineStr">
        <is>
          <t>WARNING</t>
        </is>
      </c>
    </row>
    <row r="191">
      <c r="A191" s="5" t="n">
        <v>2209</v>
      </c>
      <c r="B191" s="5" t="inlineStr">
        <is>
          <t>BLANCA TEMPRANA sem penult</t>
        </is>
      </c>
      <c r="C191" s="5" t="inlineStr">
        <is>
          <t>WARNING</t>
        </is>
      </c>
      <c r="D191" s="5" t="inlineStr">
        <is>
          <t>Warning</t>
        </is>
      </c>
      <c r="E191" s="5" t="inlineStr">
        <is>
          <t>No existe tarifa BonCalidad para socio=1126 campaña=2026 empresa=1 cultivo=CITRICOS.</t>
        </is>
      </c>
      <c r="F191" s="6" t="n">
        <v>46231.74403596089</v>
      </c>
      <c r="G191" s="5" t="inlineStr">
        <is>
          <t>WARNING</t>
        </is>
      </c>
    </row>
    <row r="192">
      <c r="A192" s="5" t="n">
        <v>2209</v>
      </c>
      <c r="B192" s="5" t="inlineStr">
        <is>
          <t>BLANCA TEMPRANA sem penult</t>
        </is>
      </c>
      <c r="C192" s="5" t="inlineStr">
        <is>
          <t>WARNING</t>
        </is>
      </c>
      <c r="D192" s="5" t="inlineStr">
        <is>
          <t>Warning</t>
        </is>
      </c>
      <c r="E192" s="5" t="inlineStr">
        <is>
          <t>No existe fuente acumulada disponible; saldo informativo calculado con cuota ya aplicada = 0.</t>
        </is>
      </c>
      <c r="F192" s="6" t="n">
        <v>46231.74403596089</v>
      </c>
      <c r="G192" s="5" t="inlineStr">
        <is>
          <t>WARNING</t>
        </is>
      </c>
    </row>
    <row r="193">
      <c r="A193" s="5" t="n">
        <v>2209</v>
      </c>
      <c r="B193" s="5" t="inlineStr">
        <is>
          <t>BLANCA TEMPRANA sem penult</t>
        </is>
      </c>
      <c r="C193" s="5" t="inlineStr">
        <is>
          <t>WARNING</t>
        </is>
      </c>
      <c r="D193" s="5" t="inlineStr">
        <is>
          <t>Warning</t>
        </is>
      </c>
      <c r="E193" s="5" t="inlineStr">
        <is>
          <t>No existe tarifa BonCalidad para socio=1395 campaña=2026 empresa=1 cultivo=CITRICOS.</t>
        </is>
      </c>
      <c r="F193" s="6" t="n">
        <v>46231.74403596089</v>
      </c>
      <c r="G193" s="5" t="inlineStr">
        <is>
          <t>WARNING</t>
        </is>
      </c>
    </row>
    <row r="194">
      <c r="A194" s="5" t="n">
        <v>2209</v>
      </c>
      <c r="B194" s="5" t="inlineStr">
        <is>
          <t>BLANCA TEMPRANA sem penult</t>
        </is>
      </c>
      <c r="C194" s="5" t="inlineStr">
        <is>
          <t>WARNING</t>
        </is>
      </c>
      <c r="D194" s="5" t="inlineStr">
        <is>
          <t>Warning</t>
        </is>
      </c>
      <c r="E194" s="5" t="inlineStr">
        <is>
          <t>No existe tarifa BonCalidad para socio=1419 campaña=2026 empresa=1 cultivo=CITRICOS.</t>
        </is>
      </c>
      <c r="F194" s="6" t="n">
        <v>46231.74403596089</v>
      </c>
      <c r="G194" s="5" t="inlineStr">
        <is>
          <t>WARNING</t>
        </is>
      </c>
    </row>
    <row r="195">
      <c r="A195" s="5" t="n">
        <v>2209</v>
      </c>
      <c r="B195" s="5" t="inlineStr">
        <is>
          <t>BLANCA TEMPRANA sem penult</t>
        </is>
      </c>
      <c r="C195" s="5" t="inlineStr">
        <is>
          <t>WARNING</t>
        </is>
      </c>
      <c r="D195" s="5" t="inlineStr">
        <is>
          <t>Warning</t>
        </is>
      </c>
      <c r="E195" s="5" t="inlineStr">
        <is>
          <t>No existe tarifa BonCalidad para socio=1529 campaña=2026 empresa=1 cultivo=CITRICOS.</t>
        </is>
      </c>
      <c r="F195" s="6" t="n">
        <v>46231.74403596089</v>
      </c>
      <c r="G195" s="5" t="inlineStr">
        <is>
          <t>WARNING</t>
        </is>
      </c>
    </row>
    <row r="196">
      <c r="A196" s="5" t="n">
        <v>2211</v>
      </c>
      <c r="B196" s="5" t="inlineStr">
        <is>
          <t>BLANCA TEMPRANA sem ultim</t>
        </is>
      </c>
      <c r="C196" s="5" t="inlineStr">
        <is>
          <t>WARNING</t>
        </is>
      </c>
      <c r="D196" s="5" t="inlineStr">
        <is>
          <t>Warning</t>
        </is>
      </c>
      <c r="E196" s="5" t="inlineStr">
        <is>
          <t>20 entregas ya figuran como liquidadas.</t>
        </is>
      </c>
      <c r="F196" s="6" t="n">
        <v>46231.74403596089</v>
      </c>
      <c r="G196" s="5" t="inlineStr">
        <is>
          <t>WARNING</t>
        </is>
      </c>
    </row>
    <row r="197">
      <c r="A197" s="5" t="n">
        <v>2211</v>
      </c>
      <c r="B197" s="5" t="inlineStr">
        <is>
          <t>BLANCA TEMPRANA sem ultim</t>
        </is>
      </c>
      <c r="C197" s="5" t="inlineStr">
        <is>
          <t>WARNING</t>
        </is>
      </c>
      <c r="D197" s="5" t="inlineStr">
        <is>
          <t>Warning</t>
        </is>
      </c>
      <c r="E197" s="5" t="inlineStr">
        <is>
          <t>No existe fuente acumulada disponible; saldo informativo calculado con cuota ya aplicada = 0.</t>
        </is>
      </c>
      <c r="F197" s="6" t="n">
        <v>46231.74403596089</v>
      </c>
      <c r="G197" s="5" t="inlineStr">
        <is>
          <t>WARNING</t>
        </is>
      </c>
    </row>
    <row r="198">
      <c r="A198" s="5" t="n">
        <v>2211</v>
      </c>
      <c r="B198" s="5" t="inlineStr">
        <is>
          <t>BLANCA TEMPRANA sem ultim</t>
        </is>
      </c>
      <c r="C198" s="5" t="inlineStr">
        <is>
          <t>WARNING</t>
        </is>
      </c>
      <c r="D198" s="5" t="inlineStr">
        <is>
          <t>Warning</t>
        </is>
      </c>
      <c r="E198" s="5" t="inlineStr">
        <is>
          <t>No existe tarifa BonCalidad para socio=1395 campaña=2026 empresa=1 cultivo=CITRICOS.</t>
        </is>
      </c>
      <c r="F198" s="6" t="n">
        <v>46231.74403596089</v>
      </c>
      <c r="G198" s="5" t="inlineStr">
        <is>
          <t>WARNING</t>
        </is>
      </c>
    </row>
    <row r="199">
      <c r="A199" s="5" t="n">
        <v>2211</v>
      </c>
      <c r="B199" s="5" t="inlineStr">
        <is>
          <t>BLANCA TEMPRANA sem ultim</t>
        </is>
      </c>
      <c r="C199" s="5" t="inlineStr">
        <is>
          <t>WARNING</t>
        </is>
      </c>
      <c r="D199" s="5" t="inlineStr">
        <is>
          <t>Warning</t>
        </is>
      </c>
      <c r="E199" s="5" t="inlineStr">
        <is>
          <t>No existe tarifa BonCalidad para socio=1419 campaña=2026 empresa=1 cultivo=CITRICOS.</t>
        </is>
      </c>
      <c r="F199" s="6" t="n">
        <v>46231.74403596089</v>
      </c>
      <c r="G199" s="5" t="inlineStr">
        <is>
          <t>WARNING</t>
        </is>
      </c>
    </row>
    <row r="200">
      <c r="A200" s="5" t="n">
        <v>2211</v>
      </c>
      <c r="B200" s="5" t="inlineStr">
        <is>
          <t>BLANCA TEMPRANA sem ultim</t>
        </is>
      </c>
      <c r="C200" s="5" t="inlineStr">
        <is>
          <t>WARNING</t>
        </is>
      </c>
      <c r="D200" s="5" t="inlineStr">
        <is>
          <t>Warning</t>
        </is>
      </c>
      <c r="E200" s="5" t="inlineStr">
        <is>
          <t>No existe tarifa BonCalidad para socio=1561 campaña=2026 empresa=1 cultivo=CITRICOS.</t>
        </is>
      </c>
      <c r="F200" s="6" t="n">
        <v>46231.74403596089</v>
      </c>
      <c r="G200" s="5" t="inlineStr">
        <is>
          <t>WARNING</t>
        </is>
      </c>
    </row>
    <row r="201">
      <c r="A201" s="5" t="n">
        <v>2212</v>
      </c>
      <c r="B201" s="5" t="inlineStr">
        <is>
          <t>BLANCA TEMPRANA sem1</t>
        </is>
      </c>
      <c r="C201" s="5" t="inlineStr">
        <is>
          <t>WARNING</t>
        </is>
      </c>
      <c r="D201" s="5" t="inlineStr">
        <is>
          <t>Warning</t>
        </is>
      </c>
      <c r="E201" s="5" t="inlineStr">
        <is>
          <t>16 entregas ya figuran como liquidadas.</t>
        </is>
      </c>
      <c r="F201" s="6" t="n">
        <v>46231.74403596089</v>
      </c>
      <c r="G201" s="5" t="inlineStr">
        <is>
          <t>WARNING</t>
        </is>
      </c>
    </row>
    <row r="202">
      <c r="A202" s="5" t="n">
        <v>2212</v>
      </c>
      <c r="B202" s="5" t="inlineStr">
        <is>
          <t>BLANCA TEMPRANA sem1</t>
        </is>
      </c>
      <c r="C202" s="5" t="inlineStr">
        <is>
          <t>WARNING</t>
        </is>
      </c>
      <c r="D202" s="5" t="inlineStr">
        <is>
          <t>Warning</t>
        </is>
      </c>
      <c r="E202" s="5" t="inlineStr">
        <is>
          <t>No existe tarifa BonCalidad para socio=1585 campaña=2026 empresa=1 cultivo=CITRICOS.</t>
        </is>
      </c>
      <c r="F202" s="6" t="n">
        <v>46231.74403596089</v>
      </c>
      <c r="G202" s="5" t="inlineStr">
        <is>
          <t>WARNING</t>
        </is>
      </c>
    </row>
    <row r="203">
      <c r="A203" s="5" t="n">
        <v>2212</v>
      </c>
      <c r="B203" s="5" t="inlineStr">
        <is>
          <t>BLANCA TEMPRANA sem1</t>
        </is>
      </c>
      <c r="C203" s="5" t="inlineStr">
        <is>
          <t>WARNING</t>
        </is>
      </c>
      <c r="D203" s="5" t="inlineStr">
        <is>
          <t>Warning</t>
        </is>
      </c>
      <c r="E203" s="5" t="inlineStr">
        <is>
          <t>No existe fuente acumulada disponible; saldo informativo calculado con cuota ya aplicada = 0.</t>
        </is>
      </c>
      <c r="F203" s="6" t="n">
        <v>46231.74403596089</v>
      </c>
      <c r="G203" s="5" t="inlineStr">
        <is>
          <t>WARNING</t>
        </is>
      </c>
    </row>
    <row r="204">
      <c r="A204" s="5" t="n">
        <v>2212</v>
      </c>
      <c r="B204" s="5" t="inlineStr">
        <is>
          <t>BLANCA TEMPRANA sem1</t>
        </is>
      </c>
      <c r="C204" s="5" t="inlineStr">
        <is>
          <t>WARNING</t>
        </is>
      </c>
      <c r="D204" s="5" t="inlineStr">
        <is>
          <t>Warning</t>
        </is>
      </c>
      <c r="E204" s="5" t="inlineStr">
        <is>
          <t>No existe tarifa BonCalidad para socio=1614 campaña=2026 empresa=1 cultivo=CITRICOS.</t>
        </is>
      </c>
      <c r="F204" s="6" t="n">
        <v>46231.74403596089</v>
      </c>
      <c r="G204" s="5" t="inlineStr">
        <is>
          <t>WARNING</t>
        </is>
      </c>
    </row>
    <row r="205">
      <c r="A205" s="5" t="n">
        <v>2326</v>
      </c>
      <c r="B205" s="5" t="inlineStr">
        <is>
          <t>Caracara</t>
        </is>
      </c>
      <c r="C205" s="5" t="inlineStr">
        <is>
          <t>WARNING</t>
        </is>
      </c>
      <c r="D205" s="5" t="inlineStr">
        <is>
          <t>Warning</t>
        </is>
      </c>
      <c r="E205" s="5" t="inlineStr">
        <is>
          <t>5 entregas ya figuran como liquidadas.</t>
        </is>
      </c>
      <c r="F205" s="6" t="n">
        <v>46231.74403596089</v>
      </c>
      <c r="G205" s="5" t="inlineStr">
        <is>
          <t>WARNING</t>
        </is>
      </c>
    </row>
    <row r="206">
      <c r="A206" s="5" t="n">
        <v>2326</v>
      </c>
      <c r="B206" s="5" t="inlineStr">
        <is>
          <t>Caracara</t>
        </is>
      </c>
      <c r="C206" s="5" t="inlineStr">
        <is>
          <t>WARNING</t>
        </is>
      </c>
      <c r="D206" s="5" t="inlineStr">
        <is>
          <t>Warning</t>
        </is>
      </c>
      <c r="E206" s="5" t="inlineStr">
        <is>
          <t>No existe tarifa BonCalidad para socio=1528 campaña=2026 empresa=1 cultivo=CITRICOS.</t>
        </is>
      </c>
      <c r="F206" s="6" t="n">
        <v>46231.74403596089</v>
      </c>
      <c r="G206" s="5" t="inlineStr">
        <is>
          <t>WARNING</t>
        </is>
      </c>
    </row>
    <row r="207">
      <c r="A207" s="5" t="n">
        <v>2326</v>
      </c>
      <c r="B207" s="5" t="inlineStr">
        <is>
          <t>Caracara</t>
        </is>
      </c>
      <c r="C207" s="5" t="inlineStr">
        <is>
          <t>WARNING</t>
        </is>
      </c>
      <c r="D207" s="5" t="inlineStr">
        <is>
          <t>Warning</t>
        </is>
      </c>
      <c r="E207" s="5" t="inlineStr">
        <is>
          <t>No existe fuente acumulada disponible; saldo informativo calculado con cuota ya aplicada = 0.</t>
        </is>
      </c>
      <c r="F207" s="6" t="n">
        <v>46231.74403596089</v>
      </c>
      <c r="G207" s="5" t="inlineStr">
        <is>
          <t>WARNING</t>
        </is>
      </c>
    </row>
  </sheetData>
  <autoFilter ref="A1:G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Fecha y hora de inicio</t>
        </is>
      </c>
      <c r="B1" s="2" t="n">
        <v>46231.74379855736</v>
      </c>
    </row>
    <row r="2">
      <c r="A2" s="5" t="inlineStr">
        <is>
          <t>Fecha y hora de fin</t>
        </is>
      </c>
      <c r="B2" s="6" t="n">
        <v>46231.74403596089</v>
      </c>
    </row>
    <row r="3">
      <c r="A3" s="5" t="inlineStr">
        <is>
          <t>Campaña</t>
        </is>
      </c>
      <c r="B3" s="5" t="inlineStr">
        <is>
          <t>2026</t>
        </is>
      </c>
    </row>
    <row r="4">
      <c r="A4" s="5" t="inlineStr">
        <is>
          <t>Empresa</t>
        </is>
      </c>
      <c r="B4" s="5" t="inlineStr">
        <is>
          <t>1</t>
        </is>
      </c>
    </row>
    <row r="5">
      <c r="A5" s="5" t="inlineStr">
        <is>
          <t>Cultivo</t>
        </is>
      </c>
      <c r="B5" s="5" t="inlineStr">
        <is>
          <t>CITRICOS</t>
        </is>
      </c>
    </row>
    <row r="6">
      <c r="A6" s="5" t="inlineStr">
        <is>
          <t>Usuario</t>
        </is>
      </c>
      <c r="B6" s="5" t="inlineStr"/>
    </row>
    <row r="7">
      <c r="A7" s="5" t="inlineStr">
        <is>
          <t>Número de remesas seleccionadas</t>
        </is>
      </c>
      <c r="B7" s="7" t="n">
        <v>17</v>
      </c>
    </row>
    <row r="8">
      <c r="A8" s="5" t="inlineStr">
        <is>
          <t>Número correctas</t>
        </is>
      </c>
      <c r="B8" s="7" t="n">
        <v>15</v>
      </c>
    </row>
    <row r="9">
      <c r="A9" s="5" t="inlineStr">
        <is>
          <t>Número con error</t>
        </is>
      </c>
      <c r="B9" s="7" t="n">
        <v>2</v>
      </c>
    </row>
    <row r="10">
      <c r="A10" s="5" t="inlineStr">
        <is>
          <t>IDs seleccionados</t>
        </is>
      </c>
      <c r="B10" s="5" t="inlineStr">
        <is>
          <t>2197, 2198, 2199, 2200, 2202, 2203, 2204, 2205, 2206, 2207, 2208, 2209, 2211, 2212, 2326, 2201, 2210</t>
        </is>
      </c>
    </row>
    <row r="11">
      <c r="A11" s="5" t="inlineStr">
        <is>
          <t>Nombres de las remesas</t>
        </is>
      </c>
      <c r="B11" s="5" t="inlineStr">
        <is>
          <t>NAVEL TEMPRANA sem1, NAVEL TEMPRANA sem2, NAVEL TEMPRANA sem 3, NAVEL TEMPRANA sem 4 y +, NAVEL TEMPRANA sem ultim, BLANCA TEMPRANA sem2, NAVEL TARDIA, BLANCA TARDIA, BLANCA TEMPRANA sem 3, BLANCA TEMPRANA sem 4 y +, BLANCA TEMPRANA sem antep, BLANCA TEMPRANA sem penult, BLANCA TEMPRANA sem ultim, BLANCA TEMPRANA sem1, Caracara, NAVEL TEMPRANA sem antep, NAVEL TEMPRANA sem penult</t>
        </is>
      </c>
    </row>
    <row r="12">
      <c r="A12" s="5" t="inlineStr">
        <is>
          <t>Tarifa Cuota Ha</t>
        </is>
      </c>
      <c r="B12" s="8" t="n">
        <v>195</v>
      </c>
    </row>
    <row r="13">
      <c r="A13" s="5" t="inlineStr">
        <is>
          <t>Cultivos sujetos a Cuota Ha</t>
        </is>
      </c>
      <c r="B13" s="5" t="inlineStr">
        <is>
          <t>DIRECTOCHF, DIRECTO, MANDARINA, INDUSTRIA, CITRICOS</t>
        </is>
      </c>
    </row>
    <row r="14">
      <c r="A14" s="5" t="inlineStr">
        <is>
          <t>Versión de la aplicación</t>
        </is>
      </c>
      <c r="B14" s="5" t="inlineStr">
        <is>
          <t>Remesas</t>
        </is>
      </c>
    </row>
    <row r="15">
      <c r="A15" s="5" t="inlineStr">
        <is>
          <t>Ruta base de salida</t>
        </is>
      </c>
      <c r="B15" s="5" t="inlineStr">
        <is>
          <t>C:\Liquidaciones\salidas\remesas\2026\CITRICOS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2026-07-28T15:51:24Z</dcterms:created>
  <dcterms:modified xmlns:dcterms="http://purl.org/dc/terms/" xmlns:xsi="http://www.w3.org/2001/XMLSchema-instance" xsi:type="dcterms:W3CDTF">2026-07-28T15:51:24Z</dcterms:modified>
</cp:coreProperties>
</file>