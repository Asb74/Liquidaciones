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909</v>
      </c>
      <c r="B2" s="3" t="inlineStr">
        <is>
          <t>LEON PINEDA,ROSARIO</t>
        </is>
      </c>
      <c r="C2" s="3" t="inlineStr">
        <is>
          <t>BARBERINA</t>
        </is>
      </c>
      <c r="D2" s="2" t="n">
        <v>19840</v>
      </c>
      <c r="E2" s="4" t="n">
        <v>8232.51</v>
      </c>
      <c r="F2" s="5" t="n">
        <v>0.414945060483871</v>
      </c>
      <c r="G2" s="4" t="n">
        <v>1240</v>
      </c>
      <c r="H2" s="4" t="n">
        <v>425.55</v>
      </c>
      <c r="I2" s="4" t="n">
        <v>0</v>
      </c>
      <c r="J2" s="4" t="n">
        <v>0</v>
      </c>
      <c r="K2" s="4" t="n">
        <v>0</v>
      </c>
      <c r="L2" s="4" t="n">
        <v>6566.96</v>
      </c>
      <c r="M2" s="5" t="n">
        <v>0.3633</v>
      </c>
      <c r="N2" s="6" t="n">
        <v>12</v>
      </c>
      <c r="O2" s="6" t="n">
        <v>2</v>
      </c>
      <c r="P2" s="4" t="n">
        <v>7207.9</v>
      </c>
      <c r="Q2" s="3" t="inlineStr">
        <is>
          <t>BLANCA TARDIA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1072</v>
      </c>
      <c r="B3" s="3" t="inlineStr">
        <is>
          <t>GARCIA DELGADO,JUAN MANUEL</t>
        </is>
      </c>
      <c r="C3" s="3" t="inlineStr">
        <is>
          <t>VALENCIA DELTA</t>
        </is>
      </c>
      <c r="D3" s="2" t="n">
        <v>103842</v>
      </c>
      <c r="E3" s="4" t="n">
        <v>38912.19</v>
      </c>
      <c r="F3" s="5" t="n">
        <v>0.3747249667764488</v>
      </c>
      <c r="G3" s="4" t="n">
        <v>7476.64</v>
      </c>
      <c r="H3" s="4" t="n">
        <v>1546.86</v>
      </c>
      <c r="I3" s="4" t="n">
        <v>0</v>
      </c>
      <c r="J3" s="4" t="n">
        <v>0</v>
      </c>
      <c r="K3" s="4" t="n">
        <v>0</v>
      </c>
      <c r="L3" s="4" t="n">
        <v>29888.69</v>
      </c>
      <c r="M3" s="5" t="n">
        <v>0.31592</v>
      </c>
      <c r="N3" s="6" t="n">
        <v>12</v>
      </c>
      <c r="O3" s="6" t="n">
        <v>2</v>
      </c>
      <c r="P3" s="4" t="n">
        <v>32805.83</v>
      </c>
      <c r="Q3" s="3" t="inlineStr">
        <is>
          <t>BLANCA TARDIA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1426</v>
      </c>
      <c r="B4" s="3" t="inlineStr">
        <is>
          <t>MONTERO MERAT,JUAN MANUEL</t>
        </is>
      </c>
      <c r="C4" s="3" t="inlineStr">
        <is>
          <t>VALENCIA DELTA</t>
        </is>
      </c>
      <c r="D4" s="2" t="n">
        <v>41864</v>
      </c>
      <c r="E4" s="4" t="n">
        <v>15440.26</v>
      </c>
      <c r="F4" s="5" t="n">
        <v>0.368819510796866</v>
      </c>
      <c r="G4" s="4" t="n">
        <v>3014.21</v>
      </c>
      <c r="H4" s="4" t="n">
        <v>268.63</v>
      </c>
      <c r="I4" s="4" t="n">
        <v>0</v>
      </c>
      <c r="J4" s="4" t="n">
        <v>0</v>
      </c>
      <c r="K4" s="4" t="n">
        <v>0</v>
      </c>
      <c r="L4" s="4" t="n">
        <v>12157.42</v>
      </c>
      <c r="M4" s="5" t="n">
        <v>0.31875</v>
      </c>
      <c r="N4" s="6" t="n">
        <v>12</v>
      </c>
      <c r="O4" s="6" t="n">
        <v>2</v>
      </c>
      <c r="P4" s="4" t="n">
        <v>13343.98</v>
      </c>
      <c r="Q4" s="3" t="inlineStr">
        <is>
          <t>BLANCA TARDIA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1491</v>
      </c>
      <c r="B5" s="3" t="inlineStr">
        <is>
          <t>JIMENEZ LORENTE,SONIA</t>
        </is>
      </c>
      <c r="C5" s="3" t="inlineStr">
        <is>
          <t>VALENCIA DELTA</t>
        </is>
      </c>
      <c r="D5" s="2" t="n">
        <v>30223</v>
      </c>
      <c r="E5" s="4" t="n">
        <v>12011.2</v>
      </c>
      <c r="F5" s="5" t="n">
        <v>0.3974191840651159</v>
      </c>
      <c r="G5" s="4" t="n">
        <v>2176.06</v>
      </c>
      <c r="H5" s="4" t="n">
        <v>194.12</v>
      </c>
      <c r="I5" s="4" t="n">
        <v>0</v>
      </c>
      <c r="J5" s="4" t="n">
        <v>0</v>
      </c>
      <c r="K5" s="4" t="n">
        <v>471.74</v>
      </c>
      <c r="L5" s="4" t="n">
        <v>10112.76</v>
      </c>
      <c r="M5" s="5" t="n">
        <v>0.36726</v>
      </c>
      <c r="N5" s="6" t="n">
        <v>12</v>
      </c>
      <c r="O5" s="6" t="n">
        <v>2</v>
      </c>
      <c r="P5" s="4" t="n">
        <v>11099.77</v>
      </c>
      <c r="Q5" s="3" t="inlineStr">
        <is>
          <t>BLANCA TARDIA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1528</v>
      </c>
      <c r="B6" s="3" t="inlineStr">
        <is>
          <t>RAMOS BRUGAROLAS, IGNACIO</t>
        </is>
      </c>
      <c r="C6" s="3" t="inlineStr">
        <is>
          <t>VALENCIA LATE</t>
        </is>
      </c>
      <c r="D6" s="2" t="n">
        <v>222487</v>
      </c>
      <c r="E6" s="4" t="n">
        <v>86642.3</v>
      </c>
      <c r="F6" s="5" t="n">
        <v>0.3894263485057554</v>
      </c>
      <c r="G6" s="4" t="n">
        <v>17344.27</v>
      </c>
      <c r="H6" s="4" t="n">
        <v>1871.19</v>
      </c>
      <c r="I6" s="4" t="n">
        <v>0</v>
      </c>
      <c r="J6" s="4" t="n">
        <v>0</v>
      </c>
      <c r="K6" s="4" t="n">
        <v>0</v>
      </c>
      <c r="L6" s="4" t="n">
        <v>67426.84</v>
      </c>
      <c r="M6" s="5" t="n">
        <v>0.33264</v>
      </c>
      <c r="N6" s="6" t="n">
        <v>12</v>
      </c>
      <c r="O6" s="6" t="n">
        <v>2</v>
      </c>
      <c r="P6" s="4" t="n">
        <v>74007.7</v>
      </c>
      <c r="Q6" s="3" t="inlineStr">
        <is>
          <t>BLANCA TARDIA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1534</v>
      </c>
      <c r="B7" s="3" t="inlineStr">
        <is>
          <t>RAMOS BRUGAROLAS, JOSE RAMON</t>
        </is>
      </c>
      <c r="C7" s="3" t="inlineStr">
        <is>
          <t>VALENCIA LATE</t>
        </is>
      </c>
      <c r="D7" s="2" t="n">
        <v>108512</v>
      </c>
      <c r="E7" s="4" t="n">
        <v>43353.96</v>
      </c>
      <c r="F7" s="5" t="n">
        <v>0.3995314803892657</v>
      </c>
      <c r="G7" s="4" t="n">
        <v>7812.86</v>
      </c>
      <c r="H7" s="4" t="n">
        <v>999.52</v>
      </c>
      <c r="I7" s="4" t="n">
        <v>0</v>
      </c>
      <c r="J7" s="4" t="n">
        <v>0</v>
      </c>
      <c r="K7" s="4" t="n">
        <v>0</v>
      </c>
      <c r="L7" s="4" t="n">
        <v>34541.58</v>
      </c>
      <c r="M7" s="5" t="n">
        <v>0.34939</v>
      </c>
      <c r="N7" s="6" t="n">
        <v>12</v>
      </c>
      <c r="O7" s="6" t="n">
        <v>2</v>
      </c>
      <c r="P7" s="4" t="n">
        <v>37912.84</v>
      </c>
      <c r="Q7" s="3" t="inlineStr">
        <is>
          <t>BLANCA TARDIA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1592</v>
      </c>
      <c r="B8" s="3" t="inlineStr">
        <is>
          <t>SANTIAGO ESCABIA, JUAN</t>
        </is>
      </c>
      <c r="C8" s="3" t="inlineStr">
        <is>
          <t>BARBERINA</t>
        </is>
      </c>
      <c r="D8" s="2" t="n">
        <v>50210</v>
      </c>
      <c r="E8" s="4" t="n">
        <v>20165.77</v>
      </c>
      <c r="F8" s="5" t="n">
        <v>0.4016285600477992</v>
      </c>
      <c r="G8" s="4" t="n">
        <v>3138.13</v>
      </c>
      <c r="H8" s="4" t="n">
        <v>716.3099999999999</v>
      </c>
      <c r="I8" s="4" t="n">
        <v>0</v>
      </c>
      <c r="J8" s="4" t="n">
        <v>0</v>
      </c>
      <c r="K8" s="4" t="n">
        <v>0</v>
      </c>
      <c r="L8" s="4" t="n">
        <v>16311.33</v>
      </c>
      <c r="M8" s="5" t="n">
        <v>0.35657</v>
      </c>
      <c r="N8" s="6" t="n">
        <v>12</v>
      </c>
      <c r="O8" s="6" t="n">
        <v>2</v>
      </c>
      <c r="P8" s="4" t="n">
        <v>17903.32</v>
      </c>
      <c r="Q8" s="3" t="inlineStr">
        <is>
          <t>BLANCA TARDIA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1594</v>
      </c>
      <c r="B9" s="3" t="inlineStr">
        <is>
          <t>CANO MANZANARES, ISABEL MARIA</t>
        </is>
      </c>
      <c r="C9" s="3" t="inlineStr">
        <is>
          <t>BARBERINA</t>
        </is>
      </c>
      <c r="D9" s="2" t="n">
        <v>71644</v>
      </c>
      <c r="E9" s="4" t="n">
        <v>32142.48</v>
      </c>
      <c r="F9" s="5" t="n">
        <v>0.4486416168834794</v>
      </c>
      <c r="G9" s="4" t="n">
        <v>4477.75</v>
      </c>
      <c r="H9" s="4" t="n">
        <v>455.73</v>
      </c>
      <c r="I9" s="4" t="n">
        <v>0</v>
      </c>
      <c r="J9" s="4" t="n">
        <v>795.25</v>
      </c>
      <c r="K9" s="4" t="n">
        <v>1203.75</v>
      </c>
      <c r="L9" s="4" t="n">
        <v>29208</v>
      </c>
      <c r="M9" s="5" t="n">
        <v>0.44747</v>
      </c>
      <c r="N9" s="6" t="n">
        <v>12</v>
      </c>
      <c r="O9" s="6" t="n">
        <v>2</v>
      </c>
      <c r="P9" s="4" t="n">
        <v>32058.7</v>
      </c>
      <c r="Q9" s="3" t="inlineStr">
        <is>
          <t>BLANCA TARDIA</t>
        </is>
      </c>
      <c r="R9" s="3" t="inlineStr">
        <is>
          <t>CITRICOS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1596</v>
      </c>
      <c r="B10" s="3" t="inlineStr">
        <is>
          <t>RUEDA GARCIA, Mª MERCEDES</t>
        </is>
      </c>
      <c r="C10" s="3" t="inlineStr">
        <is>
          <t>VALENCIA DELTA</t>
        </is>
      </c>
      <c r="D10" s="2" t="n">
        <v>50698</v>
      </c>
      <c r="E10" s="4" t="n">
        <v>19424.03</v>
      </c>
      <c r="F10" s="5" t="n">
        <v>0.3831320762160243</v>
      </c>
      <c r="G10" s="4" t="n">
        <v>3650.26</v>
      </c>
      <c r="H10" s="4" t="n">
        <v>798.29</v>
      </c>
      <c r="I10" s="4" t="n">
        <v>0</v>
      </c>
      <c r="J10" s="4" t="n">
        <v>0</v>
      </c>
      <c r="K10" s="4" t="n">
        <v>785.38</v>
      </c>
      <c r="L10" s="4" t="n">
        <v>15760.86</v>
      </c>
      <c r="M10" s="5" t="n">
        <v>0.34122</v>
      </c>
      <c r="N10" s="6" t="n">
        <v>12</v>
      </c>
      <c r="O10" s="6" t="n">
        <v>2</v>
      </c>
      <c r="P10" s="4" t="n">
        <v>17299.12</v>
      </c>
      <c r="Q10" s="3" t="inlineStr">
        <is>
          <t>BLANCA TARDIA</t>
        </is>
      </c>
      <c r="R10" s="3" t="inlineStr">
        <is>
          <t>CITRICOS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1609</v>
      </c>
      <c r="B11" s="3" t="inlineStr">
        <is>
          <t>GARCIA BARRAGAN, ROCIO</t>
        </is>
      </c>
      <c r="C11" s="3" t="inlineStr">
        <is>
          <t>BARBERINA</t>
        </is>
      </c>
      <c r="D11" s="2" t="n">
        <v>12800</v>
      </c>
      <c r="E11" s="4" t="n">
        <v>5218.71</v>
      </c>
      <c r="F11" s="5" t="n">
        <v>0.40771171875</v>
      </c>
      <c r="G11" s="4" t="n">
        <v>800</v>
      </c>
      <c r="H11" s="4" t="n">
        <v>374.4</v>
      </c>
      <c r="I11" s="4" t="n">
        <v>0</v>
      </c>
      <c r="J11" s="4" t="n">
        <v>0</v>
      </c>
      <c r="K11" s="4" t="n">
        <v>0</v>
      </c>
      <c r="L11" s="4" t="n">
        <v>4044.31</v>
      </c>
      <c r="M11" s="5" t="n">
        <v>0.3468</v>
      </c>
      <c r="N11" s="6" t="n">
        <v>12</v>
      </c>
      <c r="O11" s="6" t="n">
        <v>2</v>
      </c>
      <c r="P11" s="4" t="n">
        <v>4439.03</v>
      </c>
      <c r="Q11" s="3" t="inlineStr">
        <is>
          <t>BLANCA TARDIA</t>
        </is>
      </c>
      <c r="R11" s="3" t="inlineStr">
        <is>
          <t>CITRICOS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1614</v>
      </c>
      <c r="B12" s="3" t="inlineStr">
        <is>
          <t>MARIN SERRANO 2025 S.C.</t>
        </is>
      </c>
      <c r="C12" s="3" t="inlineStr">
        <is>
          <t>VALENCIA LATE</t>
        </is>
      </c>
      <c r="D12" s="2" t="n">
        <v>104697</v>
      </c>
      <c r="E12" s="4" t="n">
        <v>38245.41</v>
      </c>
      <c r="F12" s="5" t="n">
        <v>0.3652961402905527</v>
      </c>
      <c r="G12" s="4" t="n">
        <v>7538.18</v>
      </c>
      <c r="H12" s="4" t="n">
        <v>200.6</v>
      </c>
      <c r="I12" s="4" t="n">
        <v>0</v>
      </c>
      <c r="J12" s="4" t="n">
        <v>0</v>
      </c>
      <c r="K12" s="4" t="n">
        <v>0</v>
      </c>
      <c r="L12" s="4" t="n">
        <v>30506.63</v>
      </c>
      <c r="M12" s="5" t="n">
        <v>0.31982</v>
      </c>
      <c r="N12" s="6" t="n">
        <v>12</v>
      </c>
      <c r="O12" s="6" t="n">
        <v>2</v>
      </c>
      <c r="P12" s="4" t="n">
        <v>33484.08</v>
      </c>
      <c r="Q12" s="3" t="inlineStr">
        <is>
          <t>BLANCA TARDIA</t>
        </is>
      </c>
      <c r="R12" s="3" t="inlineStr">
        <is>
          <t>CITRICOS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1615</v>
      </c>
      <c r="B13" s="3" t="inlineStr">
        <is>
          <t>RURAL PRIME S.L.</t>
        </is>
      </c>
      <c r="C13" s="3" t="inlineStr">
        <is>
          <t>VALENCIA DELTA</t>
        </is>
      </c>
      <c r="D13" s="2" t="n">
        <v>115118</v>
      </c>
      <c r="E13" s="4" t="n">
        <v>45137.21</v>
      </c>
      <c r="F13" s="5" t="n">
        <v>0.3920951545370837</v>
      </c>
      <c r="G13" s="4" t="n">
        <v>8288.49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36848.72</v>
      </c>
      <c r="M13" s="5" t="n">
        <v>0.3329</v>
      </c>
      <c r="N13" s="6" t="n">
        <v>4</v>
      </c>
      <c r="O13" s="6" t="n">
        <v>0</v>
      </c>
      <c r="P13" s="4" t="n">
        <v>38322.67</v>
      </c>
      <c r="Q13" s="3" t="inlineStr">
        <is>
          <t>BLANCA TARDIA</t>
        </is>
      </c>
      <c r="R13" s="3" t="inlineStr">
        <is>
          <t>CITRICOS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8" t="n"/>
      <c r="B14" s="9" t="inlineStr">
        <is>
          <t>TOTAL</t>
        </is>
      </c>
      <c r="C14" s="9" t="n"/>
      <c r="D14" s="8">
        <f>SUM(D2:D13)</f>
        <v/>
      </c>
      <c r="E14" s="10">
        <f>SUM(E2:E13)</f>
        <v/>
      </c>
      <c r="F14" s="11" t="n"/>
      <c r="G14" s="10">
        <f>SUM(G2:G13)</f>
        <v/>
      </c>
      <c r="H14" s="10">
        <f>SUM(H2:H13)</f>
        <v/>
      </c>
      <c r="I14" s="10">
        <f>SUM(I2:I13)</f>
        <v/>
      </c>
      <c r="J14" s="10">
        <f>SUM(J2:J13)</f>
        <v/>
      </c>
      <c r="K14" s="10">
        <f>SUM(K2:K13)</f>
        <v/>
      </c>
      <c r="L14" s="10">
        <f>SUM(L2:L13)</f>
        <v/>
      </c>
      <c r="M14" s="11">
        <f>IFERROR(P14/D14,0)</f>
        <v/>
      </c>
      <c r="N14" s="12" t="n"/>
      <c r="O14" s="12" t="n"/>
      <c r="P14" s="10">
        <f>SUM(P2:P13)</f>
        <v/>
      </c>
      <c r="Q14" s="9" t="n"/>
      <c r="R14" s="9" t="n"/>
      <c r="S14" s="13" t="n"/>
      <c r="T14" s="13" t="n"/>
      <c r="U14" s="13" t="n"/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n">
        <v>0</v>
      </c>
      <c r="E2" t="inlineStr">
        <is>
          <t>not_found</t>
        </is>
      </c>
      <c r="F2" t="n">
        <v>2.2208</v>
      </c>
      <c r="G2" t="n">
        <v>195</v>
      </c>
      <c r="H2" t="n">
        <v>433.06</v>
      </c>
      <c r="I2" t="n">
        <v>20190</v>
      </c>
      <c r="J2" t="n">
        <v>0.02144923229321446</v>
      </c>
      <c r="K2" t="n">
        <v>425.55</v>
      </c>
      <c r="L2" t="n">
        <v>0</v>
      </c>
    </row>
    <row r="3">
      <c r="A3" t="n">
        <v>1072</v>
      </c>
      <c r="B3" t="inlineStr">
        <is>
          <t>GARCIA DELGADO,JUAN MANUEL</t>
        </is>
      </c>
      <c r="C3" t="inlineStr">
        <is>
          <t>VALENCIA DELTA</t>
        </is>
      </c>
      <c r="D3" t="n">
        <v>0</v>
      </c>
      <c r="E3" t="inlineStr">
        <is>
          <t>not_found</t>
        </is>
      </c>
      <c r="F3" t="n">
        <v>8.970000000000001</v>
      </c>
      <c r="G3" t="n">
        <v>195</v>
      </c>
      <c r="H3" t="n">
        <v>1749.15</v>
      </c>
      <c r="I3" t="n">
        <v>117422</v>
      </c>
      <c r="J3" t="n">
        <v>0.01489627156750864</v>
      </c>
      <c r="K3" t="n">
        <v>1546.86</v>
      </c>
      <c r="L3" t="n">
        <v>0</v>
      </c>
    </row>
    <row r="4">
      <c r="A4" t="n">
        <v>1426</v>
      </c>
      <c r="B4" t="inlineStr">
        <is>
          <t>MONTERO MERAT,JUAN MANUEL</t>
        </is>
      </c>
      <c r="C4" t="inlineStr">
        <is>
          <t>VALENCIA DELTA</t>
        </is>
      </c>
      <c r="D4" t="n">
        <v>0</v>
      </c>
      <c r="E4" t="inlineStr">
        <is>
          <t>not_found</t>
        </is>
      </c>
      <c r="F4" t="n">
        <v>1.43</v>
      </c>
      <c r="G4" t="n">
        <v>195</v>
      </c>
      <c r="H4" t="n">
        <v>278.85</v>
      </c>
      <c r="I4" t="n">
        <v>43456</v>
      </c>
      <c r="J4" t="n">
        <v>0.006416835419734904</v>
      </c>
      <c r="K4" t="n">
        <v>268.63</v>
      </c>
      <c r="L4" t="n">
        <v>0</v>
      </c>
    </row>
    <row r="5">
      <c r="A5" t="n">
        <v>1491</v>
      </c>
      <c r="B5" t="inlineStr">
        <is>
          <t>JIMENEZ LORENTE,SONIA</t>
        </is>
      </c>
      <c r="C5" t="inlineStr">
        <is>
          <t>VALENCIA DELTA</t>
        </is>
      </c>
      <c r="D5" t="n">
        <v>0</v>
      </c>
      <c r="E5" t="inlineStr">
        <is>
          <t>not_found</t>
        </is>
      </c>
      <c r="F5" t="n">
        <v>7.94</v>
      </c>
      <c r="G5" t="n">
        <v>195</v>
      </c>
      <c r="H5" t="n">
        <v>1548.3</v>
      </c>
      <c r="I5" t="n">
        <v>241057</v>
      </c>
      <c r="J5" t="n">
        <v>0.006422962203960059</v>
      </c>
      <c r="K5" t="n">
        <v>194.12</v>
      </c>
      <c r="L5" t="n">
        <v>0</v>
      </c>
    </row>
    <row r="6">
      <c r="A6" t="n">
        <v>1528</v>
      </c>
      <c r="B6" t="inlineStr">
        <is>
          <t>RAMOS BRUGAROLAS, IGNACIO</t>
        </is>
      </c>
      <c r="C6" t="inlineStr">
        <is>
          <t>VALENCIA LATE</t>
        </is>
      </c>
      <c r="D6" t="n">
        <v>0</v>
      </c>
      <c r="E6" t="inlineStr">
        <is>
          <t>not_found</t>
        </is>
      </c>
      <c r="F6" t="n">
        <v>21.34</v>
      </c>
      <c r="G6" t="n">
        <v>195</v>
      </c>
      <c r="H6" t="n">
        <v>4161.3</v>
      </c>
      <c r="I6" t="n">
        <v>494783</v>
      </c>
      <c r="J6" t="n">
        <v>0.008410353629773052</v>
      </c>
      <c r="K6" t="n">
        <v>1871.19</v>
      </c>
      <c r="L6" t="n">
        <v>0</v>
      </c>
    </row>
    <row r="7">
      <c r="A7" t="n">
        <v>1534</v>
      </c>
      <c r="B7" t="inlineStr">
        <is>
          <t>RAMOS BRUGAROLAS, JOSE RAMON</t>
        </is>
      </c>
      <c r="C7" t="inlineStr">
        <is>
          <t>VALENCIA LATE</t>
        </is>
      </c>
      <c r="D7" t="n">
        <v>0</v>
      </c>
      <c r="E7" t="inlineStr">
        <is>
          <t>not_found</t>
        </is>
      </c>
      <c r="F7" t="n">
        <v>9.630000000000001</v>
      </c>
      <c r="G7" t="n">
        <v>195</v>
      </c>
      <c r="H7" t="n">
        <v>1877.85</v>
      </c>
      <c r="I7" t="n">
        <v>203867</v>
      </c>
      <c r="J7" t="n">
        <v>0.009211152368946421</v>
      </c>
      <c r="K7" t="n">
        <v>999.52</v>
      </c>
      <c r="L7" t="n">
        <v>0</v>
      </c>
    </row>
    <row r="8">
      <c r="A8" t="n">
        <v>1592</v>
      </c>
      <c r="B8" t="inlineStr">
        <is>
          <t>SANTIAGO ESCABIA, JUAN</t>
        </is>
      </c>
      <c r="C8" t="inlineStr">
        <is>
          <t>BARBERINA</t>
        </is>
      </c>
      <c r="D8" t="n">
        <v>0</v>
      </c>
      <c r="E8" t="inlineStr">
        <is>
          <t>not_found</t>
        </is>
      </c>
      <c r="F8" t="n">
        <v>4.2192</v>
      </c>
      <c r="G8" t="n">
        <v>195</v>
      </c>
      <c r="H8" t="n">
        <v>822.74</v>
      </c>
      <c r="I8" t="n">
        <v>57670</v>
      </c>
      <c r="J8" t="n">
        <v>0.01426634298595457</v>
      </c>
      <c r="K8" t="n">
        <v>716.3099999999999</v>
      </c>
      <c r="L8" t="n">
        <v>0</v>
      </c>
    </row>
    <row r="9">
      <c r="A9" t="n">
        <v>1594</v>
      </c>
      <c r="B9" t="inlineStr">
        <is>
          <t>CANO MANZANARES, ISABEL MARIA</t>
        </is>
      </c>
      <c r="C9" t="inlineStr">
        <is>
          <t>BARBERINA</t>
        </is>
      </c>
      <c r="D9" t="n">
        <v>0</v>
      </c>
      <c r="E9" t="inlineStr">
        <is>
          <t>not_found</t>
        </is>
      </c>
      <c r="F9" t="n">
        <v>2.38</v>
      </c>
      <c r="G9" t="n">
        <v>195</v>
      </c>
      <c r="H9" t="n">
        <v>464.1</v>
      </c>
      <c r="I9" t="n">
        <v>72960</v>
      </c>
      <c r="J9" t="n">
        <v>0.006361019736842105</v>
      </c>
      <c r="K9" t="n">
        <v>455.73</v>
      </c>
      <c r="L9" t="n">
        <v>0</v>
      </c>
    </row>
    <row r="10">
      <c r="A10" t="n">
        <v>1596</v>
      </c>
      <c r="B10" t="inlineStr">
        <is>
          <t>RUEDA GARCIA, Mª MERCEDES</t>
        </is>
      </c>
      <c r="C10" t="inlineStr">
        <is>
          <t>VALENCIA DELTA</t>
        </is>
      </c>
      <c r="D10" t="n">
        <v>0</v>
      </c>
      <c r="E10" t="inlineStr">
        <is>
          <t>not_found</t>
        </is>
      </c>
      <c r="F10" t="n">
        <v>4.27</v>
      </c>
      <c r="G10" t="n">
        <v>195</v>
      </c>
      <c r="H10" t="n">
        <v>832.65</v>
      </c>
      <c r="I10" t="n">
        <v>52880</v>
      </c>
      <c r="J10" t="n">
        <v>0.01574602874432678</v>
      </c>
      <c r="K10" t="n">
        <v>798.29</v>
      </c>
      <c r="L10" t="n">
        <v>0</v>
      </c>
    </row>
    <row r="11">
      <c r="A11" t="n">
        <v>1609</v>
      </c>
      <c r="B11" t="inlineStr">
        <is>
          <t>GARCIA BARRAGAN, ROCIO</t>
        </is>
      </c>
      <c r="C11" t="inlineStr">
        <is>
          <t>BARBERINA</t>
        </is>
      </c>
      <c r="D11" t="n">
        <v>0</v>
      </c>
      <c r="E11" t="inlineStr">
        <is>
          <t>not_found</t>
        </is>
      </c>
      <c r="F11" t="n">
        <v>1.92</v>
      </c>
      <c r="G11" t="n">
        <v>195</v>
      </c>
      <c r="H11" t="n">
        <v>374.4</v>
      </c>
      <c r="I11" t="n">
        <v>12800</v>
      </c>
      <c r="J11" t="n">
        <v>0.02925</v>
      </c>
      <c r="K11" t="n">
        <v>374.4</v>
      </c>
      <c r="L11" t="n">
        <v>0</v>
      </c>
    </row>
    <row r="12">
      <c r="A12" t="n">
        <v>1614</v>
      </c>
      <c r="B12" t="inlineStr">
        <is>
          <t>MARIN SERRANO 2025 S.C.</t>
        </is>
      </c>
      <c r="C12" t="inlineStr">
        <is>
          <t>VALENCIA LATE</t>
        </is>
      </c>
      <c r="D12" t="n">
        <v>0</v>
      </c>
      <c r="E12" t="inlineStr">
        <is>
          <t>not_found</t>
        </is>
      </c>
      <c r="F12" t="n">
        <v>5.8</v>
      </c>
      <c r="G12" t="n">
        <v>195</v>
      </c>
      <c r="H12" t="n">
        <v>1131</v>
      </c>
      <c r="I12" t="n">
        <v>590286</v>
      </c>
      <c r="J12" t="n">
        <v>0.001916020369786849</v>
      </c>
      <c r="K12" t="n">
        <v>200.6</v>
      </c>
      <c r="L12" t="n">
        <v>0</v>
      </c>
    </row>
    <row r="13">
      <c r="A13" t="n">
        <v>1615</v>
      </c>
      <c r="B13" t="inlineStr">
        <is>
          <t>RURAL PRIME S.L.</t>
        </is>
      </c>
      <c r="C13" t="inlineStr">
        <is>
          <t>VALENCIA DELTA</t>
        </is>
      </c>
      <c r="D13" t="n">
        <v>0</v>
      </c>
      <c r="E13" t="inlineStr">
        <is>
          <t>not_found</t>
        </is>
      </c>
      <c r="F13" t="n">
        <v>0</v>
      </c>
      <c r="G13" t="n">
        <v>195</v>
      </c>
      <c r="H13" t="n">
        <v>0</v>
      </c>
      <c r="I13" t="n">
        <v>259578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909</v>
      </c>
      <c r="B2" t="inlineStr">
        <is>
          <t>LEON PINEDA,ROSARIO</t>
        </is>
      </c>
      <c r="C2" t="n">
        <v>345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345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29</t>
        </is>
      </c>
      <c r="P2" t="inlineStr">
        <is>
          <t>51</t>
        </is>
      </c>
      <c r="Q2" t="inlineStr">
        <is>
          <t>1</t>
        </is>
      </c>
      <c r="R2" t="n">
        <v>0.7508</v>
      </c>
      <c r="S2" t="n">
        <v>0.7508</v>
      </c>
      <c r="T2" t="n">
        <v>0.7508</v>
      </c>
      <c r="V2" t="inlineStr">
        <is>
          <t>Sí</t>
        </is>
      </c>
      <c r="W2" t="inlineStr"/>
    </row>
    <row r="3">
      <c r="A3" t="n">
        <v>909</v>
      </c>
      <c r="B3" t="inlineStr">
        <is>
          <t>LEON PINEDA,ROSARIO</t>
        </is>
      </c>
      <c r="C3" t="n">
        <v>650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650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29</t>
        </is>
      </c>
      <c r="P3" t="inlineStr">
        <is>
          <t>60</t>
        </is>
      </c>
      <c r="Q3" t="inlineStr">
        <is>
          <t>1</t>
        </is>
      </c>
      <c r="R3" t="n">
        <v>1.47</v>
      </c>
      <c r="S3" t="n">
        <v>0</v>
      </c>
      <c r="T3" t="n">
        <v>1.47</v>
      </c>
      <c r="V3" t="inlineStr">
        <is>
          <t>Sí</t>
        </is>
      </c>
      <c r="W3" t="inlineStr"/>
    </row>
    <row r="4">
      <c r="A4" t="n">
        <v>1072</v>
      </c>
      <c r="B4" t="inlineStr">
        <is>
          <t>GARCIA DELGADO,JUAN MANUEL</t>
        </is>
      </c>
      <c r="C4" t="n">
        <v>164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164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90</t>
        </is>
      </c>
      <c r="Q4" t="inlineStr">
        <is>
          <t>8</t>
        </is>
      </c>
      <c r="R4" t="n">
        <v>1.38</v>
      </c>
      <c r="S4" t="n">
        <v>1.380214</v>
      </c>
      <c r="T4" t="n">
        <v>1.38</v>
      </c>
      <c r="V4" t="inlineStr">
        <is>
          <t>Sí</t>
        </is>
      </c>
      <c r="W4" t="inlineStr"/>
    </row>
    <row r="5">
      <c r="A5" t="n">
        <v>1072</v>
      </c>
      <c r="B5" t="inlineStr">
        <is>
          <t>GARCIA DELGADO,JUAN MANUEL</t>
        </is>
      </c>
      <c r="C5" t="n">
        <v>617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617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13</t>
        </is>
      </c>
      <c r="P5" t="inlineStr">
        <is>
          <t>219</t>
        </is>
      </c>
      <c r="Q5" t="inlineStr">
        <is>
          <t>2</t>
        </is>
      </c>
      <c r="R5" t="n">
        <v>4.06</v>
      </c>
      <c r="S5" t="n">
        <v>4.06</v>
      </c>
      <c r="T5" t="n">
        <v>4.06</v>
      </c>
      <c r="V5" t="inlineStr">
        <is>
          <t>Sí</t>
        </is>
      </c>
      <c r="W5" t="inlineStr"/>
    </row>
    <row r="6">
      <c r="A6" t="n">
        <v>1072</v>
      </c>
      <c r="B6" t="inlineStr">
        <is>
          <t>GARCIA DELGADO,JUAN MANUEL</t>
        </is>
      </c>
      <c r="C6" t="n">
        <v>617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617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283</t>
        </is>
      </c>
      <c r="Q6" t="inlineStr">
        <is>
          <t>1</t>
        </is>
      </c>
      <c r="R6" t="n">
        <v>3.53</v>
      </c>
      <c r="S6" t="n">
        <v>3.53</v>
      </c>
      <c r="T6" t="n">
        <v>3.53</v>
      </c>
      <c r="V6" t="inlineStr">
        <is>
          <t>Sí</t>
        </is>
      </c>
      <c r="W6" t="inlineStr"/>
    </row>
    <row r="7">
      <c r="A7" t="n">
        <v>1426</v>
      </c>
      <c r="B7" t="inlineStr">
        <is>
          <t>MONTERO MERAT,JUAN MANUEL</t>
        </is>
      </c>
      <c r="C7" t="n">
        <v>208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208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41006</t>
        </is>
      </c>
      <c r="O7" t="inlineStr">
        <is>
          <t>9</t>
        </is>
      </c>
      <c r="P7" t="inlineStr">
        <is>
          <t>98</t>
        </is>
      </c>
      <c r="Q7" t="inlineStr">
        <is>
          <t>1</t>
        </is>
      </c>
      <c r="R7" t="n">
        <v>1.43</v>
      </c>
      <c r="S7" t="n">
        <v>1.4311</v>
      </c>
      <c r="T7" t="n">
        <v>1.46</v>
      </c>
      <c r="V7" t="inlineStr">
        <is>
          <t>Sí</t>
        </is>
      </c>
      <c r="W7" t="inlineStr"/>
    </row>
    <row r="8">
      <c r="A8" t="n">
        <v>1491</v>
      </c>
      <c r="B8" t="inlineStr">
        <is>
          <t>JIMENEZ LORENTE,SONIA</t>
        </is>
      </c>
      <c r="C8" t="n">
        <v>370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370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14036</t>
        </is>
      </c>
      <c r="O8" t="inlineStr">
        <is>
          <t>29</t>
        </is>
      </c>
      <c r="P8" t="inlineStr">
        <is>
          <t>58</t>
        </is>
      </c>
      <c r="Q8" t="inlineStr">
        <is>
          <t>1</t>
        </is>
      </c>
      <c r="R8" t="n">
        <v>2.2</v>
      </c>
      <c r="S8" t="n">
        <v>0</v>
      </c>
      <c r="T8" t="n">
        <v>2.2</v>
      </c>
      <c r="V8" t="inlineStr">
        <is>
          <t>Sí</t>
        </is>
      </c>
      <c r="W8" t="inlineStr"/>
    </row>
    <row r="9">
      <c r="A9" t="n">
        <v>1491</v>
      </c>
      <c r="B9" t="inlineStr">
        <is>
          <t>JIMENEZ LORENTE,SONIA</t>
        </is>
      </c>
      <c r="C9" t="n">
        <v>563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563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14036</t>
        </is>
      </c>
      <c r="O9" t="inlineStr">
        <is>
          <t>29</t>
        </is>
      </c>
      <c r="P9" t="inlineStr">
        <is>
          <t>58</t>
        </is>
      </c>
      <c r="Q9" t="inlineStr">
        <is>
          <t>1</t>
        </is>
      </c>
      <c r="R9" t="n">
        <v>1.69</v>
      </c>
      <c r="S9" t="n">
        <v>0</v>
      </c>
      <c r="T9" t="n">
        <v>1.66</v>
      </c>
      <c r="V9" t="inlineStr">
        <is>
          <t>Sí</t>
        </is>
      </c>
      <c r="W9" t="inlineStr"/>
    </row>
    <row r="10">
      <c r="A10" t="n">
        <v>1491</v>
      </c>
      <c r="B10" t="inlineStr">
        <is>
          <t>JIMENEZ LORENTE,SONIA</t>
        </is>
      </c>
      <c r="C10" t="n">
        <v>563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563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14036</t>
        </is>
      </c>
      <c r="O10" t="inlineStr">
        <is>
          <t>29</t>
        </is>
      </c>
      <c r="P10" t="inlineStr">
        <is>
          <t>58</t>
        </is>
      </c>
      <c r="Q10" t="inlineStr">
        <is>
          <t>12</t>
        </is>
      </c>
      <c r="R10" t="n">
        <v>0.52</v>
      </c>
      <c r="S10" t="n">
        <v>0</v>
      </c>
      <c r="T10" t="n">
        <v>0.58</v>
      </c>
      <c r="V10" t="inlineStr">
        <is>
          <t>Sí</t>
        </is>
      </c>
      <c r="W10" t="inlineStr"/>
    </row>
    <row r="11">
      <c r="A11" t="n">
        <v>1491</v>
      </c>
      <c r="B11" t="inlineStr">
        <is>
          <t>JIMENEZ LORENTE,SONIA</t>
        </is>
      </c>
      <c r="C11" t="n">
        <v>569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569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14036</t>
        </is>
      </c>
      <c r="O11" t="inlineStr">
        <is>
          <t>29</t>
        </is>
      </c>
      <c r="P11" t="inlineStr">
        <is>
          <t>58</t>
        </is>
      </c>
      <c r="Q11" t="inlineStr">
        <is>
          <t>1</t>
        </is>
      </c>
      <c r="R11" t="n">
        <v>1.28</v>
      </c>
      <c r="S11" t="n">
        <v>0</v>
      </c>
      <c r="T11" t="n">
        <v>0</v>
      </c>
      <c r="V11" t="inlineStr">
        <is>
          <t>Sí</t>
        </is>
      </c>
      <c r="W11" t="inlineStr"/>
    </row>
    <row r="12">
      <c r="A12" t="n">
        <v>1491</v>
      </c>
      <c r="B12" t="inlineStr">
        <is>
          <t>JIMENEZ LORENTE,SONIA</t>
        </is>
      </c>
      <c r="C12" t="n">
        <v>619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619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14036</t>
        </is>
      </c>
      <c r="O12" t="inlineStr">
        <is>
          <t>29</t>
        </is>
      </c>
      <c r="P12" t="inlineStr">
        <is>
          <t>58</t>
        </is>
      </c>
      <c r="Q12" t="inlineStr">
        <is>
          <t>1</t>
        </is>
      </c>
      <c r="R12" t="n">
        <v>2.25</v>
      </c>
      <c r="S12" t="n">
        <v>0</v>
      </c>
      <c r="T12" t="n">
        <v>2.3</v>
      </c>
      <c r="V12" t="inlineStr">
        <is>
          <t>Sí</t>
        </is>
      </c>
      <c r="W12" t="inlineStr"/>
    </row>
    <row r="13">
      <c r="A13" t="n">
        <v>1528</v>
      </c>
      <c r="B13" t="inlineStr">
        <is>
          <t>RAMOS BRUGAROLAS, IGNACIO</t>
        </is>
      </c>
      <c r="C13" t="n">
        <v>333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333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41023</t>
        </is>
      </c>
      <c r="O13" t="inlineStr">
        <is>
          <t>21</t>
        </is>
      </c>
      <c r="P13" t="inlineStr">
        <is>
          <t>160</t>
        </is>
      </c>
      <c r="Q13" t="inlineStr">
        <is>
          <t>1</t>
        </is>
      </c>
      <c r="R13" t="n">
        <v>3.41</v>
      </c>
      <c r="S13" t="n">
        <v>0</v>
      </c>
      <c r="T13" t="n">
        <v>3.41</v>
      </c>
      <c r="V13" t="inlineStr">
        <is>
          <t>Sí</t>
        </is>
      </c>
      <c r="W13" t="inlineStr"/>
    </row>
    <row r="14">
      <c r="A14" t="n">
        <v>1528</v>
      </c>
      <c r="B14" t="inlineStr">
        <is>
          <t>RAMOS BRUGAROLAS, IGNACIO</t>
        </is>
      </c>
      <c r="C14" t="n">
        <v>556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556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41023</t>
        </is>
      </c>
      <c r="O14" t="inlineStr">
        <is>
          <t>21</t>
        </is>
      </c>
      <c r="P14" t="inlineStr">
        <is>
          <t>148</t>
        </is>
      </c>
      <c r="Q14" t="inlineStr">
        <is>
          <t>2</t>
        </is>
      </c>
      <c r="R14" t="n">
        <v>10.1</v>
      </c>
      <c r="S14" t="n">
        <v>0</v>
      </c>
      <c r="T14" t="n">
        <v>10.05</v>
      </c>
      <c r="V14" t="inlineStr">
        <is>
          <t>Sí</t>
        </is>
      </c>
      <c r="W14" t="inlineStr"/>
    </row>
    <row r="15">
      <c r="A15" t="n">
        <v>1528</v>
      </c>
      <c r="B15" t="inlineStr">
        <is>
          <t>RAMOS BRUGAROLAS, IGNACIO</t>
        </is>
      </c>
      <c r="C15" t="n">
        <v>581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581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41023</t>
        </is>
      </c>
      <c r="O15" t="inlineStr">
        <is>
          <t>21</t>
        </is>
      </c>
      <c r="P15" t="inlineStr">
        <is>
          <t>218</t>
        </is>
      </c>
      <c r="Q15" t="inlineStr">
        <is>
          <t>2</t>
        </is>
      </c>
      <c r="R15" t="n">
        <v>2.02</v>
      </c>
      <c r="S15" t="n">
        <v>0</v>
      </c>
      <c r="T15" t="n">
        <v>2.02</v>
      </c>
      <c r="V15" t="inlineStr">
        <is>
          <t>Sí</t>
        </is>
      </c>
      <c r="W15" t="inlineStr"/>
    </row>
    <row r="16">
      <c r="A16" t="n">
        <v>1528</v>
      </c>
      <c r="B16" t="inlineStr">
        <is>
          <t>RAMOS BRUGAROLAS, IGNACIO</t>
        </is>
      </c>
      <c r="C16" t="n">
        <v>591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591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41023</t>
        </is>
      </c>
      <c r="O16" t="inlineStr">
        <is>
          <t>21</t>
        </is>
      </c>
      <c r="P16" t="inlineStr">
        <is>
          <t>218</t>
        </is>
      </c>
      <c r="Q16" t="inlineStr">
        <is>
          <t>3</t>
        </is>
      </c>
      <c r="R16" t="n">
        <v>5.81</v>
      </c>
      <c r="S16" t="n">
        <v>0</v>
      </c>
      <c r="T16" t="n">
        <v>5.81</v>
      </c>
      <c r="V16" t="inlineStr">
        <is>
          <t>Sí</t>
        </is>
      </c>
      <c r="W16" t="inlineStr"/>
    </row>
    <row r="17">
      <c r="A17" t="n">
        <v>1534</v>
      </c>
      <c r="B17" t="inlineStr">
        <is>
          <t>RAMOS BRUGAROLAS, JOSE RAMON</t>
        </is>
      </c>
      <c r="C17" t="n">
        <v>560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560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41023</t>
        </is>
      </c>
      <c r="O17" t="inlineStr">
        <is>
          <t>21</t>
        </is>
      </c>
      <c r="P17" t="inlineStr">
        <is>
          <t>157</t>
        </is>
      </c>
      <c r="R17" t="n">
        <v>4.32</v>
      </c>
      <c r="S17" t="n">
        <v>0</v>
      </c>
      <c r="T17" t="n">
        <v>4.32</v>
      </c>
      <c r="V17" t="inlineStr">
        <is>
          <t>Sí</t>
        </is>
      </c>
      <c r="W17" t="inlineStr"/>
    </row>
    <row r="18">
      <c r="A18" t="n">
        <v>1534</v>
      </c>
      <c r="B18" t="inlineStr">
        <is>
          <t>RAMOS BRUGAROLAS, JOSE RAMON</t>
        </is>
      </c>
      <c r="C18" t="n">
        <v>562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562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41023</t>
        </is>
      </c>
      <c r="O18" t="inlineStr">
        <is>
          <t>21</t>
        </is>
      </c>
      <c r="P18" t="inlineStr">
        <is>
          <t>157</t>
        </is>
      </c>
      <c r="Q18" t="inlineStr">
        <is>
          <t>1</t>
        </is>
      </c>
      <c r="R18" t="n">
        <v>4.2</v>
      </c>
      <c r="S18" t="n">
        <v>0</v>
      </c>
      <c r="T18" t="n">
        <v>4.2</v>
      </c>
      <c r="V18" t="inlineStr">
        <is>
          <t>Sí</t>
        </is>
      </c>
      <c r="W18" t="inlineStr"/>
    </row>
    <row r="19">
      <c r="A19" t="n">
        <v>1534</v>
      </c>
      <c r="B19" t="inlineStr">
        <is>
          <t>RAMOS BRUGAROLAS, JOSE RAMON</t>
        </is>
      </c>
      <c r="C19" t="n">
        <v>682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682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41023</t>
        </is>
      </c>
      <c r="O19" t="inlineStr">
        <is>
          <t>21</t>
        </is>
      </c>
      <c r="P19" t="inlineStr">
        <is>
          <t>158</t>
        </is>
      </c>
      <c r="R19" t="n">
        <v>1.11</v>
      </c>
      <c r="S19" t="n">
        <v>1.11</v>
      </c>
      <c r="T19" t="n">
        <v>1.11</v>
      </c>
      <c r="V19" t="inlineStr">
        <is>
          <t>Sí</t>
        </is>
      </c>
      <c r="W19" t="inlineStr"/>
    </row>
    <row r="20">
      <c r="A20" t="n">
        <v>1592</v>
      </c>
      <c r="B20" t="inlineStr">
        <is>
          <t>SANTIAGO ESCABIA, JUAN</t>
        </is>
      </c>
      <c r="C20" t="n">
        <v>667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667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13</t>
        </is>
      </c>
      <c r="P20" t="inlineStr">
        <is>
          <t>80048</t>
        </is>
      </c>
      <c r="Q20" t="inlineStr">
        <is>
          <t>21</t>
        </is>
      </c>
      <c r="R20" t="n">
        <v>0.2392</v>
      </c>
      <c r="S20" t="n">
        <v>0</v>
      </c>
      <c r="T20" t="n">
        <v>0.2392</v>
      </c>
      <c r="V20" t="inlineStr">
        <is>
          <t>Sí</t>
        </is>
      </c>
      <c r="W20" t="inlineStr"/>
    </row>
    <row r="21">
      <c r="A21" t="n">
        <v>1592</v>
      </c>
      <c r="B21" t="inlineStr">
        <is>
          <t>SANTIAGO ESCABIA, JUAN</t>
        </is>
      </c>
      <c r="C21" t="n">
        <v>680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680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13</t>
        </is>
      </c>
      <c r="P21" t="inlineStr">
        <is>
          <t>68</t>
        </is>
      </c>
      <c r="Q21" t="inlineStr">
        <is>
          <t>3</t>
        </is>
      </c>
      <c r="R21" t="n">
        <v>3.98</v>
      </c>
      <c r="S21" t="n">
        <v>0</v>
      </c>
      <c r="T21" t="n">
        <v>3.98</v>
      </c>
      <c r="V21" t="inlineStr">
        <is>
          <t>Sí</t>
        </is>
      </c>
      <c r="W21" t="inlineStr"/>
    </row>
    <row r="22">
      <c r="A22" t="n">
        <v>1594</v>
      </c>
      <c r="B22" t="inlineStr">
        <is>
          <t>CANO MANZANARES, ISABEL MARIA</t>
        </is>
      </c>
      <c r="C22" t="n">
        <v>361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361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12</t>
        </is>
      </c>
      <c r="P22" t="inlineStr">
        <is>
          <t>61</t>
        </is>
      </c>
      <c r="Q22" t="inlineStr">
        <is>
          <t>1</t>
        </is>
      </c>
      <c r="R22" t="n">
        <v>2.38</v>
      </c>
      <c r="S22" t="n">
        <v>0</v>
      </c>
      <c r="T22" t="n">
        <v>2.38</v>
      </c>
      <c r="V22" t="inlineStr">
        <is>
          <t>Sí</t>
        </is>
      </c>
      <c r="W22" t="inlineStr"/>
    </row>
    <row r="23">
      <c r="A23" t="n">
        <v>1596</v>
      </c>
      <c r="B23" t="inlineStr">
        <is>
          <t>RUEDA GARCIA, Mª MERCEDES</t>
        </is>
      </c>
      <c r="C23" t="n">
        <v>676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676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23</t>
        </is>
      </c>
      <c r="P23" t="inlineStr">
        <is>
          <t>145</t>
        </is>
      </c>
      <c r="Q23" t="inlineStr">
        <is>
          <t>2</t>
        </is>
      </c>
      <c r="R23" t="n">
        <v>2.74</v>
      </c>
      <c r="S23" t="n">
        <v>0</v>
      </c>
      <c r="T23" t="n">
        <v>2.74</v>
      </c>
      <c r="V23" t="inlineStr">
        <is>
          <t>Sí</t>
        </is>
      </c>
      <c r="W23" t="inlineStr"/>
    </row>
    <row r="24">
      <c r="A24" t="n">
        <v>1596</v>
      </c>
      <c r="B24" t="inlineStr">
        <is>
          <t>RUEDA GARCIA, Mª MERCEDES</t>
        </is>
      </c>
      <c r="C24" t="n">
        <v>676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676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23</t>
        </is>
      </c>
      <c r="P24" t="inlineStr">
        <is>
          <t>146</t>
        </is>
      </c>
      <c r="Q24" t="inlineStr">
        <is>
          <t>1</t>
        </is>
      </c>
      <c r="R24" t="n">
        <v>1.53</v>
      </c>
      <c r="S24" t="n">
        <v>0</v>
      </c>
      <c r="T24" t="n">
        <v>1.53</v>
      </c>
      <c r="V24" t="inlineStr">
        <is>
          <t>Sí</t>
        </is>
      </c>
      <c r="W24" t="inlineStr"/>
    </row>
    <row r="25">
      <c r="A25" t="n">
        <v>1609</v>
      </c>
      <c r="B25" t="inlineStr">
        <is>
          <t>GARCIA BARRAGAN, ROCIO</t>
        </is>
      </c>
      <c r="C25" t="n">
        <v>651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651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29</t>
        </is>
      </c>
      <c r="P25" t="inlineStr">
        <is>
          <t>59</t>
        </is>
      </c>
      <c r="Q25" t="inlineStr">
        <is>
          <t>7</t>
        </is>
      </c>
      <c r="R25" t="n">
        <v>1.92</v>
      </c>
      <c r="S25" t="n">
        <v>0</v>
      </c>
      <c r="T25" t="n">
        <v>1.92</v>
      </c>
      <c r="V25" t="inlineStr">
        <is>
          <t>Sí</t>
        </is>
      </c>
      <c r="W25" t="inlineStr"/>
    </row>
    <row r="26">
      <c r="A26" t="n">
        <v>1614</v>
      </c>
      <c r="B26" t="inlineStr">
        <is>
          <t>MARIN SERRANO 2025 S.C.</t>
        </is>
      </c>
      <c r="C26" t="n">
        <v>228</v>
      </c>
      <c r="D26" t="inlineStr">
        <is>
          <t>CITRICOS</t>
        </is>
      </c>
      <c r="E26" t="n">
        <v>2026</v>
      </c>
      <c r="F26" t="n">
        <v>1</v>
      </c>
      <c r="G26" t="n">
        <v>0</v>
      </c>
      <c r="H26" t="inlineStr">
        <is>
          <t>No</t>
        </is>
      </c>
      <c r="V26" t="inlineStr">
        <is>
          <t>No</t>
        </is>
      </c>
      <c r="W26" t="inlineStr">
        <is>
          <t>CHA_NO_SELECCIONADO; CHA_NO_ACTIVO</t>
        </is>
      </c>
    </row>
    <row r="27">
      <c r="A27" t="n">
        <v>1614</v>
      </c>
      <c r="B27" t="inlineStr">
        <is>
          <t>MARIN SERRANO 2025 S.C.</t>
        </is>
      </c>
      <c r="C27" t="n">
        <v>230</v>
      </c>
      <c r="D27" t="inlineStr">
        <is>
          <t>CITRICOS</t>
        </is>
      </c>
      <c r="E27" t="n">
        <v>2026</v>
      </c>
      <c r="F27" t="n">
        <v>1</v>
      </c>
      <c r="G27" t="n">
        <v>0</v>
      </c>
      <c r="H27" t="inlineStr">
        <is>
          <t>No</t>
        </is>
      </c>
      <c r="V27" t="inlineStr">
        <is>
          <t>No</t>
        </is>
      </c>
      <c r="W27" t="inlineStr">
        <is>
          <t>CHA_NO_SELECCIONADO; CHA_NO_ACTIVO</t>
        </is>
      </c>
    </row>
    <row r="28">
      <c r="A28" t="n">
        <v>1614</v>
      </c>
      <c r="B28" t="inlineStr">
        <is>
          <t>MARIN SERRANO 2025 S.C.</t>
        </is>
      </c>
      <c r="C28" t="n">
        <v>299</v>
      </c>
      <c r="D28" t="inlineStr">
        <is>
          <t>CITRICOS</t>
        </is>
      </c>
      <c r="E28" t="n">
        <v>2026</v>
      </c>
      <c r="F28" t="n">
        <v>1</v>
      </c>
      <c r="G28" t="n">
        <v>0</v>
      </c>
      <c r="H28" t="inlineStr">
        <is>
          <t>No</t>
        </is>
      </c>
      <c r="V28" t="inlineStr">
        <is>
          <t>No</t>
        </is>
      </c>
      <c r="W28" t="inlineStr">
        <is>
          <t>CHA_NO_SELECCIONADO; CHA_NO_ACTIVO</t>
        </is>
      </c>
    </row>
    <row r="29">
      <c r="A29" t="n">
        <v>1614</v>
      </c>
      <c r="B29" t="inlineStr">
        <is>
          <t>MARIN SERRANO 2025 S.C.</t>
        </is>
      </c>
      <c r="C29" t="n">
        <v>300</v>
      </c>
      <c r="D29" t="inlineStr">
        <is>
          <t>CITRICOS</t>
        </is>
      </c>
      <c r="E29" t="n">
        <v>2026</v>
      </c>
      <c r="F29" t="n">
        <v>1</v>
      </c>
      <c r="G29" t="n">
        <v>0</v>
      </c>
      <c r="H29" t="inlineStr">
        <is>
          <t>No</t>
        </is>
      </c>
      <c r="V29" t="inlineStr">
        <is>
          <t>No</t>
        </is>
      </c>
      <c r="W29" t="inlineStr">
        <is>
          <t>CHA_NO_SELECCIONADO; CHA_NO_ACTIVO</t>
        </is>
      </c>
    </row>
    <row r="30">
      <c r="A30" t="n">
        <v>1614</v>
      </c>
      <c r="B30" t="inlineStr">
        <is>
          <t>MARIN SERRANO 2025 S.C.</t>
        </is>
      </c>
      <c r="C30" t="n">
        <v>529</v>
      </c>
      <c r="D30" t="inlineStr">
        <is>
          <t>CITRICOS</t>
        </is>
      </c>
      <c r="E30" t="n">
        <v>2026</v>
      </c>
      <c r="F30" t="n">
        <v>1</v>
      </c>
      <c r="G30" t="n">
        <v>0</v>
      </c>
      <c r="H30" t="inlineStr">
        <is>
          <t>No</t>
        </is>
      </c>
      <c r="V30" t="inlineStr">
        <is>
          <t>No</t>
        </is>
      </c>
      <c r="W30" t="inlineStr">
        <is>
          <t>CHA_NO_SELECCIONADO; CHA_NO_ACTIVO</t>
        </is>
      </c>
    </row>
    <row r="31">
      <c r="A31" t="n">
        <v>1614</v>
      </c>
      <c r="B31" t="inlineStr">
        <is>
          <t>MARIN SERRANO 2025 S.C.</t>
        </is>
      </c>
      <c r="C31" t="n">
        <v>530</v>
      </c>
      <c r="D31" t="inlineStr">
        <is>
          <t>CITRICOS</t>
        </is>
      </c>
      <c r="E31" t="n">
        <v>2026</v>
      </c>
      <c r="F31" t="n">
        <v>1</v>
      </c>
      <c r="G31" t="n">
        <v>0</v>
      </c>
      <c r="H31" t="inlineStr">
        <is>
          <t>No</t>
        </is>
      </c>
      <c r="V31" t="inlineStr">
        <is>
          <t>No</t>
        </is>
      </c>
      <c r="W31" t="inlineStr">
        <is>
          <t>CHA_NO_SELECCIONADO; CHA_NO_ACTIVO</t>
        </is>
      </c>
    </row>
    <row r="32">
      <c r="A32" t="n">
        <v>1614</v>
      </c>
      <c r="B32" t="inlineStr">
        <is>
          <t>MARIN SERRANO 2025 S.C.</t>
        </is>
      </c>
      <c r="C32" t="n">
        <v>531</v>
      </c>
      <c r="D32" t="inlineStr">
        <is>
          <t>CITRICOS</t>
        </is>
      </c>
      <c r="E32" t="n">
        <v>2026</v>
      </c>
      <c r="F32" t="n">
        <v>1</v>
      </c>
      <c r="G32" t="n">
        <v>0</v>
      </c>
      <c r="H32" t="inlineStr">
        <is>
          <t>No</t>
        </is>
      </c>
      <c r="V32" t="inlineStr">
        <is>
          <t>No</t>
        </is>
      </c>
      <c r="W32" t="inlineStr">
        <is>
          <t>CHA_NO_SELECCIONADO; CHA_NO_ACTIVO</t>
        </is>
      </c>
    </row>
    <row r="33">
      <c r="A33" t="n">
        <v>1614</v>
      </c>
      <c r="B33" t="inlineStr">
        <is>
          <t>MARIN SERRANO 2025 S.C.</t>
        </is>
      </c>
      <c r="C33" t="n">
        <v>248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248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41023</t>
        </is>
      </c>
      <c r="O33" t="inlineStr">
        <is>
          <t>17</t>
        </is>
      </c>
      <c r="P33" t="inlineStr">
        <is>
          <t>107</t>
        </is>
      </c>
      <c r="Q33" t="inlineStr">
        <is>
          <t>2</t>
        </is>
      </c>
      <c r="R33" t="n">
        <v>5.8</v>
      </c>
      <c r="S33" t="n">
        <v>5.796335</v>
      </c>
      <c r="T33" t="n">
        <v>5.8</v>
      </c>
      <c r="V33" t="inlineStr">
        <is>
          <t>Sí</t>
        </is>
      </c>
      <c r="W33" t="inlineStr"/>
    </row>
    <row r="34">
      <c r="A34" t="n">
        <v>1615</v>
      </c>
      <c r="B34" t="inlineStr">
        <is>
          <t>RURAL PRIME S.L.</t>
        </is>
      </c>
      <c r="C34" t="n">
        <v>648</v>
      </c>
      <c r="D34" t="inlineStr">
        <is>
          <t>CITRICOS</t>
        </is>
      </c>
      <c r="E34" t="n">
        <v>2026</v>
      </c>
      <c r="F34" t="n">
        <v>1</v>
      </c>
      <c r="G34" t="n">
        <v>0</v>
      </c>
      <c r="H34" t="inlineStr">
        <is>
          <t>No</t>
        </is>
      </c>
      <c r="V34" t="inlineStr">
        <is>
          <t>No</t>
        </is>
      </c>
      <c r="W34" t="inlineStr">
        <is>
          <t>CHA_NO_SELECCIONADO; CHA_NO_ACTIVO</t>
        </is>
      </c>
    </row>
    <row r="35">
      <c r="A35" t="n">
        <v>1615</v>
      </c>
      <c r="B35" t="inlineStr">
        <is>
          <t>RURAL PRIME S.L.</t>
        </is>
      </c>
      <c r="C35" t="n">
        <v>649</v>
      </c>
      <c r="D35" t="inlineStr">
        <is>
          <t>CITRICOS</t>
        </is>
      </c>
      <c r="E35" t="n">
        <v>2026</v>
      </c>
      <c r="F35" t="n">
        <v>1</v>
      </c>
      <c r="G35" t="n">
        <v>0</v>
      </c>
      <c r="H35" t="inlineStr">
        <is>
          <t>No</t>
        </is>
      </c>
      <c r="V35" t="inlineStr">
        <is>
          <t>No</t>
        </is>
      </c>
      <c r="W35" t="inlineStr">
        <is>
          <t>CHA_NO_SELECCIONADO; CHA_NO_ACTIVO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calculated</t>
        </is>
      </c>
      <c r="E2" t="n">
        <v>2.2208</v>
      </c>
      <c r="F2" t="n">
        <v>433.06</v>
      </c>
      <c r="G2" t="n">
        <v>20190</v>
      </c>
      <c r="H2" t="n">
        <v>0.02144923229321446</v>
      </c>
      <c r="I2" t="n">
        <v>19840</v>
      </c>
      <c r="J2" t="n">
        <v>425.55</v>
      </c>
      <c r="K2" t="inlineStr">
        <is>
          <t>No existe tarifa BonCalidad para socio=909 campaña=2026 empresa=1 cultivo=CITRICOS.; No existe fuente acumulada disponible; saldo informativo calculado con cuota ya aplicada = 0.</t>
        </is>
      </c>
    </row>
    <row r="3">
      <c r="A3" t="n">
        <v>1072</v>
      </c>
      <c r="B3" t="inlineStr">
        <is>
          <t>GARCIA DELGADO,JUAN MANUEL</t>
        </is>
      </c>
      <c r="C3" t="inlineStr">
        <is>
          <t>VALENCIA DELTA</t>
        </is>
      </c>
      <c r="D3" t="inlineStr">
        <is>
          <t>calculated</t>
        </is>
      </c>
      <c r="E3" t="n">
        <v>8.970000000000001</v>
      </c>
      <c r="F3" t="n">
        <v>1749.15</v>
      </c>
      <c r="G3" t="n">
        <v>117422</v>
      </c>
      <c r="H3" t="n">
        <v>0.01489627156750864</v>
      </c>
      <c r="I3" t="n">
        <v>103842</v>
      </c>
      <c r="J3" t="n">
        <v>1546.86</v>
      </c>
      <c r="K3" t="inlineStr">
        <is>
          <t>No existe tarifa BonCalidad para socio=1072 campaña=2026 empresa=1 cultivo=CITRICOS.; No existe fuente acumulada disponible; saldo informativo calculado con cuota ya aplicada = 0.</t>
        </is>
      </c>
    </row>
    <row r="4">
      <c r="A4" t="n">
        <v>1426</v>
      </c>
      <c r="B4" t="inlineStr">
        <is>
          <t>MONTERO MERAT,JUAN MANUEL</t>
        </is>
      </c>
      <c r="C4" t="inlineStr">
        <is>
          <t>VALENCIA DELTA</t>
        </is>
      </c>
      <c r="D4" t="inlineStr">
        <is>
          <t>calculated</t>
        </is>
      </c>
      <c r="E4" t="n">
        <v>1.43</v>
      </c>
      <c r="F4" t="n">
        <v>278.85</v>
      </c>
      <c r="G4" t="n">
        <v>43456</v>
      </c>
      <c r="H4" t="n">
        <v>0.006416835419734904</v>
      </c>
      <c r="I4" t="n">
        <v>41864</v>
      </c>
      <c r="J4" t="n">
        <v>268.63</v>
      </c>
      <c r="K4" t="inlineStr">
        <is>
          <t>No existe tarifa BonCalidad para socio=1426 campaña=2026 empresa=1 cultivo=CITRICOS.; No existe fuente acumulada disponible; saldo informativo calculado con cuota ya aplicada = 0.</t>
        </is>
      </c>
    </row>
    <row r="5">
      <c r="A5" t="n">
        <v>1491</v>
      </c>
      <c r="B5" t="inlineStr">
        <is>
          <t>JIMENEZ LORENTE,SONIA</t>
        </is>
      </c>
      <c r="C5" t="inlineStr">
        <is>
          <t>VALENCIA DELTA</t>
        </is>
      </c>
      <c r="D5" t="inlineStr">
        <is>
          <t>calculated</t>
        </is>
      </c>
      <c r="E5" t="n">
        <v>7.94</v>
      </c>
      <c r="F5" t="n">
        <v>1548.3</v>
      </c>
      <c r="G5" t="n">
        <v>241057</v>
      </c>
      <c r="H5" t="n">
        <v>0.006422962203960059</v>
      </c>
      <c r="I5" t="n">
        <v>30223</v>
      </c>
      <c r="J5" t="n">
        <v>194.12</v>
      </c>
      <c r="K5" t="inlineStr">
        <is>
          <t>No existe tarifa BonCalidad para socio=1491 campaña=2026 empresa=1 cultivo=CITRICOS.; No existe fuente acumulada disponible; saldo informativo calculado con cuota ya aplicada = 0.</t>
        </is>
      </c>
    </row>
    <row r="6">
      <c r="A6" t="n">
        <v>1528</v>
      </c>
      <c r="B6" t="inlineStr">
        <is>
          <t>RAMOS BRUGAROLAS, IGNACIO</t>
        </is>
      </c>
      <c r="C6" t="inlineStr">
        <is>
          <t>VALENCIA LATE</t>
        </is>
      </c>
      <c r="D6" t="inlineStr">
        <is>
          <t>calculated</t>
        </is>
      </c>
      <c r="E6" t="n">
        <v>21.34</v>
      </c>
      <c r="F6" t="n">
        <v>4161.3</v>
      </c>
      <c r="G6" t="n">
        <v>494783</v>
      </c>
      <c r="H6" t="n">
        <v>0.008410353629773052</v>
      </c>
      <c r="I6" t="n">
        <v>222487</v>
      </c>
      <c r="J6" t="n">
        <v>1871.19</v>
      </c>
      <c r="K6" t="inlineStr">
        <is>
          <t>No existe tarifa BonCalidad para socio=1528 campaña=2026 empresa=1 cultivo=CITRICOS.; No existe fuente acumulada disponible; saldo informativo calculado con cuota ya aplicada = 0.</t>
        </is>
      </c>
    </row>
    <row r="7">
      <c r="A7" t="n">
        <v>1534</v>
      </c>
      <c r="B7" t="inlineStr">
        <is>
          <t>RAMOS BRUGAROLAS, JOSE RAMON</t>
        </is>
      </c>
      <c r="C7" t="inlineStr">
        <is>
          <t>VALENCIA LATE</t>
        </is>
      </c>
      <c r="D7" t="inlineStr">
        <is>
          <t>calculated</t>
        </is>
      </c>
      <c r="E7" t="n">
        <v>9.630000000000001</v>
      </c>
      <c r="F7" t="n">
        <v>1877.85</v>
      </c>
      <c r="G7" t="n">
        <v>203867</v>
      </c>
      <c r="H7" t="n">
        <v>0.009211152368946421</v>
      </c>
      <c r="I7" t="n">
        <v>108512</v>
      </c>
      <c r="J7" t="n">
        <v>999.52</v>
      </c>
      <c r="K7" t="inlineStr">
        <is>
          <t>No existe tarifa BonCalidad para socio=1534 campaña=2026 empresa=1 cultivo=CITRICOS.; No existe fuente acumulada disponible; saldo informativo calculado con cuota ya aplicada = 0.</t>
        </is>
      </c>
    </row>
    <row r="8">
      <c r="A8" t="n">
        <v>1592</v>
      </c>
      <c r="B8" t="inlineStr">
        <is>
          <t>SANTIAGO ESCABIA, JUAN</t>
        </is>
      </c>
      <c r="C8" t="inlineStr">
        <is>
          <t>BARBERINA</t>
        </is>
      </c>
      <c r="D8" t="inlineStr">
        <is>
          <t>calculated</t>
        </is>
      </c>
      <c r="E8" t="n">
        <v>4.2192</v>
      </c>
      <c r="F8" t="n">
        <v>822.74</v>
      </c>
      <c r="G8" t="n">
        <v>57670</v>
      </c>
      <c r="H8" t="n">
        <v>0.01426634298595457</v>
      </c>
      <c r="I8" t="n">
        <v>50210</v>
      </c>
      <c r="J8" t="n">
        <v>716.3099999999999</v>
      </c>
      <c r="K8" t="inlineStr">
        <is>
          <t>No existe tarifa BonCalidad para socio=1592 campaña=2026 empresa=1 cultivo=CITRICOS.; No existe fuente acumulada disponible; saldo informativo calculado con cuota ya aplicada = 0.</t>
        </is>
      </c>
    </row>
    <row r="9">
      <c r="A9" t="n">
        <v>1594</v>
      </c>
      <c r="B9" t="inlineStr">
        <is>
          <t>CANO MANZANARES, ISABEL MARIA</t>
        </is>
      </c>
      <c r="C9" t="inlineStr">
        <is>
          <t>BARBERINA</t>
        </is>
      </c>
      <c r="D9" t="inlineStr">
        <is>
          <t>calculated</t>
        </is>
      </c>
      <c r="E9" t="n">
        <v>2.38</v>
      </c>
      <c r="F9" t="n">
        <v>464.1</v>
      </c>
      <c r="G9" t="n">
        <v>72960</v>
      </c>
      <c r="H9" t="n">
        <v>0.006361019736842105</v>
      </c>
      <c r="I9" t="n">
        <v>71644</v>
      </c>
      <c r="J9" t="n">
        <v>455.73</v>
      </c>
      <c r="K9" t="inlineStr">
        <is>
          <t>No existe tarifa BonCalidad para socio=1594 campaña=2026 empresa=1 cultivo=CITRICOS.; No existe fuente acumulada disponible; saldo informativo calculado con cuota ya aplicada = 0.</t>
        </is>
      </c>
    </row>
    <row r="10">
      <c r="A10" t="n">
        <v>1596</v>
      </c>
      <c r="B10" t="inlineStr">
        <is>
          <t>RUEDA GARCIA, Mª MERCEDES</t>
        </is>
      </c>
      <c r="C10" t="inlineStr">
        <is>
          <t>VALENCIA DELTA</t>
        </is>
      </c>
      <c r="D10" t="inlineStr">
        <is>
          <t>calculated</t>
        </is>
      </c>
      <c r="E10" t="n">
        <v>4.27</v>
      </c>
      <c r="F10" t="n">
        <v>832.65</v>
      </c>
      <c r="G10" t="n">
        <v>52880</v>
      </c>
      <c r="H10" t="n">
        <v>0.01574602874432678</v>
      </c>
      <c r="I10" t="n">
        <v>50698</v>
      </c>
      <c r="J10" t="n">
        <v>798.29</v>
      </c>
      <c r="K10" t="inlineStr">
        <is>
          <t>No existe tarifa BonCalidad para socio=1596 campaña=2026 empresa=1 cultivo=CITRICOS.; No existe fuente acumulada disponible; saldo informativo calculado con cuota ya aplicada = 0.</t>
        </is>
      </c>
    </row>
    <row r="11">
      <c r="A11" t="n">
        <v>1609</v>
      </c>
      <c r="B11" t="inlineStr">
        <is>
          <t>GARCIA BARRAGAN, ROCIO</t>
        </is>
      </c>
      <c r="C11" t="inlineStr">
        <is>
          <t>BARBERINA</t>
        </is>
      </c>
      <c r="D11" t="inlineStr">
        <is>
          <t>calculated</t>
        </is>
      </c>
      <c r="E11" t="n">
        <v>1.92</v>
      </c>
      <c r="F11" t="n">
        <v>374.4</v>
      </c>
      <c r="G11" t="n">
        <v>12800</v>
      </c>
      <c r="H11" t="n">
        <v>0.02925</v>
      </c>
      <c r="I11" t="n">
        <v>12800</v>
      </c>
      <c r="J11" t="n">
        <v>374.4</v>
      </c>
      <c r="K11" t="inlineStr">
        <is>
          <t>No existe tarifa BonCalidad para socio=1609 campaña=2026 empresa=1 cultivo=CITRICOS.; No existe fuente acumulada disponible; saldo informativo calculado con cuota ya aplicada = 0.; Socio=1609: no existe registro activo; se utiliza el único disponible.</t>
        </is>
      </c>
    </row>
    <row r="12">
      <c r="A12" t="n">
        <v>1614</v>
      </c>
      <c r="B12" t="inlineStr">
        <is>
          <t>MARIN SERRANO 2025 S.C.</t>
        </is>
      </c>
      <c r="C12" t="inlineStr">
        <is>
          <t>VALENCIA LATE</t>
        </is>
      </c>
      <c r="D12" t="inlineStr">
        <is>
          <t>calculated</t>
        </is>
      </c>
      <c r="E12" t="n">
        <v>5.8</v>
      </c>
      <c r="F12" t="n">
        <v>1131</v>
      </c>
      <c r="G12" t="n">
        <v>590286</v>
      </c>
      <c r="H12" t="n">
        <v>0.001916020369786849</v>
      </c>
      <c r="I12" t="n">
        <v>104697</v>
      </c>
      <c r="J12" t="n">
        <v>200.6</v>
      </c>
      <c r="K12" t="inlineStr">
        <is>
          <t>No existe tarifa BonCalidad para socio=1614 campaña=2026 empresa=1 cultivo=CITRICOS.; No existe fuente acumulada disponible; saldo informativo calculado con cuota ya aplicada = 0.</t>
        </is>
      </c>
    </row>
    <row r="13">
      <c r="A13" t="n">
        <v>1615</v>
      </c>
      <c r="B13" t="inlineStr">
        <is>
          <t>RURAL PRIME S.L.</t>
        </is>
      </c>
      <c r="C13" t="inlineStr">
        <is>
          <t>VALENCIA DELTA</t>
        </is>
      </c>
      <c r="D13" t="inlineStr">
        <is>
          <t>not_applicable</t>
        </is>
      </c>
      <c r="E13" t="n">
        <v>0</v>
      </c>
      <c r="F13" t="n">
        <v>0</v>
      </c>
      <c r="G13" t="n">
        <v>259578</v>
      </c>
      <c r="I13" t="n">
        <v>115118</v>
      </c>
      <c r="J13" t="n">
        <v>0</v>
      </c>
      <c r="K13" t="inlineStr">
        <is>
          <t>No existe tarifa BonCalidad para socio=1615 campaña=2026 empresa=1 cultivo=CITRICOS.; No existe fuente acumulada disponible; saldo informativo calculado con cuota ya aplicada = 0.; Cuota Ha no aplicable: sin superficie sujeta a cuota.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19840</v>
      </c>
      <c r="R2" t="n">
        <v>17406.65734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1072</v>
      </c>
      <c r="B3" t="inlineStr">
        <is>
          <t>GARCIA DELGADO,JUAN MANUEL</t>
        </is>
      </c>
      <c r="C3" t="inlineStr">
        <is>
          <t>VALENCIA DELTA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103842</v>
      </c>
      <c r="R3" t="n">
        <v>85631.6724515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  <row r="4">
      <c r="A4" t="n">
        <v>1426</v>
      </c>
      <c r="B4" t="inlineStr">
        <is>
          <t>MONTERO MERAT,JUAN MANUEL</t>
        </is>
      </c>
      <c r="C4" t="inlineStr">
        <is>
          <t>VALENCIA DELTA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CITRICOS</t>
        </is>
      </c>
      <c r="N4" t="n">
        <v>0.01803</v>
      </c>
      <c r="O4" t="n">
        <v>0</v>
      </c>
      <c r="Q4" t="n">
        <v>41864</v>
      </c>
      <c r="R4" t="n">
        <v>33066.294224</v>
      </c>
      <c r="U4" t="n">
        <v>0</v>
      </c>
      <c r="V4" t="n">
        <v>0</v>
      </c>
      <c r="W4" t="n">
        <v>0</v>
      </c>
      <c r="X4" t="inlineStr">
        <is>
          <t>not_applicable</t>
        </is>
      </c>
      <c r="Y4" t="inlineStr"/>
      <c r="Z4" t="inlineStr">
        <is>
          <t>SÍ</t>
        </is>
      </c>
    </row>
    <row r="5">
      <c r="A5" t="n">
        <v>1491</v>
      </c>
      <c r="B5" t="inlineStr">
        <is>
          <t>JIMENEZ LORENTE,SONIA</t>
        </is>
      </c>
      <c r="C5" t="inlineStr">
        <is>
          <t>VALENCIA DELTA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CITRICOS, MANDARINA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30223</v>
      </c>
      <c r="R5" t="n">
        <v>26163.918016</v>
      </c>
      <c r="S5" t="n">
        <v>26163.918016</v>
      </c>
      <c r="T5" t="n">
        <v>471.74</v>
      </c>
      <c r="U5" t="n">
        <v>471.74</v>
      </c>
      <c r="V5" t="n">
        <v>471.74</v>
      </c>
      <c r="W5" t="n">
        <v>471.74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1528</v>
      </c>
      <c r="B6" t="inlineStr">
        <is>
          <t>RAMOS BRUGAROLAS, IGNACIO</t>
        </is>
      </c>
      <c r="C6" t="inlineStr">
        <is>
          <t>VALENCIA LATE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CITRICOS, KAKIS</t>
        </is>
      </c>
      <c r="N6" t="n">
        <v>0.01803</v>
      </c>
      <c r="O6" t="n">
        <v>0</v>
      </c>
      <c r="Q6" t="n">
        <v>222487</v>
      </c>
      <c r="R6" t="n">
        <v>197520.4628132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1534</v>
      </c>
      <c r="B7" t="inlineStr">
        <is>
          <t>RAMOS BRUGAROLAS, JOSE RAMON</t>
        </is>
      </c>
      <c r="C7" t="inlineStr">
        <is>
          <t>VALENCIA LATE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</t>
        </is>
      </c>
      <c r="N7" t="n">
        <v>0.01803</v>
      </c>
      <c r="O7" t="n">
        <v>0</v>
      </c>
      <c r="Q7" t="n">
        <v>108512</v>
      </c>
      <c r="R7" t="n">
        <v>95383.07330800001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  <row r="8">
      <c r="A8" t="n">
        <v>1592</v>
      </c>
      <c r="B8" t="inlineStr">
        <is>
          <t>SANTIAGO ESCABIA, JUAN</t>
        </is>
      </c>
      <c r="C8" t="inlineStr">
        <is>
          <t>BARBERINA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CITRICOS</t>
        </is>
      </c>
      <c r="N8" t="n">
        <v>0.01803</v>
      </c>
      <c r="O8" t="n">
        <v>0</v>
      </c>
      <c r="Q8" t="n">
        <v>50210</v>
      </c>
      <c r="R8" t="n">
        <v>42624.4243</v>
      </c>
      <c r="U8" t="n">
        <v>0</v>
      </c>
      <c r="V8" t="n">
        <v>0</v>
      </c>
      <c r="W8" t="n">
        <v>0</v>
      </c>
      <c r="X8" t="inlineStr">
        <is>
          <t>not_applicable</t>
        </is>
      </c>
      <c r="Y8" t="inlineStr"/>
      <c r="Z8" t="inlineStr">
        <is>
          <t>SÍ</t>
        </is>
      </c>
    </row>
    <row r="9">
      <c r="A9" t="n">
        <v>1594</v>
      </c>
      <c r="B9" t="inlineStr">
        <is>
          <t>CANO MANZANARES, ISABEL MARIA</t>
        </is>
      </c>
      <c r="C9" t="inlineStr">
        <is>
          <t>BARBERINA</t>
        </is>
      </c>
      <c r="D9" t="inlineStr">
        <is>
          <t>2026</t>
        </is>
      </c>
      <c r="E9" t="inlineStr">
        <is>
          <t>1</t>
        </is>
      </c>
      <c r="F9" t="inlineStr">
        <is>
          <t>CITRICOS</t>
        </is>
      </c>
      <c r="G9" t="inlineStr">
        <is>
          <t>SÍ</t>
        </is>
      </c>
      <c r="H9" t="inlineStr">
        <is>
          <t>SÍ</t>
        </is>
      </c>
      <c r="I9" t="inlineStr">
        <is>
          <t>NO</t>
        </is>
      </c>
      <c r="J9" t="inlineStr">
        <is>
          <t>CITRICOS</t>
        </is>
      </c>
      <c r="K9" t="inlineStr"/>
      <c r="L9" t="inlineStr">
        <is>
          <t>ORO</t>
        </is>
      </c>
      <c r="M9" t="n">
        <v>1</v>
      </c>
      <c r="N9" t="n">
        <v>0.01803</v>
      </c>
      <c r="O9" t="n">
        <v>0</v>
      </c>
      <c r="P9" t="inlineStr">
        <is>
          <t>neto_comercial</t>
        </is>
      </c>
      <c r="Q9" t="n">
        <v>71644</v>
      </c>
      <c r="R9" t="n">
        <v>66763.70311</v>
      </c>
      <c r="S9" t="n">
        <v>66763.70311</v>
      </c>
      <c r="T9" t="n">
        <v>1203.75</v>
      </c>
      <c r="U9" t="n">
        <v>1203.75</v>
      </c>
      <c r="V9" t="n">
        <v>1203.75</v>
      </c>
      <c r="W9" t="n">
        <v>1203.75</v>
      </c>
      <c r="X9" t="inlineStr">
        <is>
          <t>calculated</t>
        </is>
      </c>
      <c r="Y9" t="inlineStr"/>
      <c r="Z9" t="inlineStr">
        <is>
          <t>SÍ</t>
        </is>
      </c>
    </row>
    <row r="10">
      <c r="A10" t="n">
        <v>1596</v>
      </c>
      <c r="B10" t="inlineStr">
        <is>
          <t>RUEDA GARCIA, Mª MERCEDES</t>
        </is>
      </c>
      <c r="C10" t="inlineStr">
        <is>
          <t>VALENCIA DELTA</t>
        </is>
      </c>
      <c r="D10" t="inlineStr">
        <is>
          <t>2026</t>
        </is>
      </c>
      <c r="E10" t="inlineStr">
        <is>
          <t>1</t>
        </is>
      </c>
      <c r="F10" t="inlineStr">
        <is>
          <t>CITRICOS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  <c r="J10" t="inlineStr">
        <is>
          <t>CITRICOS</t>
        </is>
      </c>
      <c r="K10" t="inlineStr"/>
      <c r="L10" t="inlineStr">
        <is>
          <t>ORO</t>
        </is>
      </c>
      <c r="M10" t="n">
        <v>1</v>
      </c>
      <c r="N10" t="n">
        <v>0.01803</v>
      </c>
      <c r="O10" t="n">
        <v>0</v>
      </c>
      <c r="P10" t="inlineStr">
        <is>
          <t>neto_comercial</t>
        </is>
      </c>
      <c r="Q10" t="n">
        <v>50698</v>
      </c>
      <c r="R10" t="n">
        <v>43559.761761</v>
      </c>
      <c r="S10" t="n">
        <v>43559.761761</v>
      </c>
      <c r="T10" t="n">
        <v>785.38</v>
      </c>
      <c r="U10" t="n">
        <v>785.38</v>
      </c>
      <c r="V10" t="n">
        <v>785.38</v>
      </c>
      <c r="W10" t="n">
        <v>785.38</v>
      </c>
      <c r="X10" t="inlineStr">
        <is>
          <t>calculated</t>
        </is>
      </c>
      <c r="Y10" t="inlineStr"/>
      <c r="Z10" t="inlineStr">
        <is>
          <t>SÍ</t>
        </is>
      </c>
    </row>
    <row r="11">
      <c r="A11" t="n">
        <v>1609</v>
      </c>
      <c r="B11" t="inlineStr">
        <is>
          <t>GARCIA BARRAGAN, ROCIO</t>
        </is>
      </c>
      <c r="C11" t="inlineStr">
        <is>
          <t>BARBERINA</t>
        </is>
      </c>
      <c r="D11" t="inlineStr">
        <is>
          <t>2026</t>
        </is>
      </c>
      <c r="E11" t="inlineStr">
        <is>
          <t>1</t>
        </is>
      </c>
      <c r="F11" t="inlineStr">
        <is>
          <t>CITRICOS</t>
        </is>
      </c>
      <c r="G11" t="inlineStr">
        <is>
          <t>SÍ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CITRICOS</t>
        </is>
      </c>
      <c r="N11" t="n">
        <v>0.01803</v>
      </c>
      <c r="O11" t="n">
        <v>0</v>
      </c>
      <c r="Q11" t="n">
        <v>12800</v>
      </c>
      <c r="R11" t="n">
        <v>11440.20162</v>
      </c>
      <c r="U11" t="n">
        <v>0</v>
      </c>
      <c r="V11" t="n">
        <v>0</v>
      </c>
      <c r="W11" t="n">
        <v>0</v>
      </c>
      <c r="X11" t="inlineStr">
        <is>
          <t>not_applicable</t>
        </is>
      </c>
      <c r="Y11" t="inlineStr"/>
      <c r="Z11" t="inlineStr">
        <is>
          <t>SÍ</t>
        </is>
      </c>
    </row>
    <row r="12">
      <c r="A12" t="n">
        <v>1614</v>
      </c>
      <c r="B12" t="inlineStr">
        <is>
          <t>MARIN SERRANO 2025 S.C.</t>
        </is>
      </c>
      <c r="C12" t="inlineStr">
        <is>
          <t>VALENCIA LATE</t>
        </is>
      </c>
      <c r="D12" t="inlineStr">
        <is>
          <t>2026</t>
        </is>
      </c>
      <c r="E12" t="inlineStr">
        <is>
          <t>1</t>
        </is>
      </c>
      <c r="F12" t="inlineStr">
        <is>
          <t>CITRICOS</t>
        </is>
      </c>
      <c r="G12" t="inlineStr">
        <is>
          <t>SÍ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CITRICOS</t>
        </is>
      </c>
      <c r="N12" t="n">
        <v>0.01803</v>
      </c>
      <c r="O12" t="n">
        <v>0</v>
      </c>
      <c r="Q12" t="n">
        <v>104697</v>
      </c>
      <c r="R12" t="n">
        <v>83892.80217720001</v>
      </c>
      <c r="U12" t="n">
        <v>0</v>
      </c>
      <c r="V12" t="n">
        <v>0</v>
      </c>
      <c r="W12" t="n">
        <v>0</v>
      </c>
      <c r="X12" t="inlineStr">
        <is>
          <t>not_applicable</t>
        </is>
      </c>
      <c r="Y12" t="inlineStr"/>
      <c r="Z12" t="inlineStr">
        <is>
          <t>SÍ</t>
        </is>
      </c>
    </row>
    <row r="13">
      <c r="A13" t="n">
        <v>1615</v>
      </c>
      <c r="B13" t="inlineStr">
        <is>
          <t>RURAL PRIME S.L.</t>
        </is>
      </c>
      <c r="C13" t="inlineStr">
        <is>
          <t>VALENCIA DELTA</t>
        </is>
      </c>
      <c r="D13" t="inlineStr">
        <is>
          <t>2026</t>
        </is>
      </c>
      <c r="E13" t="inlineStr">
        <is>
          <t>1</t>
        </is>
      </c>
      <c r="F13" t="inlineStr">
        <is>
          <t>CITRICOS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CITRICOS</t>
        </is>
      </c>
      <c r="N13" t="n">
        <v>0.01803</v>
      </c>
      <c r="O13" t="n">
        <v>0</v>
      </c>
      <c r="Q13" t="n">
        <v>115118</v>
      </c>
      <c r="R13" t="n">
        <v>97782.55387</v>
      </c>
      <c r="U13" t="n">
        <v>0</v>
      </c>
      <c r="V13" t="n">
        <v>0</v>
      </c>
      <c r="W13" t="n">
        <v>0</v>
      </c>
      <c r="X13" t="inlineStr">
        <is>
          <t>not_applicable</t>
        </is>
      </c>
      <c r="Y13" t="inlineStr"/>
      <c r="Z1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TARDIA</t>
        </is>
      </c>
      <c r="E2" t="inlineStr">
        <is>
          <t>BLANCA TARDIA</t>
        </is>
      </c>
      <c r="F2" t="inlineStr">
        <is>
          <t>GROUP</t>
        </is>
      </c>
      <c r="G2" t="inlineStr">
        <is>
          <t>BLANCA</t>
        </is>
      </c>
      <c r="H2" t="inlineStr">
        <is>
          <t>TARDIA</t>
        </is>
      </c>
      <c r="I2" t="inlineStr">
        <is>
          <t>BARBERINA, TODAS, VALENCIA, VALENCIA DELTA, VALENCIA LATE</t>
        </is>
      </c>
      <c r="J2" t="n">
        <v>5</v>
      </c>
      <c r="K2" t="inlineStr">
        <is>
          <t>GROUP</t>
        </is>
      </c>
      <c r="L2" t="inlineStr"/>
      <c r="M2" t="inlineStr">
        <is>
          <t>BLANCA TARDIA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n">
        <v>8232.51</v>
      </c>
      <c r="E2" t="n">
        <v>8232.51</v>
      </c>
      <c r="F2" t="n">
        <v>1240</v>
      </c>
      <c r="G2" t="n">
        <v>425.55</v>
      </c>
      <c r="H2" t="n">
        <v>0</v>
      </c>
      <c r="I2" t="n">
        <v>0</v>
      </c>
      <c r="J2" t="n">
        <v>0</v>
      </c>
      <c r="K2" t="n">
        <v>6566.96</v>
      </c>
      <c r="L2" t="n">
        <v>6566.96</v>
      </c>
      <c r="M2" t="n">
        <v>6566.96</v>
      </c>
      <c r="N2" t="n">
        <v>0</v>
      </c>
      <c r="O2" t="n">
        <v>0.331</v>
      </c>
      <c r="P2" t="n">
        <v>0.3633</v>
      </c>
      <c r="Q2" t="inlineStr">
        <is>
          <t>SÍ</t>
        </is>
      </c>
      <c r="R2" t="inlineStr"/>
    </row>
    <row r="3">
      <c r="A3" t="n">
        <v>1072</v>
      </c>
      <c r="B3" t="inlineStr">
        <is>
          <t>GARCIA DELGADO,JUAN MANUEL</t>
        </is>
      </c>
      <c r="C3" t="inlineStr">
        <is>
          <t>VALENCIA DELTA</t>
        </is>
      </c>
      <c r="D3" t="n">
        <v>38912.19</v>
      </c>
      <c r="E3" t="n">
        <v>38912.19</v>
      </c>
      <c r="F3" t="n">
        <v>7476.64</v>
      </c>
      <c r="G3" t="n">
        <v>1546.86</v>
      </c>
      <c r="H3" t="n">
        <v>0</v>
      </c>
      <c r="I3" t="n">
        <v>0</v>
      </c>
      <c r="J3" t="n">
        <v>0</v>
      </c>
      <c r="K3" t="n">
        <v>29888.69</v>
      </c>
      <c r="L3" t="n">
        <v>29888.69</v>
      </c>
      <c r="M3" t="n">
        <v>29888.69</v>
      </c>
      <c r="N3" t="n">
        <v>0</v>
      </c>
      <c r="O3" t="n">
        <v>0.28783</v>
      </c>
      <c r="P3" t="n">
        <v>0.31592</v>
      </c>
      <c r="Q3" t="inlineStr">
        <is>
          <t>SÍ</t>
        </is>
      </c>
      <c r="R3" t="inlineStr"/>
    </row>
    <row r="4">
      <c r="A4" t="n">
        <v>1426</v>
      </c>
      <c r="B4" t="inlineStr">
        <is>
          <t>MONTERO MERAT,JUAN MANUEL</t>
        </is>
      </c>
      <c r="C4" t="inlineStr">
        <is>
          <t>VALENCIA DELTA</t>
        </is>
      </c>
      <c r="D4" t="n">
        <v>15440.26</v>
      </c>
      <c r="E4" t="n">
        <v>15440.26</v>
      </c>
      <c r="F4" t="n">
        <v>3014.21</v>
      </c>
      <c r="G4" t="n">
        <v>268.63</v>
      </c>
      <c r="H4" t="n">
        <v>0</v>
      </c>
      <c r="I4" t="n">
        <v>0</v>
      </c>
      <c r="J4" t="n">
        <v>0</v>
      </c>
      <c r="K4" t="n">
        <v>12157.42</v>
      </c>
      <c r="L4" t="n">
        <v>12157.42</v>
      </c>
      <c r="M4" t="n">
        <v>12157.42</v>
      </c>
      <c r="N4" t="n">
        <v>0</v>
      </c>
      <c r="O4" t="n">
        <v>0.2904</v>
      </c>
      <c r="P4" t="n">
        <v>0.31875</v>
      </c>
      <c r="Q4" t="inlineStr">
        <is>
          <t>SÍ</t>
        </is>
      </c>
      <c r="R4" t="inlineStr"/>
    </row>
    <row r="5">
      <c r="A5" t="n">
        <v>1491</v>
      </c>
      <c r="B5" t="inlineStr">
        <is>
          <t>JIMENEZ LORENTE,SONIA</t>
        </is>
      </c>
      <c r="C5" t="inlineStr">
        <is>
          <t>VALENCIA DELTA</t>
        </is>
      </c>
      <c r="D5" t="n">
        <v>12011.2</v>
      </c>
      <c r="E5" t="n">
        <v>12011.2</v>
      </c>
      <c r="F5" t="n">
        <v>2176.06</v>
      </c>
      <c r="G5" t="n">
        <v>194.12</v>
      </c>
      <c r="H5" t="n">
        <v>0</v>
      </c>
      <c r="I5" t="n">
        <v>0</v>
      </c>
      <c r="J5" t="n">
        <v>471.74</v>
      </c>
      <c r="K5" t="n">
        <v>10112.76</v>
      </c>
      <c r="L5" t="n">
        <v>10112.76</v>
      </c>
      <c r="M5" t="n">
        <v>10112.76</v>
      </c>
      <c r="N5" t="n">
        <v>0</v>
      </c>
      <c r="O5" t="n">
        <v>0.3346</v>
      </c>
      <c r="P5" t="n">
        <v>0.36726</v>
      </c>
      <c r="Q5" t="inlineStr">
        <is>
          <t>SÍ</t>
        </is>
      </c>
      <c r="R5" t="inlineStr"/>
    </row>
    <row r="6">
      <c r="A6" t="n">
        <v>1528</v>
      </c>
      <c r="B6" t="inlineStr">
        <is>
          <t>RAMOS BRUGAROLAS, IGNACIO</t>
        </is>
      </c>
      <c r="C6" t="inlineStr">
        <is>
          <t>VALENCIA LATE</t>
        </is>
      </c>
      <c r="D6" t="n">
        <v>86642.3</v>
      </c>
      <c r="E6" t="n">
        <v>86642.3</v>
      </c>
      <c r="F6" t="n">
        <v>17344.27</v>
      </c>
      <c r="G6" t="n">
        <v>1871.19</v>
      </c>
      <c r="H6" t="n">
        <v>0</v>
      </c>
      <c r="I6" t="n">
        <v>0</v>
      </c>
      <c r="J6" t="n">
        <v>0</v>
      </c>
      <c r="K6" t="n">
        <v>67426.84</v>
      </c>
      <c r="L6" t="n">
        <v>67426.84</v>
      </c>
      <c r="M6" t="n">
        <v>67426.84</v>
      </c>
      <c r="N6" t="n">
        <v>0</v>
      </c>
      <c r="O6" t="n">
        <v>0.30306</v>
      </c>
      <c r="P6" t="n">
        <v>0.33264</v>
      </c>
      <c r="Q6" t="inlineStr">
        <is>
          <t>SÍ</t>
        </is>
      </c>
      <c r="R6" t="inlineStr"/>
    </row>
    <row r="7">
      <c r="A7" t="n">
        <v>1534</v>
      </c>
      <c r="B7" t="inlineStr">
        <is>
          <t>RAMOS BRUGAROLAS, JOSE RAMON</t>
        </is>
      </c>
      <c r="C7" t="inlineStr">
        <is>
          <t>VALENCIA LATE</t>
        </is>
      </c>
      <c r="D7" t="n">
        <v>43353.96</v>
      </c>
      <c r="E7" t="n">
        <v>43353.96</v>
      </c>
      <c r="F7" t="n">
        <v>7812.86</v>
      </c>
      <c r="G7" t="n">
        <v>999.52</v>
      </c>
      <c r="H7" t="n">
        <v>0</v>
      </c>
      <c r="I7" t="n">
        <v>0</v>
      </c>
      <c r="J7" t="n">
        <v>0</v>
      </c>
      <c r="K7" t="n">
        <v>34541.58</v>
      </c>
      <c r="L7" t="n">
        <v>34541.58</v>
      </c>
      <c r="M7" t="n">
        <v>34541.58</v>
      </c>
      <c r="N7" t="n">
        <v>0</v>
      </c>
      <c r="O7" t="n">
        <v>0.31832</v>
      </c>
      <c r="P7" t="n">
        <v>0.34939</v>
      </c>
      <c r="Q7" t="inlineStr">
        <is>
          <t>SÍ</t>
        </is>
      </c>
      <c r="R7" t="inlineStr"/>
    </row>
    <row r="8">
      <c r="A8" t="n">
        <v>1592</v>
      </c>
      <c r="B8" t="inlineStr">
        <is>
          <t>SANTIAGO ESCABIA, JUAN</t>
        </is>
      </c>
      <c r="C8" t="inlineStr">
        <is>
          <t>BARBERINA</t>
        </is>
      </c>
      <c r="D8" t="n">
        <v>20165.77</v>
      </c>
      <c r="E8" t="n">
        <v>20165.77</v>
      </c>
      <c r="F8" t="n">
        <v>3138.13</v>
      </c>
      <c r="G8" t="n">
        <v>716.3099999999999</v>
      </c>
      <c r="H8" t="n">
        <v>0</v>
      </c>
      <c r="I8" t="n">
        <v>0</v>
      </c>
      <c r="J8" t="n">
        <v>0</v>
      </c>
      <c r="K8" t="n">
        <v>16311.33</v>
      </c>
      <c r="L8" t="n">
        <v>16311.33</v>
      </c>
      <c r="M8" t="n">
        <v>16311.33</v>
      </c>
      <c r="N8" t="n">
        <v>0</v>
      </c>
      <c r="O8" t="n">
        <v>0.32486</v>
      </c>
      <c r="P8" t="n">
        <v>0.35657</v>
      </c>
      <c r="Q8" t="inlineStr">
        <is>
          <t>SÍ</t>
        </is>
      </c>
      <c r="R8" t="inlineStr"/>
    </row>
    <row r="9">
      <c r="A9" t="n">
        <v>1594</v>
      </c>
      <c r="B9" t="inlineStr">
        <is>
          <t>CANO MANZANARES, ISABEL MARIA</t>
        </is>
      </c>
      <c r="C9" t="inlineStr">
        <is>
          <t>BARBERINA</t>
        </is>
      </c>
      <c r="D9" t="n">
        <v>32142.48</v>
      </c>
      <c r="E9" t="n">
        <v>32142.48</v>
      </c>
      <c r="F9" t="n">
        <v>4477.75</v>
      </c>
      <c r="G9" t="n">
        <v>455.73</v>
      </c>
      <c r="H9" t="n">
        <v>0</v>
      </c>
      <c r="I9" t="n">
        <v>795.25</v>
      </c>
      <c r="J9" t="n">
        <v>1203.75</v>
      </c>
      <c r="K9" t="n">
        <v>29208</v>
      </c>
      <c r="L9" t="n">
        <v>29208</v>
      </c>
      <c r="M9" t="n">
        <v>29208</v>
      </c>
      <c r="N9" t="n">
        <v>0</v>
      </c>
      <c r="O9" t="n">
        <v>0.40768</v>
      </c>
      <c r="P9" t="n">
        <v>0.44747</v>
      </c>
      <c r="Q9" t="inlineStr">
        <is>
          <t>SÍ</t>
        </is>
      </c>
      <c r="R9" t="inlineStr"/>
    </row>
    <row r="10">
      <c r="A10" t="n">
        <v>1596</v>
      </c>
      <c r="B10" t="inlineStr">
        <is>
          <t>RUEDA GARCIA, Mª MERCEDES</t>
        </is>
      </c>
      <c r="C10" t="inlineStr">
        <is>
          <t>VALENCIA DELTA</t>
        </is>
      </c>
      <c r="D10" t="n">
        <v>19424.03</v>
      </c>
      <c r="E10" t="n">
        <v>19424.03</v>
      </c>
      <c r="F10" t="n">
        <v>3650.26</v>
      </c>
      <c r="G10" t="n">
        <v>798.29</v>
      </c>
      <c r="H10" t="n">
        <v>0</v>
      </c>
      <c r="I10" t="n">
        <v>0</v>
      </c>
      <c r="J10" t="n">
        <v>785.38</v>
      </c>
      <c r="K10" t="n">
        <v>15760.86</v>
      </c>
      <c r="L10" t="n">
        <v>15760.86</v>
      </c>
      <c r="M10" t="n">
        <v>15760.86</v>
      </c>
      <c r="N10" t="n">
        <v>0</v>
      </c>
      <c r="O10" t="n">
        <v>0.31088</v>
      </c>
      <c r="P10" t="n">
        <v>0.34122</v>
      </c>
      <c r="Q10" t="inlineStr">
        <is>
          <t>SÍ</t>
        </is>
      </c>
      <c r="R10" t="inlineStr"/>
    </row>
    <row r="11">
      <c r="A11" t="n">
        <v>1609</v>
      </c>
      <c r="B11" t="inlineStr">
        <is>
          <t>GARCIA BARRAGAN, ROCIO</t>
        </is>
      </c>
      <c r="C11" t="inlineStr">
        <is>
          <t>BARBERINA</t>
        </is>
      </c>
      <c r="D11" t="n">
        <v>5218.71</v>
      </c>
      <c r="E11" t="n">
        <v>5218.71</v>
      </c>
      <c r="F11" t="n">
        <v>800</v>
      </c>
      <c r="G11" t="n">
        <v>374.4</v>
      </c>
      <c r="H11" t="n">
        <v>0</v>
      </c>
      <c r="I11" t="n">
        <v>0</v>
      </c>
      <c r="J11" t="n">
        <v>0</v>
      </c>
      <c r="K11" t="n">
        <v>4044.31</v>
      </c>
      <c r="L11" t="n">
        <v>4044.31</v>
      </c>
      <c r="M11" t="n">
        <v>4044.31</v>
      </c>
      <c r="N11" t="n">
        <v>0</v>
      </c>
      <c r="O11" t="n">
        <v>0.31596</v>
      </c>
      <c r="P11" t="n">
        <v>0.3468</v>
      </c>
      <c r="Q11" t="inlineStr">
        <is>
          <t>SÍ</t>
        </is>
      </c>
      <c r="R11" t="inlineStr"/>
    </row>
    <row r="12">
      <c r="A12" t="n">
        <v>1614</v>
      </c>
      <c r="B12" t="inlineStr">
        <is>
          <t>MARIN SERRANO 2025 S.C.</t>
        </is>
      </c>
      <c r="C12" t="inlineStr">
        <is>
          <t>VALENCIA LATE</t>
        </is>
      </c>
      <c r="D12" t="n">
        <v>38245.41</v>
      </c>
      <c r="E12" t="n">
        <v>38245.41</v>
      </c>
      <c r="F12" t="n">
        <v>7538.18</v>
      </c>
      <c r="G12" t="n">
        <v>200.6</v>
      </c>
      <c r="H12" t="n">
        <v>0</v>
      </c>
      <c r="I12" t="n">
        <v>0</v>
      </c>
      <c r="J12" t="n">
        <v>0</v>
      </c>
      <c r="K12" t="n">
        <v>30506.63</v>
      </c>
      <c r="L12" t="n">
        <v>30506.63</v>
      </c>
      <c r="M12" t="n">
        <v>30506.63</v>
      </c>
      <c r="N12" t="n">
        <v>0</v>
      </c>
      <c r="O12" t="n">
        <v>0.29138</v>
      </c>
      <c r="P12" t="n">
        <v>0.31982</v>
      </c>
      <c r="Q12" t="inlineStr">
        <is>
          <t>SÍ</t>
        </is>
      </c>
      <c r="R12" t="inlineStr"/>
    </row>
    <row r="13">
      <c r="A13" t="n">
        <v>1615</v>
      </c>
      <c r="B13" t="inlineStr">
        <is>
          <t>RURAL PRIME S.L.</t>
        </is>
      </c>
      <c r="C13" t="inlineStr">
        <is>
          <t>VALENCIA DELTA</t>
        </is>
      </c>
      <c r="D13" t="n">
        <v>45137.21</v>
      </c>
      <c r="E13" t="n">
        <v>45137.21</v>
      </c>
      <c r="F13" t="n">
        <v>8288.49</v>
      </c>
      <c r="G13" t="n">
        <v>0</v>
      </c>
      <c r="H13" t="n">
        <v>0</v>
      </c>
      <c r="I13" t="n">
        <v>0</v>
      </c>
      <c r="J13" t="n">
        <v>0</v>
      </c>
      <c r="K13" t="n">
        <v>36848.72</v>
      </c>
      <c r="L13" t="n">
        <v>36848.72</v>
      </c>
      <c r="M13" t="n">
        <v>36848.72</v>
      </c>
      <c r="N13" t="n">
        <v>0</v>
      </c>
      <c r="O13" t="n">
        <v>0.3201</v>
      </c>
      <c r="P13" t="n">
        <v>0.3329</v>
      </c>
      <c r="Q13" t="inlineStr">
        <is>
          <t>SÍ</t>
        </is>
      </c>
      <c r="R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n">
        <v>6566.96</v>
      </c>
      <c r="E2" t="n">
        <v>12</v>
      </c>
      <c r="F2" t="n">
        <v>1.12</v>
      </c>
      <c r="G2" t="n">
        <v>788.04</v>
      </c>
      <c r="H2" t="n">
        <v>7355</v>
      </c>
      <c r="I2" t="n">
        <v>2</v>
      </c>
      <c r="J2" t="n">
        <v>0.98</v>
      </c>
      <c r="K2" t="n">
        <v>147.1</v>
      </c>
      <c r="L2" t="n">
        <v>7207.9</v>
      </c>
      <c r="M2" t="n">
        <v>7207.9</v>
      </c>
      <c r="N2" t="n">
        <v>7207.9</v>
      </c>
      <c r="O2" t="n">
        <v>19840</v>
      </c>
      <c r="P2" t="n">
        <v>0.3633</v>
      </c>
      <c r="Q2" t="n">
        <v>0.3633</v>
      </c>
      <c r="R2" t="n">
        <v>0.3633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1072</v>
      </c>
      <c r="B3" t="inlineStr">
        <is>
          <t>GARCIA DELGADO,JUAN MANUEL</t>
        </is>
      </c>
      <c r="C3" t="inlineStr">
        <is>
          <t>VALENCIA DELTA</t>
        </is>
      </c>
      <c r="D3" t="n">
        <v>29888.69</v>
      </c>
      <c r="E3" t="n">
        <v>12</v>
      </c>
      <c r="F3" t="n">
        <v>1.12</v>
      </c>
      <c r="G3" t="n">
        <v>3586.64</v>
      </c>
      <c r="H3" t="n">
        <v>33475.33</v>
      </c>
      <c r="I3" t="n">
        <v>2</v>
      </c>
      <c r="J3" t="n">
        <v>0.98</v>
      </c>
      <c r="K3" t="n">
        <v>669.51</v>
      </c>
      <c r="L3" t="n">
        <v>32805.83</v>
      </c>
      <c r="M3" t="n">
        <v>32805.83</v>
      </c>
      <c r="N3" t="n">
        <v>32805.83</v>
      </c>
      <c r="O3" t="n">
        <v>103842</v>
      </c>
      <c r="P3" t="n">
        <v>0.31592</v>
      </c>
      <c r="Q3" t="n">
        <v>0.31592</v>
      </c>
      <c r="R3" t="n">
        <v>0.31592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1426</v>
      </c>
      <c r="B4" t="inlineStr">
        <is>
          <t>MONTERO MERAT,JUAN MANUEL</t>
        </is>
      </c>
      <c r="C4" t="inlineStr">
        <is>
          <t>VALENCIA DELTA</t>
        </is>
      </c>
      <c r="D4" t="n">
        <v>12157.42</v>
      </c>
      <c r="E4" t="n">
        <v>12</v>
      </c>
      <c r="F4" t="n">
        <v>1.12</v>
      </c>
      <c r="G4" t="n">
        <v>1458.89</v>
      </c>
      <c r="H4" t="n">
        <v>13616.31</v>
      </c>
      <c r="I4" t="n">
        <v>2</v>
      </c>
      <c r="J4" t="n">
        <v>0.98</v>
      </c>
      <c r="K4" t="n">
        <v>272.33</v>
      </c>
      <c r="L4" t="n">
        <v>13343.98</v>
      </c>
      <c r="M4" t="n">
        <v>13343.98</v>
      </c>
      <c r="N4" t="n">
        <v>13343.98</v>
      </c>
      <c r="O4" t="n">
        <v>41864</v>
      </c>
      <c r="P4" t="n">
        <v>0.31875</v>
      </c>
      <c r="Q4" t="n">
        <v>0.31875</v>
      </c>
      <c r="R4" t="n">
        <v>0.31875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1491</v>
      </c>
      <c r="B5" t="inlineStr">
        <is>
          <t>JIMENEZ LORENTE,SONIA</t>
        </is>
      </c>
      <c r="C5" t="inlineStr">
        <is>
          <t>VALENCIA DELTA</t>
        </is>
      </c>
      <c r="D5" t="n">
        <v>10112.76</v>
      </c>
      <c r="E5" t="n">
        <v>12</v>
      </c>
      <c r="F5" t="n">
        <v>1.12</v>
      </c>
      <c r="G5" t="n">
        <v>1213.53</v>
      </c>
      <c r="H5" t="n">
        <v>11326.29</v>
      </c>
      <c r="I5" t="n">
        <v>2</v>
      </c>
      <c r="J5" t="n">
        <v>0.98</v>
      </c>
      <c r="K5" t="n">
        <v>226.53</v>
      </c>
      <c r="L5" t="n">
        <v>11099.77</v>
      </c>
      <c r="M5" t="n">
        <v>11099.77</v>
      </c>
      <c r="N5" t="n">
        <v>11099.77</v>
      </c>
      <c r="O5" t="n">
        <v>30223</v>
      </c>
      <c r="P5" t="n">
        <v>0.36726</v>
      </c>
      <c r="Q5" t="n">
        <v>0.36726</v>
      </c>
      <c r="R5" t="n">
        <v>0.36726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1528</v>
      </c>
      <c r="B6" t="inlineStr">
        <is>
          <t>RAMOS BRUGAROLAS, IGNACIO</t>
        </is>
      </c>
      <c r="C6" t="inlineStr">
        <is>
          <t>VALENCIA LATE</t>
        </is>
      </c>
      <c r="D6" t="n">
        <v>67426.84</v>
      </c>
      <c r="E6" t="n">
        <v>12</v>
      </c>
      <c r="F6" t="n">
        <v>1.12</v>
      </c>
      <c r="G6" t="n">
        <v>8091.22</v>
      </c>
      <c r="H6" t="n">
        <v>75518.06</v>
      </c>
      <c r="I6" t="n">
        <v>2</v>
      </c>
      <c r="J6" t="n">
        <v>0.98</v>
      </c>
      <c r="K6" t="n">
        <v>1510.36</v>
      </c>
      <c r="L6" t="n">
        <v>74007.7</v>
      </c>
      <c r="M6" t="n">
        <v>74007.7</v>
      </c>
      <c r="N6" t="n">
        <v>74007.7</v>
      </c>
      <c r="O6" t="n">
        <v>222487</v>
      </c>
      <c r="P6" t="n">
        <v>0.33264</v>
      </c>
      <c r="Q6" t="n">
        <v>0.33264</v>
      </c>
      <c r="R6" t="n">
        <v>0.33264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1534</v>
      </c>
      <c r="B7" t="inlineStr">
        <is>
          <t>RAMOS BRUGAROLAS, JOSE RAMON</t>
        </is>
      </c>
      <c r="C7" t="inlineStr">
        <is>
          <t>VALENCIA LATE</t>
        </is>
      </c>
      <c r="D7" t="n">
        <v>34541.58</v>
      </c>
      <c r="E7" t="n">
        <v>12</v>
      </c>
      <c r="F7" t="n">
        <v>1.12</v>
      </c>
      <c r="G7" t="n">
        <v>4144.99</v>
      </c>
      <c r="H7" t="n">
        <v>38686.57</v>
      </c>
      <c r="I7" t="n">
        <v>2</v>
      </c>
      <c r="J7" t="n">
        <v>0.98</v>
      </c>
      <c r="K7" t="n">
        <v>773.73</v>
      </c>
      <c r="L7" t="n">
        <v>37912.84</v>
      </c>
      <c r="M7" t="n">
        <v>37912.84</v>
      </c>
      <c r="N7" t="n">
        <v>37912.84</v>
      </c>
      <c r="O7" t="n">
        <v>108512</v>
      </c>
      <c r="P7" t="n">
        <v>0.34939</v>
      </c>
      <c r="Q7" t="n">
        <v>0.34939</v>
      </c>
      <c r="R7" t="n">
        <v>0.34939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1592</v>
      </c>
      <c r="B8" t="inlineStr">
        <is>
          <t>SANTIAGO ESCABIA, JUAN</t>
        </is>
      </c>
      <c r="C8" t="inlineStr">
        <is>
          <t>BARBERINA</t>
        </is>
      </c>
      <c r="D8" t="n">
        <v>16311.33</v>
      </c>
      <c r="E8" t="n">
        <v>12</v>
      </c>
      <c r="F8" t="n">
        <v>1.12</v>
      </c>
      <c r="G8" t="n">
        <v>1957.36</v>
      </c>
      <c r="H8" t="n">
        <v>18268.69</v>
      </c>
      <c r="I8" t="n">
        <v>2</v>
      </c>
      <c r="J8" t="n">
        <v>0.98</v>
      </c>
      <c r="K8" t="n">
        <v>365.37</v>
      </c>
      <c r="L8" t="n">
        <v>17903.32</v>
      </c>
      <c r="M8" t="n">
        <v>17903.32</v>
      </c>
      <c r="N8" t="n">
        <v>17903.32</v>
      </c>
      <c r="O8" t="n">
        <v>50210</v>
      </c>
      <c r="P8" t="n">
        <v>0.35657</v>
      </c>
      <c r="Q8" t="n">
        <v>0.35657</v>
      </c>
      <c r="R8" t="n">
        <v>0.35657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1594</v>
      </c>
      <c r="B9" t="inlineStr">
        <is>
          <t>CANO MANZANARES, ISABEL MARIA</t>
        </is>
      </c>
      <c r="C9" t="inlineStr">
        <is>
          <t>BARBERINA</t>
        </is>
      </c>
      <c r="D9" t="n">
        <v>29208</v>
      </c>
      <c r="E9" t="n">
        <v>12</v>
      </c>
      <c r="F9" t="n">
        <v>1.12</v>
      </c>
      <c r="G9" t="n">
        <v>3504.96</v>
      </c>
      <c r="H9" t="n">
        <v>32712.96</v>
      </c>
      <c r="I9" t="n">
        <v>2</v>
      </c>
      <c r="J9" t="n">
        <v>0.98</v>
      </c>
      <c r="K9" t="n">
        <v>654.26</v>
      </c>
      <c r="L9" t="n">
        <v>32058.7</v>
      </c>
      <c r="M9" t="n">
        <v>32058.7</v>
      </c>
      <c r="N9" t="n">
        <v>32058.7</v>
      </c>
      <c r="O9" t="n">
        <v>71644</v>
      </c>
      <c r="P9" t="n">
        <v>0.44747</v>
      </c>
      <c r="Q9" t="n">
        <v>0.44747</v>
      </c>
      <c r="R9" t="n">
        <v>0.44747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1596</v>
      </c>
      <c r="B10" t="inlineStr">
        <is>
          <t>RUEDA GARCIA, Mª MERCEDES</t>
        </is>
      </c>
      <c r="C10" t="inlineStr">
        <is>
          <t>VALENCIA DELTA</t>
        </is>
      </c>
      <c r="D10" t="n">
        <v>15760.86</v>
      </c>
      <c r="E10" t="n">
        <v>12</v>
      </c>
      <c r="F10" t="n">
        <v>1.12</v>
      </c>
      <c r="G10" t="n">
        <v>1891.3</v>
      </c>
      <c r="H10" t="n">
        <v>17652.16</v>
      </c>
      <c r="I10" t="n">
        <v>2</v>
      </c>
      <c r="J10" t="n">
        <v>0.98</v>
      </c>
      <c r="K10" t="n">
        <v>353.04</v>
      </c>
      <c r="L10" t="n">
        <v>17299.12</v>
      </c>
      <c r="M10" t="n">
        <v>17299.12</v>
      </c>
      <c r="N10" t="n">
        <v>17299.12</v>
      </c>
      <c r="O10" t="n">
        <v>50698</v>
      </c>
      <c r="P10" t="n">
        <v>0.34122</v>
      </c>
      <c r="Q10" t="n">
        <v>0.34122</v>
      </c>
      <c r="R10" t="n">
        <v>0.34122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1609</v>
      </c>
      <c r="B11" t="inlineStr">
        <is>
          <t>GARCIA BARRAGAN, ROCIO</t>
        </is>
      </c>
      <c r="C11" t="inlineStr">
        <is>
          <t>BARBERINA</t>
        </is>
      </c>
      <c r="D11" t="n">
        <v>4044.31</v>
      </c>
      <c r="E11" t="n">
        <v>12</v>
      </c>
      <c r="F11" t="n">
        <v>1.12</v>
      </c>
      <c r="G11" t="n">
        <v>485.32</v>
      </c>
      <c r="H11" t="n">
        <v>4529.63</v>
      </c>
      <c r="I11" t="n">
        <v>2</v>
      </c>
      <c r="J11" t="n">
        <v>0.98</v>
      </c>
      <c r="K11" t="n">
        <v>90.59</v>
      </c>
      <c r="L11" t="n">
        <v>4439.03</v>
      </c>
      <c r="M11" t="n">
        <v>4439.03</v>
      </c>
      <c r="N11" t="n">
        <v>4439.03</v>
      </c>
      <c r="O11" t="n">
        <v>12800</v>
      </c>
      <c r="P11" t="n">
        <v>0.3468</v>
      </c>
      <c r="Q11" t="n">
        <v>0.3468</v>
      </c>
      <c r="R11" t="n">
        <v>0.3468</v>
      </c>
      <c r="S11" t="n">
        <v>0</v>
      </c>
      <c r="T11" t="n">
        <v>0</v>
      </c>
      <c r="U11" t="inlineStr">
        <is>
          <t>SÍ</t>
        </is>
      </c>
      <c r="V11" t="inlineStr"/>
    </row>
    <row r="12">
      <c r="A12" t="n">
        <v>1614</v>
      </c>
      <c r="B12" t="inlineStr">
        <is>
          <t>MARIN SERRANO 2025 S.C.</t>
        </is>
      </c>
      <c r="C12" t="inlineStr">
        <is>
          <t>VALENCIA LATE</t>
        </is>
      </c>
      <c r="D12" t="n">
        <v>30506.63</v>
      </c>
      <c r="E12" t="n">
        <v>12</v>
      </c>
      <c r="F12" t="n">
        <v>1.12</v>
      </c>
      <c r="G12" t="n">
        <v>3660.8</v>
      </c>
      <c r="H12" t="n">
        <v>34167.43</v>
      </c>
      <c r="I12" t="n">
        <v>2</v>
      </c>
      <c r="J12" t="n">
        <v>0.98</v>
      </c>
      <c r="K12" t="n">
        <v>683.35</v>
      </c>
      <c r="L12" t="n">
        <v>33484.08</v>
      </c>
      <c r="M12" t="n">
        <v>33484.08</v>
      </c>
      <c r="N12" t="n">
        <v>33484.08</v>
      </c>
      <c r="O12" t="n">
        <v>104697</v>
      </c>
      <c r="P12" t="n">
        <v>0.31982</v>
      </c>
      <c r="Q12" t="n">
        <v>0.31982</v>
      </c>
      <c r="R12" t="n">
        <v>0.31982</v>
      </c>
      <c r="S12" t="n">
        <v>0</v>
      </c>
      <c r="T12" t="n">
        <v>0</v>
      </c>
      <c r="U12" t="inlineStr">
        <is>
          <t>SÍ</t>
        </is>
      </c>
      <c r="V12" t="inlineStr"/>
    </row>
    <row r="13">
      <c r="A13" t="n">
        <v>1615</v>
      </c>
      <c r="B13" t="inlineStr">
        <is>
          <t>RURAL PRIME S.L.</t>
        </is>
      </c>
      <c r="C13" t="inlineStr">
        <is>
          <t>VALENCIA DELTA</t>
        </is>
      </c>
      <c r="D13" t="n">
        <v>36848.72</v>
      </c>
      <c r="E13" t="n">
        <v>4</v>
      </c>
      <c r="F13" t="n">
        <v>1.04</v>
      </c>
      <c r="G13" t="n">
        <v>1473.95</v>
      </c>
      <c r="H13" t="n">
        <v>38322.67</v>
      </c>
      <c r="I13" t="n">
        <v>0</v>
      </c>
      <c r="J13" t="n">
        <v>1</v>
      </c>
      <c r="K13" t="n">
        <v>0</v>
      </c>
      <c r="L13" t="n">
        <v>38322.67</v>
      </c>
      <c r="M13" t="n">
        <v>38322.67</v>
      </c>
      <c r="N13" t="n">
        <v>38322.67</v>
      </c>
      <c r="O13" t="n">
        <v>115118</v>
      </c>
      <c r="P13" t="n">
        <v>0.3329</v>
      </c>
      <c r="Q13" t="n">
        <v>0.3329</v>
      </c>
      <c r="R13" t="n">
        <v>0.3329</v>
      </c>
      <c r="S13" t="n">
        <v>0</v>
      </c>
      <c r="T13" t="n">
        <v>0</v>
      </c>
      <c r="U13" t="inlineStr">
        <is>
          <t>SÍ</t>
        </is>
      </c>
      <c r="V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2.2208</v>
      </c>
      <c r="M2" t="n">
        <v>195</v>
      </c>
      <c r="N2" t="n">
        <v>433.06</v>
      </c>
      <c r="O2" t="n">
        <v>20190</v>
      </c>
      <c r="P2" t="n">
        <v>0.02144923229321446</v>
      </c>
      <c r="Q2" t="n">
        <v>19840</v>
      </c>
      <c r="R2" t="n">
        <v>425.55</v>
      </c>
      <c r="S2" t="n">
        <v>0</v>
      </c>
      <c r="T2" t="n">
        <v>425.55</v>
      </c>
      <c r="U2" t="n">
        <v>7.51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socio=909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1072</v>
      </c>
      <c r="B3" t="inlineStr">
        <is>
          <t>GARCIA DELGADO,JUAN MANUEL</t>
        </is>
      </c>
      <c r="C3" t="inlineStr">
        <is>
          <t>VALENCIA DELTA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2</v>
      </c>
      <c r="H3" t="n">
        <v>2</v>
      </c>
      <c r="I3" t="n">
        <v>3</v>
      </c>
      <c r="J3" t="n">
        <v>0</v>
      </c>
      <c r="K3" t="n">
        <v>0</v>
      </c>
      <c r="L3" t="n">
        <v>8.970000000000001</v>
      </c>
      <c r="M3" t="n">
        <v>195</v>
      </c>
      <c r="N3" t="n">
        <v>1749.15</v>
      </c>
      <c r="O3" t="n">
        <v>117422</v>
      </c>
      <c r="P3" t="n">
        <v>0.01489627156750864</v>
      </c>
      <c r="Q3" t="n">
        <v>103842</v>
      </c>
      <c r="R3" t="n">
        <v>1546.86</v>
      </c>
      <c r="S3" t="n">
        <v>0</v>
      </c>
      <c r="T3" t="n">
        <v>1546.86</v>
      </c>
      <c r="U3" t="n">
        <v>202.29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socio=1072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1426</v>
      </c>
      <c r="B4" t="inlineStr">
        <is>
          <t>MONTERO MERAT,JUAN MANUEL</t>
        </is>
      </c>
      <c r="C4" t="inlineStr">
        <is>
          <t>VALENCIA DELTA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1.43</v>
      </c>
      <c r="M4" t="n">
        <v>195</v>
      </c>
      <c r="N4" t="n">
        <v>278.85</v>
      </c>
      <c r="O4" t="n">
        <v>43456</v>
      </c>
      <c r="P4" t="n">
        <v>0.006416835419734904</v>
      </c>
      <c r="Q4" t="n">
        <v>41864</v>
      </c>
      <c r="R4" t="n">
        <v>268.63</v>
      </c>
      <c r="S4" t="n">
        <v>0</v>
      </c>
      <c r="T4" t="n">
        <v>268.63</v>
      </c>
      <c r="U4" t="n">
        <v>10.22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socio=1426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1491</v>
      </c>
      <c r="B5" t="inlineStr">
        <is>
          <t>JIMENEZ LORENTE,SONIA</t>
        </is>
      </c>
      <c r="C5" t="inlineStr">
        <is>
          <t>VALENCIA DELTA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4</v>
      </c>
      <c r="H5" t="n">
        <v>4</v>
      </c>
      <c r="I5" t="n">
        <v>5</v>
      </c>
      <c r="J5" t="n">
        <v>0</v>
      </c>
      <c r="K5" t="n">
        <v>0</v>
      </c>
      <c r="L5" t="n">
        <v>7.94</v>
      </c>
      <c r="M5" t="n">
        <v>195</v>
      </c>
      <c r="N5" t="n">
        <v>1548.3</v>
      </c>
      <c r="O5" t="n">
        <v>241057</v>
      </c>
      <c r="P5" t="n">
        <v>0.006422962203960059</v>
      </c>
      <c r="Q5" t="n">
        <v>30223</v>
      </c>
      <c r="R5" t="n">
        <v>194.12</v>
      </c>
      <c r="S5" t="n">
        <v>0</v>
      </c>
      <c r="T5" t="n">
        <v>194.12</v>
      </c>
      <c r="U5" t="n">
        <v>1354.18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socio=1491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1528</v>
      </c>
      <c r="B6" t="inlineStr">
        <is>
          <t>RAMOS BRUGAROLAS, IGNACIO</t>
        </is>
      </c>
      <c r="C6" t="inlineStr">
        <is>
          <t>VALENCIA LATE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21.34</v>
      </c>
      <c r="M6" t="n">
        <v>195</v>
      </c>
      <c r="N6" t="n">
        <v>4161.3</v>
      </c>
      <c r="O6" t="n">
        <v>494783</v>
      </c>
      <c r="P6" t="n">
        <v>0.008410353629773052</v>
      </c>
      <c r="Q6" t="n">
        <v>222487</v>
      </c>
      <c r="R6" t="n">
        <v>1871.19</v>
      </c>
      <c r="S6" t="n">
        <v>0</v>
      </c>
      <c r="T6" t="n">
        <v>1871.19</v>
      </c>
      <c r="U6" t="n">
        <v>2290.11</v>
      </c>
      <c r="V6" t="inlineStr">
        <is>
          <t>OPEN</t>
        </is>
      </c>
      <c r="W6" t="inlineStr">
        <is>
          <t>calculated</t>
        </is>
      </c>
      <c r="X6" t="inlineStr">
        <is>
          <t>No existe tarifa BonCalidad para socio=1528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1534</v>
      </c>
      <c r="B7" t="inlineStr">
        <is>
          <t>RAMOS BRUGAROLAS, JOSE RAMON</t>
        </is>
      </c>
      <c r="C7" t="inlineStr">
        <is>
          <t>VALENCIA LATE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9.630000000000001</v>
      </c>
      <c r="M7" t="n">
        <v>195</v>
      </c>
      <c r="N7" t="n">
        <v>1877.85</v>
      </c>
      <c r="O7" t="n">
        <v>203867</v>
      </c>
      <c r="P7" t="n">
        <v>0.009211152368946421</v>
      </c>
      <c r="Q7" t="n">
        <v>108512</v>
      </c>
      <c r="R7" t="n">
        <v>999.52</v>
      </c>
      <c r="S7" t="n">
        <v>0</v>
      </c>
      <c r="T7" t="n">
        <v>999.52</v>
      </c>
      <c r="U7" t="n">
        <v>878.33</v>
      </c>
      <c r="V7" t="inlineStr">
        <is>
          <t>OPEN</t>
        </is>
      </c>
      <c r="W7" t="inlineStr">
        <is>
          <t>calculated</t>
        </is>
      </c>
      <c r="X7" t="inlineStr">
        <is>
          <t>No existe tarifa BonCalidad para socio=1534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1592</v>
      </c>
      <c r="B8" t="inlineStr">
        <is>
          <t>SANTIAGO ESCABIA, JUAN</t>
        </is>
      </c>
      <c r="C8" t="inlineStr">
        <is>
          <t>BARBERINA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2</v>
      </c>
      <c r="H8" t="n">
        <v>2</v>
      </c>
      <c r="I8" t="n">
        <v>2</v>
      </c>
      <c r="J8" t="n">
        <v>0</v>
      </c>
      <c r="K8" t="n">
        <v>0</v>
      </c>
      <c r="L8" t="n">
        <v>4.2192</v>
      </c>
      <c r="M8" t="n">
        <v>195</v>
      </c>
      <c r="N8" t="n">
        <v>822.74</v>
      </c>
      <c r="O8" t="n">
        <v>57670</v>
      </c>
      <c r="P8" t="n">
        <v>0.01426634298595457</v>
      </c>
      <c r="Q8" t="n">
        <v>50210</v>
      </c>
      <c r="R8" t="n">
        <v>716.3099999999999</v>
      </c>
      <c r="S8" t="n">
        <v>0</v>
      </c>
      <c r="T8" t="n">
        <v>716.3099999999999</v>
      </c>
      <c r="U8" t="n">
        <v>106.43</v>
      </c>
      <c r="V8" t="inlineStr">
        <is>
          <t>OPEN</t>
        </is>
      </c>
      <c r="W8" t="inlineStr">
        <is>
          <t>calculated</t>
        </is>
      </c>
      <c r="X8" t="inlineStr">
        <is>
          <t>No existe tarifa BonCalidad para socio=1592 campaña=2026 empresa=1 cultivo=CITRICOS.; No existe fuente acumulada disponible; saldo informativo calculado con cuota ya aplicada = 0.</t>
        </is>
      </c>
      <c r="Y8" t="inlineStr">
        <is>
          <t>SÍ</t>
        </is>
      </c>
    </row>
    <row r="9">
      <c r="A9" t="n">
        <v>1594</v>
      </c>
      <c r="B9" t="inlineStr">
        <is>
          <t>CANO MANZANARES, ISABEL MARIA</t>
        </is>
      </c>
      <c r="C9" t="inlineStr">
        <is>
          <t>BARBERINA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2.38</v>
      </c>
      <c r="M9" t="n">
        <v>195</v>
      </c>
      <c r="N9" t="n">
        <v>464.1</v>
      </c>
      <c r="O9" t="n">
        <v>72960</v>
      </c>
      <c r="P9" t="n">
        <v>0.006361019736842105</v>
      </c>
      <c r="Q9" t="n">
        <v>71644</v>
      </c>
      <c r="R9" t="n">
        <v>455.73</v>
      </c>
      <c r="S9" t="n">
        <v>0</v>
      </c>
      <c r="T9" t="n">
        <v>455.73</v>
      </c>
      <c r="U9" t="n">
        <v>8.369999999999999</v>
      </c>
      <c r="V9" t="inlineStr">
        <is>
          <t>OPEN</t>
        </is>
      </c>
      <c r="W9" t="inlineStr">
        <is>
          <t>calculated</t>
        </is>
      </c>
      <c r="X9" t="inlineStr">
        <is>
          <t>No existe tarifa BonCalidad para socio=1594 campaña=2026 empresa=1 cultivo=CITRICOS.;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1596</v>
      </c>
      <c r="B10" t="inlineStr">
        <is>
          <t>RUEDA GARCIA, Mª MERCEDES</t>
        </is>
      </c>
      <c r="C10" t="inlineStr">
        <is>
          <t>VALENCIA DELTA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4.27</v>
      </c>
      <c r="M10" t="n">
        <v>195</v>
      </c>
      <c r="N10" t="n">
        <v>832.65</v>
      </c>
      <c r="O10" t="n">
        <v>52880</v>
      </c>
      <c r="P10" t="n">
        <v>0.01574602874432678</v>
      </c>
      <c r="Q10" t="n">
        <v>50698</v>
      </c>
      <c r="R10" t="n">
        <v>798.29</v>
      </c>
      <c r="S10" t="n">
        <v>0</v>
      </c>
      <c r="T10" t="n">
        <v>798.29</v>
      </c>
      <c r="U10" t="n">
        <v>34.36</v>
      </c>
      <c r="V10" t="inlineStr">
        <is>
          <t>OPEN</t>
        </is>
      </c>
      <c r="W10" t="inlineStr">
        <is>
          <t>calculated</t>
        </is>
      </c>
      <c r="X10" t="inlineStr">
        <is>
          <t>No existe tarifa BonCalidad para socio=1596 campaña=2026 empresa=1 cultivo=CITRICOS.;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1609</v>
      </c>
      <c r="B11" t="inlineStr">
        <is>
          <t>GARCIA BARRAGAN, ROCIO</t>
        </is>
      </c>
      <c r="C11" t="inlineStr">
        <is>
          <t>BARBERINA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1.92</v>
      </c>
      <c r="M11" t="n">
        <v>195</v>
      </c>
      <c r="N11" t="n">
        <v>374.4</v>
      </c>
      <c r="O11" t="n">
        <v>12800</v>
      </c>
      <c r="P11" t="n">
        <v>0.02925</v>
      </c>
      <c r="Q11" t="n">
        <v>12800</v>
      </c>
      <c r="R11" t="n">
        <v>374.4</v>
      </c>
      <c r="S11" t="n">
        <v>0</v>
      </c>
      <c r="T11" t="n">
        <v>374.4</v>
      </c>
      <c r="U11" t="n">
        <v>0</v>
      </c>
      <c r="V11" t="inlineStr">
        <is>
          <t>CLOSED</t>
        </is>
      </c>
      <c r="W11" t="inlineStr">
        <is>
          <t>calculated</t>
        </is>
      </c>
      <c r="X11" t="inlineStr">
        <is>
          <t>No existe tarifa BonCalidad para socio=1609 campaña=2026 empresa=1 cultivo=CITRICOS.;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1614</v>
      </c>
      <c r="B12" t="inlineStr">
        <is>
          <t>MARIN SERRANO 2025 S.C.</t>
        </is>
      </c>
      <c r="C12" t="inlineStr">
        <is>
          <t>VALENCIA LATE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8</v>
      </c>
      <c r="H12" t="n">
        <v>1</v>
      </c>
      <c r="I12" t="n">
        <v>1</v>
      </c>
      <c r="J12" t="n">
        <v>0</v>
      </c>
      <c r="K12" t="n">
        <v>0</v>
      </c>
      <c r="L12" t="n">
        <v>5.8</v>
      </c>
      <c r="M12" t="n">
        <v>195</v>
      </c>
      <c r="N12" t="n">
        <v>1131</v>
      </c>
      <c r="O12" t="n">
        <v>590286</v>
      </c>
      <c r="P12" t="n">
        <v>0.001916020369786849</v>
      </c>
      <c r="Q12" t="n">
        <v>104697</v>
      </c>
      <c r="R12" t="n">
        <v>200.6</v>
      </c>
      <c r="S12" t="n">
        <v>0</v>
      </c>
      <c r="T12" t="n">
        <v>200.6</v>
      </c>
      <c r="U12" t="n">
        <v>930.4</v>
      </c>
      <c r="V12" t="inlineStr">
        <is>
          <t>OPEN</t>
        </is>
      </c>
      <c r="W12" t="inlineStr">
        <is>
          <t>calculated</t>
        </is>
      </c>
      <c r="X12" t="inlineStr">
        <is>
          <t>No existe tarifa BonCalidad para socio=1614 campaña=2026 empresa=1 cultivo=CITRICOS.;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1615</v>
      </c>
      <c r="B13" t="inlineStr">
        <is>
          <t>RURAL PRIME S.L.</t>
        </is>
      </c>
      <c r="C13" t="inlineStr">
        <is>
          <t>VALENCIA DELTA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195</v>
      </c>
      <c r="N13" t="n">
        <v>0</v>
      </c>
      <c r="O13" t="n">
        <v>259578</v>
      </c>
      <c r="Q13" t="n">
        <v>115118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CLOSED</t>
        </is>
      </c>
      <c r="W13" t="inlineStr">
        <is>
          <t>not_applicable</t>
        </is>
      </c>
      <c r="X13" t="inlineStr">
        <is>
          <t>No existe tarifa BonCalidad para socio=1615 campaña=2026 empresa=1 cultivo=CITRICOS.; No existe fuente acumulada disponible; saldo informativo calculado con cuota ya aplicada = 0.; Cuota Ha no aplicable: sin superficie sujeta a cuota.</t>
        </is>
      </c>
      <c r="Y13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909</v>
      </c>
      <c r="B2" t="inlineStr">
        <is>
          <t>LEON PINEDA,ROSARIO</t>
        </is>
      </c>
      <c r="C2" t="n">
        <v>345</v>
      </c>
      <c r="D2" t="inlineStr">
        <is>
          <t>8157</t>
        </is>
      </c>
      <c r="E2" t="inlineStr">
        <is>
          <t>29</t>
        </is>
      </c>
      <c r="F2" t="inlineStr">
        <is>
          <t>51</t>
        </is>
      </c>
      <c r="G2" t="inlineStr">
        <is>
          <t>1</t>
        </is>
      </c>
      <c r="H2" t="n">
        <v>2012</v>
      </c>
      <c r="I2" t="n">
        <v>0.7508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2.2208</v>
      </c>
      <c r="P2" t="n">
        <v>433.06</v>
      </c>
      <c r="Q2" t="n">
        <v>20190</v>
      </c>
      <c r="R2" t="n">
        <v>0.02144923229321446</v>
      </c>
      <c r="S2" t="n">
        <v>19840</v>
      </c>
      <c r="T2" t="n">
        <v>425.55</v>
      </c>
    </row>
    <row r="3">
      <c r="A3" t="n">
        <v>909</v>
      </c>
      <c r="B3" t="inlineStr">
        <is>
          <t>LEON PINEDA,ROSARIO</t>
        </is>
      </c>
      <c r="C3" t="n">
        <v>650</v>
      </c>
      <c r="D3" t="inlineStr">
        <is>
          <t>8158</t>
        </is>
      </c>
      <c r="E3" t="inlineStr">
        <is>
          <t>29</t>
        </is>
      </c>
      <c r="F3" t="inlineStr">
        <is>
          <t>60</t>
        </is>
      </c>
      <c r="G3" t="inlineStr">
        <is>
          <t>1</t>
        </is>
      </c>
      <c r="H3" t="n">
        <v>2019</v>
      </c>
      <c r="I3" t="n">
        <v>1.47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2.2208</v>
      </c>
      <c r="P3" t="n">
        <v>433.06</v>
      </c>
      <c r="Q3" t="n">
        <v>20190</v>
      </c>
      <c r="R3" t="n">
        <v>0.02144923229321446</v>
      </c>
      <c r="S3" t="n">
        <v>19840</v>
      </c>
      <c r="T3" t="n">
        <v>425.55</v>
      </c>
    </row>
    <row r="4">
      <c r="A4" t="n">
        <v>1072</v>
      </c>
      <c r="B4" t="inlineStr">
        <is>
          <t>GARCIA DELGADO,JUAN MANUEL</t>
        </is>
      </c>
      <c r="C4" t="n">
        <v>164</v>
      </c>
      <c r="D4" t="inlineStr">
        <is>
          <t>8234</t>
        </is>
      </c>
      <c r="E4" t="inlineStr">
        <is>
          <t>11</t>
        </is>
      </c>
      <c r="F4" t="inlineStr">
        <is>
          <t>90</t>
        </is>
      </c>
      <c r="G4" t="inlineStr">
        <is>
          <t>8</t>
        </is>
      </c>
      <c r="H4" t="n">
        <v>2005</v>
      </c>
      <c r="I4" t="n">
        <v>1.38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8.970000000000001</v>
      </c>
      <c r="P4" t="n">
        <v>1749.15</v>
      </c>
      <c r="Q4" t="n">
        <v>117422</v>
      </c>
      <c r="R4" t="n">
        <v>0.01489627156750864</v>
      </c>
      <c r="S4" t="n">
        <v>103842</v>
      </c>
      <c r="T4" t="n">
        <v>1546.86</v>
      </c>
    </row>
    <row r="5">
      <c r="A5" t="n">
        <v>1072</v>
      </c>
      <c r="B5" t="inlineStr">
        <is>
          <t>GARCIA DELGADO,JUAN MANUEL</t>
        </is>
      </c>
      <c r="C5" t="n">
        <v>617</v>
      </c>
      <c r="D5" t="inlineStr">
        <is>
          <t>8232</t>
        </is>
      </c>
      <c r="E5" t="inlineStr">
        <is>
          <t>13</t>
        </is>
      </c>
      <c r="F5" t="inlineStr">
        <is>
          <t>219</t>
        </is>
      </c>
      <c r="G5" t="inlineStr">
        <is>
          <t>2</t>
        </is>
      </c>
      <c r="H5" t="n">
        <v>2017</v>
      </c>
      <c r="I5" t="n">
        <v>4.06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8.970000000000001</v>
      </c>
      <c r="P5" t="n">
        <v>1749.15</v>
      </c>
      <c r="Q5" t="n">
        <v>117422</v>
      </c>
      <c r="R5" t="n">
        <v>0.01489627156750864</v>
      </c>
      <c r="S5" t="n">
        <v>103842</v>
      </c>
      <c r="T5" t="n">
        <v>1546.86</v>
      </c>
    </row>
    <row r="6">
      <c r="A6" t="n">
        <v>1072</v>
      </c>
      <c r="B6" t="inlineStr">
        <is>
          <t>GARCIA DELGADO,JUAN MANUEL</t>
        </is>
      </c>
      <c r="C6" t="n">
        <v>617</v>
      </c>
      <c r="D6" t="inlineStr">
        <is>
          <t>8233</t>
        </is>
      </c>
      <c r="E6" t="inlineStr">
        <is>
          <t>13</t>
        </is>
      </c>
      <c r="F6" t="inlineStr">
        <is>
          <t>283</t>
        </is>
      </c>
      <c r="G6" t="inlineStr">
        <is>
          <t>1</t>
        </is>
      </c>
      <c r="H6" t="n">
        <v>2017</v>
      </c>
      <c r="I6" t="n">
        <v>3.53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8.970000000000001</v>
      </c>
      <c r="P6" t="n">
        <v>1749.15</v>
      </c>
      <c r="Q6" t="n">
        <v>117422</v>
      </c>
      <c r="R6" t="n">
        <v>0.01489627156750864</v>
      </c>
      <c r="S6" t="n">
        <v>103842</v>
      </c>
      <c r="T6" t="n">
        <v>1546.86</v>
      </c>
    </row>
    <row r="7">
      <c r="A7" t="n">
        <v>1426</v>
      </c>
      <c r="B7" t="inlineStr">
        <is>
          <t>MONTERO MERAT,JUAN MANUEL</t>
        </is>
      </c>
      <c r="C7" t="n">
        <v>208</v>
      </c>
      <c r="D7" t="inlineStr">
        <is>
          <t>8802</t>
        </is>
      </c>
      <c r="E7" t="inlineStr">
        <is>
          <t>9</t>
        </is>
      </c>
      <c r="F7" t="inlineStr">
        <is>
          <t>98</t>
        </is>
      </c>
      <c r="G7" t="inlineStr">
        <is>
          <t>1</t>
        </is>
      </c>
      <c r="H7" t="n">
        <v>2003</v>
      </c>
      <c r="I7" t="n">
        <v>1.43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1.43</v>
      </c>
      <c r="P7" t="n">
        <v>278.85</v>
      </c>
      <c r="Q7" t="n">
        <v>43456</v>
      </c>
      <c r="R7" t="n">
        <v>0.006416835419734904</v>
      </c>
      <c r="S7" t="n">
        <v>41864</v>
      </c>
      <c r="T7" t="n">
        <v>268.63</v>
      </c>
    </row>
    <row r="8">
      <c r="A8" t="n">
        <v>1491</v>
      </c>
      <c r="B8" t="inlineStr">
        <is>
          <t>JIMENEZ LORENTE,SONIA</t>
        </is>
      </c>
      <c r="C8" t="n">
        <v>370</v>
      </c>
      <c r="D8" t="inlineStr">
        <is>
          <t>9223</t>
        </is>
      </c>
      <c r="E8" t="inlineStr">
        <is>
          <t>29</t>
        </is>
      </c>
      <c r="F8" t="inlineStr">
        <is>
          <t>58</t>
        </is>
      </c>
      <c r="G8" t="inlineStr">
        <is>
          <t>1</t>
        </is>
      </c>
      <c r="H8" t="n">
        <v>2016</v>
      </c>
      <c r="I8" t="n">
        <v>2.2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7.94</v>
      </c>
      <c r="P8" t="n">
        <v>1548.3</v>
      </c>
      <c r="Q8" t="n">
        <v>241057</v>
      </c>
      <c r="R8" t="n">
        <v>0.006422962203960059</v>
      </c>
      <c r="S8" t="n">
        <v>30223</v>
      </c>
      <c r="T8" t="n">
        <v>194.12</v>
      </c>
    </row>
    <row r="9">
      <c r="A9" t="n">
        <v>1491</v>
      </c>
      <c r="B9" t="inlineStr">
        <is>
          <t>JIMENEZ LORENTE,SONIA</t>
        </is>
      </c>
      <c r="C9" t="n">
        <v>563</v>
      </c>
      <c r="D9" t="inlineStr">
        <is>
          <t>9220</t>
        </is>
      </c>
      <c r="E9" t="inlineStr">
        <is>
          <t>29</t>
        </is>
      </c>
      <c r="F9" t="inlineStr">
        <is>
          <t>58</t>
        </is>
      </c>
      <c r="G9" t="inlineStr">
        <is>
          <t>1</t>
        </is>
      </c>
      <c r="H9" t="n">
        <v>2021</v>
      </c>
      <c r="I9" t="n">
        <v>1.69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7.94</v>
      </c>
      <c r="P9" t="n">
        <v>1548.3</v>
      </c>
      <c r="Q9" t="n">
        <v>241057</v>
      </c>
      <c r="R9" t="n">
        <v>0.006422962203960059</v>
      </c>
      <c r="S9" t="n">
        <v>30223</v>
      </c>
      <c r="T9" t="n">
        <v>194.12</v>
      </c>
    </row>
    <row r="10">
      <c r="A10" t="n">
        <v>1491</v>
      </c>
      <c r="B10" t="inlineStr">
        <is>
          <t>JIMENEZ LORENTE,SONIA</t>
        </is>
      </c>
      <c r="C10" t="n">
        <v>563</v>
      </c>
      <c r="D10" t="inlineStr">
        <is>
          <t>9221</t>
        </is>
      </c>
      <c r="E10" t="inlineStr">
        <is>
          <t>29</t>
        </is>
      </c>
      <c r="F10" t="inlineStr">
        <is>
          <t>58</t>
        </is>
      </c>
      <c r="G10" t="inlineStr">
        <is>
          <t>12</t>
        </is>
      </c>
      <c r="H10" t="n">
        <v>2017</v>
      </c>
      <c r="I10" t="n">
        <v>0.52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7.94</v>
      </c>
      <c r="P10" t="n">
        <v>1548.3</v>
      </c>
      <c r="Q10" t="n">
        <v>241057</v>
      </c>
      <c r="R10" t="n">
        <v>0.006422962203960059</v>
      </c>
      <c r="S10" t="n">
        <v>30223</v>
      </c>
      <c r="T10" t="n">
        <v>194.12</v>
      </c>
    </row>
    <row r="11">
      <c r="A11" t="n">
        <v>1491</v>
      </c>
      <c r="B11" t="inlineStr">
        <is>
          <t>JIMENEZ LORENTE,SONIA</t>
        </is>
      </c>
      <c r="C11" t="n">
        <v>569</v>
      </c>
      <c r="D11" t="inlineStr">
        <is>
          <t>9222</t>
        </is>
      </c>
      <c r="E11" t="inlineStr">
        <is>
          <t>29</t>
        </is>
      </c>
      <c r="F11" t="inlineStr">
        <is>
          <t>58</t>
        </is>
      </c>
      <c r="G11" t="inlineStr">
        <is>
          <t>1</t>
        </is>
      </c>
      <c r="H11" t="n">
        <v>2014</v>
      </c>
      <c r="I11" t="n">
        <v>1.28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7.94</v>
      </c>
      <c r="P11" t="n">
        <v>1548.3</v>
      </c>
      <c r="Q11" t="n">
        <v>241057</v>
      </c>
      <c r="R11" t="n">
        <v>0.006422962203960059</v>
      </c>
      <c r="S11" t="n">
        <v>30223</v>
      </c>
      <c r="T11" t="n">
        <v>194.12</v>
      </c>
    </row>
    <row r="12">
      <c r="A12" t="n">
        <v>1491</v>
      </c>
      <c r="B12" t="inlineStr">
        <is>
          <t>JIMENEZ LORENTE,SONIA</t>
        </is>
      </c>
      <c r="C12" t="n">
        <v>619</v>
      </c>
      <c r="D12" t="inlineStr">
        <is>
          <t>9630</t>
        </is>
      </c>
      <c r="E12" t="inlineStr">
        <is>
          <t>29</t>
        </is>
      </c>
      <c r="F12" t="inlineStr">
        <is>
          <t>58</t>
        </is>
      </c>
      <c r="G12" t="inlineStr">
        <is>
          <t>1</t>
        </is>
      </c>
      <c r="H12" t="n">
        <v>2016</v>
      </c>
      <c r="I12" t="n">
        <v>2.25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7.94</v>
      </c>
      <c r="P12" t="n">
        <v>1548.3</v>
      </c>
      <c r="Q12" t="n">
        <v>241057</v>
      </c>
      <c r="R12" t="n">
        <v>0.006422962203960059</v>
      </c>
      <c r="S12" t="n">
        <v>30223</v>
      </c>
      <c r="T12" t="n">
        <v>194.12</v>
      </c>
    </row>
    <row r="13">
      <c r="A13" t="n">
        <v>1528</v>
      </c>
      <c r="B13" t="inlineStr">
        <is>
          <t>RAMOS BRUGAROLAS, IGNACIO</t>
        </is>
      </c>
      <c r="C13" t="n">
        <v>333</v>
      </c>
      <c r="D13" t="inlineStr">
        <is>
          <t>9361</t>
        </is>
      </c>
      <c r="E13" t="inlineStr">
        <is>
          <t>21</t>
        </is>
      </c>
      <c r="F13" t="inlineStr">
        <is>
          <t>160</t>
        </is>
      </c>
      <c r="G13" t="inlineStr">
        <is>
          <t>1</t>
        </is>
      </c>
      <c r="H13" t="n">
        <v>1997</v>
      </c>
      <c r="I13" t="n">
        <v>3.41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21.34</v>
      </c>
      <c r="P13" t="n">
        <v>4161.3</v>
      </c>
      <c r="Q13" t="n">
        <v>494783</v>
      </c>
      <c r="R13" t="n">
        <v>0.008410353629773052</v>
      </c>
      <c r="S13" t="n">
        <v>222487</v>
      </c>
      <c r="T13" t="n">
        <v>1871.19</v>
      </c>
    </row>
    <row r="14">
      <c r="A14" t="n">
        <v>1528</v>
      </c>
      <c r="B14" t="inlineStr">
        <is>
          <t>RAMOS BRUGAROLAS, IGNACIO</t>
        </is>
      </c>
      <c r="C14" t="n">
        <v>556</v>
      </c>
      <c r="D14" t="inlineStr">
        <is>
          <t>9360</t>
        </is>
      </c>
      <c r="E14" t="inlineStr">
        <is>
          <t>21</t>
        </is>
      </c>
      <c r="F14" t="inlineStr">
        <is>
          <t>148</t>
        </is>
      </c>
      <c r="G14" t="inlineStr">
        <is>
          <t>2</t>
        </is>
      </c>
      <c r="H14" t="n">
        <v>2018</v>
      </c>
      <c r="I14" t="n">
        <v>10.1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21.34</v>
      </c>
      <c r="P14" t="n">
        <v>4161.3</v>
      </c>
      <c r="Q14" t="n">
        <v>494783</v>
      </c>
      <c r="R14" t="n">
        <v>0.008410353629773052</v>
      </c>
      <c r="S14" t="n">
        <v>222487</v>
      </c>
      <c r="T14" t="n">
        <v>1871.19</v>
      </c>
    </row>
    <row r="15">
      <c r="A15" t="n">
        <v>1528</v>
      </c>
      <c r="B15" t="inlineStr">
        <is>
          <t>RAMOS BRUGAROLAS, IGNACIO</t>
        </is>
      </c>
      <c r="C15" t="n">
        <v>581</v>
      </c>
      <c r="D15" t="inlineStr">
        <is>
          <t>9362</t>
        </is>
      </c>
      <c r="E15" t="inlineStr">
        <is>
          <t>21</t>
        </is>
      </c>
      <c r="F15" t="inlineStr">
        <is>
          <t>218</t>
        </is>
      </c>
      <c r="G15" t="inlineStr">
        <is>
          <t>2</t>
        </is>
      </c>
      <c r="H15" t="n">
        <v>2019</v>
      </c>
      <c r="I15" t="n">
        <v>2.02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21.34</v>
      </c>
      <c r="P15" t="n">
        <v>4161.3</v>
      </c>
      <c r="Q15" t="n">
        <v>494783</v>
      </c>
      <c r="R15" t="n">
        <v>0.008410353629773052</v>
      </c>
      <c r="S15" t="n">
        <v>222487</v>
      </c>
      <c r="T15" t="n">
        <v>1871.19</v>
      </c>
    </row>
    <row r="16">
      <c r="A16" t="n">
        <v>1528</v>
      </c>
      <c r="B16" t="inlineStr">
        <is>
          <t>RAMOS BRUGAROLAS, IGNACIO</t>
        </is>
      </c>
      <c r="C16" t="n">
        <v>591</v>
      </c>
      <c r="D16" t="inlineStr">
        <is>
          <t>9359</t>
        </is>
      </c>
      <c r="E16" t="inlineStr">
        <is>
          <t>21</t>
        </is>
      </c>
      <c r="F16" t="inlineStr">
        <is>
          <t>218</t>
        </is>
      </c>
      <c r="G16" t="inlineStr">
        <is>
          <t>3</t>
        </is>
      </c>
      <c r="H16" t="n">
        <v>2019</v>
      </c>
      <c r="I16" t="n">
        <v>5.81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21.34</v>
      </c>
      <c r="P16" t="n">
        <v>4161.3</v>
      </c>
      <c r="Q16" t="n">
        <v>494783</v>
      </c>
      <c r="R16" t="n">
        <v>0.008410353629773052</v>
      </c>
      <c r="S16" t="n">
        <v>222487</v>
      </c>
      <c r="T16" t="n">
        <v>1871.19</v>
      </c>
    </row>
    <row r="17">
      <c r="A17" t="n">
        <v>1534</v>
      </c>
      <c r="B17" t="inlineStr">
        <is>
          <t>RAMOS BRUGAROLAS, JOSE RAMON</t>
        </is>
      </c>
      <c r="C17" t="n">
        <v>560</v>
      </c>
      <c r="D17" t="inlineStr">
        <is>
          <t>9075</t>
        </is>
      </c>
      <c r="E17" t="inlineStr">
        <is>
          <t>21</t>
        </is>
      </c>
      <c r="F17" t="inlineStr">
        <is>
          <t>157</t>
        </is>
      </c>
      <c r="H17" t="n">
        <v>2017</v>
      </c>
      <c r="I17" t="n">
        <v>4.32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9.630000000000001</v>
      </c>
      <c r="P17" t="n">
        <v>1877.85</v>
      </c>
      <c r="Q17" t="n">
        <v>203867</v>
      </c>
      <c r="R17" t="n">
        <v>0.009211152368946421</v>
      </c>
      <c r="S17" t="n">
        <v>108512</v>
      </c>
      <c r="T17" t="n">
        <v>999.52</v>
      </c>
    </row>
    <row r="18">
      <c r="A18" t="n">
        <v>1534</v>
      </c>
      <c r="B18" t="inlineStr">
        <is>
          <t>RAMOS BRUGAROLAS, JOSE RAMON</t>
        </is>
      </c>
      <c r="C18" t="n">
        <v>562</v>
      </c>
      <c r="D18" t="inlineStr">
        <is>
          <t>9076</t>
        </is>
      </c>
      <c r="E18" t="inlineStr">
        <is>
          <t>21</t>
        </is>
      </c>
      <c r="F18" t="inlineStr">
        <is>
          <t>157</t>
        </is>
      </c>
      <c r="G18" t="inlineStr">
        <is>
          <t>1</t>
        </is>
      </c>
      <c r="H18" t="n">
        <v>2017</v>
      </c>
      <c r="I18" t="n">
        <v>4.2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9.630000000000001</v>
      </c>
      <c r="P18" t="n">
        <v>1877.85</v>
      </c>
      <c r="Q18" t="n">
        <v>203867</v>
      </c>
      <c r="R18" t="n">
        <v>0.009211152368946421</v>
      </c>
      <c r="S18" t="n">
        <v>108512</v>
      </c>
      <c r="T18" t="n">
        <v>999.52</v>
      </c>
    </row>
    <row r="19">
      <c r="A19" t="n">
        <v>1534</v>
      </c>
      <c r="B19" t="inlineStr">
        <is>
          <t>RAMOS BRUGAROLAS, JOSE RAMON</t>
        </is>
      </c>
      <c r="C19" t="n">
        <v>682</v>
      </c>
      <c r="D19" t="inlineStr">
        <is>
          <t>9074</t>
        </is>
      </c>
      <c r="E19" t="inlineStr">
        <is>
          <t>21</t>
        </is>
      </c>
      <c r="F19" t="inlineStr">
        <is>
          <t>158</t>
        </is>
      </c>
      <c r="H19" t="n">
        <v>2019</v>
      </c>
      <c r="I19" t="n">
        <v>1.11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9.630000000000001</v>
      </c>
      <c r="P19" t="n">
        <v>1877.85</v>
      </c>
      <c r="Q19" t="n">
        <v>203867</v>
      </c>
      <c r="R19" t="n">
        <v>0.009211152368946421</v>
      </c>
      <c r="S19" t="n">
        <v>108512</v>
      </c>
      <c r="T19" t="n">
        <v>999.52</v>
      </c>
    </row>
    <row r="20">
      <c r="A20" t="n">
        <v>1592</v>
      </c>
      <c r="B20" t="inlineStr">
        <is>
          <t>SANTIAGO ESCABIA, JUAN</t>
        </is>
      </c>
      <c r="C20" t="n">
        <v>667</v>
      </c>
      <c r="D20" t="inlineStr">
        <is>
          <t>9395</t>
        </is>
      </c>
      <c r="E20" t="inlineStr">
        <is>
          <t>13</t>
        </is>
      </c>
      <c r="F20" t="inlineStr">
        <is>
          <t>80048</t>
        </is>
      </c>
      <c r="G20" t="inlineStr">
        <is>
          <t>21</t>
        </is>
      </c>
      <c r="H20" t="n">
        <v>2003</v>
      </c>
      <c r="I20" t="n">
        <v>0.2392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4.2192</v>
      </c>
      <c r="P20" t="n">
        <v>822.74</v>
      </c>
      <c r="Q20" t="n">
        <v>57670</v>
      </c>
      <c r="R20" t="n">
        <v>0.01426634298595457</v>
      </c>
      <c r="S20" t="n">
        <v>50210</v>
      </c>
      <c r="T20" t="n">
        <v>716.3099999999999</v>
      </c>
    </row>
    <row r="21">
      <c r="A21" t="n">
        <v>1592</v>
      </c>
      <c r="B21" t="inlineStr">
        <is>
          <t>SANTIAGO ESCABIA, JUAN</t>
        </is>
      </c>
      <c r="C21" t="n">
        <v>680</v>
      </c>
      <c r="D21" t="inlineStr">
        <is>
          <t>9396</t>
        </is>
      </c>
      <c r="E21" t="inlineStr">
        <is>
          <t>13</t>
        </is>
      </c>
      <c r="F21" t="inlineStr">
        <is>
          <t>68</t>
        </is>
      </c>
      <c r="G21" t="inlineStr">
        <is>
          <t>3</t>
        </is>
      </c>
      <c r="H21" t="n">
        <v>2008</v>
      </c>
      <c r="I21" t="n">
        <v>3.98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4.2192</v>
      </c>
      <c r="P21" t="n">
        <v>822.74</v>
      </c>
      <c r="Q21" t="n">
        <v>57670</v>
      </c>
      <c r="R21" t="n">
        <v>0.01426634298595457</v>
      </c>
      <c r="S21" t="n">
        <v>50210</v>
      </c>
      <c r="T21" t="n">
        <v>716.3099999999999</v>
      </c>
    </row>
    <row r="22">
      <c r="A22" t="n">
        <v>1594</v>
      </c>
      <c r="B22" t="inlineStr">
        <is>
          <t>CANO MANZANARES, ISABEL MARIA</t>
        </is>
      </c>
      <c r="C22" t="n">
        <v>361</v>
      </c>
      <c r="D22" t="inlineStr">
        <is>
          <t>9453</t>
        </is>
      </c>
      <c r="E22" t="inlineStr">
        <is>
          <t>12</t>
        </is>
      </c>
      <c r="F22" t="inlineStr">
        <is>
          <t>61</t>
        </is>
      </c>
      <c r="G22" t="inlineStr">
        <is>
          <t>1</t>
        </is>
      </c>
      <c r="H22" t="n">
        <v>2017</v>
      </c>
      <c r="I22" t="n">
        <v>2.38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2.38</v>
      </c>
      <c r="P22" t="n">
        <v>464.1</v>
      </c>
      <c r="Q22" t="n">
        <v>72960</v>
      </c>
      <c r="R22" t="n">
        <v>0.006361019736842105</v>
      </c>
      <c r="S22" t="n">
        <v>71644</v>
      </c>
      <c r="T22" t="n">
        <v>455.73</v>
      </c>
    </row>
    <row r="23">
      <c r="A23" t="n">
        <v>1596</v>
      </c>
      <c r="B23" t="inlineStr">
        <is>
          <t>RUEDA GARCIA, Mª MERCEDES</t>
        </is>
      </c>
      <c r="C23" t="n">
        <v>676</v>
      </c>
      <c r="D23" t="inlineStr">
        <is>
          <t>9454</t>
        </is>
      </c>
      <c r="E23" t="inlineStr">
        <is>
          <t>23</t>
        </is>
      </c>
      <c r="F23" t="inlineStr">
        <is>
          <t>145</t>
        </is>
      </c>
      <c r="G23" t="inlineStr">
        <is>
          <t>2</t>
        </is>
      </c>
      <c r="H23" t="n">
        <v>2021</v>
      </c>
      <c r="I23" t="n">
        <v>2.74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4.27</v>
      </c>
      <c r="P23" t="n">
        <v>832.65</v>
      </c>
      <c r="Q23" t="n">
        <v>52880</v>
      </c>
      <c r="R23" t="n">
        <v>0.01574602874432678</v>
      </c>
      <c r="S23" t="n">
        <v>50698</v>
      </c>
      <c r="T23" t="n">
        <v>798.29</v>
      </c>
    </row>
    <row r="24">
      <c r="A24" t="n">
        <v>1596</v>
      </c>
      <c r="B24" t="inlineStr">
        <is>
          <t>RUEDA GARCIA, Mª MERCEDES</t>
        </is>
      </c>
      <c r="C24" t="n">
        <v>676</v>
      </c>
      <c r="D24" t="inlineStr">
        <is>
          <t>9455</t>
        </is>
      </c>
      <c r="E24" t="inlineStr">
        <is>
          <t>23</t>
        </is>
      </c>
      <c r="F24" t="inlineStr">
        <is>
          <t>146</t>
        </is>
      </c>
      <c r="G24" t="inlineStr">
        <is>
          <t>1</t>
        </is>
      </c>
      <c r="H24" t="n">
        <v>2021</v>
      </c>
      <c r="I24" t="n">
        <v>1.53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4.27</v>
      </c>
      <c r="P24" t="n">
        <v>832.65</v>
      </c>
      <c r="Q24" t="n">
        <v>52880</v>
      </c>
      <c r="R24" t="n">
        <v>0.01574602874432678</v>
      </c>
      <c r="S24" t="n">
        <v>50698</v>
      </c>
      <c r="T24" t="n">
        <v>798.29</v>
      </c>
    </row>
    <row r="25">
      <c r="A25" t="n">
        <v>1609</v>
      </c>
      <c r="B25" t="inlineStr">
        <is>
          <t>GARCIA BARRAGAN, ROCIO</t>
        </is>
      </c>
      <c r="C25" t="n">
        <v>651</v>
      </c>
      <c r="D25" t="inlineStr">
        <is>
          <t>9409</t>
        </is>
      </c>
      <c r="E25" t="inlineStr">
        <is>
          <t>29</t>
        </is>
      </c>
      <c r="F25" t="inlineStr">
        <is>
          <t>59</t>
        </is>
      </c>
      <c r="G25" t="inlineStr">
        <is>
          <t>7</t>
        </is>
      </c>
      <c r="H25" t="n">
        <v>2019</v>
      </c>
      <c r="I25" t="n">
        <v>1.92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1.92</v>
      </c>
      <c r="P25" t="n">
        <v>374.4</v>
      </c>
      <c r="Q25" t="n">
        <v>12800</v>
      </c>
      <c r="R25" t="n">
        <v>0.02925</v>
      </c>
      <c r="S25" t="n">
        <v>12800</v>
      </c>
      <c r="T25" t="n">
        <v>374.4</v>
      </c>
    </row>
    <row r="26">
      <c r="A26" t="n">
        <v>1614</v>
      </c>
      <c r="B26" t="inlineStr">
        <is>
          <t>MARIN SERRANO 2025 S.C.</t>
        </is>
      </c>
      <c r="C26" t="n">
        <v>228</v>
      </c>
      <c r="I26" t="n">
        <v>5.12</v>
      </c>
      <c r="J26" t="n">
        <v>0</v>
      </c>
      <c r="M26" t="inlineStr">
        <is>
          <t>No</t>
        </is>
      </c>
      <c r="N26" t="inlineStr">
        <is>
          <t>CHA_NO_SELECCIONADO; CHA_NO_ACTIVO</t>
        </is>
      </c>
      <c r="O26" t="n">
        <v>5.8</v>
      </c>
      <c r="P26" t="n">
        <v>1131</v>
      </c>
      <c r="Q26" t="n">
        <v>590286</v>
      </c>
      <c r="R26" t="n">
        <v>0.001916020369786849</v>
      </c>
      <c r="S26" t="n">
        <v>104697</v>
      </c>
      <c r="T26" t="n">
        <v>200.6</v>
      </c>
    </row>
    <row r="27">
      <c r="A27" t="n">
        <v>1614</v>
      </c>
      <c r="B27" t="inlineStr">
        <is>
          <t>MARIN SERRANO 2025 S.C.</t>
        </is>
      </c>
      <c r="C27" t="n">
        <v>230</v>
      </c>
      <c r="I27" t="n">
        <v>1.9</v>
      </c>
      <c r="J27" t="n">
        <v>0</v>
      </c>
      <c r="M27" t="inlineStr">
        <is>
          <t>No</t>
        </is>
      </c>
      <c r="N27" t="inlineStr">
        <is>
          <t>CHA_NO_SELECCIONADO; CHA_NO_ACTIVO</t>
        </is>
      </c>
      <c r="O27" t="n">
        <v>5.8</v>
      </c>
      <c r="P27" t="n">
        <v>1131</v>
      </c>
      <c r="Q27" t="n">
        <v>590286</v>
      </c>
      <c r="R27" t="n">
        <v>0.001916020369786849</v>
      </c>
      <c r="S27" t="n">
        <v>104697</v>
      </c>
      <c r="T27" t="n">
        <v>200.6</v>
      </c>
    </row>
    <row r="28">
      <c r="A28" t="n">
        <v>1614</v>
      </c>
      <c r="B28" t="inlineStr">
        <is>
          <t>MARIN SERRANO 2025 S.C.</t>
        </is>
      </c>
      <c r="C28" t="n">
        <v>299</v>
      </c>
      <c r="I28" t="n">
        <v>3.03</v>
      </c>
      <c r="J28" t="n">
        <v>0</v>
      </c>
      <c r="M28" t="inlineStr">
        <is>
          <t>No</t>
        </is>
      </c>
      <c r="N28" t="inlineStr">
        <is>
          <t>CHA_NO_SELECCIONADO; CHA_NO_ACTIVO</t>
        </is>
      </c>
      <c r="O28" t="n">
        <v>5.8</v>
      </c>
      <c r="P28" t="n">
        <v>1131</v>
      </c>
      <c r="Q28" t="n">
        <v>590286</v>
      </c>
      <c r="R28" t="n">
        <v>0.001916020369786849</v>
      </c>
      <c r="S28" t="n">
        <v>104697</v>
      </c>
      <c r="T28" t="n">
        <v>200.6</v>
      </c>
    </row>
    <row r="29">
      <c r="A29" t="n">
        <v>1614</v>
      </c>
      <c r="B29" t="inlineStr">
        <is>
          <t>MARIN SERRANO 2025 S.C.</t>
        </is>
      </c>
      <c r="C29" t="n">
        <v>300</v>
      </c>
      <c r="I29" t="n">
        <v>2.04</v>
      </c>
      <c r="J29" t="n">
        <v>0</v>
      </c>
      <c r="M29" t="inlineStr">
        <is>
          <t>No</t>
        </is>
      </c>
      <c r="N29" t="inlineStr">
        <is>
          <t>CHA_NO_SELECCIONADO; CHA_NO_ACTIVO</t>
        </is>
      </c>
      <c r="O29" t="n">
        <v>5.8</v>
      </c>
      <c r="P29" t="n">
        <v>1131</v>
      </c>
      <c r="Q29" t="n">
        <v>590286</v>
      </c>
      <c r="R29" t="n">
        <v>0.001916020369786849</v>
      </c>
      <c r="S29" t="n">
        <v>104697</v>
      </c>
      <c r="T29" t="n">
        <v>200.6</v>
      </c>
    </row>
    <row r="30">
      <c r="A30" t="n">
        <v>1614</v>
      </c>
      <c r="B30" t="inlineStr">
        <is>
          <t>MARIN SERRANO 2025 S.C.</t>
        </is>
      </c>
      <c r="C30" t="n">
        <v>529</v>
      </c>
      <c r="I30" t="n">
        <v>4.58</v>
      </c>
      <c r="J30" t="n">
        <v>0</v>
      </c>
      <c r="M30" t="inlineStr">
        <is>
          <t>No</t>
        </is>
      </c>
      <c r="N30" t="inlineStr">
        <is>
          <t>CHA_NO_SELECCIONADO; CHA_NO_ACTIVO</t>
        </is>
      </c>
      <c r="O30" t="n">
        <v>5.8</v>
      </c>
      <c r="P30" t="n">
        <v>1131</v>
      </c>
      <c r="Q30" t="n">
        <v>590286</v>
      </c>
      <c r="R30" t="n">
        <v>0.001916020369786849</v>
      </c>
      <c r="S30" t="n">
        <v>104697</v>
      </c>
      <c r="T30" t="n">
        <v>200.6</v>
      </c>
    </row>
    <row r="31">
      <c r="A31" t="n">
        <v>1614</v>
      </c>
      <c r="B31" t="inlineStr">
        <is>
          <t>MARIN SERRANO 2025 S.C.</t>
        </is>
      </c>
      <c r="C31" t="n">
        <v>530</v>
      </c>
      <c r="I31" t="n">
        <v>2.79</v>
      </c>
      <c r="J31" t="n">
        <v>0</v>
      </c>
      <c r="M31" t="inlineStr">
        <is>
          <t>No</t>
        </is>
      </c>
      <c r="N31" t="inlineStr">
        <is>
          <t>CHA_NO_SELECCIONADO; CHA_NO_ACTIVO</t>
        </is>
      </c>
      <c r="O31" t="n">
        <v>5.8</v>
      </c>
      <c r="P31" t="n">
        <v>1131</v>
      </c>
      <c r="Q31" t="n">
        <v>590286</v>
      </c>
      <c r="R31" t="n">
        <v>0.001916020369786849</v>
      </c>
      <c r="S31" t="n">
        <v>104697</v>
      </c>
      <c r="T31" t="n">
        <v>200.6</v>
      </c>
    </row>
    <row r="32">
      <c r="A32" t="n">
        <v>1614</v>
      </c>
      <c r="B32" t="inlineStr">
        <is>
          <t>MARIN SERRANO 2025 S.C.</t>
        </is>
      </c>
      <c r="C32" t="n">
        <v>531</v>
      </c>
      <c r="I32" t="n">
        <v>2.53</v>
      </c>
      <c r="J32" t="n">
        <v>0</v>
      </c>
      <c r="M32" t="inlineStr">
        <is>
          <t>No</t>
        </is>
      </c>
      <c r="N32" t="inlineStr">
        <is>
          <t>CHA_NO_SELECCIONADO; CHA_NO_ACTIVO</t>
        </is>
      </c>
      <c r="O32" t="n">
        <v>5.8</v>
      </c>
      <c r="P32" t="n">
        <v>1131</v>
      </c>
      <c r="Q32" t="n">
        <v>590286</v>
      </c>
      <c r="R32" t="n">
        <v>0.001916020369786849</v>
      </c>
      <c r="S32" t="n">
        <v>104697</v>
      </c>
      <c r="T32" t="n">
        <v>200.6</v>
      </c>
    </row>
    <row r="33">
      <c r="A33" t="n">
        <v>1614</v>
      </c>
      <c r="B33" t="inlineStr">
        <is>
          <t>MARIN SERRANO 2025 S.C.</t>
        </is>
      </c>
      <c r="C33" t="n">
        <v>248</v>
      </c>
      <c r="D33" t="inlineStr">
        <is>
          <t>9412</t>
        </is>
      </c>
      <c r="E33" t="inlineStr">
        <is>
          <t>17</t>
        </is>
      </c>
      <c r="F33" t="inlineStr">
        <is>
          <t>107</t>
        </is>
      </c>
      <c r="G33" t="inlineStr">
        <is>
          <t>2</t>
        </is>
      </c>
      <c r="H33" t="n">
        <v>1997</v>
      </c>
      <c r="I33" t="n">
        <v>5.8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5.8</v>
      </c>
      <c r="P33" t="n">
        <v>1131</v>
      </c>
      <c r="Q33" t="n">
        <v>590286</v>
      </c>
      <c r="R33" t="n">
        <v>0.001916020369786849</v>
      </c>
      <c r="S33" t="n">
        <v>104697</v>
      </c>
      <c r="T33" t="n">
        <v>200.6</v>
      </c>
    </row>
    <row r="34">
      <c r="A34" t="n">
        <v>1615</v>
      </c>
      <c r="B34" t="inlineStr">
        <is>
          <t>RURAL PRIME S.L.</t>
        </is>
      </c>
      <c r="C34" t="n">
        <v>648</v>
      </c>
      <c r="I34" t="n">
        <v>9.85</v>
      </c>
      <c r="J34" t="n">
        <v>0</v>
      </c>
      <c r="M34" t="inlineStr">
        <is>
          <t>No</t>
        </is>
      </c>
      <c r="N34" t="inlineStr">
        <is>
          <t>CHA_NO_SELECCIONADO; CHA_NO_ACTIVO</t>
        </is>
      </c>
      <c r="O34" t="n">
        <v>0</v>
      </c>
      <c r="P34" t="n">
        <v>0</v>
      </c>
      <c r="Q34" t="n">
        <v>259578</v>
      </c>
      <c r="S34" t="n">
        <v>115118</v>
      </c>
      <c r="T34" t="n">
        <v>0</v>
      </c>
    </row>
    <row r="35">
      <c r="A35" t="n">
        <v>1615</v>
      </c>
      <c r="B35" t="inlineStr">
        <is>
          <t>RURAL PRIME S.L.</t>
        </is>
      </c>
      <c r="C35" t="n">
        <v>649</v>
      </c>
      <c r="I35" t="n">
        <v>10.02</v>
      </c>
      <c r="J35" t="n">
        <v>0</v>
      </c>
      <c r="M35" t="inlineStr">
        <is>
          <t>No</t>
        </is>
      </c>
      <c r="N35" t="inlineStr">
        <is>
          <t>CHA_NO_SELECCIONADO; CHA_NO_ACTIVO</t>
        </is>
      </c>
      <c r="O35" t="n">
        <v>0</v>
      </c>
      <c r="P35" t="n">
        <v>0</v>
      </c>
      <c r="Q35" t="n">
        <v>259578</v>
      </c>
      <c r="S35" t="n">
        <v>115118</v>
      </c>
      <c r="T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909</v>
      </c>
      <c r="B2" t="inlineStr">
        <is>
          <t>LEON PINEDA,ROSARIO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BARBERINA</t>
        </is>
      </c>
      <c r="I2" t="n">
        <v>345</v>
      </c>
      <c r="J2" t="n">
        <v>13075</v>
      </c>
      <c r="K2" t="n">
        <v>5682</v>
      </c>
      <c r="L2" t="n">
        <v>5682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909</v>
      </c>
      <c r="B3" t="inlineStr">
        <is>
          <t>LEON PINEDA,ROSARIO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BARBERINA</t>
        </is>
      </c>
      <c r="I3" t="n">
        <v>650</v>
      </c>
      <c r="J3" t="n">
        <v>6378</v>
      </c>
      <c r="K3" t="n">
        <v>0</v>
      </c>
      <c r="L3" t="n">
        <v>6378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909</v>
      </c>
      <c r="B4" t="inlineStr">
        <is>
          <t>LEON PINEDA,ROSARIO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BARBERINA</t>
        </is>
      </c>
      <c r="I4" t="n">
        <v>650</v>
      </c>
      <c r="J4" t="n">
        <v>7780</v>
      </c>
      <c r="K4" t="n">
        <v>0</v>
      </c>
      <c r="L4" t="n">
        <v>7780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909</v>
      </c>
      <c r="B5" t="inlineStr">
        <is>
          <t>LEON PINEDA,ROSARIO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BARBERINA</t>
        </is>
      </c>
      <c r="I5" t="n">
        <v>345</v>
      </c>
      <c r="J5" t="n">
        <v>350</v>
      </c>
      <c r="K5" t="n">
        <v>0</v>
      </c>
      <c r="L5" t="n">
        <v>350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1072</v>
      </c>
      <c r="B6" t="inlineStr">
        <is>
          <t>GARCIA DELGADO,JUAN MANUEL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164</v>
      </c>
      <c r="J6" t="n">
        <v>12528</v>
      </c>
      <c r="K6" t="n">
        <v>5898</v>
      </c>
      <c r="L6" t="n">
        <v>5898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1072</v>
      </c>
      <c r="B7" t="inlineStr">
        <is>
          <t>GARCIA DELGADO,JUAN MANUEL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164</v>
      </c>
      <c r="J7" t="n">
        <v>6000</v>
      </c>
      <c r="K7" t="n">
        <v>0</v>
      </c>
      <c r="L7" t="n">
        <v>6000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1072</v>
      </c>
      <c r="B8" t="inlineStr">
        <is>
          <t>GARCIA DELGADO,JUAN MANUEL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VALENCIA DELTA</t>
        </is>
      </c>
      <c r="I8" t="n">
        <v>617</v>
      </c>
      <c r="J8" t="n">
        <v>12020</v>
      </c>
      <c r="K8" t="n">
        <v>0</v>
      </c>
      <c r="L8" t="n">
        <v>12020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1072</v>
      </c>
      <c r="B9" t="inlineStr">
        <is>
          <t>GARCIA DELGADO,JUAN MANUEL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VALENCIA DELTA</t>
        </is>
      </c>
      <c r="I9" t="n">
        <v>617</v>
      </c>
      <c r="J9" t="n">
        <v>12114</v>
      </c>
      <c r="K9" t="n">
        <v>11661</v>
      </c>
      <c r="L9" t="n">
        <v>11661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1072</v>
      </c>
      <c r="B10" t="inlineStr">
        <is>
          <t>GARCIA DELGADO,JUAN MANUEL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VALENCIA DELTA</t>
        </is>
      </c>
      <c r="I10" t="n">
        <v>617</v>
      </c>
      <c r="J10" t="n">
        <v>10400</v>
      </c>
      <c r="K10" t="n">
        <v>0</v>
      </c>
      <c r="L10" t="n">
        <v>10400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1072</v>
      </c>
      <c r="B11" t="inlineStr">
        <is>
          <t>GARCIA DELGADO,JUAN MANUEL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VALENCIA DELTA</t>
        </is>
      </c>
      <c r="I11" t="n">
        <v>617</v>
      </c>
      <c r="J11" t="n">
        <v>12328</v>
      </c>
      <c r="K11" t="n">
        <v>0</v>
      </c>
      <c r="L11" t="n">
        <v>12328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1072</v>
      </c>
      <c r="B12" t="inlineStr">
        <is>
          <t>GARCIA DELGADO,JUAN MANUEL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VALENCIA DELTA</t>
        </is>
      </c>
      <c r="I12" t="n">
        <v>617</v>
      </c>
      <c r="J12" t="n">
        <v>10963</v>
      </c>
      <c r="K12" t="n">
        <v>10254</v>
      </c>
      <c r="L12" t="n">
        <v>10254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1072</v>
      </c>
      <c r="B13" t="inlineStr">
        <is>
          <t>GARCIA DELGADO,JUAN MANUEL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VALENCIA DELTA</t>
        </is>
      </c>
      <c r="I13" t="n">
        <v>617</v>
      </c>
      <c r="J13" t="n">
        <v>12200</v>
      </c>
      <c r="K13" t="n">
        <v>0</v>
      </c>
      <c r="L13" t="n">
        <v>12200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1072</v>
      </c>
      <c r="B14" t="inlineStr">
        <is>
          <t>GARCIA DELGADO,JUAN MANUEL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VALENCIA DELTA</t>
        </is>
      </c>
      <c r="I14" t="n">
        <v>617</v>
      </c>
      <c r="J14" t="n">
        <v>12162</v>
      </c>
      <c r="K14" t="n">
        <v>11747</v>
      </c>
      <c r="L14" t="n">
        <v>11747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1072</v>
      </c>
      <c r="B15" t="inlineStr">
        <is>
          <t>GARCIA DELGADO,JUAN MANUEL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VALENCIA DELTA</t>
        </is>
      </c>
      <c r="I15" t="n">
        <v>617</v>
      </c>
      <c r="J15" t="n">
        <v>11731</v>
      </c>
      <c r="K15" t="n">
        <v>11032</v>
      </c>
      <c r="L15" t="n">
        <v>11032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1072</v>
      </c>
      <c r="B16" t="inlineStr">
        <is>
          <t>GARCIA DELGADO,JUAN MANUEL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VALENCIA DELTA</t>
        </is>
      </c>
      <c r="I16" t="n">
        <v>617</v>
      </c>
      <c r="J16" t="n">
        <v>12946</v>
      </c>
      <c r="K16" t="n">
        <v>456</v>
      </c>
      <c r="L16" t="n">
        <v>456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1072</v>
      </c>
      <c r="B17" t="inlineStr">
        <is>
          <t>GARCIA DELGADO,JUAN MANUEL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VALENCIA DELTA</t>
        </is>
      </c>
      <c r="I17" t="n">
        <v>617</v>
      </c>
      <c r="J17" t="n">
        <v>12006</v>
      </c>
      <c r="K17" t="n">
        <v>399</v>
      </c>
      <c r="L17" t="n">
        <v>399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1072</v>
      </c>
      <c r="B18" t="inlineStr">
        <is>
          <t>GARCIA DELGADO,JUAN MANUEL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VALENCIA DELTA</t>
        </is>
      </c>
      <c r="I18" t="n">
        <v>617</v>
      </c>
      <c r="J18" t="n">
        <v>10666</v>
      </c>
      <c r="K18" t="n">
        <v>466</v>
      </c>
      <c r="L18" t="n">
        <v>466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1072</v>
      </c>
      <c r="B19" t="inlineStr">
        <is>
          <t>GARCIA DELGADO,JUAN MANUEL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VALENCIA DELTA</t>
        </is>
      </c>
      <c r="I19" t="n">
        <v>617</v>
      </c>
      <c r="J19" t="n">
        <v>13566</v>
      </c>
      <c r="K19" t="n">
        <v>361</v>
      </c>
      <c r="L19" t="n">
        <v>361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1426</v>
      </c>
      <c r="B20" t="inlineStr">
        <is>
          <t>MONTERO MERAT,JUAN MANUEL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VALENCIA DELTA</t>
        </is>
      </c>
      <c r="I20" t="n">
        <v>208</v>
      </c>
      <c r="J20" t="n">
        <v>12247</v>
      </c>
      <c r="K20" t="n">
        <v>12001</v>
      </c>
      <c r="L20" t="n">
        <v>12001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1426</v>
      </c>
      <c r="B21" t="inlineStr">
        <is>
          <t>MONTERO MERAT,JUAN MANUEL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VALENCIA DELTA</t>
        </is>
      </c>
      <c r="I21" t="n">
        <v>208</v>
      </c>
      <c r="J21" t="n">
        <v>12241</v>
      </c>
      <c r="K21" t="n">
        <v>11436</v>
      </c>
      <c r="L21" t="n">
        <v>11436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1426</v>
      </c>
      <c r="B22" t="inlineStr">
        <is>
          <t>MONTERO MERAT,JUAN MANUEL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VALENCIA DELTA</t>
        </is>
      </c>
      <c r="I22" t="n">
        <v>208</v>
      </c>
      <c r="J22" t="n">
        <v>11188</v>
      </c>
      <c r="K22" t="n">
        <v>0</v>
      </c>
      <c r="L22" t="n">
        <v>11188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1426</v>
      </c>
      <c r="B23" t="inlineStr">
        <is>
          <t>MONTERO MERAT,JUAN MANUEL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VALENCIA DELTA</t>
        </is>
      </c>
      <c r="I23" t="n">
        <v>208</v>
      </c>
      <c r="J23" t="n">
        <v>8509</v>
      </c>
      <c r="K23" t="n">
        <v>7239</v>
      </c>
      <c r="L23" t="n">
        <v>7239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1426</v>
      </c>
      <c r="B24" t="inlineStr">
        <is>
          <t>MONTERO MERAT,JUAN MANUEL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VALENCIA DELTA</t>
        </is>
      </c>
      <c r="I24" t="n">
        <v>208</v>
      </c>
      <c r="J24" t="n">
        <v>12193</v>
      </c>
      <c r="K24" t="n">
        <v>219</v>
      </c>
      <c r="L24" t="n">
        <v>219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1426</v>
      </c>
      <c r="B25" t="inlineStr">
        <is>
          <t>MONTERO MERAT,JUAN MANUEL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VALENCIA DELTA</t>
        </is>
      </c>
      <c r="I25" t="n">
        <v>208</v>
      </c>
      <c r="J25" t="n">
        <v>12079</v>
      </c>
      <c r="K25" t="n">
        <v>724</v>
      </c>
      <c r="L25" t="n">
        <v>724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1426</v>
      </c>
      <c r="B26" t="inlineStr">
        <is>
          <t>MONTERO MERAT,JUAN MANUEL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VALENCIA DELTA</t>
        </is>
      </c>
      <c r="I26" t="n">
        <v>208</v>
      </c>
      <c r="J26" t="n">
        <v>9319</v>
      </c>
      <c r="K26" t="n">
        <v>649</v>
      </c>
      <c r="L26" t="n">
        <v>649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1491</v>
      </c>
      <c r="B27" t="inlineStr">
        <is>
          <t>JIMENEZ LORENTE,SONIA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NAVELINA</t>
        </is>
      </c>
      <c r="I27" t="n">
        <v>370</v>
      </c>
      <c r="J27" t="n">
        <v>22695</v>
      </c>
      <c r="K27" t="n">
        <v>21640</v>
      </c>
      <c r="L27" t="n">
        <v>21640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1491</v>
      </c>
      <c r="B28" t="inlineStr">
        <is>
          <t>JIMENEZ LORENTE,SONIA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NAVELINA</t>
        </is>
      </c>
      <c r="I28" t="n">
        <v>370</v>
      </c>
      <c r="J28" t="n">
        <v>24045</v>
      </c>
      <c r="K28" t="n">
        <v>9861</v>
      </c>
      <c r="L28" t="n">
        <v>9861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1491</v>
      </c>
      <c r="B29" t="inlineStr">
        <is>
          <t>JIMENEZ LORENTE,SONIA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370</v>
      </c>
      <c r="J29" t="n">
        <v>9530</v>
      </c>
      <c r="K29" t="n">
        <v>0</v>
      </c>
      <c r="L29" t="n">
        <v>9530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1491</v>
      </c>
      <c r="B30" t="inlineStr">
        <is>
          <t>JIMENEZ LORENTE,SONIA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370</v>
      </c>
      <c r="J30" t="n">
        <v>23730</v>
      </c>
      <c r="K30" t="n">
        <v>12819</v>
      </c>
      <c r="L30" t="n">
        <v>12819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1491</v>
      </c>
      <c r="B31" t="inlineStr">
        <is>
          <t>JIMENEZ LORENTE,SONIA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VALENCIA DELTA</t>
        </is>
      </c>
      <c r="I31" t="n">
        <v>563</v>
      </c>
      <c r="J31" t="n">
        <v>14220</v>
      </c>
      <c r="K31" t="n">
        <v>0</v>
      </c>
      <c r="L31" t="n">
        <v>14220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1491</v>
      </c>
      <c r="B32" t="inlineStr">
        <is>
          <t>JIMENEZ LORENTE,SONIA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VALENCIA DELTA</t>
        </is>
      </c>
      <c r="I32" t="n">
        <v>563</v>
      </c>
      <c r="J32" t="n">
        <v>14305</v>
      </c>
      <c r="K32" t="n">
        <v>12533</v>
      </c>
      <c r="L32" t="n">
        <v>12533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1491</v>
      </c>
      <c r="B33" t="inlineStr">
        <is>
          <t>JIMENEZ LORENTE,SONIA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VALENCIA DELTA</t>
        </is>
      </c>
      <c r="I33" t="n">
        <v>563</v>
      </c>
      <c r="J33" t="n">
        <v>3470</v>
      </c>
      <c r="K33" t="n">
        <v>0</v>
      </c>
      <c r="L33" t="n">
        <v>3470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1491</v>
      </c>
      <c r="B34" t="inlineStr">
        <is>
          <t>JIMENEZ LORENTE,SONIA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LANE LATE</t>
        </is>
      </c>
      <c r="I34" t="n">
        <v>569</v>
      </c>
      <c r="J34" t="n">
        <v>2192</v>
      </c>
      <c r="K34" t="n">
        <v>0</v>
      </c>
      <c r="L34" t="n">
        <v>2192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1491</v>
      </c>
      <c r="B35" t="inlineStr">
        <is>
          <t>JIMENEZ LORENTE,SONIA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LANE LATE</t>
        </is>
      </c>
      <c r="I35" t="n">
        <v>569</v>
      </c>
      <c r="J35" t="n">
        <v>14280</v>
      </c>
      <c r="K35" t="n">
        <v>0</v>
      </c>
      <c r="L35" t="n">
        <v>14280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1491</v>
      </c>
      <c r="B36" t="inlineStr">
        <is>
          <t>JIMENEZ LORENTE,SONIA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LANE LATE</t>
        </is>
      </c>
      <c r="I36" t="n">
        <v>569</v>
      </c>
      <c r="J36" t="n">
        <v>14510</v>
      </c>
      <c r="K36" t="n">
        <v>0</v>
      </c>
      <c r="L36" t="n">
        <v>14510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1491</v>
      </c>
      <c r="B37" t="inlineStr">
        <is>
          <t>JIMENEZ LORENTE,SONIA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LANE LATE</t>
        </is>
      </c>
      <c r="I37" t="n">
        <v>569</v>
      </c>
      <c r="J37" t="n">
        <v>3240</v>
      </c>
      <c r="K37" t="n">
        <v>0</v>
      </c>
      <c r="L37" t="n">
        <v>3240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1491</v>
      </c>
      <c r="B38" t="inlineStr">
        <is>
          <t>JIMENEZ LORENTE,SONIA</t>
        </is>
      </c>
      <c r="E38" t="n">
        <v>2026</v>
      </c>
      <c r="F38" t="n">
        <v>1</v>
      </c>
      <c r="G38" t="inlineStr">
        <is>
          <t>INDUSTRIA</t>
        </is>
      </c>
      <c r="H38" t="inlineStr">
        <is>
          <t>NAVELINA</t>
        </is>
      </c>
      <c r="I38" t="n">
        <v>370</v>
      </c>
      <c r="J38" t="n">
        <v>22100</v>
      </c>
      <c r="K38" t="n">
        <v>915</v>
      </c>
      <c r="L38" t="n">
        <v>915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1491</v>
      </c>
      <c r="B39" t="inlineStr">
        <is>
          <t>JIMENEZ LORENTE,SONIA</t>
        </is>
      </c>
      <c r="E39" t="n">
        <v>2026</v>
      </c>
      <c r="F39" t="n">
        <v>1</v>
      </c>
      <c r="G39" t="inlineStr">
        <is>
          <t>INDUSTRIA</t>
        </is>
      </c>
      <c r="H39" t="inlineStr">
        <is>
          <t>VALENCIA DELTA</t>
        </is>
      </c>
      <c r="I39" t="n">
        <v>563</v>
      </c>
      <c r="J39" t="n">
        <v>15425</v>
      </c>
      <c r="K39" t="n">
        <v>1597</v>
      </c>
      <c r="L39" t="n">
        <v>1597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1491</v>
      </c>
      <c r="B40" t="inlineStr">
        <is>
          <t>JIMENEZ LORENTE,SONIA</t>
        </is>
      </c>
      <c r="E40" t="n">
        <v>2026</v>
      </c>
      <c r="F40" t="n">
        <v>1</v>
      </c>
      <c r="G40" t="inlineStr">
        <is>
          <t>MANDARINA</t>
        </is>
      </c>
      <c r="H40" t="inlineStr">
        <is>
          <t>NADORCOTT</t>
        </is>
      </c>
      <c r="I40" t="n">
        <v>619</v>
      </c>
      <c r="J40" t="n">
        <v>13588</v>
      </c>
      <c r="K40" t="n">
        <v>5371</v>
      </c>
      <c r="L40" t="n">
        <v>5371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1491</v>
      </c>
      <c r="B41" t="inlineStr">
        <is>
          <t>JIMENEZ LORENTE,SONIA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NADORCOTT</t>
        </is>
      </c>
      <c r="I41" t="n">
        <v>619</v>
      </c>
      <c r="J41" t="n">
        <v>12985</v>
      </c>
      <c r="K41" t="n">
        <v>7612</v>
      </c>
      <c r="L41" t="n">
        <v>7612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1491</v>
      </c>
      <c r="B42" t="inlineStr">
        <is>
          <t>JIMENEZ LORENTE,SONIA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NADORCOTT</t>
        </is>
      </c>
      <c r="I42" t="n">
        <v>619</v>
      </c>
      <c r="J42" t="n">
        <v>13324</v>
      </c>
      <c r="K42" t="n">
        <v>7161</v>
      </c>
      <c r="L42" t="n">
        <v>7161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1491</v>
      </c>
      <c r="B43" t="inlineStr">
        <is>
          <t>JIMENEZ LORENTE,SONIA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619</v>
      </c>
      <c r="J43" t="n">
        <v>13405</v>
      </c>
      <c r="K43" t="n">
        <v>4610</v>
      </c>
      <c r="L43" t="n">
        <v>4610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1491</v>
      </c>
      <c r="B44" t="inlineStr">
        <is>
          <t>JIMENEZ LORENTE,SONIA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619</v>
      </c>
      <c r="J44" t="n">
        <v>13816</v>
      </c>
      <c r="K44" t="n">
        <v>2649</v>
      </c>
      <c r="L44" t="n">
        <v>2649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1491</v>
      </c>
      <c r="B45" t="inlineStr">
        <is>
          <t>JIMENEZ LORENTE,SONIA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619</v>
      </c>
      <c r="J45" t="n">
        <v>12552</v>
      </c>
      <c r="K45" t="n">
        <v>0</v>
      </c>
      <c r="L45" t="n">
        <v>12552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1491</v>
      </c>
      <c r="B46" t="inlineStr">
        <is>
          <t>JIMENEZ LORENTE,SONIA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619</v>
      </c>
      <c r="J46" t="n">
        <v>12760</v>
      </c>
      <c r="K46" t="n">
        <v>9715</v>
      </c>
      <c r="L46" t="n">
        <v>9715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1491</v>
      </c>
      <c r="B47" t="inlineStr">
        <is>
          <t>JIMENEZ LORENTE,SONIA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619</v>
      </c>
      <c r="J47" t="n">
        <v>12422</v>
      </c>
      <c r="K47" t="n">
        <v>0</v>
      </c>
      <c r="L47" t="n">
        <v>12422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1491</v>
      </c>
      <c r="B48" t="inlineStr">
        <is>
          <t>JIMENEZ LORENTE,SONIA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619</v>
      </c>
      <c r="J48" t="n">
        <v>12737</v>
      </c>
      <c r="K48" t="n">
        <v>11450</v>
      </c>
      <c r="L48" t="n">
        <v>11450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1491</v>
      </c>
      <c r="B49" t="inlineStr">
        <is>
          <t>JIMENEZ LORENTE,SONIA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619</v>
      </c>
      <c r="J49" t="n">
        <v>14255</v>
      </c>
      <c r="K49" t="n">
        <v>1122</v>
      </c>
      <c r="L49" t="n">
        <v>1122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1491</v>
      </c>
      <c r="B50" t="inlineStr">
        <is>
          <t>JIMENEZ LORENTE,SONIA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619</v>
      </c>
      <c r="J50" t="n">
        <v>10304</v>
      </c>
      <c r="K50" t="n">
        <v>0</v>
      </c>
      <c r="L50" t="n">
        <v>10304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1491</v>
      </c>
      <c r="B51" t="inlineStr">
        <is>
          <t>JIMENEZ LORENTE,SONIA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619</v>
      </c>
      <c r="J51" t="n">
        <v>13192</v>
      </c>
      <c r="K51" t="n">
        <v>8056</v>
      </c>
      <c r="L51" t="n">
        <v>8056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1491</v>
      </c>
      <c r="B52" t="inlineStr">
        <is>
          <t>JIMENEZ LORENTE,SONIA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619</v>
      </c>
      <c r="J52" t="n">
        <v>13720</v>
      </c>
      <c r="K52" t="n">
        <v>4476</v>
      </c>
      <c r="L52" t="n">
        <v>4476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1491</v>
      </c>
      <c r="B53" t="inlineStr">
        <is>
          <t>JIMENEZ LORENTE,SONIA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619</v>
      </c>
      <c r="J53" t="n">
        <v>12542</v>
      </c>
      <c r="K53" t="n">
        <v>0</v>
      </c>
      <c r="L53" t="n">
        <v>12542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1491</v>
      </c>
      <c r="B54" t="inlineStr">
        <is>
          <t>JIMENEZ LORENTE,SONIA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619</v>
      </c>
      <c r="J54" t="n">
        <v>12992</v>
      </c>
      <c r="K54" t="n">
        <v>7989</v>
      </c>
      <c r="L54" t="n">
        <v>7989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1491</v>
      </c>
      <c r="B55" t="inlineStr">
        <is>
          <t>JIMENEZ LORENTE,SONIA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619</v>
      </c>
      <c r="J55" t="n">
        <v>13850</v>
      </c>
      <c r="K55" t="n">
        <v>2219</v>
      </c>
      <c r="L55" t="n">
        <v>2219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1528</v>
      </c>
      <c r="B56" t="inlineStr">
        <is>
          <t>RAMOS BRUGAROLAS, IGNACIO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CARA CARA</t>
        </is>
      </c>
      <c r="I56" t="n">
        <v>581</v>
      </c>
      <c r="J56" t="n">
        <v>975</v>
      </c>
      <c r="K56" t="n">
        <v>0</v>
      </c>
      <c r="L56" t="n">
        <v>975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1528</v>
      </c>
      <c r="B57" t="inlineStr">
        <is>
          <t>RAMOS BRUGAROLAS, IGNACIO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CARA CARA</t>
        </is>
      </c>
      <c r="I57" t="n">
        <v>581</v>
      </c>
      <c r="J57" t="n">
        <v>12920</v>
      </c>
      <c r="K57" t="n">
        <v>4027</v>
      </c>
      <c r="L57" t="n">
        <v>4027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1528</v>
      </c>
      <c r="B58" t="inlineStr">
        <is>
          <t>RAMOS BRUGAROLAS, IGNACIO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CARA CARA</t>
        </is>
      </c>
      <c r="I58" t="n">
        <v>581</v>
      </c>
      <c r="J58" t="n">
        <v>1905</v>
      </c>
      <c r="K58" t="n">
        <v>1125</v>
      </c>
      <c r="L58" t="n">
        <v>1125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1528</v>
      </c>
      <c r="B59" t="inlineStr">
        <is>
          <t>RAMOS BRUGAROLAS, IGNACIO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CARA CARA</t>
        </is>
      </c>
      <c r="I59" t="n">
        <v>581</v>
      </c>
      <c r="J59" t="n">
        <v>1975</v>
      </c>
      <c r="K59" t="n">
        <v>675</v>
      </c>
      <c r="L59" t="n">
        <v>675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1528</v>
      </c>
      <c r="B60" t="inlineStr">
        <is>
          <t>RAMOS BRUGAROLAS, IGNACIO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CARA CARA</t>
        </is>
      </c>
      <c r="I60" t="n">
        <v>581</v>
      </c>
      <c r="J60" t="n">
        <v>12500</v>
      </c>
      <c r="K60" t="n">
        <v>8053</v>
      </c>
      <c r="L60" t="n">
        <v>8053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1528</v>
      </c>
      <c r="B61" t="inlineStr">
        <is>
          <t>RAMOS BRUGAROLAS, IGNACIO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LANE LATE</t>
        </is>
      </c>
      <c r="I61" t="n">
        <v>333</v>
      </c>
      <c r="J61" t="n">
        <v>14485</v>
      </c>
      <c r="K61" t="n">
        <v>13325</v>
      </c>
      <c r="L61" t="n">
        <v>13325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1528</v>
      </c>
      <c r="B62" t="inlineStr">
        <is>
          <t>RAMOS BRUGAROLAS, IGNACIO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LANE LATE</t>
        </is>
      </c>
      <c r="I62" t="n">
        <v>333</v>
      </c>
      <c r="J62" t="n">
        <v>14755</v>
      </c>
      <c r="K62" t="n">
        <v>11346</v>
      </c>
      <c r="L62" t="n">
        <v>11346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1528</v>
      </c>
      <c r="B63" t="inlineStr">
        <is>
          <t>RAMOS BRUGAROLAS, IGNACIO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LANE LATE</t>
        </is>
      </c>
      <c r="I63" t="n">
        <v>333</v>
      </c>
      <c r="J63" t="n">
        <v>14040</v>
      </c>
      <c r="K63" t="n">
        <v>0</v>
      </c>
      <c r="L63" t="n">
        <v>14040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1528</v>
      </c>
      <c r="B64" t="inlineStr">
        <is>
          <t>RAMOS BRUGAROLAS, IGNACIO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LANE LATE</t>
        </is>
      </c>
      <c r="I64" t="n">
        <v>333</v>
      </c>
      <c r="J64" t="n">
        <v>13840</v>
      </c>
      <c r="K64" t="n">
        <v>0</v>
      </c>
      <c r="L64" t="n">
        <v>13840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1528</v>
      </c>
      <c r="B65" t="inlineStr">
        <is>
          <t>RAMOS BRUGAROLAS, IGNACIO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LANE LATE</t>
        </is>
      </c>
      <c r="I65" t="n">
        <v>333</v>
      </c>
      <c r="J65" t="n">
        <v>14915</v>
      </c>
      <c r="K65" t="n">
        <v>7090</v>
      </c>
      <c r="L65" t="n">
        <v>7090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1528</v>
      </c>
      <c r="B66" t="inlineStr">
        <is>
          <t>RAMOS BRUGAROLAS, IGNACIO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LANE LATE</t>
        </is>
      </c>
      <c r="I66" t="n">
        <v>333</v>
      </c>
      <c r="J66" t="n">
        <v>14242</v>
      </c>
      <c r="K66" t="n">
        <v>0</v>
      </c>
      <c r="L66" t="n">
        <v>14242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1528</v>
      </c>
      <c r="B67" t="inlineStr">
        <is>
          <t>RAMOS BRUGAROLAS, IGNACIO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LANE LATE</t>
        </is>
      </c>
      <c r="I67" t="n">
        <v>333</v>
      </c>
      <c r="J67" t="n">
        <v>14427</v>
      </c>
      <c r="K67" t="n">
        <v>9365</v>
      </c>
      <c r="L67" t="n">
        <v>9365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1528</v>
      </c>
      <c r="B68" t="inlineStr">
        <is>
          <t>RAMOS BRUGAROLAS, IGNACIO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LANE LATE</t>
        </is>
      </c>
      <c r="I68" t="n">
        <v>333</v>
      </c>
      <c r="J68" t="n">
        <v>4522</v>
      </c>
      <c r="K68" t="n">
        <v>0</v>
      </c>
      <c r="L68" t="n">
        <v>4522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1528</v>
      </c>
      <c r="B69" t="inlineStr">
        <is>
          <t>RAMOS BRUGAROLAS, IGNACIO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LANE LATE</t>
        </is>
      </c>
      <c r="I69" t="n">
        <v>333</v>
      </c>
      <c r="J69" t="n">
        <v>14128</v>
      </c>
      <c r="K69" t="n">
        <v>8318</v>
      </c>
      <c r="L69" t="n">
        <v>8318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1528</v>
      </c>
      <c r="B70" t="inlineStr">
        <is>
          <t>RAMOS BRUGAROLAS, IGNACIO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LANE LATE</t>
        </is>
      </c>
      <c r="I70" t="n">
        <v>333</v>
      </c>
      <c r="J70" t="n">
        <v>5285</v>
      </c>
      <c r="K70" t="n">
        <v>0</v>
      </c>
      <c r="L70" t="n">
        <v>5285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1528</v>
      </c>
      <c r="B71" t="inlineStr">
        <is>
          <t>RAMOS BRUGAROLAS, IGNACIO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LANE LATE</t>
        </is>
      </c>
      <c r="I71" t="n">
        <v>333</v>
      </c>
      <c r="J71" t="n">
        <v>12158</v>
      </c>
      <c r="K71" t="n">
        <v>0</v>
      </c>
      <c r="L71" t="n">
        <v>12158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1528</v>
      </c>
      <c r="B72" t="inlineStr">
        <is>
          <t>RAMOS BRUGAROLAS, IGNACIO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LANE LATE</t>
        </is>
      </c>
      <c r="I72" t="n">
        <v>333</v>
      </c>
      <c r="J72" t="n">
        <v>12168</v>
      </c>
      <c r="K72" t="n">
        <v>0</v>
      </c>
      <c r="L72" t="n">
        <v>12168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1528</v>
      </c>
      <c r="B73" t="inlineStr">
        <is>
          <t>RAMOS BRUGAROLAS, IGNACIO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LANE LATE</t>
        </is>
      </c>
      <c r="I73" t="n">
        <v>333</v>
      </c>
      <c r="J73" t="n">
        <v>15595</v>
      </c>
      <c r="K73" t="n">
        <v>3094</v>
      </c>
      <c r="L73" t="n">
        <v>3094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1528</v>
      </c>
      <c r="B74" t="inlineStr">
        <is>
          <t>RAMOS BRUGAROLAS, IGNACIO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LANE LATE</t>
        </is>
      </c>
      <c r="I74" t="n">
        <v>333</v>
      </c>
      <c r="J74" t="n">
        <v>14520</v>
      </c>
      <c r="K74" t="n">
        <v>0</v>
      </c>
      <c r="L74" t="n">
        <v>14520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1528</v>
      </c>
      <c r="B75" t="inlineStr">
        <is>
          <t>RAMOS BRUGAROLAS, IGNACIO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LANE LATE</t>
        </is>
      </c>
      <c r="I75" t="n">
        <v>333</v>
      </c>
      <c r="J75" t="n">
        <v>14680</v>
      </c>
      <c r="K75" t="n">
        <v>0</v>
      </c>
      <c r="L75" t="n">
        <v>14680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1528</v>
      </c>
      <c r="B76" t="inlineStr">
        <is>
          <t>RAMOS BRUGAROLAS, IGNACIO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VALENCIA LATE</t>
        </is>
      </c>
      <c r="I76" t="n">
        <v>556</v>
      </c>
      <c r="J76" t="n">
        <v>23205</v>
      </c>
      <c r="K76" t="n">
        <v>0</v>
      </c>
      <c r="L76" t="n">
        <v>23205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1528</v>
      </c>
      <c r="B77" t="inlineStr">
        <is>
          <t>RAMOS BRUGAROLAS, IGNACIO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VALENCIA LATE</t>
        </is>
      </c>
      <c r="I77" t="n">
        <v>556</v>
      </c>
      <c r="J77" t="n">
        <v>22765</v>
      </c>
      <c r="K77" t="n">
        <v>0</v>
      </c>
      <c r="L77" t="n">
        <v>22765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1528</v>
      </c>
      <c r="B78" t="inlineStr">
        <is>
          <t>RAMOS BRUGAROLAS, IGNACIO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VALENCIA LATE</t>
        </is>
      </c>
      <c r="I78" t="n">
        <v>556</v>
      </c>
      <c r="J78" t="n">
        <v>23200</v>
      </c>
      <c r="K78" t="n">
        <v>0</v>
      </c>
      <c r="L78" t="n">
        <v>23200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1528</v>
      </c>
      <c r="B79" t="inlineStr">
        <is>
          <t>RAMOS BRUGAROLAS, IGNACIO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VALENCIA LATE</t>
        </is>
      </c>
      <c r="I79" t="n">
        <v>556</v>
      </c>
      <c r="J79" t="n">
        <v>23160</v>
      </c>
      <c r="K79" t="n">
        <v>0</v>
      </c>
      <c r="L79" t="n">
        <v>23160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1528</v>
      </c>
      <c r="B80" t="inlineStr">
        <is>
          <t>RAMOS BRUGAROLAS, IGNACIO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VALENCIA LATE</t>
        </is>
      </c>
      <c r="I80" t="n">
        <v>556</v>
      </c>
      <c r="J80" t="n">
        <v>23077</v>
      </c>
      <c r="K80" t="n">
        <v>0</v>
      </c>
      <c r="L80" t="n">
        <v>23077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1528</v>
      </c>
      <c r="B81" t="inlineStr">
        <is>
          <t>RAMOS BRUGAROLAS, IGNACIO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VALENCIA LATE</t>
        </is>
      </c>
      <c r="I81" t="n">
        <v>556</v>
      </c>
      <c r="J81" t="n">
        <v>21100</v>
      </c>
      <c r="K81" t="n">
        <v>0</v>
      </c>
      <c r="L81" t="n">
        <v>21100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1528</v>
      </c>
      <c r="B82" t="inlineStr">
        <is>
          <t>RAMOS BRUGAROLAS, IGNACIO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VALENCIA LATE</t>
        </is>
      </c>
      <c r="I82" t="n">
        <v>556</v>
      </c>
      <c r="J82" t="n">
        <v>22880</v>
      </c>
      <c r="K82" t="n">
        <v>0</v>
      </c>
      <c r="L82" t="n">
        <v>22880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1528</v>
      </c>
      <c r="B83" t="inlineStr">
        <is>
          <t>RAMOS BRUGAROLAS, IGNACIO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VALENCIA LATE</t>
        </is>
      </c>
      <c r="I83" t="n">
        <v>556</v>
      </c>
      <c r="J83" t="n">
        <v>21368</v>
      </c>
      <c r="K83" t="n">
        <v>0</v>
      </c>
      <c r="L83" t="n">
        <v>21368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1528</v>
      </c>
      <c r="B84" t="inlineStr">
        <is>
          <t>RAMOS BRUGAROLAS, IGNACIO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VALENCIA LATE</t>
        </is>
      </c>
      <c r="I84" t="n">
        <v>556</v>
      </c>
      <c r="J84" t="n">
        <v>20352</v>
      </c>
      <c r="K84" t="n">
        <v>0</v>
      </c>
      <c r="L84" t="n">
        <v>20352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1528</v>
      </c>
      <c r="B85" t="inlineStr">
        <is>
          <t>RAMOS BRUGAROLAS, IGNACIO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VALENCIA LATE</t>
        </is>
      </c>
      <c r="I85" t="n">
        <v>556</v>
      </c>
      <c r="J85" t="n">
        <v>21380</v>
      </c>
      <c r="K85" t="n">
        <v>0</v>
      </c>
      <c r="L85" t="n">
        <v>21380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1528</v>
      </c>
      <c r="B86" t="inlineStr">
        <is>
          <t>RAMOS BRUGAROLAS, IGNACIO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CHISLETT SUMER</t>
        </is>
      </c>
      <c r="I86" t="n">
        <v>591</v>
      </c>
      <c r="J86" t="n">
        <v>14160</v>
      </c>
      <c r="K86" t="n">
        <v>0</v>
      </c>
      <c r="L86" t="n">
        <v>14160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1528</v>
      </c>
      <c r="B87" t="inlineStr">
        <is>
          <t>RAMOS BRUGAROLAS, IGNACIO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CHISLETT SUMER</t>
        </is>
      </c>
      <c r="I87" t="n">
        <v>591</v>
      </c>
      <c r="J87" t="n">
        <v>14220</v>
      </c>
      <c r="K87" t="n">
        <v>0</v>
      </c>
      <c r="L87" t="n">
        <v>14220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1528</v>
      </c>
      <c r="B88" t="inlineStr">
        <is>
          <t>RAMOS BRUGAROLAS, IGNACIO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CHISLETT SUMER</t>
        </is>
      </c>
      <c r="I88" t="n">
        <v>591</v>
      </c>
      <c r="J88" t="n">
        <v>14280</v>
      </c>
      <c r="K88" t="n">
        <v>0</v>
      </c>
      <c r="L88" t="n">
        <v>14280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1528</v>
      </c>
      <c r="B89" t="inlineStr">
        <is>
          <t>RAMOS BRUGAROLAS, IGNACIO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CHISLETT SUMER</t>
        </is>
      </c>
      <c r="I89" t="n">
        <v>591</v>
      </c>
      <c r="J89" t="n">
        <v>15155</v>
      </c>
      <c r="K89" t="n">
        <v>3000</v>
      </c>
      <c r="L89" t="n">
        <v>3000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1528</v>
      </c>
      <c r="B90" t="inlineStr">
        <is>
          <t>RAMOS BRUGAROLAS, IGNACIO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CHISLETT SUMER</t>
        </is>
      </c>
      <c r="I90" t="n">
        <v>591</v>
      </c>
      <c r="J90" t="n">
        <v>14315</v>
      </c>
      <c r="K90" t="n">
        <v>11000</v>
      </c>
      <c r="L90" t="n">
        <v>11000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1528</v>
      </c>
      <c r="B91" t="inlineStr">
        <is>
          <t>RAMOS BRUGAROLAS, IGNACIO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CHISLETT SUMER</t>
        </is>
      </c>
      <c r="I91" t="n">
        <v>591</v>
      </c>
      <c r="J91" t="n">
        <v>23950</v>
      </c>
      <c r="K91" t="n">
        <v>18738</v>
      </c>
      <c r="L91" t="n">
        <v>18738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1528</v>
      </c>
      <c r="B92" t="inlineStr">
        <is>
          <t>RAMOS BRUGAROLAS, IGNACIO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CHISLETT SUMER</t>
        </is>
      </c>
      <c r="I92" t="n">
        <v>591</v>
      </c>
      <c r="J92" t="n">
        <v>15090</v>
      </c>
      <c r="K92" t="n">
        <v>8330</v>
      </c>
      <c r="L92" t="n">
        <v>8330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1528</v>
      </c>
      <c r="B93" t="inlineStr">
        <is>
          <t>RAMOS BRUGAROLAS, IGNACIO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CHISLETT SUMER</t>
        </is>
      </c>
      <c r="I93" t="n">
        <v>591</v>
      </c>
      <c r="J93" t="n">
        <v>8840</v>
      </c>
      <c r="K93" t="n">
        <v>6930</v>
      </c>
      <c r="L93" t="n">
        <v>6930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1528</v>
      </c>
      <c r="B94" t="inlineStr">
        <is>
          <t>RAMOS BRUGAROLAS, IGNACIO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CHISLETT SUMER</t>
        </is>
      </c>
      <c r="I94" t="n">
        <v>591</v>
      </c>
      <c r="J94" t="n">
        <v>1700</v>
      </c>
      <c r="K94" t="n">
        <v>0</v>
      </c>
      <c r="L94" t="n">
        <v>1700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1534</v>
      </c>
      <c r="B95" t="inlineStr">
        <is>
          <t>RAMOS BRUGAROLAS, JOSE RAMON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VALENCIA LATE</t>
        </is>
      </c>
      <c r="I95" t="n">
        <v>562</v>
      </c>
      <c r="J95" t="n">
        <v>22160</v>
      </c>
      <c r="K95" t="n">
        <v>0</v>
      </c>
      <c r="L95" t="n">
        <v>22160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1534</v>
      </c>
      <c r="B96" t="inlineStr">
        <is>
          <t>RAMOS BRUGAROLAS, JOSE RAMON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VALENCIA LATE</t>
        </is>
      </c>
      <c r="I96" t="n">
        <v>562</v>
      </c>
      <c r="J96" t="n">
        <v>14102</v>
      </c>
      <c r="K96" t="n">
        <v>0</v>
      </c>
      <c r="L96" t="n">
        <v>14102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1534</v>
      </c>
      <c r="B97" t="inlineStr">
        <is>
          <t>RAMOS BRUGAROLAS, JOSE RAMON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VALENCIA LATE</t>
        </is>
      </c>
      <c r="I97" t="n">
        <v>562</v>
      </c>
      <c r="J97" t="n">
        <v>14082</v>
      </c>
      <c r="K97" t="n">
        <v>0</v>
      </c>
      <c r="L97" t="n">
        <v>14082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1534</v>
      </c>
      <c r="B98" t="inlineStr">
        <is>
          <t>RAMOS BRUGAROLAS, JOSE RAMON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VALENCIA LATE</t>
        </is>
      </c>
      <c r="I98" t="n">
        <v>562</v>
      </c>
      <c r="J98" t="n">
        <v>22692</v>
      </c>
      <c r="K98" t="n">
        <v>0</v>
      </c>
      <c r="L98" t="n">
        <v>22692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1534</v>
      </c>
      <c r="B99" t="inlineStr">
        <is>
          <t>RAMOS BRUGAROLAS, JOSE RAMON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VALENCIA LATE</t>
        </is>
      </c>
      <c r="I99" t="n">
        <v>562</v>
      </c>
      <c r="J99" t="n">
        <v>12260</v>
      </c>
      <c r="K99" t="n">
        <v>0</v>
      </c>
      <c r="L99" t="n">
        <v>12260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1534</v>
      </c>
      <c r="B100" t="inlineStr">
        <is>
          <t>RAMOS BRUGAROLAS, JOSE RAMON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VALENCIA LATE</t>
        </is>
      </c>
      <c r="I100" t="n">
        <v>562</v>
      </c>
      <c r="J100" t="n">
        <v>7068</v>
      </c>
      <c r="K100" t="n">
        <v>0</v>
      </c>
      <c r="L100" t="n">
        <v>7068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1534</v>
      </c>
      <c r="B101" t="inlineStr">
        <is>
          <t>RAMOS BRUGAROLAS, JOSE RAMON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VALENCIA LATE</t>
        </is>
      </c>
      <c r="I101" t="n">
        <v>562</v>
      </c>
      <c r="J101" t="n">
        <v>4108</v>
      </c>
      <c r="K101" t="n">
        <v>0</v>
      </c>
      <c r="L101" t="n">
        <v>4108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1534</v>
      </c>
      <c r="B102" t="inlineStr">
        <is>
          <t>RAMOS BRUGAROLAS, JOSE RAMON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VALENCIA LATE</t>
        </is>
      </c>
      <c r="I102" t="n">
        <v>562</v>
      </c>
      <c r="J102" t="n">
        <v>12040</v>
      </c>
      <c r="K102" t="n">
        <v>0</v>
      </c>
      <c r="L102" t="n">
        <v>12040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1534</v>
      </c>
      <c r="B103" t="inlineStr">
        <is>
          <t>RAMOS BRUGAROLAS, JOSE RAMON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LANE LATE</t>
        </is>
      </c>
      <c r="I103" t="n">
        <v>560</v>
      </c>
      <c r="J103" t="n">
        <v>14520</v>
      </c>
      <c r="K103" t="n">
        <v>0</v>
      </c>
      <c r="L103" t="n">
        <v>14520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1534</v>
      </c>
      <c r="B104" t="inlineStr">
        <is>
          <t>RAMOS BRUGAROLAS, JOSE RAMON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LANE LATE</t>
        </is>
      </c>
      <c r="I104" t="n">
        <v>560</v>
      </c>
      <c r="J104" t="n">
        <v>15430</v>
      </c>
      <c r="K104" t="n">
        <v>4109</v>
      </c>
      <c r="L104" t="n">
        <v>4109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1534</v>
      </c>
      <c r="B105" t="inlineStr">
        <is>
          <t>RAMOS BRUGAROLAS, JOSE RAMON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LANE LATE</t>
        </is>
      </c>
      <c r="I105" t="n">
        <v>560</v>
      </c>
      <c r="J105" t="n">
        <v>14800</v>
      </c>
      <c r="K105" t="n">
        <v>10271</v>
      </c>
      <c r="L105" t="n">
        <v>10271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1534</v>
      </c>
      <c r="B106" t="inlineStr">
        <is>
          <t>RAMOS BRUGAROLAS, JOSE RAMON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LANE LATE</t>
        </is>
      </c>
      <c r="I106" t="n">
        <v>560</v>
      </c>
      <c r="J106" t="n">
        <v>23944</v>
      </c>
      <c r="K106" t="n">
        <v>6160</v>
      </c>
      <c r="L106" t="n">
        <v>6160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1534</v>
      </c>
      <c r="B107" t="inlineStr">
        <is>
          <t>RAMOS BRUGAROLAS, JOSE RAMON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LANE LATE</t>
        </is>
      </c>
      <c r="I107" t="n">
        <v>560</v>
      </c>
      <c r="J107" t="n">
        <v>22756</v>
      </c>
      <c r="K107" t="n">
        <v>15840</v>
      </c>
      <c r="L107" t="n">
        <v>15840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1534</v>
      </c>
      <c r="B108" t="inlineStr">
        <is>
          <t>RAMOS BRUGAROLAS, JOSE RAMON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LANE LATE</t>
        </is>
      </c>
      <c r="I108" t="n">
        <v>560</v>
      </c>
      <c r="J108" t="n">
        <v>23625</v>
      </c>
      <c r="K108" t="n">
        <v>0</v>
      </c>
      <c r="L108" t="n">
        <v>23625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1534</v>
      </c>
      <c r="B109" t="inlineStr">
        <is>
          <t>RAMOS BRUGAROLAS, JOSE RAMON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LANE LATE</t>
        </is>
      </c>
      <c r="I109" t="n">
        <v>560</v>
      </c>
      <c r="J109" t="n">
        <v>14700</v>
      </c>
      <c r="K109" t="n">
        <v>0</v>
      </c>
      <c r="L109" t="n">
        <v>14700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1534</v>
      </c>
      <c r="B110" t="inlineStr">
        <is>
          <t>RAMOS BRUGAROLAS, JOSE RAMON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LANE LATE</t>
        </is>
      </c>
      <c r="I110" t="n">
        <v>560</v>
      </c>
      <c r="J110" t="n">
        <v>6130</v>
      </c>
      <c r="K110" t="n">
        <v>0</v>
      </c>
      <c r="L110" t="n">
        <v>6130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1592</v>
      </c>
      <c r="B111" t="inlineStr">
        <is>
          <t>SANTIAGO ESCABIA, JUAN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NAVELINA</t>
        </is>
      </c>
      <c r="I111" t="n">
        <v>667</v>
      </c>
      <c r="J111" t="n">
        <v>7460</v>
      </c>
      <c r="K111" t="n">
        <v>0</v>
      </c>
      <c r="L111" t="n">
        <v>7460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1592</v>
      </c>
      <c r="B112" t="inlineStr">
        <is>
          <t>SANTIAGO ESCABIA, JUAN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BARBERINA</t>
        </is>
      </c>
      <c r="I112" t="n">
        <v>680</v>
      </c>
      <c r="J112" t="n">
        <v>5850</v>
      </c>
      <c r="K112" t="n">
        <v>0</v>
      </c>
      <c r="L112" t="n">
        <v>5850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1592</v>
      </c>
      <c r="B113" t="inlineStr">
        <is>
          <t>SANTIAGO ESCABIA, JUAN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BARBERINA</t>
        </is>
      </c>
      <c r="I113" t="n">
        <v>680</v>
      </c>
      <c r="J113" t="n">
        <v>14840</v>
      </c>
      <c r="K113" t="n">
        <v>0</v>
      </c>
      <c r="L113" t="n">
        <v>14840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1592</v>
      </c>
      <c r="B114" t="inlineStr">
        <is>
          <t>SANTIAGO ESCABIA, JUAN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BARBERINA</t>
        </is>
      </c>
      <c r="I114" t="n">
        <v>680</v>
      </c>
      <c r="J114" t="n">
        <v>14970</v>
      </c>
      <c r="K114" t="n">
        <v>0</v>
      </c>
      <c r="L114" t="n">
        <v>14970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1592</v>
      </c>
      <c r="B115" t="inlineStr">
        <is>
          <t>SANTIAGO ESCABIA, JUAN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BARBERINA</t>
        </is>
      </c>
      <c r="I115" t="n">
        <v>680</v>
      </c>
      <c r="J115" t="n">
        <v>14550</v>
      </c>
      <c r="K115" t="n">
        <v>0</v>
      </c>
      <c r="L115" t="n">
        <v>14550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1594</v>
      </c>
      <c r="B116" t="inlineStr">
        <is>
          <t>CANO MANZANARES, ISABEL MARIA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BARBERINA</t>
        </is>
      </c>
      <c r="I116" t="n">
        <v>361</v>
      </c>
      <c r="J116" t="n">
        <v>9820</v>
      </c>
      <c r="K116" t="n">
        <v>0</v>
      </c>
      <c r="L116" t="n">
        <v>9820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1594</v>
      </c>
      <c r="B117" t="inlineStr">
        <is>
          <t>CANO MANZANARES, ISABEL MARIA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BARBERINA</t>
        </is>
      </c>
      <c r="I117" t="n">
        <v>361</v>
      </c>
      <c r="J117" t="n">
        <v>15980</v>
      </c>
      <c r="K117" t="n">
        <v>0</v>
      </c>
      <c r="L117" t="n">
        <v>15980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1594</v>
      </c>
      <c r="B118" t="inlineStr">
        <is>
          <t>CANO MANZANARES, ISABEL MARIA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BARBERINA</t>
        </is>
      </c>
      <c r="I118" t="n">
        <v>361</v>
      </c>
      <c r="J118" t="n">
        <v>15685</v>
      </c>
      <c r="K118" t="n">
        <v>14754</v>
      </c>
      <c r="L118" t="n">
        <v>14754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1594</v>
      </c>
      <c r="B119" t="inlineStr">
        <is>
          <t>CANO MANZANARES, ISABEL MARIA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BARBERINA</t>
        </is>
      </c>
      <c r="I119" t="n">
        <v>361</v>
      </c>
      <c r="J119" t="n">
        <v>15760</v>
      </c>
      <c r="K119" t="n">
        <v>0</v>
      </c>
      <c r="L119" t="n">
        <v>15760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1594</v>
      </c>
      <c r="B120" t="inlineStr">
        <is>
          <t>CANO MANZANARES, ISABEL MARIA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BARBERINA</t>
        </is>
      </c>
      <c r="I120" t="n">
        <v>361</v>
      </c>
      <c r="J120" t="n">
        <v>15890</v>
      </c>
      <c r="K120" t="n">
        <v>15330</v>
      </c>
      <c r="L120" t="n">
        <v>15330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1594</v>
      </c>
      <c r="B121" t="inlineStr">
        <is>
          <t>CANO MANZANARES, ISABEL MARIA</t>
        </is>
      </c>
      <c r="E121" t="n">
        <v>2026</v>
      </c>
      <c r="F121" t="n">
        <v>1</v>
      </c>
      <c r="G121" t="inlineStr">
        <is>
          <t>INDUSTRIA</t>
        </is>
      </c>
      <c r="H121" t="inlineStr">
        <is>
          <t>BARBERINA</t>
        </is>
      </c>
      <c r="I121" t="n">
        <v>361</v>
      </c>
      <c r="J121" t="n">
        <v>17155</v>
      </c>
      <c r="K121" t="n">
        <v>826</v>
      </c>
      <c r="L121" t="n">
        <v>826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1594</v>
      </c>
      <c r="B122" t="inlineStr">
        <is>
          <t>CANO MANZANARES, ISABEL MARIA</t>
        </is>
      </c>
      <c r="E122" t="n">
        <v>2026</v>
      </c>
      <c r="F122" t="n">
        <v>1</v>
      </c>
      <c r="G122" t="inlineStr">
        <is>
          <t>INDUSTRIA</t>
        </is>
      </c>
      <c r="H122" t="inlineStr">
        <is>
          <t>BARBERINA</t>
        </is>
      </c>
      <c r="I122" t="n">
        <v>361</v>
      </c>
      <c r="J122" t="n">
        <v>15750</v>
      </c>
      <c r="K122" t="n">
        <v>490</v>
      </c>
      <c r="L122" t="n">
        <v>490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1596</v>
      </c>
      <c r="B123" t="inlineStr">
        <is>
          <t>RUEDA GARCIA, Mª MERCEDES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VALENCIA DELTA</t>
        </is>
      </c>
      <c r="I123" t="n">
        <v>676</v>
      </c>
      <c r="J123" t="n">
        <v>14255</v>
      </c>
      <c r="K123" t="n">
        <v>13193</v>
      </c>
      <c r="L123" t="n">
        <v>13193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1596</v>
      </c>
      <c r="B124" t="inlineStr">
        <is>
          <t>RUEDA GARCIA, Mª MERCEDES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VALENCIA DELTA</t>
        </is>
      </c>
      <c r="I124" t="n">
        <v>676</v>
      </c>
      <c r="J124" t="n">
        <v>14130</v>
      </c>
      <c r="K124" t="n">
        <v>0</v>
      </c>
      <c r="L124" t="n">
        <v>14130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1596</v>
      </c>
      <c r="B125" t="inlineStr">
        <is>
          <t>RUEDA GARCIA, Mª MERCEDES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VALENCIA DELTA</t>
        </is>
      </c>
      <c r="I125" t="n">
        <v>676</v>
      </c>
      <c r="J125" t="n">
        <v>10930</v>
      </c>
      <c r="K125" t="n">
        <v>9215</v>
      </c>
      <c r="L125" t="n">
        <v>9215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1596</v>
      </c>
      <c r="B126" t="inlineStr">
        <is>
          <t>RUEDA GARCIA, Mª MERCEDES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VALENCIA DELTA</t>
        </is>
      </c>
      <c r="I126" t="n">
        <v>676</v>
      </c>
      <c r="J126" t="n">
        <v>14160</v>
      </c>
      <c r="K126" t="n">
        <v>0</v>
      </c>
      <c r="L126" t="n">
        <v>14160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1596</v>
      </c>
      <c r="B127" t="inlineStr">
        <is>
          <t>RUEDA GARCIA, Mª MERCEDES</t>
        </is>
      </c>
      <c r="E127" t="n">
        <v>2026</v>
      </c>
      <c r="F127" t="n">
        <v>1</v>
      </c>
      <c r="G127" t="inlineStr">
        <is>
          <t>INDUSTRIA</t>
        </is>
      </c>
      <c r="H127" t="inlineStr">
        <is>
          <t>VALENCIA DELTA</t>
        </is>
      </c>
      <c r="I127" t="n">
        <v>676</v>
      </c>
      <c r="J127" t="n">
        <v>15515</v>
      </c>
      <c r="K127" t="n">
        <v>957</v>
      </c>
      <c r="L127" t="n">
        <v>957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1596</v>
      </c>
      <c r="B128" t="inlineStr">
        <is>
          <t>RUEDA GARCIA, Mª MERCEDES</t>
        </is>
      </c>
      <c r="E128" t="n">
        <v>2026</v>
      </c>
      <c r="F128" t="n">
        <v>1</v>
      </c>
      <c r="G128" t="inlineStr">
        <is>
          <t>INDUSTRIA</t>
        </is>
      </c>
      <c r="H128" t="inlineStr">
        <is>
          <t>VALENCIA DELTA</t>
        </is>
      </c>
      <c r="I128" t="n">
        <v>676</v>
      </c>
      <c r="J128" t="n">
        <v>10300</v>
      </c>
      <c r="K128" t="n">
        <v>1225</v>
      </c>
      <c r="L128" t="n">
        <v>1225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1609</v>
      </c>
      <c r="B129" t="inlineStr">
        <is>
          <t>GARCIA BARRAGAN, ROCIO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BARBERINA</t>
        </is>
      </c>
      <c r="I129" t="n">
        <v>651</v>
      </c>
      <c r="J129" t="n">
        <v>12800</v>
      </c>
      <c r="K129" t="n">
        <v>0</v>
      </c>
      <c r="L129" t="n">
        <v>12800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1614</v>
      </c>
      <c r="B130" t="inlineStr">
        <is>
          <t>MARIN SERRANO 2025 S.C.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NAVELINA</t>
        </is>
      </c>
      <c r="I130" t="n">
        <v>531</v>
      </c>
      <c r="J130" t="n">
        <v>14750</v>
      </c>
      <c r="K130" t="n">
        <v>0</v>
      </c>
      <c r="L130" t="n">
        <v>14750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1614</v>
      </c>
      <c r="B131" t="inlineStr">
        <is>
          <t>MARIN SERRANO 2025 S.C.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NAVELINA</t>
        </is>
      </c>
      <c r="I131" t="n">
        <v>531</v>
      </c>
      <c r="J131" t="n">
        <v>14620</v>
      </c>
      <c r="K131" t="n">
        <v>0</v>
      </c>
      <c r="L131" t="n">
        <v>14620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1614</v>
      </c>
      <c r="B132" t="inlineStr">
        <is>
          <t>MARIN SERRANO 2025 S.C.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230</v>
      </c>
      <c r="J132" t="n">
        <v>14750</v>
      </c>
      <c r="K132" t="n">
        <v>0</v>
      </c>
      <c r="L132" t="n">
        <v>14750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1614</v>
      </c>
      <c r="B133" t="inlineStr">
        <is>
          <t>MARIN SERRANO 2025 S.C.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230</v>
      </c>
      <c r="J133" t="n">
        <v>13460</v>
      </c>
      <c r="K133" t="n">
        <v>0</v>
      </c>
      <c r="L133" t="n">
        <v>13460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1614</v>
      </c>
      <c r="B134" t="inlineStr">
        <is>
          <t>MARIN SERRANO 2025 S.C.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529</v>
      </c>
      <c r="J134" t="n">
        <v>15225</v>
      </c>
      <c r="K134" t="n">
        <v>9450</v>
      </c>
      <c r="L134" t="n">
        <v>9450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1614</v>
      </c>
      <c r="B135" t="inlineStr">
        <is>
          <t>MARIN SERRANO 2025 S.C.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529</v>
      </c>
      <c r="J135" t="n">
        <v>14800</v>
      </c>
      <c r="K135" t="n">
        <v>0</v>
      </c>
      <c r="L135" t="n">
        <v>14800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1614</v>
      </c>
      <c r="B136" t="inlineStr">
        <is>
          <t>MARIN SERRANO 2025 S.C.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529</v>
      </c>
      <c r="J136" t="n">
        <v>5185</v>
      </c>
      <c r="K136" t="n">
        <v>0</v>
      </c>
      <c r="L136" t="n">
        <v>5185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1614</v>
      </c>
      <c r="B137" t="inlineStr">
        <is>
          <t>MARIN SERRANO 2025 S.C.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529</v>
      </c>
      <c r="J137" t="n">
        <v>14580</v>
      </c>
      <c r="K137" t="n">
        <v>0</v>
      </c>
      <c r="L137" t="n">
        <v>14580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1614</v>
      </c>
      <c r="B138" t="inlineStr">
        <is>
          <t>MARIN SERRANO 2025 S.C.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SALUSTIANA</t>
        </is>
      </c>
      <c r="I138" t="n">
        <v>529</v>
      </c>
      <c r="J138" t="n">
        <v>15020</v>
      </c>
      <c r="K138" t="n">
        <v>8951</v>
      </c>
      <c r="L138" t="n">
        <v>8951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1614</v>
      </c>
      <c r="B139" t="inlineStr">
        <is>
          <t>MARIN SERRANO 2025 S.C.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529</v>
      </c>
      <c r="J139" t="n">
        <v>12560</v>
      </c>
      <c r="K139" t="n">
        <v>0</v>
      </c>
      <c r="L139" t="n">
        <v>12560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1614</v>
      </c>
      <c r="B140" t="inlineStr">
        <is>
          <t>MARIN SERRANO 2025 S.C.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529</v>
      </c>
      <c r="J140" t="n">
        <v>15645</v>
      </c>
      <c r="K140" t="n">
        <v>5250</v>
      </c>
      <c r="L140" t="n">
        <v>5250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1614</v>
      </c>
      <c r="B141" t="inlineStr">
        <is>
          <t>MARIN SERRANO 2025 S.C.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529</v>
      </c>
      <c r="J141" t="n">
        <v>14480</v>
      </c>
      <c r="K141" t="n">
        <v>0</v>
      </c>
      <c r="L141" t="n">
        <v>14480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1614</v>
      </c>
      <c r="B142" t="inlineStr">
        <is>
          <t>MARIN SERRANO 2025 S.C.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230</v>
      </c>
      <c r="J142" t="n">
        <v>14410</v>
      </c>
      <c r="K142" t="n">
        <v>0</v>
      </c>
      <c r="L142" t="n">
        <v>14410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1614</v>
      </c>
      <c r="B143" t="inlineStr">
        <is>
          <t>MARIN SERRANO 2025 S.C.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SALUSTIANA</t>
        </is>
      </c>
      <c r="I143" t="n">
        <v>529</v>
      </c>
      <c r="J143" t="n">
        <v>14540</v>
      </c>
      <c r="K143" t="n">
        <v>0</v>
      </c>
      <c r="L143" t="n">
        <v>14540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1614</v>
      </c>
      <c r="B144" t="inlineStr">
        <is>
          <t>MARIN SERRANO 2025 S.C.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SALUSTIANA</t>
        </is>
      </c>
      <c r="I144" t="n">
        <v>529</v>
      </c>
      <c r="J144" t="n">
        <v>13550</v>
      </c>
      <c r="K144" t="n">
        <v>2083</v>
      </c>
      <c r="L144" t="n">
        <v>2083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1614</v>
      </c>
      <c r="B145" t="inlineStr">
        <is>
          <t>MARIN SERRANO 2025 S.C.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SALUSTIANA</t>
        </is>
      </c>
      <c r="I145" t="n">
        <v>230</v>
      </c>
      <c r="J145" t="n">
        <v>15375</v>
      </c>
      <c r="K145" t="n">
        <v>5154</v>
      </c>
      <c r="L145" t="n">
        <v>5154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1614</v>
      </c>
      <c r="B146" t="inlineStr">
        <is>
          <t>MARIN SERRANO 2025 S.C.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529</v>
      </c>
      <c r="J146" t="n">
        <v>14800</v>
      </c>
      <c r="K146" t="n">
        <v>11382</v>
      </c>
      <c r="L146" t="n">
        <v>11382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1614</v>
      </c>
      <c r="B147" t="inlineStr">
        <is>
          <t>MARIN SERRANO 2025 S.C.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SALUSTIANA</t>
        </is>
      </c>
      <c r="I147" t="n">
        <v>230</v>
      </c>
      <c r="J147" t="n">
        <v>15175</v>
      </c>
      <c r="K147" t="n">
        <v>7220</v>
      </c>
      <c r="L147" t="n">
        <v>7220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1614</v>
      </c>
      <c r="B148" t="inlineStr">
        <is>
          <t>MARIN SERRANO 2025 S.C.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529</v>
      </c>
      <c r="J148" t="n">
        <v>15110</v>
      </c>
      <c r="K148" t="n">
        <v>8274</v>
      </c>
      <c r="L148" t="n">
        <v>8274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1614</v>
      </c>
      <c r="B149" t="inlineStr">
        <is>
          <t>MARIN SERRANO 2025 S.C.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NAVELINA</t>
        </is>
      </c>
      <c r="I149" t="n">
        <v>531</v>
      </c>
      <c r="J149" t="n">
        <v>14270</v>
      </c>
      <c r="K149" t="n">
        <v>0</v>
      </c>
      <c r="L149" t="n">
        <v>14270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1614</v>
      </c>
      <c r="B150" t="inlineStr">
        <is>
          <t>MARIN SERRANO 2025 S.C.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NAVELINA</t>
        </is>
      </c>
      <c r="I150" t="n">
        <v>531</v>
      </c>
      <c r="J150" t="n">
        <v>15230</v>
      </c>
      <c r="K150" t="n">
        <v>6167</v>
      </c>
      <c r="L150" t="n">
        <v>6167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1614</v>
      </c>
      <c r="B151" t="inlineStr">
        <is>
          <t>MARIN SERRANO 2025 S.C.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NAVELINA</t>
        </is>
      </c>
      <c r="I151" t="n">
        <v>531</v>
      </c>
      <c r="J151" t="n">
        <v>10720</v>
      </c>
      <c r="K151" t="n">
        <v>0</v>
      </c>
      <c r="L151" t="n">
        <v>10720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1614</v>
      </c>
      <c r="B152" t="inlineStr">
        <is>
          <t>MARIN SERRANO 2025 S.C.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SALUSTIANA</t>
        </is>
      </c>
      <c r="I152" t="n">
        <v>529</v>
      </c>
      <c r="J152" t="n">
        <v>15370</v>
      </c>
      <c r="K152" t="n">
        <v>5509</v>
      </c>
      <c r="L152" t="n">
        <v>5509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1614</v>
      </c>
      <c r="B153" t="inlineStr">
        <is>
          <t>MARIN SERRANO 2025 S.C.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SALUSTIANA</t>
        </is>
      </c>
      <c r="I153" t="n">
        <v>529</v>
      </c>
      <c r="J153" t="n">
        <v>14560</v>
      </c>
      <c r="K153" t="n">
        <v>0</v>
      </c>
      <c r="L153" t="n">
        <v>14560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1614</v>
      </c>
      <c r="B154" t="inlineStr">
        <is>
          <t>MARIN SERRANO 2025 S.C.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SALUSTIANA</t>
        </is>
      </c>
      <c r="I154" t="n">
        <v>529</v>
      </c>
      <c r="J154" t="n">
        <v>3103</v>
      </c>
      <c r="K154" t="n">
        <v>0</v>
      </c>
      <c r="L154" t="n">
        <v>3103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1614</v>
      </c>
      <c r="B155" t="inlineStr">
        <is>
          <t>MARIN SERRANO 2025 S.C.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SALUSTIANA</t>
        </is>
      </c>
      <c r="I155" t="n">
        <v>529</v>
      </c>
      <c r="J155" t="n">
        <v>12710</v>
      </c>
      <c r="K155" t="n">
        <v>10417</v>
      </c>
      <c r="L155" t="n">
        <v>10417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1614</v>
      </c>
      <c r="B156" t="inlineStr">
        <is>
          <t>MARIN SERRANO 2025 S.C.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SALUSTIANA</t>
        </is>
      </c>
      <c r="I156" t="n">
        <v>529</v>
      </c>
      <c r="J156" t="n">
        <v>24376</v>
      </c>
      <c r="K156" t="n">
        <v>16644</v>
      </c>
      <c r="L156" t="n">
        <v>16644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1614</v>
      </c>
      <c r="B157" t="inlineStr">
        <is>
          <t>MARIN SERRANO 2025 S.C.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NAVELINA</t>
        </is>
      </c>
      <c r="I157" t="n">
        <v>228</v>
      </c>
      <c r="J157" t="n">
        <v>7522</v>
      </c>
      <c r="K157" t="n">
        <v>1999</v>
      </c>
      <c r="L157" t="n">
        <v>1999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1614</v>
      </c>
      <c r="B158" t="inlineStr">
        <is>
          <t>MARIN SERRANO 2025 S.C.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NAVELINA</t>
        </is>
      </c>
      <c r="I158" t="n">
        <v>531</v>
      </c>
      <c r="J158" t="n">
        <v>15020</v>
      </c>
      <c r="K158" t="n">
        <v>8223</v>
      </c>
      <c r="L158" t="n">
        <v>8223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1614</v>
      </c>
      <c r="B159" t="inlineStr">
        <is>
          <t>MARIN SERRANO 2025 S.C.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SALUSTIANA</t>
        </is>
      </c>
      <c r="I159" t="n">
        <v>230</v>
      </c>
      <c r="J159" t="n">
        <v>14955</v>
      </c>
      <c r="K159" t="n">
        <v>9276</v>
      </c>
      <c r="L159" t="n">
        <v>9276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1614</v>
      </c>
      <c r="B160" t="inlineStr">
        <is>
          <t>MARIN SERRANO 2025 S.C.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SALUSTIANA</t>
        </is>
      </c>
      <c r="I160" t="n">
        <v>529</v>
      </c>
      <c r="J160" t="n">
        <v>15320</v>
      </c>
      <c r="K160" t="n">
        <v>6206</v>
      </c>
      <c r="L160" t="n">
        <v>6206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1614</v>
      </c>
      <c r="B161" t="inlineStr">
        <is>
          <t>MARIN SERRANO 2025 S.C.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NAVELINA</t>
        </is>
      </c>
      <c r="I161" t="n">
        <v>228</v>
      </c>
      <c r="J161" t="n">
        <v>7207</v>
      </c>
      <c r="K161" t="n">
        <v>4998</v>
      </c>
      <c r="L161" t="n">
        <v>4998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1614</v>
      </c>
      <c r="B162" t="inlineStr">
        <is>
          <t>MARIN SERRANO 2025 S.C.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NAVELINA</t>
        </is>
      </c>
      <c r="I162" t="n">
        <v>228</v>
      </c>
      <c r="J162" t="n">
        <v>24060</v>
      </c>
      <c r="K162" t="n">
        <v>0</v>
      </c>
      <c r="L162" t="n">
        <v>24060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1614</v>
      </c>
      <c r="B163" t="inlineStr">
        <is>
          <t>MARIN SERRANO 2025 S.C.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NAVELINA</t>
        </is>
      </c>
      <c r="I163" t="n">
        <v>228</v>
      </c>
      <c r="J163" t="n">
        <v>23860</v>
      </c>
      <c r="K163" t="n">
        <v>0</v>
      </c>
      <c r="L163" t="n">
        <v>23860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1614</v>
      </c>
      <c r="B164" t="inlineStr">
        <is>
          <t>MARIN SERRANO 2025 S.C.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NAVELINA</t>
        </is>
      </c>
      <c r="I164" t="n">
        <v>228</v>
      </c>
      <c r="J164" t="n">
        <v>24220</v>
      </c>
      <c r="K164" t="n">
        <v>0</v>
      </c>
      <c r="L164" t="n">
        <v>24220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1614</v>
      </c>
      <c r="B165" t="inlineStr">
        <is>
          <t>MARIN SERRANO 2025 S.C.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NAVELINA</t>
        </is>
      </c>
      <c r="I165" t="n">
        <v>228</v>
      </c>
      <c r="J165" t="n">
        <v>14705</v>
      </c>
      <c r="K165" t="n">
        <v>13470</v>
      </c>
      <c r="L165" t="n">
        <v>13470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1614</v>
      </c>
      <c r="B166" t="inlineStr">
        <is>
          <t>MARIN SERRANO 2025 S.C.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NAVELINA</t>
        </is>
      </c>
      <c r="I166" t="n">
        <v>228</v>
      </c>
      <c r="J166" t="n">
        <v>15130</v>
      </c>
      <c r="K166" t="n">
        <v>6124</v>
      </c>
      <c r="L166" t="n">
        <v>6124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1614</v>
      </c>
      <c r="B167" t="inlineStr">
        <is>
          <t>MARIN SERRANO 2025 S.C.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NAVELINA</t>
        </is>
      </c>
      <c r="I167" t="n">
        <v>228</v>
      </c>
      <c r="J167" t="n">
        <v>13465</v>
      </c>
      <c r="K167" t="n">
        <v>0</v>
      </c>
      <c r="L167" t="n">
        <v>13465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1614</v>
      </c>
      <c r="B168" t="inlineStr">
        <is>
          <t>MARIN SERRANO 2025 S.C.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NAVELINA</t>
        </is>
      </c>
      <c r="I168" t="n">
        <v>228</v>
      </c>
      <c r="J168" t="n">
        <v>14920</v>
      </c>
      <c r="K168" t="n">
        <v>8166</v>
      </c>
      <c r="L168" t="n">
        <v>8166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1614</v>
      </c>
      <c r="B169" t="inlineStr">
        <is>
          <t>MARIN SERRANO 2025 S.C.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VALENCIA LATE</t>
        </is>
      </c>
      <c r="I169" t="n">
        <v>248</v>
      </c>
      <c r="J169" t="n">
        <v>13565</v>
      </c>
      <c r="K169" t="n">
        <v>12647</v>
      </c>
      <c r="L169" t="n">
        <v>12647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1614</v>
      </c>
      <c r="B170" t="inlineStr">
        <is>
          <t>MARIN SERRANO 2025 S.C.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VALENCIA LATE</t>
        </is>
      </c>
      <c r="I170" t="n">
        <v>248</v>
      </c>
      <c r="J170" t="n">
        <v>22960</v>
      </c>
      <c r="K170" t="n">
        <v>21354</v>
      </c>
      <c r="L170" t="n">
        <v>21354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1614</v>
      </c>
      <c r="B171" t="inlineStr">
        <is>
          <t>MARIN SERRANO 2025 S.C.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VALENCIA LATE</t>
        </is>
      </c>
      <c r="I171" t="n">
        <v>248</v>
      </c>
      <c r="J171" t="n">
        <v>22315</v>
      </c>
      <c r="K171" t="n">
        <v>21345</v>
      </c>
      <c r="L171" t="n">
        <v>21345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1614</v>
      </c>
      <c r="B172" t="inlineStr">
        <is>
          <t>MARIN SERRANO 2025 S.C.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VALENCIA LATE</t>
        </is>
      </c>
      <c r="I172" t="n">
        <v>248</v>
      </c>
      <c r="J172" t="n">
        <v>7930</v>
      </c>
      <c r="K172" t="n">
        <v>0</v>
      </c>
      <c r="L172" t="n">
        <v>7930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1614</v>
      </c>
      <c r="B173" t="inlineStr">
        <is>
          <t>MARIN SERRANO 2025 S.C.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VALENCIA LATE</t>
        </is>
      </c>
      <c r="I173" t="n">
        <v>248</v>
      </c>
      <c r="J173" t="n">
        <v>7510</v>
      </c>
      <c r="K173" t="n">
        <v>6666</v>
      </c>
      <c r="L173" t="n">
        <v>6666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1614</v>
      </c>
      <c r="B174" t="inlineStr">
        <is>
          <t>MARIN SERRANO 2025 S.C.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VALENCIA LATE</t>
        </is>
      </c>
      <c r="I174" t="n">
        <v>248</v>
      </c>
      <c r="J174" t="n">
        <v>21995</v>
      </c>
      <c r="K174" t="n">
        <v>20905</v>
      </c>
      <c r="L174" t="n">
        <v>20905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1614</v>
      </c>
      <c r="B175" t="inlineStr">
        <is>
          <t>MARIN SERRANO 2025 S.C.</t>
        </is>
      </c>
      <c r="E175" t="n">
        <v>2026</v>
      </c>
      <c r="F175" t="n">
        <v>1</v>
      </c>
      <c r="G175" t="inlineStr">
        <is>
          <t>CITRICOS</t>
        </is>
      </c>
      <c r="H175" t="inlineStr">
        <is>
          <t>VALENCIA LATE</t>
        </is>
      </c>
      <c r="I175" t="n">
        <v>248</v>
      </c>
      <c r="J175" t="n">
        <v>13850</v>
      </c>
      <c r="K175" t="n">
        <v>0</v>
      </c>
      <c r="L175" t="n">
        <v>13850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1614</v>
      </c>
      <c r="B176" t="inlineStr">
        <is>
          <t>MARIN SERRANO 2025 S.C.</t>
        </is>
      </c>
      <c r="E176" t="n">
        <v>2026</v>
      </c>
      <c r="F176" t="n">
        <v>1</v>
      </c>
      <c r="G176" t="inlineStr">
        <is>
          <t>CITRICOS</t>
        </is>
      </c>
      <c r="H176" t="inlineStr">
        <is>
          <t>NAVEL POWEL</t>
        </is>
      </c>
      <c r="I176" t="n">
        <v>300</v>
      </c>
      <c r="J176" t="n">
        <v>14890</v>
      </c>
      <c r="K176" t="n">
        <v>0</v>
      </c>
      <c r="L176" t="n">
        <v>14890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1614</v>
      </c>
      <c r="B177" t="inlineStr">
        <is>
          <t>MARIN SERRANO 2025 S.C.</t>
        </is>
      </c>
      <c r="E177" t="n">
        <v>2026</v>
      </c>
      <c r="F177" t="n">
        <v>1</v>
      </c>
      <c r="G177" t="inlineStr">
        <is>
          <t>CITRICOS</t>
        </is>
      </c>
      <c r="H177" t="inlineStr">
        <is>
          <t>NAVEL POWEL</t>
        </is>
      </c>
      <c r="I177" t="n">
        <v>300</v>
      </c>
      <c r="J177" t="n">
        <v>14860</v>
      </c>
      <c r="K177" t="n">
        <v>0</v>
      </c>
      <c r="L177" t="n">
        <v>14860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1614</v>
      </c>
      <c r="B178" t="inlineStr">
        <is>
          <t>MARIN SERRANO 2025 S.C.</t>
        </is>
      </c>
      <c r="E178" t="n">
        <v>2026</v>
      </c>
      <c r="F178" t="n">
        <v>1</v>
      </c>
      <c r="G178" t="inlineStr">
        <is>
          <t>CITRICOS</t>
        </is>
      </c>
      <c r="H178" t="inlineStr">
        <is>
          <t>CHISLETT SUMER</t>
        </is>
      </c>
      <c r="I178" t="n">
        <v>299</v>
      </c>
      <c r="J178" t="n">
        <v>12140</v>
      </c>
      <c r="K178" t="n">
        <v>0</v>
      </c>
      <c r="L178" t="n">
        <v>12140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1614</v>
      </c>
      <c r="B179" t="inlineStr">
        <is>
          <t>MARIN SERRANO 2025 S.C.</t>
        </is>
      </c>
      <c r="E179" t="n">
        <v>2026</v>
      </c>
      <c r="F179" t="n">
        <v>1</v>
      </c>
      <c r="G179" t="inlineStr">
        <is>
          <t>INDUSTRIA</t>
        </is>
      </c>
      <c r="H179" t="inlineStr">
        <is>
          <t>NAVELINA</t>
        </is>
      </c>
      <c r="I179" t="n">
        <v>228</v>
      </c>
      <c r="J179" t="n">
        <v>14495</v>
      </c>
      <c r="K179" t="n">
        <v>1025</v>
      </c>
      <c r="L179" t="n">
        <v>1025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1614</v>
      </c>
      <c r="B180" t="inlineStr">
        <is>
          <t>MARIN SERRANO 2025 S.C.</t>
        </is>
      </c>
      <c r="E180" t="n">
        <v>2026</v>
      </c>
      <c r="F180" t="n">
        <v>1</v>
      </c>
      <c r="G180" t="inlineStr">
        <is>
          <t>INDUSTRIA</t>
        </is>
      </c>
      <c r="H180" t="inlineStr">
        <is>
          <t>VALENCIA LATE</t>
        </is>
      </c>
      <c r="I180" t="n">
        <v>248</v>
      </c>
      <c r="J180" t="n">
        <v>13355</v>
      </c>
      <c r="K180" t="n">
        <v>813</v>
      </c>
      <c r="L180" t="n">
        <v>813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1614</v>
      </c>
      <c r="B181" t="inlineStr">
        <is>
          <t>MARIN SERRANO 2025 S.C.</t>
        </is>
      </c>
      <c r="E181" t="n">
        <v>2026</v>
      </c>
      <c r="F181" t="n">
        <v>1</v>
      </c>
      <c r="G181" t="inlineStr">
        <is>
          <t>INDUSTRIA</t>
        </is>
      </c>
      <c r="H181" t="inlineStr">
        <is>
          <t>VALENCIA LATE</t>
        </is>
      </c>
      <c r="I181" t="n">
        <v>248</v>
      </c>
      <c r="J181" t="n">
        <v>22680</v>
      </c>
      <c r="K181" t="n">
        <v>1361</v>
      </c>
      <c r="L181" t="n">
        <v>1361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1614</v>
      </c>
      <c r="B182" t="inlineStr">
        <is>
          <t>MARIN SERRANO 2025 S.C.</t>
        </is>
      </c>
      <c r="E182" t="n">
        <v>2026</v>
      </c>
      <c r="F182" t="n">
        <v>1</v>
      </c>
      <c r="G182" t="inlineStr">
        <is>
          <t>INDUSTRIA</t>
        </is>
      </c>
      <c r="H182" t="inlineStr">
        <is>
          <t>VALENCIA LATE</t>
        </is>
      </c>
      <c r="I182" t="n">
        <v>248</v>
      </c>
      <c r="J182" t="n">
        <v>24415</v>
      </c>
      <c r="K182" t="n">
        <v>865</v>
      </c>
      <c r="L182" t="n">
        <v>865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1614</v>
      </c>
      <c r="B183" t="inlineStr">
        <is>
          <t>MARIN SERRANO 2025 S.C.</t>
        </is>
      </c>
      <c r="E183" t="n">
        <v>2026</v>
      </c>
      <c r="F183" t="n">
        <v>1</v>
      </c>
      <c r="G183" t="inlineStr">
        <is>
          <t>INDUSTRIA</t>
        </is>
      </c>
      <c r="H183" t="inlineStr">
        <is>
          <t>VALENCIA LATE</t>
        </is>
      </c>
      <c r="I183" t="n">
        <v>248</v>
      </c>
      <c r="J183" t="n">
        <v>6705</v>
      </c>
      <c r="K183" t="n">
        <v>74</v>
      </c>
      <c r="L183" t="n">
        <v>74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1614</v>
      </c>
      <c r="B184" t="inlineStr">
        <is>
          <t>MARIN SERRANO 2025 S.C.</t>
        </is>
      </c>
      <c r="E184" t="n">
        <v>2026</v>
      </c>
      <c r="F184" t="n">
        <v>1</v>
      </c>
      <c r="G184" t="inlineStr">
        <is>
          <t>INDUSTRIA</t>
        </is>
      </c>
      <c r="H184" t="inlineStr">
        <is>
          <t>VALENCIA LATE</t>
        </is>
      </c>
      <c r="I184" t="n">
        <v>248</v>
      </c>
      <c r="J184" t="n">
        <v>24060</v>
      </c>
      <c r="K184" t="n">
        <v>985</v>
      </c>
      <c r="L184" t="n">
        <v>985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1615</v>
      </c>
      <c r="B185" t="inlineStr">
        <is>
          <t>RURAL PRIME S.L.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VALENCIA DELTA</t>
        </is>
      </c>
      <c r="I185" t="n">
        <v>648</v>
      </c>
      <c r="J185" t="n">
        <v>23125</v>
      </c>
      <c r="K185" t="n">
        <v>0</v>
      </c>
      <c r="L185" t="n">
        <v>23125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1615</v>
      </c>
      <c r="B186" t="inlineStr">
        <is>
          <t>RURAL PRIME S.L.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VALENCIA DELTA</t>
        </is>
      </c>
      <c r="I186" t="n">
        <v>648</v>
      </c>
      <c r="J186" t="n">
        <v>11620</v>
      </c>
      <c r="K186" t="n">
        <v>0</v>
      </c>
      <c r="L186" t="n">
        <v>11620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1615</v>
      </c>
      <c r="B187" t="inlineStr">
        <is>
          <t>RURAL PRIME S.L.</t>
        </is>
      </c>
      <c r="E187" t="n">
        <v>2026</v>
      </c>
      <c r="F187" t="n">
        <v>1</v>
      </c>
      <c r="G187" t="inlineStr">
        <is>
          <t>CITRICOS</t>
        </is>
      </c>
      <c r="H187" t="inlineStr">
        <is>
          <t>VALENCIA DELTA</t>
        </is>
      </c>
      <c r="I187" t="n">
        <v>648</v>
      </c>
      <c r="J187" t="n">
        <v>13682</v>
      </c>
      <c r="K187" t="n">
        <v>0</v>
      </c>
      <c r="L187" t="n">
        <v>13682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1615</v>
      </c>
      <c r="B188" t="inlineStr">
        <is>
          <t>RURAL PRIME S.L.</t>
        </is>
      </c>
      <c r="E188" t="n">
        <v>2026</v>
      </c>
      <c r="F188" t="n">
        <v>1</v>
      </c>
      <c r="G188" t="inlineStr">
        <is>
          <t>CITRICOS</t>
        </is>
      </c>
      <c r="H188" t="inlineStr">
        <is>
          <t>VALENCIA DELTA</t>
        </is>
      </c>
      <c r="I188" t="n">
        <v>648</v>
      </c>
      <c r="J188" t="n">
        <v>22973</v>
      </c>
      <c r="K188" t="n">
        <v>0</v>
      </c>
      <c r="L188" t="n">
        <v>22973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1615</v>
      </c>
      <c r="B189" t="inlineStr">
        <is>
          <t>RURAL PRIME S.L.</t>
        </is>
      </c>
      <c r="E189" t="n">
        <v>2026</v>
      </c>
      <c r="F189" t="n">
        <v>1</v>
      </c>
      <c r="G189" t="inlineStr">
        <is>
          <t>CITRICOS</t>
        </is>
      </c>
      <c r="H189" t="inlineStr">
        <is>
          <t>VALENCIA DELTA</t>
        </is>
      </c>
      <c r="I189" t="n">
        <v>648</v>
      </c>
      <c r="J189" t="n">
        <v>11560</v>
      </c>
      <c r="K189" t="n">
        <v>0</v>
      </c>
      <c r="L189" t="n">
        <v>11560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1615</v>
      </c>
      <c r="B190" t="inlineStr">
        <is>
          <t>RURAL PRIME S.L.</t>
        </is>
      </c>
      <c r="E190" t="n">
        <v>2026</v>
      </c>
      <c r="F190" t="n">
        <v>1</v>
      </c>
      <c r="G190" t="inlineStr">
        <is>
          <t>CITRICOS</t>
        </is>
      </c>
      <c r="H190" t="inlineStr">
        <is>
          <t>VALENCIA DELTA</t>
        </is>
      </c>
      <c r="I190" t="n">
        <v>648</v>
      </c>
      <c r="J190" t="n">
        <v>14102</v>
      </c>
      <c r="K190" t="n">
        <v>0</v>
      </c>
      <c r="L190" t="n">
        <v>14102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1615</v>
      </c>
      <c r="B191" t="inlineStr">
        <is>
          <t>RURAL PRIME S.L.</t>
        </is>
      </c>
      <c r="E191" t="n">
        <v>2026</v>
      </c>
      <c r="F191" t="n">
        <v>1</v>
      </c>
      <c r="G191" t="inlineStr">
        <is>
          <t>CITRICOS</t>
        </is>
      </c>
      <c r="H191" t="inlineStr">
        <is>
          <t>VALENCIA DELTA</t>
        </is>
      </c>
      <c r="I191" t="n">
        <v>648</v>
      </c>
      <c r="J191" t="n">
        <v>10468</v>
      </c>
      <c r="K191" t="n">
        <v>0</v>
      </c>
      <c r="L191" t="n">
        <v>10468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1615</v>
      </c>
      <c r="B192" t="inlineStr">
        <is>
          <t>RURAL PRIME S.L.</t>
        </is>
      </c>
      <c r="E192" t="n">
        <v>2026</v>
      </c>
      <c r="F192" t="n">
        <v>1</v>
      </c>
      <c r="G192" t="inlineStr">
        <is>
          <t>CITRICOS</t>
        </is>
      </c>
      <c r="H192" t="inlineStr">
        <is>
          <t>VALENCIA DELTA</t>
        </is>
      </c>
      <c r="I192" t="n">
        <v>648</v>
      </c>
      <c r="J192" t="n">
        <v>7588</v>
      </c>
      <c r="K192" t="n">
        <v>0</v>
      </c>
      <c r="L192" t="n">
        <v>7588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1615</v>
      </c>
      <c r="B193" t="inlineStr">
        <is>
          <t>RURAL PRIME S.L.</t>
        </is>
      </c>
      <c r="E193" t="n">
        <v>2026</v>
      </c>
      <c r="F193" t="n">
        <v>1</v>
      </c>
      <c r="G193" t="inlineStr">
        <is>
          <t>DIRECTO</t>
        </is>
      </c>
      <c r="H193" t="inlineStr">
        <is>
          <t>LANE LATE</t>
        </is>
      </c>
      <c r="I193" t="n">
        <v>649</v>
      </c>
      <c r="J193" t="n">
        <v>19480</v>
      </c>
      <c r="K193" t="n">
        <v>0</v>
      </c>
      <c r="L193" t="n">
        <v>19480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1615</v>
      </c>
      <c r="B194" t="inlineStr">
        <is>
          <t>RURAL PRIME S.L.</t>
        </is>
      </c>
      <c r="E194" t="n">
        <v>2026</v>
      </c>
      <c r="F194" t="n">
        <v>1</v>
      </c>
      <c r="G194" t="inlineStr">
        <is>
          <t>DIRECTO</t>
        </is>
      </c>
      <c r="H194" t="inlineStr">
        <is>
          <t>LANE LATE</t>
        </is>
      </c>
      <c r="I194" t="n">
        <v>649</v>
      </c>
      <c r="J194" t="n">
        <v>18320</v>
      </c>
      <c r="K194" t="n">
        <v>0</v>
      </c>
      <c r="L194" t="n">
        <v>18320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1615</v>
      </c>
      <c r="B195" t="inlineStr">
        <is>
          <t>RURAL PRIME S.L.</t>
        </is>
      </c>
      <c r="E195" t="n">
        <v>2026</v>
      </c>
      <c r="F195" t="n">
        <v>1</v>
      </c>
      <c r="G195" t="inlineStr">
        <is>
          <t>DIRECTO</t>
        </is>
      </c>
      <c r="H195" t="inlineStr">
        <is>
          <t>LANE LATE</t>
        </is>
      </c>
      <c r="I195" t="n">
        <v>649</v>
      </c>
      <c r="J195" t="n">
        <v>20920</v>
      </c>
      <c r="K195" t="n">
        <v>0</v>
      </c>
      <c r="L195" t="n">
        <v>20920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1615</v>
      </c>
      <c r="B196" t="inlineStr">
        <is>
          <t>RURAL PRIME S.L.</t>
        </is>
      </c>
      <c r="E196" t="n">
        <v>2026</v>
      </c>
      <c r="F196" t="n">
        <v>1</v>
      </c>
      <c r="G196" t="inlineStr">
        <is>
          <t>DIRECTO</t>
        </is>
      </c>
      <c r="H196" t="inlineStr">
        <is>
          <t>LANE LATE</t>
        </is>
      </c>
      <c r="I196" t="n">
        <v>649</v>
      </c>
      <c r="J196" t="n">
        <v>17300</v>
      </c>
      <c r="K196" t="n">
        <v>0</v>
      </c>
      <c r="L196" t="n">
        <v>17300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1615</v>
      </c>
      <c r="B197" t="inlineStr">
        <is>
          <t>RURAL PRIME S.L.</t>
        </is>
      </c>
      <c r="E197" t="n">
        <v>2026</v>
      </c>
      <c r="F197" t="n">
        <v>1</v>
      </c>
      <c r="G197" t="inlineStr">
        <is>
          <t>DIRECTO</t>
        </is>
      </c>
      <c r="H197" t="inlineStr">
        <is>
          <t>LANE LATE</t>
        </is>
      </c>
      <c r="I197" t="n">
        <v>649</v>
      </c>
      <c r="J197" t="n">
        <v>22360</v>
      </c>
      <c r="K197" t="n">
        <v>0</v>
      </c>
      <c r="L197" t="n">
        <v>22360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1615</v>
      </c>
      <c r="B198" t="inlineStr">
        <is>
          <t>RURAL PRIME S.L.</t>
        </is>
      </c>
      <c r="E198" t="n">
        <v>2026</v>
      </c>
      <c r="F198" t="n">
        <v>1</v>
      </c>
      <c r="G198" t="inlineStr">
        <is>
          <t>DIRECTO</t>
        </is>
      </c>
      <c r="H198" t="inlineStr">
        <is>
          <t>LANE LATE</t>
        </is>
      </c>
      <c r="I198" t="n">
        <v>649</v>
      </c>
      <c r="J198" t="n">
        <v>19880</v>
      </c>
      <c r="K198" t="n">
        <v>0</v>
      </c>
      <c r="L198" t="n">
        <v>19880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1615</v>
      </c>
      <c r="B199" t="inlineStr">
        <is>
          <t>RURAL PRIME S.L.</t>
        </is>
      </c>
      <c r="E199" t="n">
        <v>2026</v>
      </c>
      <c r="F199" t="n">
        <v>1</v>
      </c>
      <c r="G199" t="inlineStr">
        <is>
          <t>DIRECTO</t>
        </is>
      </c>
      <c r="H199" t="inlineStr">
        <is>
          <t>LANE LATE</t>
        </is>
      </c>
      <c r="I199" t="n">
        <v>649</v>
      </c>
      <c r="J199" t="n">
        <v>18520</v>
      </c>
      <c r="K199" t="n">
        <v>0</v>
      </c>
      <c r="L199" t="n">
        <v>18520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1615</v>
      </c>
      <c r="B200" t="inlineStr">
        <is>
          <t>RURAL PRIME S.L.</t>
        </is>
      </c>
      <c r="E200" t="n">
        <v>2026</v>
      </c>
      <c r="F200" t="n">
        <v>1</v>
      </c>
      <c r="G200" t="inlineStr">
        <is>
          <t>DIRECTO</t>
        </is>
      </c>
      <c r="H200" t="inlineStr">
        <is>
          <t>LANE LATE</t>
        </is>
      </c>
      <c r="I200" t="n">
        <v>649</v>
      </c>
      <c r="J200" t="n">
        <v>7680</v>
      </c>
      <c r="K200" t="n">
        <v>0</v>
      </c>
      <c r="L200" t="n">
        <v>7680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909</v>
      </c>
      <c r="B2" t="inlineStr">
        <is>
          <t>LEON PINEDA,ROSARIO</t>
        </is>
      </c>
      <c r="C2" t="inlineStr">
        <is>
          <t>BARBERINA</t>
        </is>
      </c>
      <c r="D2" t="inlineStr">
        <is>
          <t>Hectáreas</t>
        </is>
      </c>
      <c r="E2" t="n">
        <v>2.2208</v>
      </c>
      <c r="I2" t="inlineStr"/>
    </row>
    <row r="3">
      <c r="A3" t="n">
        <v>909</v>
      </c>
      <c r="B3" t="inlineStr">
        <is>
          <t>LEON PINEDA,ROSARIO</t>
        </is>
      </c>
      <c r="C3" t="inlineStr">
        <is>
          <t>BARBERINA</t>
        </is>
      </c>
      <c r="D3" t="inlineStr">
        <is>
          <t>Cuota teórica</t>
        </is>
      </c>
      <c r="E3" t="n">
        <v>433.06</v>
      </c>
      <c r="I3" t="inlineStr"/>
    </row>
    <row r="4">
      <c r="A4" t="n">
        <v>909</v>
      </c>
      <c r="B4" t="inlineStr">
        <is>
          <t>LEON PINEDA,ROSARIO</t>
        </is>
      </c>
      <c r="C4" t="inlineStr">
        <is>
          <t>BARBERINA</t>
        </is>
      </c>
      <c r="D4" t="inlineStr">
        <is>
          <t>Kg campaña</t>
        </is>
      </c>
      <c r="E4" t="n">
        <v>20190</v>
      </c>
      <c r="I4" t="inlineStr"/>
    </row>
    <row r="5">
      <c r="A5" t="n">
        <v>909</v>
      </c>
      <c r="B5" t="inlineStr">
        <is>
          <t>LEON PINEDA,ROSARIO</t>
        </is>
      </c>
      <c r="C5" t="inlineStr">
        <is>
          <t>BARBERINA</t>
        </is>
      </c>
      <c r="D5" t="inlineStr">
        <is>
          <t>Índice</t>
        </is>
      </c>
      <c r="E5" t="n">
        <v>0.02144923229321446</v>
      </c>
      <c r="I5" t="inlineStr"/>
    </row>
    <row r="6">
      <c r="A6" t="n">
        <v>909</v>
      </c>
      <c r="B6" t="inlineStr">
        <is>
          <t>LEON PINEDA,ROSARIO</t>
        </is>
      </c>
      <c r="C6" t="inlineStr">
        <is>
          <t>BARBERINA</t>
        </is>
      </c>
      <c r="D6" t="inlineStr">
        <is>
          <t>Kg remesa</t>
        </is>
      </c>
      <c r="E6" t="n">
        <v>19840</v>
      </c>
      <c r="I6" t="inlineStr"/>
    </row>
    <row r="7">
      <c r="A7" t="n">
        <v>909</v>
      </c>
      <c r="B7" t="inlineStr">
        <is>
          <t>LEON PINEDA,ROSARIO</t>
        </is>
      </c>
      <c r="C7" t="inlineStr">
        <is>
          <t>BARBERINA</t>
        </is>
      </c>
      <c r="D7" t="inlineStr">
        <is>
          <t>Cuota parcial</t>
        </is>
      </c>
      <c r="E7" t="n">
        <v>425.55</v>
      </c>
      <c r="I7" t="inlineStr"/>
    </row>
    <row r="8">
      <c r="A8" t="n">
        <v>909</v>
      </c>
      <c r="B8" t="inlineStr">
        <is>
          <t>LEON PINEDA,ROSARIO</t>
        </is>
      </c>
      <c r="C8" t="inlineStr">
        <is>
          <t>BARBERINA</t>
        </is>
      </c>
      <c r="D8" t="inlineStr">
        <is>
          <t>Importe bruto</t>
        </is>
      </c>
      <c r="E8" t="n">
        <v>8232.51</v>
      </c>
      <c r="I8" t="inlineStr"/>
    </row>
    <row r="9">
      <c r="A9" t="n">
        <v>909</v>
      </c>
      <c r="B9" t="inlineStr">
        <is>
          <t>LEON PINEDA,ROSARIO</t>
        </is>
      </c>
      <c r="C9" t="inlineStr">
        <is>
          <t>BARBERINA</t>
        </is>
      </c>
      <c r="D9" t="inlineStr">
        <is>
          <t>Recolección</t>
        </is>
      </c>
      <c r="E9" t="n">
        <v>1240</v>
      </c>
      <c r="I9" t="inlineStr"/>
    </row>
    <row r="10">
      <c r="A10" t="n">
        <v>909</v>
      </c>
      <c r="B10" t="inlineStr">
        <is>
          <t>LEON PINEDA,ROSARIO</t>
        </is>
      </c>
      <c r="C10" t="inlineStr">
        <is>
          <t>BARBERINA</t>
        </is>
      </c>
      <c r="D10" t="inlineStr">
        <is>
          <t>Transporte</t>
        </is>
      </c>
      <c r="E10" t="n">
        <v>0</v>
      </c>
      <c r="I10" t="inlineStr"/>
    </row>
    <row r="11">
      <c r="A11" t="n">
        <v>909</v>
      </c>
      <c r="B11" t="inlineStr">
        <is>
          <t>LEON PINEDA,ROSARIO</t>
        </is>
      </c>
      <c r="C11" t="inlineStr">
        <is>
          <t>BARBERINA</t>
        </is>
      </c>
      <c r="D11" t="inlineStr">
        <is>
          <t>Calidad</t>
        </is>
      </c>
      <c r="E11" t="n">
        <v>0</v>
      </c>
      <c r="I11" t="inlineStr"/>
    </row>
    <row r="12">
      <c r="A12" t="n">
        <v>909</v>
      </c>
      <c r="B12" t="inlineStr">
        <is>
          <t>LEON PINEDA,ROSARIO</t>
        </is>
      </c>
      <c r="C12" t="inlineStr">
        <is>
          <t>BARBERINA</t>
        </is>
      </c>
      <c r="D12" t="inlineStr">
        <is>
          <t>GlobalGAP</t>
        </is>
      </c>
      <c r="E12" t="n">
        <v>0</v>
      </c>
      <c r="I12" t="inlineStr"/>
    </row>
    <row r="13">
      <c r="A13" t="n">
        <v>909</v>
      </c>
      <c r="B13" t="inlineStr">
        <is>
          <t>LEON PINEDA,ROSARIO</t>
        </is>
      </c>
      <c r="C13" t="inlineStr">
        <is>
          <t>BARBERINA</t>
        </is>
      </c>
      <c r="D13" t="inlineStr">
        <is>
          <t>Base imponible</t>
        </is>
      </c>
      <c r="E13" t="n">
        <v>6566.96</v>
      </c>
      <c r="I13" t="inlineStr"/>
    </row>
    <row r="14">
      <c r="A14" t="n">
        <v>909</v>
      </c>
      <c r="B14" t="inlineStr">
        <is>
          <t>LEON PINEDA,ROSARIO</t>
        </is>
      </c>
      <c r="C14" t="inlineStr">
        <is>
          <t>BARBERINA</t>
        </is>
      </c>
      <c r="D14" t="inlineStr">
        <is>
          <t>IVA</t>
        </is>
      </c>
      <c r="E14" t="n">
        <v>788.04</v>
      </c>
      <c r="I14" t="inlineStr"/>
    </row>
    <row r="15">
      <c r="A15" t="n">
        <v>909</v>
      </c>
      <c r="B15" t="inlineStr">
        <is>
          <t>LEON PINEDA,ROSARIO</t>
        </is>
      </c>
      <c r="C15" t="inlineStr">
        <is>
          <t>BARBERINA</t>
        </is>
      </c>
      <c r="D15" t="inlineStr">
        <is>
          <t>Retención</t>
        </is>
      </c>
      <c r="E15" t="n">
        <v>147.1</v>
      </c>
      <c r="I15" t="inlineStr"/>
    </row>
    <row r="16">
      <c r="A16" t="n">
        <v>909</v>
      </c>
      <c r="B16" t="inlineStr">
        <is>
          <t>LEON PINEDA,ROSARIO</t>
        </is>
      </c>
      <c r="C16" t="inlineStr">
        <is>
          <t>BARBERINA</t>
        </is>
      </c>
      <c r="D16" t="inlineStr">
        <is>
          <t>Total</t>
        </is>
      </c>
      <c r="E16" t="n">
        <v>7207.9</v>
      </c>
      <c r="I16" t="inlineStr"/>
    </row>
    <row r="17">
      <c r="A17" t="n">
        <v>1072</v>
      </c>
      <c r="B17" t="inlineStr">
        <is>
          <t>GARCIA DELGADO,JUAN MANUEL</t>
        </is>
      </c>
      <c r="C17" t="inlineStr">
        <is>
          <t>VALENCIA DELTA</t>
        </is>
      </c>
      <c r="D17" t="inlineStr">
        <is>
          <t>Hectáreas</t>
        </is>
      </c>
      <c r="E17" t="n">
        <v>8.970000000000001</v>
      </c>
      <c r="I17" t="inlineStr"/>
    </row>
    <row r="18">
      <c r="A18" t="n">
        <v>1072</v>
      </c>
      <c r="B18" t="inlineStr">
        <is>
          <t>GARCIA DELGADO,JUAN MANUEL</t>
        </is>
      </c>
      <c r="C18" t="inlineStr">
        <is>
          <t>VALENCIA DELTA</t>
        </is>
      </c>
      <c r="D18" t="inlineStr">
        <is>
          <t>Cuota teórica</t>
        </is>
      </c>
      <c r="E18" t="n">
        <v>1749.15</v>
      </c>
      <c r="I18" t="inlineStr"/>
    </row>
    <row r="19">
      <c r="A19" t="n">
        <v>1072</v>
      </c>
      <c r="B19" t="inlineStr">
        <is>
          <t>GARCIA DELGADO,JUAN MANUEL</t>
        </is>
      </c>
      <c r="C19" t="inlineStr">
        <is>
          <t>VALENCIA DELTA</t>
        </is>
      </c>
      <c r="D19" t="inlineStr">
        <is>
          <t>Kg campaña</t>
        </is>
      </c>
      <c r="E19" t="n">
        <v>117422</v>
      </c>
      <c r="I19" t="inlineStr"/>
    </row>
    <row r="20">
      <c r="A20" t="n">
        <v>1072</v>
      </c>
      <c r="B20" t="inlineStr">
        <is>
          <t>GARCIA DELGADO,JUAN MANUEL</t>
        </is>
      </c>
      <c r="C20" t="inlineStr">
        <is>
          <t>VALENCIA DELTA</t>
        </is>
      </c>
      <c r="D20" t="inlineStr">
        <is>
          <t>Índice</t>
        </is>
      </c>
      <c r="E20" t="n">
        <v>0.01489627156750864</v>
      </c>
      <c r="I20" t="inlineStr"/>
    </row>
    <row r="21">
      <c r="A21" t="n">
        <v>1072</v>
      </c>
      <c r="B21" t="inlineStr">
        <is>
          <t>GARCIA DELGADO,JUAN MANUEL</t>
        </is>
      </c>
      <c r="C21" t="inlineStr">
        <is>
          <t>VALENCIA DELTA</t>
        </is>
      </c>
      <c r="D21" t="inlineStr">
        <is>
          <t>Kg remesa</t>
        </is>
      </c>
      <c r="E21" t="n">
        <v>103842</v>
      </c>
      <c r="I21" t="inlineStr"/>
    </row>
    <row r="22">
      <c r="A22" t="n">
        <v>1072</v>
      </c>
      <c r="B22" t="inlineStr">
        <is>
          <t>GARCIA DELGADO,JUAN MANUEL</t>
        </is>
      </c>
      <c r="C22" t="inlineStr">
        <is>
          <t>VALENCIA DELTA</t>
        </is>
      </c>
      <c r="D22" t="inlineStr">
        <is>
          <t>Cuota parcial</t>
        </is>
      </c>
      <c r="E22" t="n">
        <v>1546.86</v>
      </c>
      <c r="I22" t="inlineStr"/>
    </row>
    <row r="23">
      <c r="A23" t="n">
        <v>1072</v>
      </c>
      <c r="B23" t="inlineStr">
        <is>
          <t>GARCIA DELGADO,JUAN MANUEL</t>
        </is>
      </c>
      <c r="C23" t="inlineStr">
        <is>
          <t>VALENCIA DELTA</t>
        </is>
      </c>
      <c r="D23" t="inlineStr">
        <is>
          <t>Importe bruto</t>
        </is>
      </c>
      <c r="E23" t="n">
        <v>38912.19</v>
      </c>
      <c r="I23" t="inlineStr"/>
    </row>
    <row r="24">
      <c r="A24" t="n">
        <v>1072</v>
      </c>
      <c r="B24" t="inlineStr">
        <is>
          <t>GARCIA DELGADO,JUAN MANUEL</t>
        </is>
      </c>
      <c r="C24" t="inlineStr">
        <is>
          <t>VALENCIA DELTA</t>
        </is>
      </c>
      <c r="D24" t="inlineStr">
        <is>
          <t>Recolección</t>
        </is>
      </c>
      <c r="E24" t="n">
        <v>7476.64</v>
      </c>
      <c r="I24" t="inlineStr"/>
    </row>
    <row r="25">
      <c r="A25" t="n">
        <v>1072</v>
      </c>
      <c r="B25" t="inlineStr">
        <is>
          <t>GARCIA DELGADO,JUAN MANUEL</t>
        </is>
      </c>
      <c r="C25" t="inlineStr">
        <is>
          <t>VALENCIA DELTA</t>
        </is>
      </c>
      <c r="D25" t="inlineStr">
        <is>
          <t>Transporte</t>
        </is>
      </c>
      <c r="E25" t="n">
        <v>0</v>
      </c>
      <c r="I25" t="inlineStr"/>
    </row>
    <row r="26">
      <c r="A26" t="n">
        <v>1072</v>
      </c>
      <c r="B26" t="inlineStr">
        <is>
          <t>GARCIA DELGADO,JUAN MANUEL</t>
        </is>
      </c>
      <c r="C26" t="inlineStr">
        <is>
          <t>VALENCIA DELTA</t>
        </is>
      </c>
      <c r="D26" t="inlineStr">
        <is>
          <t>Calidad</t>
        </is>
      </c>
      <c r="E26" t="n">
        <v>0</v>
      </c>
      <c r="I26" t="inlineStr"/>
    </row>
    <row r="27">
      <c r="A27" t="n">
        <v>1072</v>
      </c>
      <c r="B27" t="inlineStr">
        <is>
          <t>GARCIA DELGADO,JUAN MANUEL</t>
        </is>
      </c>
      <c r="C27" t="inlineStr">
        <is>
          <t>VALENCIA DELTA</t>
        </is>
      </c>
      <c r="D27" t="inlineStr">
        <is>
          <t>GlobalGAP</t>
        </is>
      </c>
      <c r="E27" t="n">
        <v>0</v>
      </c>
      <c r="I27" t="inlineStr"/>
    </row>
    <row r="28">
      <c r="A28" t="n">
        <v>1072</v>
      </c>
      <c r="B28" t="inlineStr">
        <is>
          <t>GARCIA DELGADO,JUAN MANUEL</t>
        </is>
      </c>
      <c r="C28" t="inlineStr">
        <is>
          <t>VALENCIA DELTA</t>
        </is>
      </c>
      <c r="D28" t="inlineStr">
        <is>
          <t>Base imponible</t>
        </is>
      </c>
      <c r="E28" t="n">
        <v>29888.69</v>
      </c>
      <c r="I28" t="inlineStr"/>
    </row>
    <row r="29">
      <c r="A29" t="n">
        <v>1072</v>
      </c>
      <c r="B29" t="inlineStr">
        <is>
          <t>GARCIA DELGADO,JUAN MANUEL</t>
        </is>
      </c>
      <c r="C29" t="inlineStr">
        <is>
          <t>VALENCIA DELTA</t>
        </is>
      </c>
      <c r="D29" t="inlineStr">
        <is>
          <t>IVA</t>
        </is>
      </c>
      <c r="E29" t="n">
        <v>3586.64</v>
      </c>
      <c r="I29" t="inlineStr"/>
    </row>
    <row r="30">
      <c r="A30" t="n">
        <v>1072</v>
      </c>
      <c r="B30" t="inlineStr">
        <is>
          <t>GARCIA DELGADO,JUAN MANUEL</t>
        </is>
      </c>
      <c r="C30" t="inlineStr">
        <is>
          <t>VALENCIA DELTA</t>
        </is>
      </c>
      <c r="D30" t="inlineStr">
        <is>
          <t>Retención</t>
        </is>
      </c>
      <c r="E30" t="n">
        <v>669.51</v>
      </c>
      <c r="I30" t="inlineStr"/>
    </row>
    <row r="31">
      <c r="A31" t="n">
        <v>1072</v>
      </c>
      <c r="B31" t="inlineStr">
        <is>
          <t>GARCIA DELGADO,JUAN MANUEL</t>
        </is>
      </c>
      <c r="C31" t="inlineStr">
        <is>
          <t>VALENCIA DELTA</t>
        </is>
      </c>
      <c r="D31" t="inlineStr">
        <is>
          <t>Total</t>
        </is>
      </c>
      <c r="E31" t="n">
        <v>32805.83</v>
      </c>
      <c r="I31" t="inlineStr"/>
    </row>
    <row r="32">
      <c r="A32" t="n">
        <v>1426</v>
      </c>
      <c r="B32" t="inlineStr">
        <is>
          <t>MONTERO MERAT,JUAN MANUEL</t>
        </is>
      </c>
      <c r="C32" t="inlineStr">
        <is>
          <t>VALENCIA DELTA</t>
        </is>
      </c>
      <c r="D32" t="inlineStr">
        <is>
          <t>Hectáreas</t>
        </is>
      </c>
      <c r="E32" t="n">
        <v>1.43</v>
      </c>
      <c r="I32" t="inlineStr"/>
    </row>
    <row r="33">
      <c r="A33" t="n">
        <v>1426</v>
      </c>
      <c r="B33" t="inlineStr">
        <is>
          <t>MONTERO MERAT,JUAN MANUEL</t>
        </is>
      </c>
      <c r="C33" t="inlineStr">
        <is>
          <t>VALENCIA DELTA</t>
        </is>
      </c>
      <c r="D33" t="inlineStr">
        <is>
          <t>Cuota teórica</t>
        </is>
      </c>
      <c r="E33" t="n">
        <v>278.85</v>
      </c>
      <c r="I33" t="inlineStr"/>
    </row>
    <row r="34">
      <c r="A34" t="n">
        <v>1426</v>
      </c>
      <c r="B34" t="inlineStr">
        <is>
          <t>MONTERO MERAT,JUAN MANUEL</t>
        </is>
      </c>
      <c r="C34" t="inlineStr">
        <is>
          <t>VALENCIA DELTA</t>
        </is>
      </c>
      <c r="D34" t="inlineStr">
        <is>
          <t>Kg campaña</t>
        </is>
      </c>
      <c r="E34" t="n">
        <v>43456</v>
      </c>
      <c r="I34" t="inlineStr"/>
    </row>
    <row r="35">
      <c r="A35" t="n">
        <v>1426</v>
      </c>
      <c r="B35" t="inlineStr">
        <is>
          <t>MONTERO MERAT,JUAN MANUEL</t>
        </is>
      </c>
      <c r="C35" t="inlineStr">
        <is>
          <t>VALENCIA DELTA</t>
        </is>
      </c>
      <c r="D35" t="inlineStr">
        <is>
          <t>Índice</t>
        </is>
      </c>
      <c r="E35" t="n">
        <v>0.006416835419734904</v>
      </c>
      <c r="I35" t="inlineStr"/>
    </row>
    <row r="36">
      <c r="A36" t="n">
        <v>1426</v>
      </c>
      <c r="B36" t="inlineStr">
        <is>
          <t>MONTERO MERAT,JUAN MANUEL</t>
        </is>
      </c>
      <c r="C36" t="inlineStr">
        <is>
          <t>VALENCIA DELTA</t>
        </is>
      </c>
      <c r="D36" t="inlineStr">
        <is>
          <t>Kg remesa</t>
        </is>
      </c>
      <c r="E36" t="n">
        <v>41864</v>
      </c>
      <c r="I36" t="inlineStr"/>
    </row>
    <row r="37">
      <c r="A37" t="n">
        <v>1426</v>
      </c>
      <c r="B37" t="inlineStr">
        <is>
          <t>MONTERO MERAT,JUAN MANUEL</t>
        </is>
      </c>
      <c r="C37" t="inlineStr">
        <is>
          <t>VALENCIA DELTA</t>
        </is>
      </c>
      <c r="D37" t="inlineStr">
        <is>
          <t>Cuota parcial</t>
        </is>
      </c>
      <c r="E37" t="n">
        <v>268.63</v>
      </c>
      <c r="I37" t="inlineStr"/>
    </row>
    <row r="38">
      <c r="A38" t="n">
        <v>1426</v>
      </c>
      <c r="B38" t="inlineStr">
        <is>
          <t>MONTERO MERAT,JUAN MANUEL</t>
        </is>
      </c>
      <c r="C38" t="inlineStr">
        <is>
          <t>VALENCIA DELTA</t>
        </is>
      </c>
      <c r="D38" t="inlineStr">
        <is>
          <t>Importe bruto</t>
        </is>
      </c>
      <c r="E38" t="n">
        <v>15440.26</v>
      </c>
      <c r="I38" t="inlineStr"/>
    </row>
    <row r="39">
      <c r="A39" t="n">
        <v>1426</v>
      </c>
      <c r="B39" t="inlineStr">
        <is>
          <t>MONTERO MERAT,JUAN MANUEL</t>
        </is>
      </c>
      <c r="C39" t="inlineStr">
        <is>
          <t>VALENCIA DELTA</t>
        </is>
      </c>
      <c r="D39" t="inlineStr">
        <is>
          <t>Recolección</t>
        </is>
      </c>
      <c r="E39" t="n">
        <v>3014.21</v>
      </c>
      <c r="I39" t="inlineStr"/>
    </row>
    <row r="40">
      <c r="A40" t="n">
        <v>1426</v>
      </c>
      <c r="B40" t="inlineStr">
        <is>
          <t>MONTERO MERAT,JUAN MANUEL</t>
        </is>
      </c>
      <c r="C40" t="inlineStr">
        <is>
          <t>VALENCIA DELTA</t>
        </is>
      </c>
      <c r="D40" t="inlineStr">
        <is>
          <t>Transporte</t>
        </is>
      </c>
      <c r="E40" t="n">
        <v>0</v>
      </c>
      <c r="I40" t="inlineStr"/>
    </row>
    <row r="41">
      <c r="A41" t="n">
        <v>1426</v>
      </c>
      <c r="B41" t="inlineStr">
        <is>
          <t>MONTERO MERAT,JUAN MANUEL</t>
        </is>
      </c>
      <c r="C41" t="inlineStr">
        <is>
          <t>VALENCIA DELTA</t>
        </is>
      </c>
      <c r="D41" t="inlineStr">
        <is>
          <t>Calidad</t>
        </is>
      </c>
      <c r="E41" t="n">
        <v>0</v>
      </c>
      <c r="I41" t="inlineStr"/>
    </row>
    <row r="42">
      <c r="A42" t="n">
        <v>1426</v>
      </c>
      <c r="B42" t="inlineStr">
        <is>
          <t>MONTERO MERAT,JUAN MANUEL</t>
        </is>
      </c>
      <c r="C42" t="inlineStr">
        <is>
          <t>VALENCIA DELTA</t>
        </is>
      </c>
      <c r="D42" t="inlineStr">
        <is>
          <t>GlobalGAP</t>
        </is>
      </c>
      <c r="E42" t="n">
        <v>0</v>
      </c>
      <c r="I42" t="inlineStr"/>
    </row>
    <row r="43">
      <c r="A43" t="n">
        <v>1426</v>
      </c>
      <c r="B43" t="inlineStr">
        <is>
          <t>MONTERO MERAT,JUAN MANUEL</t>
        </is>
      </c>
      <c r="C43" t="inlineStr">
        <is>
          <t>VALENCIA DELTA</t>
        </is>
      </c>
      <c r="D43" t="inlineStr">
        <is>
          <t>Base imponible</t>
        </is>
      </c>
      <c r="E43" t="n">
        <v>12157.42</v>
      </c>
      <c r="I43" t="inlineStr"/>
    </row>
    <row r="44">
      <c r="A44" t="n">
        <v>1426</v>
      </c>
      <c r="B44" t="inlineStr">
        <is>
          <t>MONTERO MERAT,JUAN MANUEL</t>
        </is>
      </c>
      <c r="C44" t="inlineStr">
        <is>
          <t>VALENCIA DELTA</t>
        </is>
      </c>
      <c r="D44" t="inlineStr">
        <is>
          <t>IVA</t>
        </is>
      </c>
      <c r="E44" t="n">
        <v>1458.89</v>
      </c>
      <c r="I44" t="inlineStr"/>
    </row>
    <row r="45">
      <c r="A45" t="n">
        <v>1426</v>
      </c>
      <c r="B45" t="inlineStr">
        <is>
          <t>MONTERO MERAT,JUAN MANUEL</t>
        </is>
      </c>
      <c r="C45" t="inlineStr">
        <is>
          <t>VALENCIA DELTA</t>
        </is>
      </c>
      <c r="D45" t="inlineStr">
        <is>
          <t>Retención</t>
        </is>
      </c>
      <c r="E45" t="n">
        <v>272.33</v>
      </c>
      <c r="I45" t="inlineStr"/>
    </row>
    <row r="46">
      <c r="A46" t="n">
        <v>1426</v>
      </c>
      <c r="B46" t="inlineStr">
        <is>
          <t>MONTERO MERAT,JUAN MANUEL</t>
        </is>
      </c>
      <c r="C46" t="inlineStr">
        <is>
          <t>VALENCIA DELTA</t>
        </is>
      </c>
      <c r="D46" t="inlineStr">
        <is>
          <t>Total</t>
        </is>
      </c>
      <c r="E46" t="n">
        <v>13343.98</v>
      </c>
      <c r="I46" t="inlineStr"/>
    </row>
    <row r="47">
      <c r="A47" t="n">
        <v>1491</v>
      </c>
      <c r="B47" t="inlineStr">
        <is>
          <t>JIMENEZ LORENTE,SONIA</t>
        </is>
      </c>
      <c r="C47" t="inlineStr">
        <is>
          <t>VALENCIA DELTA</t>
        </is>
      </c>
      <c r="D47" t="inlineStr">
        <is>
          <t>Hectáreas</t>
        </is>
      </c>
      <c r="E47" t="n">
        <v>7.94</v>
      </c>
      <c r="I47" t="inlineStr"/>
    </row>
    <row r="48">
      <c r="A48" t="n">
        <v>1491</v>
      </c>
      <c r="B48" t="inlineStr">
        <is>
          <t>JIMENEZ LORENTE,SONIA</t>
        </is>
      </c>
      <c r="C48" t="inlineStr">
        <is>
          <t>VALENCIA DELTA</t>
        </is>
      </c>
      <c r="D48" t="inlineStr">
        <is>
          <t>Cuota teórica</t>
        </is>
      </c>
      <c r="E48" t="n">
        <v>1548.3</v>
      </c>
      <c r="I48" t="inlineStr"/>
    </row>
    <row r="49">
      <c r="A49" t="n">
        <v>1491</v>
      </c>
      <c r="B49" t="inlineStr">
        <is>
          <t>JIMENEZ LORENTE,SONIA</t>
        </is>
      </c>
      <c r="C49" t="inlineStr">
        <is>
          <t>VALENCIA DELTA</t>
        </is>
      </c>
      <c r="D49" t="inlineStr">
        <is>
          <t>Kg campaña</t>
        </is>
      </c>
      <c r="E49" t="n">
        <v>241057</v>
      </c>
      <c r="I49" t="inlineStr"/>
    </row>
    <row r="50">
      <c r="A50" t="n">
        <v>1491</v>
      </c>
      <c r="B50" t="inlineStr">
        <is>
          <t>JIMENEZ LORENTE,SONIA</t>
        </is>
      </c>
      <c r="C50" t="inlineStr">
        <is>
          <t>VALENCIA DELTA</t>
        </is>
      </c>
      <c r="D50" t="inlineStr">
        <is>
          <t>Índice</t>
        </is>
      </c>
      <c r="E50" t="n">
        <v>0.006422962203960059</v>
      </c>
      <c r="I50" t="inlineStr"/>
    </row>
    <row r="51">
      <c r="A51" t="n">
        <v>1491</v>
      </c>
      <c r="B51" t="inlineStr">
        <is>
          <t>JIMENEZ LORENTE,SONIA</t>
        </is>
      </c>
      <c r="C51" t="inlineStr">
        <is>
          <t>VALENCIA DELTA</t>
        </is>
      </c>
      <c r="D51" t="inlineStr">
        <is>
          <t>Kg remesa</t>
        </is>
      </c>
      <c r="E51" t="n">
        <v>30223</v>
      </c>
      <c r="I51" t="inlineStr"/>
    </row>
    <row r="52">
      <c r="A52" t="n">
        <v>1491</v>
      </c>
      <c r="B52" t="inlineStr">
        <is>
          <t>JIMENEZ LORENTE,SONIA</t>
        </is>
      </c>
      <c r="C52" t="inlineStr">
        <is>
          <t>VALENCIA DELTA</t>
        </is>
      </c>
      <c r="D52" t="inlineStr">
        <is>
          <t>Cuota parcial</t>
        </is>
      </c>
      <c r="E52" t="n">
        <v>194.12</v>
      </c>
      <c r="I52" t="inlineStr"/>
    </row>
    <row r="53">
      <c r="A53" t="n">
        <v>1491</v>
      </c>
      <c r="B53" t="inlineStr">
        <is>
          <t>JIMENEZ LORENTE,SONIA</t>
        </is>
      </c>
      <c r="C53" t="inlineStr">
        <is>
          <t>VALENCIA DELTA</t>
        </is>
      </c>
      <c r="D53" t="inlineStr">
        <is>
          <t>Importe bruto</t>
        </is>
      </c>
      <c r="E53" t="n">
        <v>12011.2</v>
      </c>
      <c r="I53" t="inlineStr"/>
    </row>
    <row r="54">
      <c r="A54" t="n">
        <v>1491</v>
      </c>
      <c r="B54" t="inlineStr">
        <is>
          <t>JIMENEZ LORENTE,SONIA</t>
        </is>
      </c>
      <c r="C54" t="inlineStr">
        <is>
          <t>VALENCIA DELTA</t>
        </is>
      </c>
      <c r="D54" t="inlineStr">
        <is>
          <t>Recolección</t>
        </is>
      </c>
      <c r="E54" t="n">
        <v>2176.06</v>
      </c>
      <c r="I54" t="inlineStr"/>
    </row>
    <row r="55">
      <c r="A55" t="n">
        <v>1491</v>
      </c>
      <c r="B55" t="inlineStr">
        <is>
          <t>JIMENEZ LORENTE,SONIA</t>
        </is>
      </c>
      <c r="C55" t="inlineStr">
        <is>
          <t>VALENCIA DELTA</t>
        </is>
      </c>
      <c r="D55" t="inlineStr">
        <is>
          <t>Transporte</t>
        </is>
      </c>
      <c r="E55" t="n">
        <v>0</v>
      </c>
      <c r="I55" t="inlineStr"/>
    </row>
    <row r="56">
      <c r="A56" t="n">
        <v>1491</v>
      </c>
      <c r="B56" t="inlineStr">
        <is>
          <t>JIMENEZ LORENTE,SONIA</t>
        </is>
      </c>
      <c r="C56" t="inlineStr">
        <is>
          <t>VALENCIA DELTA</t>
        </is>
      </c>
      <c r="D56" t="inlineStr">
        <is>
          <t>Calidad</t>
        </is>
      </c>
      <c r="E56" t="n">
        <v>0</v>
      </c>
      <c r="I56" t="inlineStr"/>
    </row>
    <row r="57">
      <c r="A57" t="n">
        <v>1491</v>
      </c>
      <c r="B57" t="inlineStr">
        <is>
          <t>JIMENEZ LORENTE,SONIA</t>
        </is>
      </c>
      <c r="C57" t="inlineStr">
        <is>
          <t>VALENCIA DELTA</t>
        </is>
      </c>
      <c r="D57" t="inlineStr">
        <is>
          <t>GlobalGAP</t>
        </is>
      </c>
      <c r="E57" t="n">
        <v>471.74</v>
      </c>
      <c r="I57" t="inlineStr"/>
    </row>
    <row r="58">
      <c r="A58" t="n">
        <v>1491</v>
      </c>
      <c r="B58" t="inlineStr">
        <is>
          <t>JIMENEZ LORENTE,SONIA</t>
        </is>
      </c>
      <c r="C58" t="inlineStr">
        <is>
          <t>VALENCIA DELTA</t>
        </is>
      </c>
      <c r="D58" t="inlineStr">
        <is>
          <t>Base imponible</t>
        </is>
      </c>
      <c r="E58" t="n">
        <v>10112.76</v>
      </c>
      <c r="I58" t="inlineStr"/>
    </row>
    <row r="59">
      <c r="A59" t="n">
        <v>1491</v>
      </c>
      <c r="B59" t="inlineStr">
        <is>
          <t>JIMENEZ LORENTE,SONIA</t>
        </is>
      </c>
      <c r="C59" t="inlineStr">
        <is>
          <t>VALENCIA DELTA</t>
        </is>
      </c>
      <c r="D59" t="inlineStr">
        <is>
          <t>IVA</t>
        </is>
      </c>
      <c r="E59" t="n">
        <v>1213.53</v>
      </c>
      <c r="I59" t="inlineStr"/>
    </row>
    <row r="60">
      <c r="A60" t="n">
        <v>1491</v>
      </c>
      <c r="B60" t="inlineStr">
        <is>
          <t>JIMENEZ LORENTE,SONIA</t>
        </is>
      </c>
      <c r="C60" t="inlineStr">
        <is>
          <t>VALENCIA DELTA</t>
        </is>
      </c>
      <c r="D60" t="inlineStr">
        <is>
          <t>Retención</t>
        </is>
      </c>
      <c r="E60" t="n">
        <v>226.53</v>
      </c>
      <c r="I60" t="inlineStr"/>
    </row>
    <row r="61">
      <c r="A61" t="n">
        <v>1491</v>
      </c>
      <c r="B61" t="inlineStr">
        <is>
          <t>JIMENEZ LORENTE,SONIA</t>
        </is>
      </c>
      <c r="C61" t="inlineStr">
        <is>
          <t>VALENCIA DELTA</t>
        </is>
      </c>
      <c r="D61" t="inlineStr">
        <is>
          <t>Total</t>
        </is>
      </c>
      <c r="E61" t="n">
        <v>11099.77</v>
      </c>
      <c r="I61" t="inlineStr"/>
    </row>
    <row r="62">
      <c r="A62" t="n">
        <v>1528</v>
      </c>
      <c r="B62" t="inlineStr">
        <is>
          <t>RAMOS BRUGAROLAS, IGNACIO</t>
        </is>
      </c>
      <c r="C62" t="inlineStr">
        <is>
          <t>VALENCIA LATE</t>
        </is>
      </c>
      <c r="D62" t="inlineStr">
        <is>
          <t>Hectáreas</t>
        </is>
      </c>
      <c r="E62" t="n">
        <v>21.34</v>
      </c>
      <c r="I62" t="inlineStr"/>
    </row>
    <row r="63">
      <c r="A63" t="n">
        <v>1528</v>
      </c>
      <c r="B63" t="inlineStr">
        <is>
          <t>RAMOS BRUGAROLAS, IGNACIO</t>
        </is>
      </c>
      <c r="C63" t="inlineStr">
        <is>
          <t>VALENCIA LATE</t>
        </is>
      </c>
      <c r="D63" t="inlineStr">
        <is>
          <t>Cuota teórica</t>
        </is>
      </c>
      <c r="E63" t="n">
        <v>4161.3</v>
      </c>
      <c r="I63" t="inlineStr"/>
    </row>
    <row r="64">
      <c r="A64" t="n">
        <v>1528</v>
      </c>
      <c r="B64" t="inlineStr">
        <is>
          <t>RAMOS BRUGAROLAS, IGNACIO</t>
        </is>
      </c>
      <c r="C64" t="inlineStr">
        <is>
          <t>VALENCIA LATE</t>
        </is>
      </c>
      <c r="D64" t="inlineStr">
        <is>
          <t>Kg campaña</t>
        </is>
      </c>
      <c r="E64" t="n">
        <v>494783</v>
      </c>
      <c r="I64" t="inlineStr"/>
    </row>
    <row r="65">
      <c r="A65" t="n">
        <v>1528</v>
      </c>
      <c r="B65" t="inlineStr">
        <is>
          <t>RAMOS BRUGAROLAS, IGNACIO</t>
        </is>
      </c>
      <c r="C65" t="inlineStr">
        <is>
          <t>VALENCIA LATE</t>
        </is>
      </c>
      <c r="D65" t="inlineStr">
        <is>
          <t>Índice</t>
        </is>
      </c>
      <c r="E65" t="n">
        <v>0.008410353629773052</v>
      </c>
      <c r="I65" t="inlineStr"/>
    </row>
    <row r="66">
      <c r="A66" t="n">
        <v>1528</v>
      </c>
      <c r="B66" t="inlineStr">
        <is>
          <t>RAMOS BRUGAROLAS, IGNACIO</t>
        </is>
      </c>
      <c r="C66" t="inlineStr">
        <is>
          <t>VALENCIA LATE</t>
        </is>
      </c>
      <c r="D66" t="inlineStr">
        <is>
          <t>Kg remesa</t>
        </is>
      </c>
      <c r="E66" t="n">
        <v>222487</v>
      </c>
      <c r="I66" t="inlineStr"/>
    </row>
    <row r="67">
      <c r="A67" t="n">
        <v>1528</v>
      </c>
      <c r="B67" t="inlineStr">
        <is>
          <t>RAMOS BRUGAROLAS, IGNACIO</t>
        </is>
      </c>
      <c r="C67" t="inlineStr">
        <is>
          <t>VALENCIA LATE</t>
        </is>
      </c>
      <c r="D67" t="inlineStr">
        <is>
          <t>Cuota parcial</t>
        </is>
      </c>
      <c r="E67" t="n">
        <v>1871.19</v>
      </c>
      <c r="I67" t="inlineStr"/>
    </row>
    <row r="68">
      <c r="A68" t="n">
        <v>1528</v>
      </c>
      <c r="B68" t="inlineStr">
        <is>
          <t>RAMOS BRUGAROLAS, IGNACIO</t>
        </is>
      </c>
      <c r="C68" t="inlineStr">
        <is>
          <t>VALENCIA LATE</t>
        </is>
      </c>
      <c r="D68" t="inlineStr">
        <is>
          <t>Importe bruto</t>
        </is>
      </c>
      <c r="E68" t="n">
        <v>86642.3</v>
      </c>
      <c r="I68" t="inlineStr"/>
    </row>
    <row r="69">
      <c r="A69" t="n">
        <v>1528</v>
      </c>
      <c r="B69" t="inlineStr">
        <is>
          <t>RAMOS BRUGAROLAS, IGNACIO</t>
        </is>
      </c>
      <c r="C69" t="inlineStr">
        <is>
          <t>VALENCIA LATE</t>
        </is>
      </c>
      <c r="D69" t="inlineStr">
        <is>
          <t>Recolección</t>
        </is>
      </c>
      <c r="E69" t="n">
        <v>17344.27</v>
      </c>
      <c r="I69" t="inlineStr"/>
    </row>
    <row r="70">
      <c r="A70" t="n">
        <v>1528</v>
      </c>
      <c r="B70" t="inlineStr">
        <is>
          <t>RAMOS BRUGAROLAS, IGNACIO</t>
        </is>
      </c>
      <c r="C70" t="inlineStr">
        <is>
          <t>VALENCIA LATE</t>
        </is>
      </c>
      <c r="D70" t="inlineStr">
        <is>
          <t>Transporte</t>
        </is>
      </c>
      <c r="E70" t="n">
        <v>0</v>
      </c>
      <c r="I70" t="inlineStr"/>
    </row>
    <row r="71">
      <c r="A71" t="n">
        <v>1528</v>
      </c>
      <c r="B71" t="inlineStr">
        <is>
          <t>RAMOS BRUGAROLAS, IGNACIO</t>
        </is>
      </c>
      <c r="C71" t="inlineStr">
        <is>
          <t>VALENCIA LATE</t>
        </is>
      </c>
      <c r="D71" t="inlineStr">
        <is>
          <t>Calidad</t>
        </is>
      </c>
      <c r="E71" t="n">
        <v>0</v>
      </c>
      <c r="I71" t="inlineStr"/>
    </row>
    <row r="72">
      <c r="A72" t="n">
        <v>1528</v>
      </c>
      <c r="B72" t="inlineStr">
        <is>
          <t>RAMOS BRUGAROLAS, IGNACIO</t>
        </is>
      </c>
      <c r="C72" t="inlineStr">
        <is>
          <t>VALENCIA LATE</t>
        </is>
      </c>
      <c r="D72" t="inlineStr">
        <is>
          <t>GlobalGAP</t>
        </is>
      </c>
      <c r="E72" t="n">
        <v>0</v>
      </c>
      <c r="I72" t="inlineStr"/>
    </row>
    <row r="73">
      <c r="A73" t="n">
        <v>1528</v>
      </c>
      <c r="B73" t="inlineStr">
        <is>
          <t>RAMOS BRUGAROLAS, IGNACIO</t>
        </is>
      </c>
      <c r="C73" t="inlineStr">
        <is>
          <t>VALENCIA LATE</t>
        </is>
      </c>
      <c r="D73" t="inlineStr">
        <is>
          <t>Base imponible</t>
        </is>
      </c>
      <c r="E73" t="n">
        <v>67426.84</v>
      </c>
      <c r="I73" t="inlineStr"/>
    </row>
    <row r="74">
      <c r="A74" t="n">
        <v>1528</v>
      </c>
      <c r="B74" t="inlineStr">
        <is>
          <t>RAMOS BRUGAROLAS, IGNACIO</t>
        </is>
      </c>
      <c r="C74" t="inlineStr">
        <is>
          <t>VALENCIA LATE</t>
        </is>
      </c>
      <c r="D74" t="inlineStr">
        <is>
          <t>IVA</t>
        </is>
      </c>
      <c r="E74" t="n">
        <v>8091.22</v>
      </c>
      <c r="I74" t="inlineStr"/>
    </row>
    <row r="75">
      <c r="A75" t="n">
        <v>1528</v>
      </c>
      <c r="B75" t="inlineStr">
        <is>
          <t>RAMOS BRUGAROLAS, IGNACIO</t>
        </is>
      </c>
      <c r="C75" t="inlineStr">
        <is>
          <t>VALENCIA LATE</t>
        </is>
      </c>
      <c r="D75" t="inlineStr">
        <is>
          <t>Retención</t>
        </is>
      </c>
      <c r="E75" t="n">
        <v>1510.36</v>
      </c>
      <c r="I75" t="inlineStr"/>
    </row>
    <row r="76">
      <c r="A76" t="n">
        <v>1528</v>
      </c>
      <c r="B76" t="inlineStr">
        <is>
          <t>RAMOS BRUGAROLAS, IGNACIO</t>
        </is>
      </c>
      <c r="C76" t="inlineStr">
        <is>
          <t>VALENCIA LATE</t>
        </is>
      </c>
      <c r="D76" t="inlineStr">
        <is>
          <t>Total</t>
        </is>
      </c>
      <c r="E76" t="n">
        <v>74007.7</v>
      </c>
      <c r="I76" t="inlineStr"/>
    </row>
    <row r="77">
      <c r="A77" t="n">
        <v>1534</v>
      </c>
      <c r="B77" t="inlineStr">
        <is>
          <t>RAMOS BRUGAROLAS, JOSE RAMON</t>
        </is>
      </c>
      <c r="C77" t="inlineStr">
        <is>
          <t>VALENCIA LATE</t>
        </is>
      </c>
      <c r="D77" t="inlineStr">
        <is>
          <t>Hectáreas</t>
        </is>
      </c>
      <c r="E77" t="n">
        <v>9.630000000000001</v>
      </c>
      <c r="I77" t="inlineStr"/>
    </row>
    <row r="78">
      <c r="A78" t="n">
        <v>1534</v>
      </c>
      <c r="B78" t="inlineStr">
        <is>
          <t>RAMOS BRUGAROLAS, JOSE RAMON</t>
        </is>
      </c>
      <c r="C78" t="inlineStr">
        <is>
          <t>VALENCIA LATE</t>
        </is>
      </c>
      <c r="D78" t="inlineStr">
        <is>
          <t>Cuota teórica</t>
        </is>
      </c>
      <c r="E78" t="n">
        <v>1877.85</v>
      </c>
      <c r="I78" t="inlineStr"/>
    </row>
    <row r="79">
      <c r="A79" t="n">
        <v>1534</v>
      </c>
      <c r="B79" t="inlineStr">
        <is>
          <t>RAMOS BRUGAROLAS, JOSE RAMON</t>
        </is>
      </c>
      <c r="C79" t="inlineStr">
        <is>
          <t>VALENCIA LATE</t>
        </is>
      </c>
      <c r="D79" t="inlineStr">
        <is>
          <t>Kg campaña</t>
        </is>
      </c>
      <c r="E79" t="n">
        <v>203867</v>
      </c>
      <c r="I79" t="inlineStr"/>
    </row>
    <row r="80">
      <c r="A80" t="n">
        <v>1534</v>
      </c>
      <c r="B80" t="inlineStr">
        <is>
          <t>RAMOS BRUGAROLAS, JOSE RAMON</t>
        </is>
      </c>
      <c r="C80" t="inlineStr">
        <is>
          <t>VALENCIA LATE</t>
        </is>
      </c>
      <c r="D80" t="inlineStr">
        <is>
          <t>Índice</t>
        </is>
      </c>
      <c r="E80" t="n">
        <v>0.009211152368946421</v>
      </c>
      <c r="I80" t="inlineStr"/>
    </row>
    <row r="81">
      <c r="A81" t="n">
        <v>1534</v>
      </c>
      <c r="B81" t="inlineStr">
        <is>
          <t>RAMOS BRUGAROLAS, JOSE RAMON</t>
        </is>
      </c>
      <c r="C81" t="inlineStr">
        <is>
          <t>VALENCIA LATE</t>
        </is>
      </c>
      <c r="D81" t="inlineStr">
        <is>
          <t>Kg remesa</t>
        </is>
      </c>
      <c r="E81" t="n">
        <v>108512</v>
      </c>
      <c r="I81" t="inlineStr"/>
    </row>
    <row r="82">
      <c r="A82" t="n">
        <v>1534</v>
      </c>
      <c r="B82" t="inlineStr">
        <is>
          <t>RAMOS BRUGAROLAS, JOSE RAMON</t>
        </is>
      </c>
      <c r="C82" t="inlineStr">
        <is>
          <t>VALENCIA LATE</t>
        </is>
      </c>
      <c r="D82" t="inlineStr">
        <is>
          <t>Cuota parcial</t>
        </is>
      </c>
      <c r="E82" t="n">
        <v>999.52</v>
      </c>
      <c r="I82" t="inlineStr"/>
    </row>
    <row r="83">
      <c r="A83" t="n">
        <v>1534</v>
      </c>
      <c r="B83" t="inlineStr">
        <is>
          <t>RAMOS BRUGAROLAS, JOSE RAMON</t>
        </is>
      </c>
      <c r="C83" t="inlineStr">
        <is>
          <t>VALENCIA LATE</t>
        </is>
      </c>
      <c r="D83" t="inlineStr">
        <is>
          <t>Importe bruto</t>
        </is>
      </c>
      <c r="E83" t="n">
        <v>43353.96</v>
      </c>
      <c r="I83" t="inlineStr"/>
    </row>
    <row r="84">
      <c r="A84" t="n">
        <v>1534</v>
      </c>
      <c r="B84" t="inlineStr">
        <is>
          <t>RAMOS BRUGAROLAS, JOSE RAMON</t>
        </is>
      </c>
      <c r="C84" t="inlineStr">
        <is>
          <t>VALENCIA LATE</t>
        </is>
      </c>
      <c r="D84" t="inlineStr">
        <is>
          <t>Recolección</t>
        </is>
      </c>
      <c r="E84" t="n">
        <v>7812.86</v>
      </c>
      <c r="I84" t="inlineStr"/>
    </row>
    <row r="85">
      <c r="A85" t="n">
        <v>1534</v>
      </c>
      <c r="B85" t="inlineStr">
        <is>
          <t>RAMOS BRUGAROLAS, JOSE RAMON</t>
        </is>
      </c>
      <c r="C85" t="inlineStr">
        <is>
          <t>VALENCIA LATE</t>
        </is>
      </c>
      <c r="D85" t="inlineStr">
        <is>
          <t>Transporte</t>
        </is>
      </c>
      <c r="E85" t="n">
        <v>0</v>
      </c>
      <c r="I85" t="inlineStr"/>
    </row>
    <row r="86">
      <c r="A86" t="n">
        <v>1534</v>
      </c>
      <c r="B86" t="inlineStr">
        <is>
          <t>RAMOS BRUGAROLAS, JOSE RAMON</t>
        </is>
      </c>
      <c r="C86" t="inlineStr">
        <is>
          <t>VALENCIA LATE</t>
        </is>
      </c>
      <c r="D86" t="inlineStr">
        <is>
          <t>Calidad</t>
        </is>
      </c>
      <c r="E86" t="n">
        <v>0</v>
      </c>
      <c r="I86" t="inlineStr"/>
    </row>
    <row r="87">
      <c r="A87" t="n">
        <v>1534</v>
      </c>
      <c r="B87" t="inlineStr">
        <is>
          <t>RAMOS BRUGAROLAS, JOSE RAMON</t>
        </is>
      </c>
      <c r="C87" t="inlineStr">
        <is>
          <t>VALENCIA LATE</t>
        </is>
      </c>
      <c r="D87" t="inlineStr">
        <is>
          <t>GlobalGAP</t>
        </is>
      </c>
      <c r="E87" t="n">
        <v>0</v>
      </c>
      <c r="I87" t="inlineStr"/>
    </row>
    <row r="88">
      <c r="A88" t="n">
        <v>1534</v>
      </c>
      <c r="B88" t="inlineStr">
        <is>
          <t>RAMOS BRUGAROLAS, JOSE RAMON</t>
        </is>
      </c>
      <c r="C88" t="inlineStr">
        <is>
          <t>VALENCIA LATE</t>
        </is>
      </c>
      <c r="D88" t="inlineStr">
        <is>
          <t>Base imponible</t>
        </is>
      </c>
      <c r="E88" t="n">
        <v>34541.58</v>
      </c>
      <c r="I88" t="inlineStr"/>
    </row>
    <row r="89">
      <c r="A89" t="n">
        <v>1534</v>
      </c>
      <c r="B89" t="inlineStr">
        <is>
          <t>RAMOS BRUGAROLAS, JOSE RAMON</t>
        </is>
      </c>
      <c r="C89" t="inlineStr">
        <is>
          <t>VALENCIA LATE</t>
        </is>
      </c>
      <c r="D89" t="inlineStr">
        <is>
          <t>IVA</t>
        </is>
      </c>
      <c r="E89" t="n">
        <v>4144.99</v>
      </c>
      <c r="I89" t="inlineStr"/>
    </row>
    <row r="90">
      <c r="A90" t="n">
        <v>1534</v>
      </c>
      <c r="B90" t="inlineStr">
        <is>
          <t>RAMOS BRUGAROLAS, JOSE RAMON</t>
        </is>
      </c>
      <c r="C90" t="inlineStr">
        <is>
          <t>VALENCIA LATE</t>
        </is>
      </c>
      <c r="D90" t="inlineStr">
        <is>
          <t>Retención</t>
        </is>
      </c>
      <c r="E90" t="n">
        <v>773.73</v>
      </c>
      <c r="I90" t="inlineStr"/>
    </row>
    <row r="91">
      <c r="A91" t="n">
        <v>1534</v>
      </c>
      <c r="B91" t="inlineStr">
        <is>
          <t>RAMOS BRUGAROLAS, JOSE RAMON</t>
        </is>
      </c>
      <c r="C91" t="inlineStr">
        <is>
          <t>VALENCIA LATE</t>
        </is>
      </c>
      <c r="D91" t="inlineStr">
        <is>
          <t>Total</t>
        </is>
      </c>
      <c r="E91" t="n">
        <v>37912.84</v>
      </c>
      <c r="I91" t="inlineStr"/>
    </row>
    <row r="92">
      <c r="A92" t="n">
        <v>1592</v>
      </c>
      <c r="B92" t="inlineStr">
        <is>
          <t>SANTIAGO ESCABIA, JUAN</t>
        </is>
      </c>
      <c r="C92" t="inlineStr">
        <is>
          <t>BARBERINA</t>
        </is>
      </c>
      <c r="D92" t="inlineStr">
        <is>
          <t>Hectáreas</t>
        </is>
      </c>
      <c r="E92" t="n">
        <v>4.2192</v>
      </c>
      <c r="I92" t="inlineStr"/>
    </row>
    <row r="93">
      <c r="A93" t="n">
        <v>1592</v>
      </c>
      <c r="B93" t="inlineStr">
        <is>
          <t>SANTIAGO ESCABIA, JUAN</t>
        </is>
      </c>
      <c r="C93" t="inlineStr">
        <is>
          <t>BARBERINA</t>
        </is>
      </c>
      <c r="D93" t="inlineStr">
        <is>
          <t>Cuota teórica</t>
        </is>
      </c>
      <c r="E93" t="n">
        <v>822.74</v>
      </c>
      <c r="I93" t="inlineStr"/>
    </row>
    <row r="94">
      <c r="A94" t="n">
        <v>1592</v>
      </c>
      <c r="B94" t="inlineStr">
        <is>
          <t>SANTIAGO ESCABIA, JUAN</t>
        </is>
      </c>
      <c r="C94" t="inlineStr">
        <is>
          <t>BARBERINA</t>
        </is>
      </c>
      <c r="D94" t="inlineStr">
        <is>
          <t>Kg campaña</t>
        </is>
      </c>
      <c r="E94" t="n">
        <v>57670</v>
      </c>
      <c r="I94" t="inlineStr"/>
    </row>
    <row r="95">
      <c r="A95" t="n">
        <v>1592</v>
      </c>
      <c r="B95" t="inlineStr">
        <is>
          <t>SANTIAGO ESCABIA, JUAN</t>
        </is>
      </c>
      <c r="C95" t="inlineStr">
        <is>
          <t>BARBERINA</t>
        </is>
      </c>
      <c r="D95" t="inlineStr">
        <is>
          <t>Índice</t>
        </is>
      </c>
      <c r="E95" t="n">
        <v>0.01426634298595457</v>
      </c>
      <c r="I95" t="inlineStr"/>
    </row>
    <row r="96">
      <c r="A96" t="n">
        <v>1592</v>
      </c>
      <c r="B96" t="inlineStr">
        <is>
          <t>SANTIAGO ESCABIA, JUAN</t>
        </is>
      </c>
      <c r="C96" t="inlineStr">
        <is>
          <t>BARBERINA</t>
        </is>
      </c>
      <c r="D96" t="inlineStr">
        <is>
          <t>Kg remesa</t>
        </is>
      </c>
      <c r="E96" t="n">
        <v>50210</v>
      </c>
      <c r="I96" t="inlineStr"/>
    </row>
    <row r="97">
      <c r="A97" t="n">
        <v>1592</v>
      </c>
      <c r="B97" t="inlineStr">
        <is>
          <t>SANTIAGO ESCABIA, JUAN</t>
        </is>
      </c>
      <c r="C97" t="inlineStr">
        <is>
          <t>BARBERINA</t>
        </is>
      </c>
      <c r="D97" t="inlineStr">
        <is>
          <t>Cuota parcial</t>
        </is>
      </c>
      <c r="E97" t="n">
        <v>716.3099999999999</v>
      </c>
      <c r="I97" t="inlineStr"/>
    </row>
    <row r="98">
      <c r="A98" t="n">
        <v>1592</v>
      </c>
      <c r="B98" t="inlineStr">
        <is>
          <t>SANTIAGO ESCABIA, JUAN</t>
        </is>
      </c>
      <c r="C98" t="inlineStr">
        <is>
          <t>BARBERINA</t>
        </is>
      </c>
      <c r="D98" t="inlineStr">
        <is>
          <t>Importe bruto</t>
        </is>
      </c>
      <c r="E98" t="n">
        <v>20165.77</v>
      </c>
      <c r="I98" t="inlineStr"/>
    </row>
    <row r="99">
      <c r="A99" t="n">
        <v>1592</v>
      </c>
      <c r="B99" t="inlineStr">
        <is>
          <t>SANTIAGO ESCABIA, JUAN</t>
        </is>
      </c>
      <c r="C99" t="inlineStr">
        <is>
          <t>BARBERINA</t>
        </is>
      </c>
      <c r="D99" t="inlineStr">
        <is>
          <t>Recolección</t>
        </is>
      </c>
      <c r="E99" t="n">
        <v>3138.13</v>
      </c>
      <c r="I99" t="inlineStr"/>
    </row>
    <row r="100">
      <c r="A100" t="n">
        <v>1592</v>
      </c>
      <c r="B100" t="inlineStr">
        <is>
          <t>SANTIAGO ESCABIA, JUAN</t>
        </is>
      </c>
      <c r="C100" t="inlineStr">
        <is>
          <t>BARBERINA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1592</v>
      </c>
      <c r="B101" t="inlineStr">
        <is>
          <t>SANTIAGO ESCABIA, JUAN</t>
        </is>
      </c>
      <c r="C101" t="inlineStr">
        <is>
          <t>BARBERINA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1592</v>
      </c>
      <c r="B102" t="inlineStr">
        <is>
          <t>SANTIAGO ESCABIA, JUAN</t>
        </is>
      </c>
      <c r="C102" t="inlineStr">
        <is>
          <t>BARBERINA</t>
        </is>
      </c>
      <c r="D102" t="inlineStr">
        <is>
          <t>GlobalGAP</t>
        </is>
      </c>
      <c r="E102" t="n">
        <v>0</v>
      </c>
      <c r="I102" t="inlineStr"/>
    </row>
    <row r="103">
      <c r="A103" t="n">
        <v>1592</v>
      </c>
      <c r="B103" t="inlineStr">
        <is>
          <t>SANTIAGO ESCABIA, JUAN</t>
        </is>
      </c>
      <c r="C103" t="inlineStr">
        <is>
          <t>BARBERINA</t>
        </is>
      </c>
      <c r="D103" t="inlineStr">
        <is>
          <t>Base imponible</t>
        </is>
      </c>
      <c r="E103" t="n">
        <v>16311.33</v>
      </c>
      <c r="I103" t="inlineStr"/>
    </row>
    <row r="104">
      <c r="A104" t="n">
        <v>1592</v>
      </c>
      <c r="B104" t="inlineStr">
        <is>
          <t>SANTIAGO ESCABIA, JUAN</t>
        </is>
      </c>
      <c r="C104" t="inlineStr">
        <is>
          <t>BARBERINA</t>
        </is>
      </c>
      <c r="D104" t="inlineStr">
        <is>
          <t>IVA</t>
        </is>
      </c>
      <c r="E104" t="n">
        <v>1957.36</v>
      </c>
      <c r="I104" t="inlineStr"/>
    </row>
    <row r="105">
      <c r="A105" t="n">
        <v>1592</v>
      </c>
      <c r="B105" t="inlineStr">
        <is>
          <t>SANTIAGO ESCABIA, JUAN</t>
        </is>
      </c>
      <c r="C105" t="inlineStr">
        <is>
          <t>BARBERINA</t>
        </is>
      </c>
      <c r="D105" t="inlineStr">
        <is>
          <t>Retención</t>
        </is>
      </c>
      <c r="E105" t="n">
        <v>365.37</v>
      </c>
      <c r="I105" t="inlineStr"/>
    </row>
    <row r="106">
      <c r="A106" t="n">
        <v>1592</v>
      </c>
      <c r="B106" t="inlineStr">
        <is>
          <t>SANTIAGO ESCABIA, JUAN</t>
        </is>
      </c>
      <c r="C106" t="inlineStr">
        <is>
          <t>BARBERINA</t>
        </is>
      </c>
      <c r="D106" t="inlineStr">
        <is>
          <t>Total</t>
        </is>
      </c>
      <c r="E106" t="n">
        <v>17903.32</v>
      </c>
      <c r="I106" t="inlineStr"/>
    </row>
    <row r="107">
      <c r="A107" t="n">
        <v>1594</v>
      </c>
      <c r="B107" t="inlineStr">
        <is>
          <t>CANO MANZANARES, ISABEL MARIA</t>
        </is>
      </c>
      <c r="C107" t="inlineStr">
        <is>
          <t>BARBERINA</t>
        </is>
      </c>
      <c r="D107" t="inlineStr">
        <is>
          <t>Hectáreas</t>
        </is>
      </c>
      <c r="E107" t="n">
        <v>2.38</v>
      </c>
      <c r="I107" t="inlineStr"/>
    </row>
    <row r="108">
      <c r="A108" t="n">
        <v>1594</v>
      </c>
      <c r="B108" t="inlineStr">
        <is>
          <t>CANO MANZANARES, ISABEL MARIA</t>
        </is>
      </c>
      <c r="C108" t="inlineStr">
        <is>
          <t>BARBERINA</t>
        </is>
      </c>
      <c r="D108" t="inlineStr">
        <is>
          <t>Cuota teórica</t>
        </is>
      </c>
      <c r="E108" t="n">
        <v>464.1</v>
      </c>
      <c r="I108" t="inlineStr"/>
    </row>
    <row r="109">
      <c r="A109" t="n">
        <v>1594</v>
      </c>
      <c r="B109" t="inlineStr">
        <is>
          <t>CANO MANZANARES, ISABEL MARIA</t>
        </is>
      </c>
      <c r="C109" t="inlineStr">
        <is>
          <t>BARBERINA</t>
        </is>
      </c>
      <c r="D109" t="inlineStr">
        <is>
          <t>Kg campaña</t>
        </is>
      </c>
      <c r="E109" t="n">
        <v>72960</v>
      </c>
      <c r="I109" t="inlineStr"/>
    </row>
    <row r="110">
      <c r="A110" t="n">
        <v>1594</v>
      </c>
      <c r="B110" t="inlineStr">
        <is>
          <t>CANO MANZANARES, ISABEL MARIA</t>
        </is>
      </c>
      <c r="C110" t="inlineStr">
        <is>
          <t>BARBERINA</t>
        </is>
      </c>
      <c r="D110" t="inlineStr">
        <is>
          <t>Índice</t>
        </is>
      </c>
      <c r="E110" t="n">
        <v>0.006361019736842105</v>
      </c>
      <c r="I110" t="inlineStr"/>
    </row>
    <row r="111">
      <c r="A111" t="n">
        <v>1594</v>
      </c>
      <c r="B111" t="inlineStr">
        <is>
          <t>CANO MANZANARES, ISABEL MARIA</t>
        </is>
      </c>
      <c r="C111" t="inlineStr">
        <is>
          <t>BARBERINA</t>
        </is>
      </c>
      <c r="D111" t="inlineStr">
        <is>
          <t>Kg remesa</t>
        </is>
      </c>
      <c r="E111" t="n">
        <v>71644</v>
      </c>
      <c r="I111" t="inlineStr"/>
    </row>
    <row r="112">
      <c r="A112" t="n">
        <v>1594</v>
      </c>
      <c r="B112" t="inlineStr">
        <is>
          <t>CANO MANZANARES, ISABEL MARIA</t>
        </is>
      </c>
      <c r="C112" t="inlineStr">
        <is>
          <t>BARBERINA</t>
        </is>
      </c>
      <c r="D112" t="inlineStr">
        <is>
          <t>Cuota parcial</t>
        </is>
      </c>
      <c r="E112" t="n">
        <v>455.73</v>
      </c>
      <c r="I112" t="inlineStr"/>
    </row>
    <row r="113">
      <c r="A113" t="n">
        <v>1594</v>
      </c>
      <c r="B113" t="inlineStr">
        <is>
          <t>CANO MANZANARES, ISABEL MARIA</t>
        </is>
      </c>
      <c r="C113" t="inlineStr">
        <is>
          <t>BARBERINA</t>
        </is>
      </c>
      <c r="D113" t="inlineStr">
        <is>
          <t>Importe bruto</t>
        </is>
      </c>
      <c r="E113" t="n">
        <v>32142.48</v>
      </c>
      <c r="I113" t="inlineStr"/>
    </row>
    <row r="114">
      <c r="A114" t="n">
        <v>1594</v>
      </c>
      <c r="B114" t="inlineStr">
        <is>
          <t>CANO MANZANARES, ISABEL MARIA</t>
        </is>
      </c>
      <c r="C114" t="inlineStr">
        <is>
          <t>BARBERINA</t>
        </is>
      </c>
      <c r="D114" t="inlineStr">
        <is>
          <t>Recolección</t>
        </is>
      </c>
      <c r="E114" t="n">
        <v>4477.75</v>
      </c>
      <c r="I114" t="inlineStr"/>
    </row>
    <row r="115">
      <c r="A115" t="n">
        <v>1594</v>
      </c>
      <c r="B115" t="inlineStr">
        <is>
          <t>CANO MANZANARES, ISABEL MARIA</t>
        </is>
      </c>
      <c r="C115" t="inlineStr">
        <is>
          <t>BARBERINA</t>
        </is>
      </c>
      <c r="D115" t="inlineStr">
        <is>
          <t>Transporte</t>
        </is>
      </c>
      <c r="E115" t="n">
        <v>795.25</v>
      </c>
      <c r="I115" t="inlineStr"/>
    </row>
    <row r="116">
      <c r="A116" t="n">
        <v>1594</v>
      </c>
      <c r="B116" t="inlineStr">
        <is>
          <t>CANO MANZANARES, ISABEL MARIA</t>
        </is>
      </c>
      <c r="C116" t="inlineStr">
        <is>
          <t>BARBERINA</t>
        </is>
      </c>
      <c r="D116" t="inlineStr">
        <is>
          <t>Calidad</t>
        </is>
      </c>
      <c r="E116" t="n">
        <v>0</v>
      </c>
      <c r="I116" t="inlineStr"/>
    </row>
    <row r="117">
      <c r="A117" t="n">
        <v>1594</v>
      </c>
      <c r="B117" t="inlineStr">
        <is>
          <t>CANO MANZANARES, ISABEL MARIA</t>
        </is>
      </c>
      <c r="C117" t="inlineStr">
        <is>
          <t>BARBERINA</t>
        </is>
      </c>
      <c r="D117" t="inlineStr">
        <is>
          <t>GlobalGAP</t>
        </is>
      </c>
      <c r="E117" t="n">
        <v>1203.75</v>
      </c>
      <c r="I117" t="inlineStr"/>
    </row>
    <row r="118">
      <c r="A118" t="n">
        <v>1594</v>
      </c>
      <c r="B118" t="inlineStr">
        <is>
          <t>CANO MANZANARES, ISABEL MARIA</t>
        </is>
      </c>
      <c r="C118" t="inlineStr">
        <is>
          <t>BARBERINA</t>
        </is>
      </c>
      <c r="D118" t="inlineStr">
        <is>
          <t>Base imponible</t>
        </is>
      </c>
      <c r="E118" t="n">
        <v>29208</v>
      </c>
      <c r="I118" t="inlineStr"/>
    </row>
    <row r="119">
      <c r="A119" t="n">
        <v>1594</v>
      </c>
      <c r="B119" t="inlineStr">
        <is>
          <t>CANO MANZANARES, ISABEL MARIA</t>
        </is>
      </c>
      <c r="C119" t="inlineStr">
        <is>
          <t>BARBERINA</t>
        </is>
      </c>
      <c r="D119" t="inlineStr">
        <is>
          <t>IVA</t>
        </is>
      </c>
      <c r="E119" t="n">
        <v>3504.96</v>
      </c>
      <c r="I119" t="inlineStr"/>
    </row>
    <row r="120">
      <c r="A120" t="n">
        <v>1594</v>
      </c>
      <c r="B120" t="inlineStr">
        <is>
          <t>CANO MANZANARES, ISABEL MARIA</t>
        </is>
      </c>
      <c r="C120" t="inlineStr">
        <is>
          <t>BARBERINA</t>
        </is>
      </c>
      <c r="D120" t="inlineStr">
        <is>
          <t>Retención</t>
        </is>
      </c>
      <c r="E120" t="n">
        <v>654.26</v>
      </c>
      <c r="I120" t="inlineStr"/>
    </row>
    <row r="121">
      <c r="A121" t="n">
        <v>1594</v>
      </c>
      <c r="B121" t="inlineStr">
        <is>
          <t>CANO MANZANARES, ISABEL MARIA</t>
        </is>
      </c>
      <c r="C121" t="inlineStr">
        <is>
          <t>BARBERINA</t>
        </is>
      </c>
      <c r="D121" t="inlineStr">
        <is>
          <t>Total</t>
        </is>
      </c>
      <c r="E121" t="n">
        <v>32058.7</v>
      </c>
      <c r="I121" t="inlineStr"/>
    </row>
    <row r="122">
      <c r="A122" t="n">
        <v>1596</v>
      </c>
      <c r="B122" t="inlineStr">
        <is>
          <t>RUEDA GARCIA, Mª MERCEDES</t>
        </is>
      </c>
      <c r="C122" t="inlineStr">
        <is>
          <t>VALENCIA DELTA</t>
        </is>
      </c>
      <c r="D122" t="inlineStr">
        <is>
          <t>Hectáreas</t>
        </is>
      </c>
      <c r="E122" t="n">
        <v>4.27</v>
      </c>
      <c r="I122" t="inlineStr"/>
    </row>
    <row r="123">
      <c r="A123" t="n">
        <v>1596</v>
      </c>
      <c r="B123" t="inlineStr">
        <is>
          <t>RUEDA GARCIA, Mª MERCEDES</t>
        </is>
      </c>
      <c r="C123" t="inlineStr">
        <is>
          <t>VALENCIA DELTA</t>
        </is>
      </c>
      <c r="D123" t="inlineStr">
        <is>
          <t>Cuota teórica</t>
        </is>
      </c>
      <c r="E123" t="n">
        <v>832.65</v>
      </c>
      <c r="I123" t="inlineStr"/>
    </row>
    <row r="124">
      <c r="A124" t="n">
        <v>1596</v>
      </c>
      <c r="B124" t="inlineStr">
        <is>
          <t>RUEDA GARCIA, Mª MERCEDES</t>
        </is>
      </c>
      <c r="C124" t="inlineStr">
        <is>
          <t>VALENCIA DELTA</t>
        </is>
      </c>
      <c r="D124" t="inlineStr">
        <is>
          <t>Kg campaña</t>
        </is>
      </c>
      <c r="E124" t="n">
        <v>52880</v>
      </c>
      <c r="I124" t="inlineStr"/>
    </row>
    <row r="125">
      <c r="A125" t="n">
        <v>1596</v>
      </c>
      <c r="B125" t="inlineStr">
        <is>
          <t>RUEDA GARCIA, Mª MERCEDES</t>
        </is>
      </c>
      <c r="C125" t="inlineStr">
        <is>
          <t>VALENCIA DELTA</t>
        </is>
      </c>
      <c r="D125" t="inlineStr">
        <is>
          <t>Índice</t>
        </is>
      </c>
      <c r="E125" t="n">
        <v>0.01574602874432678</v>
      </c>
      <c r="I125" t="inlineStr"/>
    </row>
    <row r="126">
      <c r="A126" t="n">
        <v>1596</v>
      </c>
      <c r="B126" t="inlineStr">
        <is>
          <t>RUEDA GARCIA, Mª MERCEDES</t>
        </is>
      </c>
      <c r="C126" t="inlineStr">
        <is>
          <t>VALENCIA DELTA</t>
        </is>
      </c>
      <c r="D126" t="inlineStr">
        <is>
          <t>Kg remesa</t>
        </is>
      </c>
      <c r="E126" t="n">
        <v>50698</v>
      </c>
      <c r="I126" t="inlineStr"/>
    </row>
    <row r="127">
      <c r="A127" t="n">
        <v>1596</v>
      </c>
      <c r="B127" t="inlineStr">
        <is>
          <t>RUEDA GARCIA, Mª MERCEDES</t>
        </is>
      </c>
      <c r="C127" t="inlineStr">
        <is>
          <t>VALENCIA DELTA</t>
        </is>
      </c>
      <c r="D127" t="inlineStr">
        <is>
          <t>Cuota parcial</t>
        </is>
      </c>
      <c r="E127" t="n">
        <v>798.29</v>
      </c>
      <c r="I127" t="inlineStr"/>
    </row>
    <row r="128">
      <c r="A128" t="n">
        <v>1596</v>
      </c>
      <c r="B128" t="inlineStr">
        <is>
          <t>RUEDA GARCIA, Mª MERCEDES</t>
        </is>
      </c>
      <c r="C128" t="inlineStr">
        <is>
          <t>VALENCIA DELTA</t>
        </is>
      </c>
      <c r="D128" t="inlineStr">
        <is>
          <t>Importe bruto</t>
        </is>
      </c>
      <c r="E128" t="n">
        <v>19424.03</v>
      </c>
      <c r="I128" t="inlineStr"/>
    </row>
    <row r="129">
      <c r="A129" t="n">
        <v>1596</v>
      </c>
      <c r="B129" t="inlineStr">
        <is>
          <t>RUEDA GARCIA, Mª MERCEDES</t>
        </is>
      </c>
      <c r="C129" t="inlineStr">
        <is>
          <t>VALENCIA DELTA</t>
        </is>
      </c>
      <c r="D129" t="inlineStr">
        <is>
          <t>Recolección</t>
        </is>
      </c>
      <c r="E129" t="n">
        <v>3650.26</v>
      </c>
      <c r="I129" t="inlineStr"/>
    </row>
    <row r="130">
      <c r="A130" t="n">
        <v>1596</v>
      </c>
      <c r="B130" t="inlineStr">
        <is>
          <t>RUEDA GARCIA, Mª MERCEDES</t>
        </is>
      </c>
      <c r="C130" t="inlineStr">
        <is>
          <t>VALENCIA DELTA</t>
        </is>
      </c>
      <c r="D130" t="inlineStr">
        <is>
          <t>Transporte</t>
        </is>
      </c>
      <c r="E130" t="n">
        <v>0</v>
      </c>
      <c r="I130" t="inlineStr"/>
    </row>
    <row r="131">
      <c r="A131" t="n">
        <v>1596</v>
      </c>
      <c r="B131" t="inlineStr">
        <is>
          <t>RUEDA GARCIA, Mª MERCEDES</t>
        </is>
      </c>
      <c r="C131" t="inlineStr">
        <is>
          <t>VALENCIA DELTA</t>
        </is>
      </c>
      <c r="D131" t="inlineStr">
        <is>
          <t>Calidad</t>
        </is>
      </c>
      <c r="E131" t="n">
        <v>0</v>
      </c>
      <c r="I131" t="inlineStr"/>
    </row>
    <row r="132">
      <c r="A132" t="n">
        <v>1596</v>
      </c>
      <c r="B132" t="inlineStr">
        <is>
          <t>RUEDA GARCIA, Mª MERCEDES</t>
        </is>
      </c>
      <c r="C132" t="inlineStr">
        <is>
          <t>VALENCIA DELTA</t>
        </is>
      </c>
      <c r="D132" t="inlineStr">
        <is>
          <t>GlobalGAP</t>
        </is>
      </c>
      <c r="E132" t="n">
        <v>785.38</v>
      </c>
      <c r="I132" t="inlineStr"/>
    </row>
    <row r="133">
      <c r="A133" t="n">
        <v>1596</v>
      </c>
      <c r="B133" t="inlineStr">
        <is>
          <t>RUEDA GARCIA, Mª MERCEDES</t>
        </is>
      </c>
      <c r="C133" t="inlineStr">
        <is>
          <t>VALENCIA DELTA</t>
        </is>
      </c>
      <c r="D133" t="inlineStr">
        <is>
          <t>Base imponible</t>
        </is>
      </c>
      <c r="E133" t="n">
        <v>15760.86</v>
      </c>
      <c r="I133" t="inlineStr"/>
    </row>
    <row r="134">
      <c r="A134" t="n">
        <v>1596</v>
      </c>
      <c r="B134" t="inlineStr">
        <is>
          <t>RUEDA GARCIA, Mª MERCEDES</t>
        </is>
      </c>
      <c r="C134" t="inlineStr">
        <is>
          <t>VALENCIA DELTA</t>
        </is>
      </c>
      <c r="D134" t="inlineStr">
        <is>
          <t>IVA</t>
        </is>
      </c>
      <c r="E134" t="n">
        <v>1891.3</v>
      </c>
      <c r="I134" t="inlineStr"/>
    </row>
    <row r="135">
      <c r="A135" t="n">
        <v>1596</v>
      </c>
      <c r="B135" t="inlineStr">
        <is>
          <t>RUEDA GARCIA, Mª MERCEDES</t>
        </is>
      </c>
      <c r="C135" t="inlineStr">
        <is>
          <t>VALENCIA DELTA</t>
        </is>
      </c>
      <c r="D135" t="inlineStr">
        <is>
          <t>Retención</t>
        </is>
      </c>
      <c r="E135" t="n">
        <v>353.04</v>
      </c>
      <c r="I135" t="inlineStr"/>
    </row>
    <row r="136">
      <c r="A136" t="n">
        <v>1596</v>
      </c>
      <c r="B136" t="inlineStr">
        <is>
          <t>RUEDA GARCIA, Mª MERCEDES</t>
        </is>
      </c>
      <c r="C136" t="inlineStr">
        <is>
          <t>VALENCIA DELTA</t>
        </is>
      </c>
      <c r="D136" t="inlineStr">
        <is>
          <t>Total</t>
        </is>
      </c>
      <c r="E136" t="n">
        <v>17299.12</v>
      </c>
      <c r="I136" t="inlineStr"/>
    </row>
    <row r="137">
      <c r="A137" t="n">
        <v>1609</v>
      </c>
      <c r="B137" t="inlineStr">
        <is>
          <t>GARCIA BARRAGAN, ROCIO</t>
        </is>
      </c>
      <c r="C137" t="inlineStr">
        <is>
          <t>BARBERINA</t>
        </is>
      </c>
      <c r="D137" t="inlineStr">
        <is>
          <t>Hectáreas</t>
        </is>
      </c>
      <c r="E137" t="n">
        <v>1.92</v>
      </c>
      <c r="I137" t="inlineStr"/>
    </row>
    <row r="138">
      <c r="A138" t="n">
        <v>1609</v>
      </c>
      <c r="B138" t="inlineStr">
        <is>
          <t>GARCIA BARRAGAN, ROCIO</t>
        </is>
      </c>
      <c r="C138" t="inlineStr">
        <is>
          <t>BARBERINA</t>
        </is>
      </c>
      <c r="D138" t="inlineStr">
        <is>
          <t>Cuota teórica</t>
        </is>
      </c>
      <c r="E138" t="n">
        <v>374.4</v>
      </c>
      <c r="I138" t="inlineStr"/>
    </row>
    <row r="139">
      <c r="A139" t="n">
        <v>1609</v>
      </c>
      <c r="B139" t="inlineStr">
        <is>
          <t>GARCIA BARRAGAN, ROCIO</t>
        </is>
      </c>
      <c r="C139" t="inlineStr">
        <is>
          <t>BARBERINA</t>
        </is>
      </c>
      <c r="D139" t="inlineStr">
        <is>
          <t>Kg campaña</t>
        </is>
      </c>
      <c r="E139" t="n">
        <v>12800</v>
      </c>
      <c r="I139" t="inlineStr"/>
    </row>
    <row r="140">
      <c r="A140" t="n">
        <v>1609</v>
      </c>
      <c r="B140" t="inlineStr">
        <is>
          <t>GARCIA BARRAGAN, ROCIO</t>
        </is>
      </c>
      <c r="C140" t="inlineStr">
        <is>
          <t>BARBERINA</t>
        </is>
      </c>
      <c r="D140" t="inlineStr">
        <is>
          <t>Índice</t>
        </is>
      </c>
      <c r="E140" t="n">
        <v>0.02925</v>
      </c>
      <c r="I140" t="inlineStr"/>
    </row>
    <row r="141">
      <c r="A141" t="n">
        <v>1609</v>
      </c>
      <c r="B141" t="inlineStr">
        <is>
          <t>GARCIA BARRAGAN, ROCIO</t>
        </is>
      </c>
      <c r="C141" t="inlineStr">
        <is>
          <t>BARBERINA</t>
        </is>
      </c>
      <c r="D141" t="inlineStr">
        <is>
          <t>Kg remesa</t>
        </is>
      </c>
      <c r="E141" t="n">
        <v>12800</v>
      </c>
      <c r="I141" t="inlineStr"/>
    </row>
    <row r="142">
      <c r="A142" t="n">
        <v>1609</v>
      </c>
      <c r="B142" t="inlineStr">
        <is>
          <t>GARCIA BARRAGAN, ROCIO</t>
        </is>
      </c>
      <c r="C142" t="inlineStr">
        <is>
          <t>BARBERINA</t>
        </is>
      </c>
      <c r="D142" t="inlineStr">
        <is>
          <t>Cuota parcial</t>
        </is>
      </c>
      <c r="E142" t="n">
        <v>374.4</v>
      </c>
      <c r="I142" t="inlineStr"/>
    </row>
    <row r="143">
      <c r="A143" t="n">
        <v>1609</v>
      </c>
      <c r="B143" t="inlineStr">
        <is>
          <t>GARCIA BARRAGAN, ROCIO</t>
        </is>
      </c>
      <c r="C143" t="inlineStr">
        <is>
          <t>BARBERINA</t>
        </is>
      </c>
      <c r="D143" t="inlineStr">
        <is>
          <t>Importe bruto</t>
        </is>
      </c>
      <c r="E143" t="n">
        <v>5218.71</v>
      </c>
      <c r="I143" t="inlineStr"/>
    </row>
    <row r="144">
      <c r="A144" t="n">
        <v>1609</v>
      </c>
      <c r="B144" t="inlineStr">
        <is>
          <t>GARCIA BARRAGAN, ROCIO</t>
        </is>
      </c>
      <c r="C144" t="inlineStr">
        <is>
          <t>BARBERINA</t>
        </is>
      </c>
      <c r="D144" t="inlineStr">
        <is>
          <t>Recolección</t>
        </is>
      </c>
      <c r="E144" t="n">
        <v>800</v>
      </c>
      <c r="I144" t="inlineStr"/>
    </row>
    <row r="145">
      <c r="A145" t="n">
        <v>1609</v>
      </c>
      <c r="B145" t="inlineStr">
        <is>
          <t>GARCIA BARRAGAN, ROCIO</t>
        </is>
      </c>
      <c r="C145" t="inlineStr">
        <is>
          <t>BARBERINA</t>
        </is>
      </c>
      <c r="D145" t="inlineStr">
        <is>
          <t>Transporte</t>
        </is>
      </c>
      <c r="E145" t="n">
        <v>0</v>
      </c>
      <c r="I145" t="inlineStr"/>
    </row>
    <row r="146">
      <c r="A146" t="n">
        <v>1609</v>
      </c>
      <c r="B146" t="inlineStr">
        <is>
          <t>GARCIA BARRAGAN, ROCIO</t>
        </is>
      </c>
      <c r="C146" t="inlineStr">
        <is>
          <t>BARBERINA</t>
        </is>
      </c>
      <c r="D146" t="inlineStr">
        <is>
          <t>Calidad</t>
        </is>
      </c>
      <c r="E146" t="n">
        <v>0</v>
      </c>
      <c r="I146" t="inlineStr"/>
    </row>
    <row r="147">
      <c r="A147" t="n">
        <v>1609</v>
      </c>
      <c r="B147" t="inlineStr">
        <is>
          <t>GARCIA BARRAGAN, ROCIO</t>
        </is>
      </c>
      <c r="C147" t="inlineStr">
        <is>
          <t>BARBERINA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1609</v>
      </c>
      <c r="B148" t="inlineStr">
        <is>
          <t>GARCIA BARRAGAN, ROCIO</t>
        </is>
      </c>
      <c r="C148" t="inlineStr">
        <is>
          <t>BARBERINA</t>
        </is>
      </c>
      <c r="D148" t="inlineStr">
        <is>
          <t>Base imponible</t>
        </is>
      </c>
      <c r="E148" t="n">
        <v>4044.31</v>
      </c>
      <c r="I148" t="inlineStr"/>
    </row>
    <row r="149">
      <c r="A149" t="n">
        <v>1609</v>
      </c>
      <c r="B149" t="inlineStr">
        <is>
          <t>GARCIA BARRAGAN, ROCIO</t>
        </is>
      </c>
      <c r="C149" t="inlineStr">
        <is>
          <t>BARBERINA</t>
        </is>
      </c>
      <c r="D149" t="inlineStr">
        <is>
          <t>IVA</t>
        </is>
      </c>
      <c r="E149" t="n">
        <v>485.32</v>
      </c>
      <c r="I149" t="inlineStr"/>
    </row>
    <row r="150">
      <c r="A150" t="n">
        <v>1609</v>
      </c>
      <c r="B150" t="inlineStr">
        <is>
          <t>GARCIA BARRAGAN, ROCIO</t>
        </is>
      </c>
      <c r="C150" t="inlineStr">
        <is>
          <t>BARBERINA</t>
        </is>
      </c>
      <c r="D150" t="inlineStr">
        <is>
          <t>Retención</t>
        </is>
      </c>
      <c r="E150" t="n">
        <v>90.59</v>
      </c>
      <c r="I150" t="inlineStr"/>
    </row>
    <row r="151">
      <c r="A151" t="n">
        <v>1609</v>
      </c>
      <c r="B151" t="inlineStr">
        <is>
          <t>GARCIA BARRAGAN, ROCIO</t>
        </is>
      </c>
      <c r="C151" t="inlineStr">
        <is>
          <t>BARBERINA</t>
        </is>
      </c>
      <c r="D151" t="inlineStr">
        <is>
          <t>Total</t>
        </is>
      </c>
      <c r="E151" t="n">
        <v>4439.03</v>
      </c>
      <c r="I151" t="inlineStr"/>
    </row>
    <row r="152">
      <c r="A152" t="n">
        <v>1614</v>
      </c>
      <c r="B152" t="inlineStr">
        <is>
          <t>MARIN SERRANO 2025 S.C.</t>
        </is>
      </c>
      <c r="C152" t="inlineStr">
        <is>
          <t>VALENCIA LATE</t>
        </is>
      </c>
      <c r="D152" t="inlineStr">
        <is>
          <t>Hectáreas</t>
        </is>
      </c>
      <c r="E152" t="n">
        <v>5.8</v>
      </c>
      <c r="I152" t="inlineStr"/>
    </row>
    <row r="153">
      <c r="A153" t="n">
        <v>1614</v>
      </c>
      <c r="B153" t="inlineStr">
        <is>
          <t>MARIN SERRANO 2025 S.C.</t>
        </is>
      </c>
      <c r="C153" t="inlineStr">
        <is>
          <t>VALENCIA LATE</t>
        </is>
      </c>
      <c r="D153" t="inlineStr">
        <is>
          <t>Cuota teórica</t>
        </is>
      </c>
      <c r="E153" t="n">
        <v>1131</v>
      </c>
      <c r="I153" t="inlineStr"/>
    </row>
    <row r="154">
      <c r="A154" t="n">
        <v>1614</v>
      </c>
      <c r="B154" t="inlineStr">
        <is>
          <t>MARIN SERRANO 2025 S.C.</t>
        </is>
      </c>
      <c r="C154" t="inlineStr">
        <is>
          <t>VALENCIA LATE</t>
        </is>
      </c>
      <c r="D154" t="inlineStr">
        <is>
          <t>Kg campaña</t>
        </is>
      </c>
      <c r="E154" t="n">
        <v>590286</v>
      </c>
      <c r="I154" t="inlineStr"/>
    </row>
    <row r="155">
      <c r="A155" t="n">
        <v>1614</v>
      </c>
      <c r="B155" t="inlineStr">
        <is>
          <t>MARIN SERRANO 2025 S.C.</t>
        </is>
      </c>
      <c r="C155" t="inlineStr">
        <is>
          <t>VALENCIA LATE</t>
        </is>
      </c>
      <c r="D155" t="inlineStr">
        <is>
          <t>Índice</t>
        </is>
      </c>
      <c r="E155" t="n">
        <v>0.001916020369786849</v>
      </c>
      <c r="I155" t="inlineStr"/>
    </row>
    <row r="156">
      <c r="A156" t="n">
        <v>1614</v>
      </c>
      <c r="B156" t="inlineStr">
        <is>
          <t>MARIN SERRANO 2025 S.C.</t>
        </is>
      </c>
      <c r="C156" t="inlineStr">
        <is>
          <t>VALENCIA LATE</t>
        </is>
      </c>
      <c r="D156" t="inlineStr">
        <is>
          <t>Kg remesa</t>
        </is>
      </c>
      <c r="E156" t="n">
        <v>104697</v>
      </c>
      <c r="I156" t="inlineStr"/>
    </row>
    <row r="157">
      <c r="A157" t="n">
        <v>1614</v>
      </c>
      <c r="B157" t="inlineStr">
        <is>
          <t>MARIN SERRANO 2025 S.C.</t>
        </is>
      </c>
      <c r="C157" t="inlineStr">
        <is>
          <t>VALENCIA LATE</t>
        </is>
      </c>
      <c r="D157" t="inlineStr">
        <is>
          <t>Cuota parcial</t>
        </is>
      </c>
      <c r="E157" t="n">
        <v>200.6</v>
      </c>
      <c r="I157" t="inlineStr"/>
    </row>
    <row r="158">
      <c r="A158" t="n">
        <v>1614</v>
      </c>
      <c r="B158" t="inlineStr">
        <is>
          <t>MARIN SERRANO 2025 S.C.</t>
        </is>
      </c>
      <c r="C158" t="inlineStr">
        <is>
          <t>VALENCIA LATE</t>
        </is>
      </c>
      <c r="D158" t="inlineStr">
        <is>
          <t>Importe bruto</t>
        </is>
      </c>
      <c r="E158" t="n">
        <v>38245.41</v>
      </c>
      <c r="I158" t="inlineStr"/>
    </row>
    <row r="159">
      <c r="A159" t="n">
        <v>1614</v>
      </c>
      <c r="B159" t="inlineStr">
        <is>
          <t>MARIN SERRANO 2025 S.C.</t>
        </is>
      </c>
      <c r="C159" t="inlineStr">
        <is>
          <t>VALENCIA LATE</t>
        </is>
      </c>
      <c r="D159" t="inlineStr">
        <is>
          <t>Recolección</t>
        </is>
      </c>
      <c r="E159" t="n">
        <v>7538.18</v>
      </c>
      <c r="I159" t="inlineStr"/>
    </row>
    <row r="160">
      <c r="A160" t="n">
        <v>1614</v>
      </c>
      <c r="B160" t="inlineStr">
        <is>
          <t>MARIN SERRANO 2025 S.C.</t>
        </is>
      </c>
      <c r="C160" t="inlineStr">
        <is>
          <t>VALENCIA LATE</t>
        </is>
      </c>
      <c r="D160" t="inlineStr">
        <is>
          <t>Transporte</t>
        </is>
      </c>
      <c r="E160" t="n">
        <v>0</v>
      </c>
      <c r="I160" t="inlineStr"/>
    </row>
    <row r="161">
      <c r="A161" t="n">
        <v>1614</v>
      </c>
      <c r="B161" t="inlineStr">
        <is>
          <t>MARIN SERRANO 2025 S.C.</t>
        </is>
      </c>
      <c r="C161" t="inlineStr">
        <is>
          <t>VALENCIA LATE</t>
        </is>
      </c>
      <c r="D161" t="inlineStr">
        <is>
          <t>Calidad</t>
        </is>
      </c>
      <c r="E161" t="n">
        <v>0</v>
      </c>
      <c r="I161" t="inlineStr"/>
    </row>
    <row r="162">
      <c r="A162" t="n">
        <v>1614</v>
      </c>
      <c r="B162" t="inlineStr">
        <is>
          <t>MARIN SERRANO 2025 S.C.</t>
        </is>
      </c>
      <c r="C162" t="inlineStr">
        <is>
          <t>VALENCIA LATE</t>
        </is>
      </c>
      <c r="D162" t="inlineStr">
        <is>
          <t>GlobalGAP</t>
        </is>
      </c>
      <c r="E162" t="n">
        <v>0</v>
      </c>
      <c r="I162" t="inlineStr"/>
    </row>
    <row r="163">
      <c r="A163" t="n">
        <v>1614</v>
      </c>
      <c r="B163" t="inlineStr">
        <is>
          <t>MARIN SERRANO 2025 S.C.</t>
        </is>
      </c>
      <c r="C163" t="inlineStr">
        <is>
          <t>VALENCIA LATE</t>
        </is>
      </c>
      <c r="D163" t="inlineStr">
        <is>
          <t>Base imponible</t>
        </is>
      </c>
      <c r="E163" t="n">
        <v>30506.63</v>
      </c>
      <c r="I163" t="inlineStr"/>
    </row>
    <row r="164">
      <c r="A164" t="n">
        <v>1614</v>
      </c>
      <c r="B164" t="inlineStr">
        <is>
          <t>MARIN SERRANO 2025 S.C.</t>
        </is>
      </c>
      <c r="C164" t="inlineStr">
        <is>
          <t>VALENCIA LATE</t>
        </is>
      </c>
      <c r="D164" t="inlineStr">
        <is>
          <t>IVA</t>
        </is>
      </c>
      <c r="E164" t="n">
        <v>3660.8</v>
      </c>
      <c r="I164" t="inlineStr"/>
    </row>
    <row r="165">
      <c r="A165" t="n">
        <v>1614</v>
      </c>
      <c r="B165" t="inlineStr">
        <is>
          <t>MARIN SERRANO 2025 S.C.</t>
        </is>
      </c>
      <c r="C165" t="inlineStr">
        <is>
          <t>VALENCIA LATE</t>
        </is>
      </c>
      <c r="D165" t="inlineStr">
        <is>
          <t>Retención</t>
        </is>
      </c>
      <c r="E165" t="n">
        <v>683.35</v>
      </c>
      <c r="I165" t="inlineStr"/>
    </row>
    <row r="166">
      <c r="A166" t="n">
        <v>1614</v>
      </c>
      <c r="B166" t="inlineStr">
        <is>
          <t>MARIN SERRANO 2025 S.C.</t>
        </is>
      </c>
      <c r="C166" t="inlineStr">
        <is>
          <t>VALENCIA LATE</t>
        </is>
      </c>
      <c r="D166" t="inlineStr">
        <is>
          <t>Total</t>
        </is>
      </c>
      <c r="E166" t="n">
        <v>33484.08</v>
      </c>
      <c r="I166" t="inlineStr"/>
    </row>
    <row r="167">
      <c r="A167" t="n">
        <v>1615</v>
      </c>
      <c r="B167" t="inlineStr">
        <is>
          <t>RURAL PRIME S.L.</t>
        </is>
      </c>
      <c r="C167" t="inlineStr">
        <is>
          <t>VALENCIA DELTA</t>
        </is>
      </c>
      <c r="D167" t="inlineStr">
        <is>
          <t>Hectáreas</t>
        </is>
      </c>
      <c r="E167" t="n">
        <v>0</v>
      </c>
      <c r="I167" t="inlineStr"/>
    </row>
    <row r="168">
      <c r="A168" t="n">
        <v>1615</v>
      </c>
      <c r="B168" t="inlineStr">
        <is>
          <t>RURAL PRIME S.L.</t>
        </is>
      </c>
      <c r="C168" t="inlineStr">
        <is>
          <t>VALENCIA DELTA</t>
        </is>
      </c>
      <c r="D168" t="inlineStr">
        <is>
          <t>Cuota teórica</t>
        </is>
      </c>
      <c r="E168" t="n">
        <v>0</v>
      </c>
      <c r="I168" t="inlineStr"/>
    </row>
    <row r="169">
      <c r="A169" t="n">
        <v>1615</v>
      </c>
      <c r="B169" t="inlineStr">
        <is>
          <t>RURAL PRIME S.L.</t>
        </is>
      </c>
      <c r="C169" t="inlineStr">
        <is>
          <t>VALENCIA DELTA</t>
        </is>
      </c>
      <c r="D169" t="inlineStr">
        <is>
          <t>Kg campaña</t>
        </is>
      </c>
      <c r="E169" t="n">
        <v>259578</v>
      </c>
      <c r="I169" t="inlineStr"/>
    </row>
    <row r="170">
      <c r="A170" t="n">
        <v>1615</v>
      </c>
      <c r="B170" t="inlineStr">
        <is>
          <t>RURAL PRIME S.L.</t>
        </is>
      </c>
      <c r="C170" t="inlineStr">
        <is>
          <t>VALENCIA DELTA</t>
        </is>
      </c>
      <c r="D170" t="inlineStr">
        <is>
          <t>Índice</t>
        </is>
      </c>
      <c r="I170" t="inlineStr"/>
    </row>
    <row r="171">
      <c r="A171" t="n">
        <v>1615</v>
      </c>
      <c r="B171" t="inlineStr">
        <is>
          <t>RURAL PRIME S.L.</t>
        </is>
      </c>
      <c r="C171" t="inlineStr">
        <is>
          <t>VALENCIA DELTA</t>
        </is>
      </c>
      <c r="D171" t="inlineStr">
        <is>
          <t>Kg remesa</t>
        </is>
      </c>
      <c r="E171" t="n">
        <v>115118</v>
      </c>
      <c r="I171" t="inlineStr"/>
    </row>
    <row r="172">
      <c r="A172" t="n">
        <v>1615</v>
      </c>
      <c r="B172" t="inlineStr">
        <is>
          <t>RURAL PRIME S.L.</t>
        </is>
      </c>
      <c r="C172" t="inlineStr">
        <is>
          <t>VALENCIA DELTA</t>
        </is>
      </c>
      <c r="D172" t="inlineStr">
        <is>
          <t>Cuota parcial</t>
        </is>
      </c>
      <c r="E172" t="n">
        <v>0</v>
      </c>
      <c r="I172" t="inlineStr"/>
    </row>
    <row r="173">
      <c r="A173" t="n">
        <v>1615</v>
      </c>
      <c r="B173" t="inlineStr">
        <is>
          <t>RURAL PRIME S.L.</t>
        </is>
      </c>
      <c r="C173" t="inlineStr">
        <is>
          <t>VALENCIA DELTA</t>
        </is>
      </c>
      <c r="D173" t="inlineStr">
        <is>
          <t>Importe bruto</t>
        </is>
      </c>
      <c r="E173" t="n">
        <v>45137.21</v>
      </c>
      <c r="I173" t="inlineStr"/>
    </row>
    <row r="174">
      <c r="A174" t="n">
        <v>1615</v>
      </c>
      <c r="B174" t="inlineStr">
        <is>
          <t>RURAL PRIME S.L.</t>
        </is>
      </c>
      <c r="C174" t="inlineStr">
        <is>
          <t>VALENCIA DELTA</t>
        </is>
      </c>
      <c r="D174" t="inlineStr">
        <is>
          <t>Recolección</t>
        </is>
      </c>
      <c r="E174" t="n">
        <v>8288.49</v>
      </c>
      <c r="I174" t="inlineStr"/>
    </row>
    <row r="175">
      <c r="A175" t="n">
        <v>1615</v>
      </c>
      <c r="B175" t="inlineStr">
        <is>
          <t>RURAL PRIME S.L.</t>
        </is>
      </c>
      <c r="C175" t="inlineStr">
        <is>
          <t>VALENCIA DELTA</t>
        </is>
      </c>
      <c r="D175" t="inlineStr">
        <is>
          <t>Transporte</t>
        </is>
      </c>
      <c r="E175" t="n">
        <v>0</v>
      </c>
      <c r="I175" t="inlineStr"/>
    </row>
    <row r="176">
      <c r="A176" t="n">
        <v>1615</v>
      </c>
      <c r="B176" t="inlineStr">
        <is>
          <t>RURAL PRIME S.L.</t>
        </is>
      </c>
      <c r="C176" t="inlineStr">
        <is>
          <t>VALENCIA DELTA</t>
        </is>
      </c>
      <c r="D176" t="inlineStr">
        <is>
          <t>Calidad</t>
        </is>
      </c>
      <c r="E176" t="n">
        <v>0</v>
      </c>
      <c r="I176" t="inlineStr"/>
    </row>
    <row r="177">
      <c r="A177" t="n">
        <v>1615</v>
      </c>
      <c r="B177" t="inlineStr">
        <is>
          <t>RURAL PRIME S.L.</t>
        </is>
      </c>
      <c r="C177" t="inlineStr">
        <is>
          <t>VALENCIA DELTA</t>
        </is>
      </c>
      <c r="D177" t="inlineStr">
        <is>
          <t>GlobalGAP</t>
        </is>
      </c>
      <c r="E177" t="n">
        <v>0</v>
      </c>
      <c r="I177" t="inlineStr"/>
    </row>
    <row r="178">
      <c r="A178" t="n">
        <v>1615</v>
      </c>
      <c r="B178" t="inlineStr">
        <is>
          <t>RURAL PRIME S.L.</t>
        </is>
      </c>
      <c r="C178" t="inlineStr">
        <is>
          <t>VALENCIA DELTA</t>
        </is>
      </c>
      <c r="D178" t="inlineStr">
        <is>
          <t>Base imponible</t>
        </is>
      </c>
      <c r="E178" t="n">
        <v>36848.72</v>
      </c>
      <c r="I178" t="inlineStr"/>
    </row>
    <row r="179">
      <c r="A179" t="n">
        <v>1615</v>
      </c>
      <c r="B179" t="inlineStr">
        <is>
          <t>RURAL PRIME S.L.</t>
        </is>
      </c>
      <c r="C179" t="inlineStr">
        <is>
          <t>VALENCIA DELTA</t>
        </is>
      </c>
      <c r="D179" t="inlineStr">
        <is>
          <t>IVA</t>
        </is>
      </c>
      <c r="E179" t="n">
        <v>1473.95</v>
      </c>
      <c r="I179" t="inlineStr"/>
    </row>
    <row r="180">
      <c r="A180" t="n">
        <v>1615</v>
      </c>
      <c r="B180" t="inlineStr">
        <is>
          <t>RURAL PRIME S.L.</t>
        </is>
      </c>
      <c r="C180" t="inlineStr">
        <is>
          <t>VALENCIA DELTA</t>
        </is>
      </c>
      <c r="D180" t="inlineStr">
        <is>
          <t>Retención</t>
        </is>
      </c>
      <c r="E180" t="n">
        <v>0</v>
      </c>
      <c r="I180" t="inlineStr"/>
    </row>
    <row r="181">
      <c r="A181" t="n">
        <v>1615</v>
      </c>
      <c r="B181" t="inlineStr">
        <is>
          <t>RURAL PRIME S.L.</t>
        </is>
      </c>
      <c r="C181" t="inlineStr">
        <is>
          <t>VALENCIA DELTA</t>
        </is>
      </c>
      <c r="D181" t="inlineStr">
        <is>
          <t>Total</t>
        </is>
      </c>
      <c r="E181" t="n">
        <v>38322.67</v>
      </c>
      <c r="I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2026-07-28T15:51:16Z</dcterms:created>
  <dcterms:modified xmlns:dcterms="http://purl.org/dc/terms/" xmlns:xsi="http://www.w3.org/2001/XMLSchema-instance" xsi:type="dcterms:W3CDTF">2026-07-28T15:51:16Z</dcterms:modified>
</cp:coreProperties>
</file>