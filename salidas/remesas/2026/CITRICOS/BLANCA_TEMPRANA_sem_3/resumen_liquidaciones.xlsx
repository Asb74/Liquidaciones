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1384</v>
      </c>
      <c r="B2" s="3" t="inlineStr">
        <is>
          <t>RIEGO MARTIN,ANA BELEN</t>
        </is>
      </c>
      <c r="C2" s="3" t="inlineStr">
        <is>
          <t>SALUSTIANA</t>
        </is>
      </c>
      <c r="D2" s="2" t="n">
        <v>11620</v>
      </c>
      <c r="E2" s="4" t="n">
        <v>4276.53</v>
      </c>
      <c r="F2" s="5" t="n">
        <v>0.3680318416523236</v>
      </c>
      <c r="G2" s="4" t="n">
        <v>836.64</v>
      </c>
      <c r="H2" s="4" t="n">
        <v>129.09</v>
      </c>
      <c r="I2" s="4" t="n">
        <v>0</v>
      </c>
      <c r="J2" s="4" t="n">
        <v>0</v>
      </c>
      <c r="K2" s="4" t="n">
        <v>170.39</v>
      </c>
      <c r="L2" s="4" t="n">
        <v>3481.19</v>
      </c>
      <c r="M2" s="5" t="n">
        <v>0.32883</v>
      </c>
      <c r="N2" s="6" t="n">
        <v>12</v>
      </c>
      <c r="O2" s="6" t="n">
        <v>2</v>
      </c>
      <c r="P2" s="4" t="n">
        <v>3820.95</v>
      </c>
      <c r="Q2" s="3" t="inlineStr">
        <is>
          <t>BLANCA TEMPRANA sem 3</t>
        </is>
      </c>
      <c r="R2" s="3" t="inlineStr">
        <is>
          <t>CITRICOS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2" t="n">
        <v>1411</v>
      </c>
      <c r="B3" s="3" t="inlineStr">
        <is>
          <t>HERMANOS PEÑA GRIÑAN S.C.</t>
        </is>
      </c>
      <c r="C3" s="3" t="inlineStr">
        <is>
          <t>SALUSTIANA</t>
        </is>
      </c>
      <c r="D3" s="2" t="n">
        <v>12774</v>
      </c>
      <c r="E3" s="4" t="n">
        <v>4784.24</v>
      </c>
      <c r="F3" s="5" t="n">
        <v>0.3745295130734304</v>
      </c>
      <c r="G3" s="4" t="n">
        <v>919.73</v>
      </c>
      <c r="H3" s="4" t="n">
        <v>106.04</v>
      </c>
      <c r="I3" s="4" t="n">
        <v>0</v>
      </c>
      <c r="J3" s="4" t="n">
        <v>0</v>
      </c>
      <c r="K3" s="4" t="n">
        <v>0</v>
      </c>
      <c r="L3" s="4" t="n">
        <v>3758.47</v>
      </c>
      <c r="M3" s="5" t="n">
        <v>0.32295</v>
      </c>
      <c r="N3" s="6" t="n">
        <v>12</v>
      </c>
      <c r="O3" s="6" t="n">
        <v>2</v>
      </c>
      <c r="P3" s="4" t="n">
        <v>4125.3</v>
      </c>
      <c r="Q3" s="3" t="inlineStr">
        <is>
          <t>BLANCA TEMPRANA sem 3</t>
        </is>
      </c>
      <c r="R3" s="3" t="inlineStr">
        <is>
          <t>CITRICOS</t>
        </is>
      </c>
      <c r="S3" s="7">
        <f>IFERROR(166.386*G3/D3,0)</f>
        <v/>
      </c>
      <c r="T3" s="7">
        <f>IFERROR(166.386*K3/D3,0)</f>
        <v/>
      </c>
      <c r="U3" s="7">
        <f>IFERROR(166.386*J3/D3,0)</f>
        <v/>
      </c>
    </row>
    <row r="4">
      <c r="A4" s="2" t="n">
        <v>1540</v>
      </c>
      <c r="B4" s="3" t="inlineStr">
        <is>
          <t>AGRICOLA SANCHEZ CUENCA S.C.</t>
        </is>
      </c>
      <c r="C4" s="3" t="inlineStr">
        <is>
          <t>SALUSTIANA</t>
        </is>
      </c>
      <c r="D4" s="2" t="n">
        <v>23480</v>
      </c>
      <c r="E4" s="4" t="n">
        <v>8167.78</v>
      </c>
      <c r="F4" s="5" t="n">
        <v>0.3478611584327087</v>
      </c>
      <c r="G4" s="4" t="n">
        <v>1690.56</v>
      </c>
      <c r="H4" s="4" t="n">
        <v>121.57</v>
      </c>
      <c r="I4" s="4" t="n">
        <v>0</v>
      </c>
      <c r="J4" s="4" t="n">
        <v>0</v>
      </c>
      <c r="K4" s="4" t="n">
        <v>316.02</v>
      </c>
      <c r="L4" s="4" t="n">
        <v>6671.67</v>
      </c>
      <c r="M4" s="5" t="n">
        <v>0.31187</v>
      </c>
      <c r="N4" s="6" t="n">
        <v>12</v>
      </c>
      <c r="O4" s="6" t="n">
        <v>2</v>
      </c>
      <c r="P4" s="4" t="n">
        <v>7322.82</v>
      </c>
      <c r="Q4" s="3" t="inlineStr">
        <is>
          <t>BLANCA TEMPRANA sem 3</t>
        </is>
      </c>
      <c r="R4" s="3" t="inlineStr">
        <is>
          <t>CITRICOS</t>
        </is>
      </c>
      <c r="S4" s="7">
        <f>IFERROR(166.386*G4/D4,0)</f>
        <v/>
      </c>
      <c r="T4" s="7">
        <f>IFERROR(166.386*K4/D4,0)</f>
        <v/>
      </c>
      <c r="U4" s="7">
        <f>IFERROR(166.386*J4/D4,0)</f>
        <v/>
      </c>
    </row>
    <row r="5">
      <c r="A5" s="2" t="n">
        <v>1570</v>
      </c>
      <c r="B5" s="3" t="inlineStr">
        <is>
          <t>FAMILIA LOPEZ CASTILLO S.C.</t>
        </is>
      </c>
      <c r="C5" s="3" t="inlineStr">
        <is>
          <t>SALUSTIANA</t>
        </is>
      </c>
      <c r="D5" s="2" t="n">
        <v>21640</v>
      </c>
      <c r="E5" s="4" t="n">
        <v>7291.68</v>
      </c>
      <c r="F5" s="5" t="n">
        <v>0.3369537892791127</v>
      </c>
      <c r="G5" s="4" t="n">
        <v>1558.08</v>
      </c>
      <c r="H5" s="4" t="n">
        <v>294.45</v>
      </c>
      <c r="I5" s="4" t="n">
        <v>0</v>
      </c>
      <c r="J5" s="4" t="n">
        <v>0</v>
      </c>
      <c r="K5" s="4" t="n">
        <v>0</v>
      </c>
      <c r="L5" s="4" t="n">
        <v>5439.15</v>
      </c>
      <c r="M5" s="5" t="n">
        <v>0.27588</v>
      </c>
      <c r="N5" s="6" t="n">
        <v>12</v>
      </c>
      <c r="O5" s="6" t="n">
        <v>2</v>
      </c>
      <c r="P5" s="4" t="n">
        <v>5970.01</v>
      </c>
      <c r="Q5" s="3" t="inlineStr">
        <is>
          <t>BLANCA TEMPRANA sem 3</t>
        </is>
      </c>
      <c r="R5" s="3" t="inlineStr">
        <is>
          <t>CITRICOS</t>
        </is>
      </c>
      <c r="S5" s="7">
        <f>IFERROR(166.386*G5/D5,0)</f>
        <v/>
      </c>
      <c r="T5" s="7">
        <f>IFERROR(166.386*K5/D5,0)</f>
        <v/>
      </c>
      <c r="U5" s="7">
        <f>IFERROR(166.386*J5/D5,0)</f>
        <v/>
      </c>
    </row>
    <row r="6">
      <c r="A6" s="2" t="n">
        <v>1582</v>
      </c>
      <c r="B6" s="3" t="inlineStr">
        <is>
          <t>IGEÑO SANCHEZ, JOSE CARLOS</t>
        </is>
      </c>
      <c r="C6" s="3" t="inlineStr">
        <is>
          <t>SALUSTIANA</t>
        </is>
      </c>
      <c r="D6" s="2" t="n">
        <v>24020</v>
      </c>
      <c r="E6" s="4" t="n">
        <v>9095.450000000001</v>
      </c>
      <c r="F6" s="5" t="n">
        <v>0.3786615320566195</v>
      </c>
      <c r="G6" s="4" t="n">
        <v>1729.44</v>
      </c>
      <c r="H6" s="4" t="n">
        <v>114.84</v>
      </c>
      <c r="I6" s="4" t="n">
        <v>0</v>
      </c>
      <c r="J6" s="4" t="n">
        <v>266.62</v>
      </c>
      <c r="K6" s="4" t="n">
        <v>374.29</v>
      </c>
      <c r="L6" s="4" t="n">
        <v>7892.08</v>
      </c>
      <c r="M6" s="5" t="n">
        <v>0.36063</v>
      </c>
      <c r="N6" s="6" t="n">
        <v>12</v>
      </c>
      <c r="O6" s="6" t="n">
        <v>2</v>
      </c>
      <c r="P6" s="4" t="n">
        <v>8662.35</v>
      </c>
      <c r="Q6" s="3" t="inlineStr">
        <is>
          <t>BLANCA TEMPRANA sem 3</t>
        </is>
      </c>
      <c r="R6" s="3" t="inlineStr">
        <is>
          <t>CITRICOS</t>
        </is>
      </c>
      <c r="S6" s="7">
        <f>IFERROR(166.386*G6/D6,0)</f>
        <v/>
      </c>
      <c r="T6" s="7">
        <f>IFERROR(166.386*K6/D6,0)</f>
        <v/>
      </c>
      <c r="U6" s="7">
        <f>IFERROR(166.386*J6/D6,0)</f>
        <v/>
      </c>
    </row>
    <row r="7">
      <c r="A7" s="2" t="n">
        <v>1585</v>
      </c>
      <c r="B7" s="3" t="inlineStr">
        <is>
          <t>CESPEDES AGUILAR, PATRICIA</t>
        </is>
      </c>
      <c r="C7" s="3" t="inlineStr">
        <is>
          <t>SALUSTIANA</t>
        </is>
      </c>
      <c r="D7" s="2" t="n">
        <v>21133</v>
      </c>
      <c r="E7" s="4" t="n">
        <v>7130.43</v>
      </c>
      <c r="F7" s="5" t="n">
        <v>0.3374073723560309</v>
      </c>
      <c r="G7" s="4" t="n">
        <v>1521.58</v>
      </c>
      <c r="H7" s="4" t="n">
        <v>142.24</v>
      </c>
      <c r="I7" s="4" t="n">
        <v>0</v>
      </c>
      <c r="J7" s="4" t="n">
        <v>0</v>
      </c>
      <c r="K7" s="4" t="n">
        <v>276.57</v>
      </c>
      <c r="L7" s="4" t="n">
        <v>5743.18</v>
      </c>
      <c r="M7" s="5" t="n">
        <v>0.29829</v>
      </c>
      <c r="N7" s="6" t="n">
        <v>12</v>
      </c>
      <c r="O7" s="6" t="n">
        <v>2</v>
      </c>
      <c r="P7" s="4" t="n">
        <v>6303.71</v>
      </c>
      <c r="Q7" s="3" t="inlineStr">
        <is>
          <t>BLANCA TEMPRANA sem 3</t>
        </is>
      </c>
      <c r="R7" s="3" t="inlineStr">
        <is>
          <t>CITRICOS</t>
        </is>
      </c>
      <c r="S7" s="7">
        <f>IFERROR(166.386*G7/D7,0)</f>
        <v/>
      </c>
      <c r="T7" s="7">
        <f>IFERROR(166.386*K7/D7,0)</f>
        <v/>
      </c>
      <c r="U7" s="7">
        <f>IFERROR(166.386*J7/D7,0)</f>
        <v/>
      </c>
    </row>
    <row r="8">
      <c r="A8" s="8" t="n"/>
      <c r="B8" s="9" t="inlineStr">
        <is>
          <t>TOTAL</t>
        </is>
      </c>
      <c r="C8" s="9" t="n"/>
      <c r="D8" s="8">
        <f>SUM(D2:D7)</f>
        <v/>
      </c>
      <c r="E8" s="10">
        <f>SUM(E2:E7)</f>
        <v/>
      </c>
      <c r="F8" s="11" t="n"/>
      <c r="G8" s="10">
        <f>SUM(G2:G7)</f>
        <v/>
      </c>
      <c r="H8" s="10">
        <f>SUM(H2:H7)</f>
        <v/>
      </c>
      <c r="I8" s="10">
        <f>SUM(I2:I7)</f>
        <v/>
      </c>
      <c r="J8" s="10">
        <f>SUM(J2:J7)</f>
        <v/>
      </c>
      <c r="K8" s="10">
        <f>SUM(K2:K7)</f>
        <v/>
      </c>
      <c r="L8" s="10">
        <f>SUM(L2:L7)</f>
        <v/>
      </c>
      <c r="M8" s="11">
        <f>IFERROR(P8/D8,0)</f>
        <v/>
      </c>
      <c r="N8" s="12" t="n"/>
      <c r="O8" s="12" t="n"/>
      <c r="P8" s="10">
        <f>SUM(P2:P7)</f>
        <v/>
      </c>
      <c r="Q8" s="9" t="n"/>
      <c r="R8" s="9" t="n"/>
      <c r="S8" s="13" t="n"/>
      <c r="T8" s="13" t="n"/>
      <c r="U8" s="13" t="n"/>
    </row>
  </sheetData>
  <autoFilter ref="A1:U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1384</v>
      </c>
      <c r="B2" t="inlineStr">
        <is>
          <t>RIEGO MARTIN,ANA BELEN</t>
        </is>
      </c>
      <c r="C2" t="inlineStr">
        <is>
          <t>SALUSTIANA</t>
        </is>
      </c>
      <c r="D2" t="n">
        <v>0</v>
      </c>
      <c r="E2" t="inlineStr">
        <is>
          <t>not_found</t>
        </is>
      </c>
      <c r="F2" t="n">
        <v>6.55</v>
      </c>
      <c r="G2" t="n">
        <v>195</v>
      </c>
      <c r="H2" t="n">
        <v>1277.25</v>
      </c>
      <c r="I2" t="n">
        <v>114972</v>
      </c>
      <c r="J2" t="n">
        <v>0.01110922659430122</v>
      </c>
      <c r="K2" t="n">
        <v>129.09</v>
      </c>
      <c r="L2" t="n">
        <v>0</v>
      </c>
    </row>
    <row r="3">
      <c r="A3" t="n">
        <v>1411</v>
      </c>
      <c r="B3" t="inlineStr">
        <is>
          <t>HERMANOS PEÑA GRIÑAN S.C.</t>
        </is>
      </c>
      <c r="C3" t="inlineStr">
        <is>
          <t>SALUSTIANA</t>
        </is>
      </c>
      <c r="D3" t="n">
        <v>0</v>
      </c>
      <c r="E3" t="inlineStr">
        <is>
          <t>not_found</t>
        </is>
      </c>
      <c r="F3" t="n">
        <v>12.74</v>
      </c>
      <c r="G3" t="n">
        <v>195</v>
      </c>
      <c r="H3" t="n">
        <v>2484.3</v>
      </c>
      <c r="I3" t="n">
        <v>299255</v>
      </c>
      <c r="J3" t="n">
        <v>0.008301615678936024</v>
      </c>
      <c r="K3" t="n">
        <v>106.04</v>
      </c>
      <c r="L3" t="n">
        <v>0</v>
      </c>
    </row>
    <row r="4">
      <c r="A4" t="n">
        <v>1540</v>
      </c>
      <c r="B4" t="inlineStr">
        <is>
          <t>AGRICOLA SANCHEZ CUENCA S.C.</t>
        </is>
      </c>
      <c r="C4" t="inlineStr">
        <is>
          <t>SALUSTIANA</t>
        </is>
      </c>
      <c r="D4" t="n">
        <v>0</v>
      </c>
      <c r="E4" t="inlineStr">
        <is>
          <t>not_found</t>
        </is>
      </c>
      <c r="F4" t="n">
        <v>5.96</v>
      </c>
      <c r="G4" t="n">
        <v>195</v>
      </c>
      <c r="H4" t="n">
        <v>1162.2</v>
      </c>
      <c r="I4" t="n">
        <v>224459</v>
      </c>
      <c r="J4" t="n">
        <v>0.005177783024962242</v>
      </c>
      <c r="K4" t="n">
        <v>121.57</v>
      </c>
      <c r="L4" t="n">
        <v>0</v>
      </c>
    </row>
    <row r="5">
      <c r="A5" t="n">
        <v>1570</v>
      </c>
      <c r="B5" t="inlineStr">
        <is>
          <t>FAMILIA LOPEZ CASTILLO S.C.</t>
        </is>
      </c>
      <c r="C5" t="inlineStr">
        <is>
          <t>SALUSTIANA</t>
        </is>
      </c>
      <c r="D5" t="n">
        <v>0</v>
      </c>
      <c r="E5" t="inlineStr">
        <is>
          <t>not_found</t>
        </is>
      </c>
      <c r="F5" t="n">
        <v>1.51</v>
      </c>
      <c r="G5" t="n">
        <v>195</v>
      </c>
      <c r="H5" t="n">
        <v>294.45</v>
      </c>
      <c r="I5" t="n">
        <v>21640</v>
      </c>
      <c r="J5" t="n">
        <v>0.01360674676524954</v>
      </c>
      <c r="K5" t="n">
        <v>294.45</v>
      </c>
      <c r="L5" t="n">
        <v>0</v>
      </c>
    </row>
    <row r="6">
      <c r="A6" t="n">
        <v>1582</v>
      </c>
      <c r="B6" t="inlineStr">
        <is>
          <t>IGEÑO SANCHEZ, JOSE CARLOS</t>
        </is>
      </c>
      <c r="C6" t="inlineStr">
        <is>
          <t>SALUSTIANA</t>
        </is>
      </c>
      <c r="D6" t="n">
        <v>0</v>
      </c>
      <c r="E6" t="inlineStr">
        <is>
          <t>not_found</t>
        </is>
      </c>
      <c r="F6" t="n">
        <v>5.11</v>
      </c>
      <c r="G6" t="n">
        <v>195</v>
      </c>
      <c r="H6" t="n">
        <v>996.45</v>
      </c>
      <c r="I6" t="n">
        <v>208412</v>
      </c>
      <c r="J6" t="n">
        <v>0.004781154636009443</v>
      </c>
      <c r="K6" t="n">
        <v>114.84</v>
      </c>
      <c r="L6" t="n">
        <v>0</v>
      </c>
    </row>
    <row r="7">
      <c r="A7" t="n">
        <v>1585</v>
      </c>
      <c r="B7" t="inlineStr">
        <is>
          <t>CESPEDES AGUILAR, PATRICIA</t>
        </is>
      </c>
      <c r="C7" t="inlineStr">
        <is>
          <t>SALUSTIANA</t>
        </is>
      </c>
      <c r="D7" t="n">
        <v>0</v>
      </c>
      <c r="E7" t="inlineStr">
        <is>
          <t>not_found</t>
        </is>
      </c>
      <c r="F7" t="n">
        <v>8.34</v>
      </c>
      <c r="G7" t="n">
        <v>195</v>
      </c>
      <c r="H7" t="n">
        <v>1626.3</v>
      </c>
      <c r="I7" t="n">
        <v>241627</v>
      </c>
      <c r="J7" t="n">
        <v>0.006730621991747611</v>
      </c>
      <c r="K7" t="n">
        <v>142.24</v>
      </c>
      <c r="L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1384</v>
      </c>
      <c r="B2" t="inlineStr">
        <is>
          <t>RIEGO MARTIN,ANA BELEN</t>
        </is>
      </c>
      <c r="C2" t="n">
        <v>173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173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13</t>
        </is>
      </c>
      <c r="P2" t="inlineStr">
        <is>
          <t>214</t>
        </is>
      </c>
      <c r="Q2" t="inlineStr">
        <is>
          <t>1</t>
        </is>
      </c>
      <c r="R2" t="n">
        <v>6.55</v>
      </c>
      <c r="S2" t="n">
        <v>6.638957</v>
      </c>
      <c r="T2" t="n">
        <v>6.56</v>
      </c>
      <c r="V2" t="inlineStr">
        <is>
          <t>Sí</t>
        </is>
      </c>
      <c r="W2" t="inlineStr"/>
    </row>
    <row r="3">
      <c r="A3" t="n">
        <v>1411</v>
      </c>
      <c r="B3" t="inlineStr">
        <is>
          <t>HERMANOS PEÑA GRIÑAN S.C.</t>
        </is>
      </c>
      <c r="C3" t="n">
        <v>1008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1008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41034</t>
        </is>
      </c>
      <c r="O3" t="inlineStr">
        <is>
          <t>1</t>
        </is>
      </c>
      <c r="P3" t="inlineStr">
        <is>
          <t>37</t>
        </is>
      </c>
      <c r="Q3" t="inlineStr">
        <is>
          <t>1</t>
        </is>
      </c>
      <c r="R3" t="n">
        <v>1.01</v>
      </c>
      <c r="S3" t="n">
        <v>7.634371</v>
      </c>
      <c r="T3" t="n">
        <v>1.01</v>
      </c>
      <c r="V3" t="inlineStr">
        <is>
          <t>Sí</t>
        </is>
      </c>
      <c r="W3" t="inlineStr"/>
    </row>
    <row r="4">
      <c r="A4" t="n">
        <v>1411</v>
      </c>
      <c r="B4" t="inlineStr">
        <is>
          <t>HERMANOS PEÑA GRIÑAN S.C.</t>
        </is>
      </c>
      <c r="C4" t="n">
        <v>1008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1008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41034</t>
        </is>
      </c>
      <c r="O4" t="inlineStr">
        <is>
          <t>1</t>
        </is>
      </c>
      <c r="P4" t="inlineStr">
        <is>
          <t>37</t>
        </is>
      </c>
      <c r="Q4" t="inlineStr">
        <is>
          <t>1</t>
        </is>
      </c>
      <c r="R4" t="n">
        <v>2.2</v>
      </c>
      <c r="S4" t="n">
        <v>7.634371</v>
      </c>
      <c r="T4" t="n">
        <v>3.62</v>
      </c>
      <c r="V4" t="inlineStr">
        <is>
          <t>Sí</t>
        </is>
      </c>
      <c r="W4" t="inlineStr"/>
    </row>
    <row r="5">
      <c r="A5" t="n">
        <v>1411</v>
      </c>
      <c r="B5" t="inlineStr">
        <is>
          <t>HERMANOS PEÑA GRIÑAN S.C.</t>
        </is>
      </c>
      <c r="C5" t="n">
        <v>1008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1008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41034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n">
        <v>3.7</v>
      </c>
      <c r="S5" t="n">
        <v>3.767533</v>
      </c>
      <c r="T5" t="n">
        <v>3.7</v>
      </c>
      <c r="V5" t="inlineStr">
        <is>
          <t>Sí</t>
        </is>
      </c>
      <c r="W5" t="inlineStr"/>
    </row>
    <row r="6">
      <c r="A6" t="n">
        <v>1411</v>
      </c>
      <c r="B6" t="inlineStr">
        <is>
          <t>HERMANOS PEÑA GRIÑAN S.C.</t>
        </is>
      </c>
      <c r="C6" t="n">
        <v>1009</v>
      </c>
      <c r="D6" t="inlineStr">
        <is>
          <t>CITRICOS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1009</v>
      </c>
      <c r="K6" t="n">
        <v>2026</v>
      </c>
      <c r="L6" t="inlineStr">
        <is>
          <t>1</t>
        </is>
      </c>
      <c r="M6" t="inlineStr">
        <is>
          <t>CITRICOS</t>
        </is>
      </c>
      <c r="N6" t="inlineStr">
        <is>
          <t>41034</t>
        </is>
      </c>
      <c r="O6" t="inlineStr">
        <is>
          <t>1</t>
        </is>
      </c>
      <c r="P6" t="inlineStr">
        <is>
          <t>34</t>
        </is>
      </c>
      <c r="Q6" t="inlineStr">
        <is>
          <t>1</t>
        </is>
      </c>
      <c r="R6" t="n">
        <v>2.83</v>
      </c>
      <c r="S6" t="n">
        <v>2.879049</v>
      </c>
      <c r="T6" t="n">
        <v>2.83</v>
      </c>
      <c r="V6" t="inlineStr">
        <is>
          <t>Sí</t>
        </is>
      </c>
      <c r="W6" t="inlineStr"/>
    </row>
    <row r="7">
      <c r="A7" t="n">
        <v>1411</v>
      </c>
      <c r="B7" t="inlineStr">
        <is>
          <t>HERMANOS PEÑA GRIÑAN S.C.</t>
        </is>
      </c>
      <c r="C7" t="n">
        <v>1009</v>
      </c>
      <c r="D7" t="inlineStr">
        <is>
          <t>CITRICOS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1009</v>
      </c>
      <c r="K7" t="n">
        <v>2026</v>
      </c>
      <c r="L7" t="inlineStr">
        <is>
          <t>1</t>
        </is>
      </c>
      <c r="M7" t="inlineStr">
        <is>
          <t>CITRICOS</t>
        </is>
      </c>
      <c r="N7" t="inlineStr">
        <is>
          <t>41034</t>
        </is>
      </c>
      <c r="O7" t="inlineStr">
        <is>
          <t>1</t>
        </is>
      </c>
      <c r="P7" t="inlineStr">
        <is>
          <t>37</t>
        </is>
      </c>
      <c r="Q7" t="inlineStr">
        <is>
          <t>1</t>
        </is>
      </c>
      <c r="R7" t="n">
        <v>2</v>
      </c>
      <c r="S7" t="n">
        <v>7.634371</v>
      </c>
      <c r="T7" t="n">
        <v>2</v>
      </c>
      <c r="V7" t="inlineStr">
        <is>
          <t>Sí</t>
        </is>
      </c>
      <c r="W7" t="inlineStr"/>
    </row>
    <row r="8">
      <c r="A8" t="n">
        <v>1411</v>
      </c>
      <c r="B8" t="inlineStr">
        <is>
          <t>HERMANOS PEÑA GRIÑAN S.C.</t>
        </is>
      </c>
      <c r="C8" t="n">
        <v>1010</v>
      </c>
      <c r="D8" t="inlineStr">
        <is>
          <t>CITRICOS</t>
        </is>
      </c>
      <c r="E8" t="n">
        <v>2026</v>
      </c>
      <c r="F8" t="n">
        <v>1</v>
      </c>
      <c r="G8" t="n">
        <v>1</v>
      </c>
      <c r="H8" t="inlineStr">
        <is>
          <t>Sí</t>
        </is>
      </c>
      <c r="J8" t="n">
        <v>1010</v>
      </c>
      <c r="K8" t="n">
        <v>2026</v>
      </c>
      <c r="L8" t="inlineStr">
        <is>
          <t>1</t>
        </is>
      </c>
      <c r="M8" t="inlineStr">
        <is>
          <t>CITRICOS</t>
        </is>
      </c>
      <c r="N8" t="inlineStr">
        <is>
          <t>41034</t>
        </is>
      </c>
      <c r="O8" t="inlineStr">
        <is>
          <t>1</t>
        </is>
      </c>
      <c r="P8" t="inlineStr">
        <is>
          <t>37</t>
        </is>
      </c>
      <c r="Q8" t="inlineStr">
        <is>
          <t>1</t>
        </is>
      </c>
      <c r="R8" t="n">
        <v>1</v>
      </c>
      <c r="S8" t="n">
        <v>7.634371</v>
      </c>
      <c r="T8" t="n">
        <v>1</v>
      </c>
      <c r="V8" t="inlineStr">
        <is>
          <t>Sí</t>
        </is>
      </c>
      <c r="W8" t="inlineStr"/>
    </row>
    <row r="9">
      <c r="A9" t="n">
        <v>1540</v>
      </c>
      <c r="B9" t="inlineStr">
        <is>
          <t>AGRICOLA SANCHEZ CUENCA S.C.</t>
        </is>
      </c>
      <c r="C9" t="n">
        <v>570</v>
      </c>
      <c r="D9" t="inlineStr">
        <is>
          <t>CITRICOS</t>
        </is>
      </c>
      <c r="E9" t="n">
        <v>2026</v>
      </c>
      <c r="F9" t="n">
        <v>1</v>
      </c>
      <c r="G9" t="n">
        <v>1</v>
      </c>
      <c r="H9" t="inlineStr">
        <is>
          <t>Sí</t>
        </is>
      </c>
      <c r="J9" t="n">
        <v>570</v>
      </c>
      <c r="K9" t="n">
        <v>2026</v>
      </c>
      <c r="L9" t="inlineStr">
        <is>
          <t>1</t>
        </is>
      </c>
      <c r="M9" t="inlineStr">
        <is>
          <t>CITRICOS</t>
        </is>
      </c>
      <c r="N9" t="inlineStr">
        <is>
          <t>41055</t>
        </is>
      </c>
      <c r="O9" t="inlineStr">
        <is>
          <t>23</t>
        </is>
      </c>
      <c r="P9" t="inlineStr">
        <is>
          <t>85</t>
        </is>
      </c>
      <c r="Q9" t="inlineStr">
        <is>
          <t>4</t>
        </is>
      </c>
      <c r="R9" t="n">
        <v>1.7</v>
      </c>
      <c r="S9" t="n">
        <v>0</v>
      </c>
      <c r="T9" t="n">
        <v>1.7</v>
      </c>
      <c r="V9" t="inlineStr">
        <is>
          <t>Sí</t>
        </is>
      </c>
      <c r="W9" t="inlineStr"/>
    </row>
    <row r="10">
      <c r="A10" t="n">
        <v>1540</v>
      </c>
      <c r="B10" t="inlineStr">
        <is>
          <t>AGRICOLA SANCHEZ CUENCA S.C.</t>
        </is>
      </c>
      <c r="C10" t="n">
        <v>570</v>
      </c>
      <c r="D10" t="inlineStr">
        <is>
          <t>CITRICOS</t>
        </is>
      </c>
      <c r="E10" t="n">
        <v>2026</v>
      </c>
      <c r="F10" t="n">
        <v>1</v>
      </c>
      <c r="G10" t="n">
        <v>1</v>
      </c>
      <c r="H10" t="inlineStr">
        <is>
          <t>Sí</t>
        </is>
      </c>
      <c r="J10" t="n">
        <v>570</v>
      </c>
      <c r="K10" t="n">
        <v>2026</v>
      </c>
      <c r="L10" t="inlineStr">
        <is>
          <t>1</t>
        </is>
      </c>
      <c r="M10" t="inlineStr">
        <is>
          <t>CITRICOS</t>
        </is>
      </c>
      <c r="N10" t="inlineStr">
        <is>
          <t>41055</t>
        </is>
      </c>
      <c r="O10" t="inlineStr">
        <is>
          <t>23</t>
        </is>
      </c>
      <c r="P10" t="inlineStr">
        <is>
          <t>84</t>
        </is>
      </c>
      <c r="Q10" t="inlineStr">
        <is>
          <t>1</t>
        </is>
      </c>
      <c r="R10" t="n">
        <v>2.57</v>
      </c>
      <c r="S10" t="n">
        <v>2.5813</v>
      </c>
      <c r="T10" t="n">
        <v>2.58</v>
      </c>
      <c r="V10" t="inlineStr">
        <is>
          <t>Sí</t>
        </is>
      </c>
      <c r="W10" t="inlineStr"/>
    </row>
    <row r="11">
      <c r="A11" t="n">
        <v>1540</v>
      </c>
      <c r="B11" t="inlineStr">
        <is>
          <t>AGRICOLA SANCHEZ CUENCA S.C.</t>
        </is>
      </c>
      <c r="C11" t="n">
        <v>570</v>
      </c>
      <c r="D11" t="inlineStr">
        <is>
          <t>CITRICOS</t>
        </is>
      </c>
      <c r="E11" t="n">
        <v>2026</v>
      </c>
      <c r="F11" t="n">
        <v>1</v>
      </c>
      <c r="G11" t="n">
        <v>1</v>
      </c>
      <c r="H11" t="inlineStr">
        <is>
          <t>Sí</t>
        </is>
      </c>
      <c r="J11" t="n">
        <v>570</v>
      </c>
      <c r="K11" t="n">
        <v>2026</v>
      </c>
      <c r="L11" t="inlineStr">
        <is>
          <t>1</t>
        </is>
      </c>
      <c r="M11" t="inlineStr">
        <is>
          <t>CITRICOS</t>
        </is>
      </c>
      <c r="N11" t="inlineStr">
        <is>
          <t>41055</t>
        </is>
      </c>
      <c r="O11" t="inlineStr">
        <is>
          <t>23</t>
        </is>
      </c>
      <c r="P11" t="inlineStr">
        <is>
          <t>85</t>
        </is>
      </c>
      <c r="Q11" t="inlineStr">
        <is>
          <t>4</t>
        </is>
      </c>
      <c r="R11" t="n">
        <v>1.69</v>
      </c>
      <c r="S11" t="n">
        <v>0</v>
      </c>
      <c r="T11" t="n">
        <v>1.69</v>
      </c>
      <c r="V11" t="inlineStr">
        <is>
          <t>Sí</t>
        </is>
      </c>
      <c r="W11" t="inlineStr"/>
    </row>
    <row r="12">
      <c r="A12" t="n">
        <v>1570</v>
      </c>
      <c r="B12" t="inlineStr">
        <is>
          <t>FAMILIA LOPEZ CASTILLO S.C.</t>
        </is>
      </c>
      <c r="C12" t="n">
        <v>172</v>
      </c>
      <c r="D12" t="inlineStr">
        <is>
          <t>CITRICOS</t>
        </is>
      </c>
      <c r="E12" t="n">
        <v>2026</v>
      </c>
      <c r="F12" t="n">
        <v>1</v>
      </c>
      <c r="G12" t="n">
        <v>1</v>
      </c>
      <c r="H12" t="inlineStr">
        <is>
          <t>Sí</t>
        </is>
      </c>
      <c r="J12" t="n">
        <v>172</v>
      </c>
      <c r="K12" t="n">
        <v>2026</v>
      </c>
      <c r="L12" t="inlineStr">
        <is>
          <t>1</t>
        </is>
      </c>
      <c r="M12" t="inlineStr">
        <is>
          <t>CITRICOS</t>
        </is>
      </c>
      <c r="N12" t="inlineStr">
        <is>
          <t>41055</t>
        </is>
      </c>
      <c r="O12" t="inlineStr">
        <is>
          <t>12</t>
        </is>
      </c>
      <c r="P12" t="inlineStr">
        <is>
          <t>12</t>
        </is>
      </c>
      <c r="Q12" t="inlineStr">
        <is>
          <t>1</t>
        </is>
      </c>
      <c r="R12" t="n">
        <v>1.51</v>
      </c>
      <c r="S12" t="n">
        <v>1.510233</v>
      </c>
      <c r="T12" t="n">
        <v>1.45</v>
      </c>
      <c r="V12" t="inlineStr">
        <is>
          <t>Sí</t>
        </is>
      </c>
      <c r="W12" t="inlineStr"/>
    </row>
    <row r="13">
      <c r="A13" t="n">
        <v>1582</v>
      </c>
      <c r="B13" t="inlineStr">
        <is>
          <t>IGEÑO SANCHEZ, JOSE CARLOS</t>
        </is>
      </c>
      <c r="C13" t="n">
        <v>61</v>
      </c>
      <c r="D13" t="inlineStr">
        <is>
          <t>CITRICOS</t>
        </is>
      </c>
      <c r="E13" t="n">
        <v>2026</v>
      </c>
      <c r="F13" t="n">
        <v>1</v>
      </c>
      <c r="G13" t="n">
        <v>1</v>
      </c>
      <c r="H13" t="inlineStr">
        <is>
          <t>Sí</t>
        </is>
      </c>
      <c r="J13" t="n">
        <v>61</v>
      </c>
      <c r="K13" t="n">
        <v>2026</v>
      </c>
      <c r="L13" t="inlineStr">
        <is>
          <t>1</t>
        </is>
      </c>
      <c r="M13" t="inlineStr">
        <is>
          <t>CITRICOS</t>
        </is>
      </c>
      <c r="N13" t="inlineStr">
        <is>
          <t>41055</t>
        </is>
      </c>
      <c r="O13" t="inlineStr">
        <is>
          <t>12</t>
        </is>
      </c>
      <c r="P13" t="inlineStr">
        <is>
          <t>86</t>
        </is>
      </c>
      <c r="Q13" t="inlineStr">
        <is>
          <t>1</t>
        </is>
      </c>
      <c r="R13" t="n">
        <v>1.26</v>
      </c>
      <c r="S13" t="n">
        <v>1.264869</v>
      </c>
      <c r="T13" t="n">
        <v>1.26</v>
      </c>
      <c r="V13" t="inlineStr">
        <is>
          <t>Sí</t>
        </is>
      </c>
      <c r="W13" t="inlineStr"/>
    </row>
    <row r="14">
      <c r="A14" t="n">
        <v>1582</v>
      </c>
      <c r="B14" t="inlineStr">
        <is>
          <t>IGEÑO SANCHEZ, JOSE CARLOS</t>
        </is>
      </c>
      <c r="C14" t="n">
        <v>61</v>
      </c>
      <c r="D14" t="inlineStr">
        <is>
          <t>CITRICOS</t>
        </is>
      </c>
      <c r="E14" t="n">
        <v>2026</v>
      </c>
      <c r="F14" t="n">
        <v>1</v>
      </c>
      <c r="G14" t="n">
        <v>1</v>
      </c>
      <c r="H14" t="inlineStr">
        <is>
          <t>Sí</t>
        </is>
      </c>
      <c r="J14" t="n">
        <v>61</v>
      </c>
      <c r="K14" t="n">
        <v>2026</v>
      </c>
      <c r="L14" t="inlineStr">
        <is>
          <t>1</t>
        </is>
      </c>
      <c r="M14" t="inlineStr">
        <is>
          <t>CITRICOS</t>
        </is>
      </c>
      <c r="N14" t="inlineStr">
        <is>
          <t>41055</t>
        </is>
      </c>
      <c r="O14" t="inlineStr">
        <is>
          <t>12</t>
        </is>
      </c>
      <c r="P14" t="inlineStr">
        <is>
          <t>85</t>
        </is>
      </c>
      <c r="Q14" t="inlineStr">
        <is>
          <t>2</t>
        </is>
      </c>
      <c r="R14" t="n">
        <v>2.33</v>
      </c>
      <c r="S14" t="n">
        <v>2.332799</v>
      </c>
      <c r="T14" t="n">
        <v>2.33</v>
      </c>
      <c r="V14" t="inlineStr">
        <is>
          <t>Sí</t>
        </is>
      </c>
      <c r="W14" t="inlineStr"/>
    </row>
    <row r="15">
      <c r="A15" t="n">
        <v>1582</v>
      </c>
      <c r="B15" t="inlineStr">
        <is>
          <t>IGEÑO SANCHEZ, JOSE CARLOS</t>
        </is>
      </c>
      <c r="C15" t="n">
        <v>61</v>
      </c>
      <c r="D15" t="inlineStr">
        <is>
          <t>CITRICOS</t>
        </is>
      </c>
      <c r="E15" t="n">
        <v>2026</v>
      </c>
      <c r="F15" t="n">
        <v>1</v>
      </c>
      <c r="G15" t="n">
        <v>1</v>
      </c>
      <c r="H15" t="inlineStr">
        <is>
          <t>Sí</t>
        </is>
      </c>
      <c r="J15" t="n">
        <v>61</v>
      </c>
      <c r="K15" t="n">
        <v>2026</v>
      </c>
      <c r="L15" t="inlineStr">
        <is>
          <t>1</t>
        </is>
      </c>
      <c r="M15" t="inlineStr">
        <is>
          <t>CITRICOS</t>
        </is>
      </c>
      <c r="N15" t="inlineStr">
        <is>
          <t>41055</t>
        </is>
      </c>
      <c r="O15" t="inlineStr">
        <is>
          <t>12</t>
        </is>
      </c>
      <c r="P15" t="inlineStr">
        <is>
          <t>85</t>
        </is>
      </c>
      <c r="Q15" t="inlineStr">
        <is>
          <t>7</t>
        </is>
      </c>
      <c r="R15" t="n">
        <v>1.52</v>
      </c>
      <c r="S15" t="n">
        <v>1.529125</v>
      </c>
      <c r="T15" t="n">
        <v>1.53</v>
      </c>
      <c r="V15" t="inlineStr">
        <is>
          <t>Sí</t>
        </is>
      </c>
      <c r="W15" t="inlineStr"/>
    </row>
    <row r="16">
      <c r="A16" t="n">
        <v>1585</v>
      </c>
      <c r="B16" t="inlineStr">
        <is>
          <t>CESPEDES AGUILAR, PATRICIA</t>
        </is>
      </c>
      <c r="C16" t="n">
        <v>93</v>
      </c>
      <c r="D16" t="inlineStr">
        <is>
          <t>CITRICOS</t>
        </is>
      </c>
      <c r="E16" t="n">
        <v>2026</v>
      </c>
      <c r="F16" t="n">
        <v>1</v>
      </c>
      <c r="G16" t="n">
        <v>1</v>
      </c>
      <c r="H16" t="inlineStr">
        <is>
          <t>Sí</t>
        </is>
      </c>
      <c r="J16" t="n">
        <v>93</v>
      </c>
      <c r="K16" t="n">
        <v>2026</v>
      </c>
      <c r="L16" t="inlineStr">
        <is>
          <t>1</t>
        </is>
      </c>
      <c r="M16" t="inlineStr">
        <is>
          <t>CITRICOS</t>
        </is>
      </c>
      <c r="N16" t="inlineStr">
        <is>
          <t>41055</t>
        </is>
      </c>
      <c r="O16" t="inlineStr">
        <is>
          <t>12</t>
        </is>
      </c>
      <c r="P16" t="inlineStr">
        <is>
          <t>19</t>
        </is>
      </c>
      <c r="Q16" t="inlineStr">
        <is>
          <t>1</t>
        </is>
      </c>
      <c r="R16" t="n">
        <v>3.15</v>
      </c>
      <c r="S16" t="n">
        <v>3.157055</v>
      </c>
      <c r="T16" t="n">
        <v>3.16</v>
      </c>
      <c r="V16" t="inlineStr">
        <is>
          <t>Sí</t>
        </is>
      </c>
      <c r="W16" t="inlineStr"/>
    </row>
    <row r="17">
      <c r="A17" t="n">
        <v>1585</v>
      </c>
      <c r="B17" t="inlineStr">
        <is>
          <t>CESPEDES AGUILAR, PATRICIA</t>
        </is>
      </c>
      <c r="C17" t="n">
        <v>245</v>
      </c>
      <c r="D17" t="inlineStr">
        <is>
          <t>CITRICOS</t>
        </is>
      </c>
      <c r="E17" t="n">
        <v>2026</v>
      </c>
      <c r="F17" t="n">
        <v>1</v>
      </c>
      <c r="G17" t="n">
        <v>1</v>
      </c>
      <c r="H17" t="inlineStr">
        <is>
          <t>Sí</t>
        </is>
      </c>
      <c r="J17" t="n">
        <v>245</v>
      </c>
      <c r="K17" t="n">
        <v>2026</v>
      </c>
      <c r="L17" t="inlineStr">
        <is>
          <t>1</t>
        </is>
      </c>
      <c r="M17" t="inlineStr">
        <is>
          <t>CITRICOS</t>
        </is>
      </c>
      <c r="N17" t="inlineStr">
        <is>
          <t>41055</t>
        </is>
      </c>
      <c r="O17" t="inlineStr">
        <is>
          <t>11</t>
        </is>
      </c>
      <c r="P17" t="inlineStr">
        <is>
          <t>75</t>
        </is>
      </c>
      <c r="Q17" t="inlineStr">
        <is>
          <t>2</t>
        </is>
      </c>
      <c r="R17" t="n">
        <v>1.29</v>
      </c>
      <c r="S17" t="n">
        <v>1.292592</v>
      </c>
      <c r="T17" t="n">
        <v>1.29</v>
      </c>
      <c r="V17" t="inlineStr">
        <is>
          <t>Sí</t>
        </is>
      </c>
      <c r="W17" t="inlineStr"/>
    </row>
    <row r="18">
      <c r="A18" t="n">
        <v>1585</v>
      </c>
      <c r="B18" t="inlineStr">
        <is>
          <t>CESPEDES AGUILAR, PATRICIA</t>
        </is>
      </c>
      <c r="C18" t="n">
        <v>245</v>
      </c>
      <c r="D18" t="inlineStr">
        <is>
          <t>CITRICOS</t>
        </is>
      </c>
      <c r="E18" t="n">
        <v>2026</v>
      </c>
      <c r="F18" t="n">
        <v>1</v>
      </c>
      <c r="G18" t="n">
        <v>1</v>
      </c>
      <c r="H18" t="inlineStr">
        <is>
          <t>Sí</t>
        </is>
      </c>
      <c r="J18" t="n">
        <v>245</v>
      </c>
      <c r="K18" t="n">
        <v>2026</v>
      </c>
      <c r="L18" t="inlineStr">
        <is>
          <t>1</t>
        </is>
      </c>
      <c r="M18" t="inlineStr">
        <is>
          <t>CITRICOS</t>
        </is>
      </c>
      <c r="N18" t="inlineStr">
        <is>
          <t>41055</t>
        </is>
      </c>
      <c r="O18" t="inlineStr">
        <is>
          <t>11</t>
        </is>
      </c>
      <c r="P18" t="inlineStr">
        <is>
          <t>110</t>
        </is>
      </c>
      <c r="Q18" t="inlineStr">
        <is>
          <t>1</t>
        </is>
      </c>
      <c r="R18" t="n">
        <v>3.9</v>
      </c>
      <c r="S18" t="n">
        <v>3.95776</v>
      </c>
      <c r="T18" t="n">
        <v>3.9577</v>
      </c>
      <c r="V18" t="inlineStr">
        <is>
          <t>Sí</t>
        </is>
      </c>
      <c r="W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1384</v>
      </c>
      <c r="B2" t="inlineStr">
        <is>
          <t>RIEGO MARTIN,ANA BELEN</t>
        </is>
      </c>
      <c r="C2" t="inlineStr">
        <is>
          <t>SALUSTIANA</t>
        </is>
      </c>
      <c r="D2" t="inlineStr">
        <is>
          <t>calculated</t>
        </is>
      </c>
      <c r="E2" t="n">
        <v>6.55</v>
      </c>
      <c r="F2" t="n">
        <v>1277.25</v>
      </c>
      <c r="G2" t="n">
        <v>114972</v>
      </c>
      <c r="H2" t="n">
        <v>0.01110922659430122</v>
      </c>
      <c r="I2" t="n">
        <v>11620</v>
      </c>
      <c r="J2" t="n">
        <v>129.09</v>
      </c>
      <c r="K2" t="inlineStr">
        <is>
          <t>14 entregas ya figuran como liquidadas.; No existe tarifa BonCalidad para socio=1384 campaña=2026 empresa=1 cultivo=CITRICOS.; No existe fuente acumulada disponible; saldo informativo calculado con cuota ya aplicada = 0.</t>
        </is>
      </c>
    </row>
    <row r="3">
      <c r="A3" t="n">
        <v>1411</v>
      </c>
      <c r="B3" t="inlineStr">
        <is>
          <t>HERMANOS PEÑA GRIÑAN S.C.</t>
        </is>
      </c>
      <c r="C3" t="inlineStr">
        <is>
          <t>SALUSTIANA</t>
        </is>
      </c>
      <c r="D3" t="inlineStr">
        <is>
          <t>calculated</t>
        </is>
      </c>
      <c r="E3" t="n">
        <v>12.74</v>
      </c>
      <c r="F3" t="n">
        <v>2484.3</v>
      </c>
      <c r="G3" t="n">
        <v>299255</v>
      </c>
      <c r="H3" t="n">
        <v>0.008301615678936024</v>
      </c>
      <c r="I3" t="n">
        <v>12774</v>
      </c>
      <c r="J3" t="n">
        <v>106.04</v>
      </c>
      <c r="K3" t="inlineStr">
        <is>
          <t>14 entregas ya figuran como liquidadas.; No existe tarifa BonCalidad para socio=1411 campaña=2026 empresa=1 cultivo=CITRICOS.; No existe fuente acumulada disponible; saldo informativo calculado con cuota ya aplicada = 0.</t>
        </is>
      </c>
    </row>
    <row r="4">
      <c r="A4" t="n">
        <v>1540</v>
      </c>
      <c r="B4" t="inlineStr">
        <is>
          <t>AGRICOLA SANCHEZ CUENCA S.C.</t>
        </is>
      </c>
      <c r="C4" t="inlineStr">
        <is>
          <t>SALUSTIANA</t>
        </is>
      </c>
      <c r="D4" t="inlineStr">
        <is>
          <t>calculated</t>
        </is>
      </c>
      <c r="E4" t="n">
        <v>5.96</v>
      </c>
      <c r="F4" t="n">
        <v>1162.2</v>
      </c>
      <c r="G4" t="n">
        <v>224459</v>
      </c>
      <c r="H4" t="n">
        <v>0.005177783024962242</v>
      </c>
      <c r="I4" t="n">
        <v>23480</v>
      </c>
      <c r="J4" t="n">
        <v>121.57</v>
      </c>
      <c r="K4" t="inlineStr">
        <is>
          <t>14 entregas ya figuran como liquidadas.; No existe tarifa BonCalidad para socio=1540 campaña=2026 empresa=1 cultivo=CITRICOS.; No existe fuente acumulada disponible; saldo informativo calculado con cuota ya aplicada = 0.</t>
        </is>
      </c>
    </row>
    <row r="5">
      <c r="A5" t="n">
        <v>1570</v>
      </c>
      <c r="B5" t="inlineStr">
        <is>
          <t>FAMILIA LOPEZ CASTILLO S.C.</t>
        </is>
      </c>
      <c r="C5" t="inlineStr">
        <is>
          <t>SALUSTIANA</t>
        </is>
      </c>
      <c r="D5" t="inlineStr">
        <is>
          <t>calculated</t>
        </is>
      </c>
      <c r="E5" t="n">
        <v>1.51</v>
      </c>
      <c r="F5" t="n">
        <v>294.45</v>
      </c>
      <c r="G5" t="n">
        <v>21640</v>
      </c>
      <c r="H5" t="n">
        <v>0.01360674676524954</v>
      </c>
      <c r="I5" t="n">
        <v>21640</v>
      </c>
      <c r="J5" t="n">
        <v>294.45</v>
      </c>
      <c r="K5" t="inlineStr">
        <is>
          <t>14 entregas ya figuran como liquidadas.; No existe tarifa BonCalidad para socio=1570 campaña=2026 empresa=1 cultivo=CITRICOS.; No existe fuente acumulada disponible; saldo informativo calculado con cuota ya aplicada = 0.</t>
        </is>
      </c>
    </row>
    <row r="6">
      <c r="A6" t="n">
        <v>1582</v>
      </c>
      <c r="B6" t="inlineStr">
        <is>
          <t>IGEÑO SANCHEZ, JOSE CARLOS</t>
        </is>
      </c>
      <c r="C6" t="inlineStr">
        <is>
          <t>SALUSTIANA</t>
        </is>
      </c>
      <c r="D6" t="inlineStr">
        <is>
          <t>calculated</t>
        </is>
      </c>
      <c r="E6" t="n">
        <v>5.11</v>
      </c>
      <c r="F6" t="n">
        <v>996.45</v>
      </c>
      <c r="G6" t="n">
        <v>208412</v>
      </c>
      <c r="H6" t="n">
        <v>0.004781154636009443</v>
      </c>
      <c r="I6" t="n">
        <v>24020</v>
      </c>
      <c r="J6" t="n">
        <v>114.84</v>
      </c>
      <c r="K6" t="inlineStr">
        <is>
          <t>14 entregas ya figuran como liquidadas.; No existe tarifa BonCalidad para socio=1582 campaña=2026 empresa=1 cultivo=CITRICOS.; No existe fuente acumulada disponible; saldo informativo calculado con cuota ya aplicada = 0.</t>
        </is>
      </c>
    </row>
    <row r="7">
      <c r="A7" t="n">
        <v>1585</v>
      </c>
      <c r="B7" t="inlineStr">
        <is>
          <t>CESPEDES AGUILAR, PATRICIA</t>
        </is>
      </c>
      <c r="C7" t="inlineStr">
        <is>
          <t>SALUSTIANA</t>
        </is>
      </c>
      <c r="D7" t="inlineStr">
        <is>
          <t>calculated</t>
        </is>
      </c>
      <c r="E7" t="n">
        <v>8.34</v>
      </c>
      <c r="F7" t="n">
        <v>1626.3</v>
      </c>
      <c r="G7" t="n">
        <v>241627</v>
      </c>
      <c r="H7" t="n">
        <v>0.006730621991747611</v>
      </c>
      <c r="I7" t="n">
        <v>21133</v>
      </c>
      <c r="J7" t="n">
        <v>142.24</v>
      </c>
      <c r="K7" t="inlineStr">
        <is>
          <t>14 entregas ya figuran como liquidadas.; No existe tarifa BonCalidad para socio=1585 campaña=2026 empresa=1 cultivo=CITRICOS.;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1384</v>
      </c>
      <c r="B2" t="inlineStr">
        <is>
          <t>RIEGO MARTIN,ANA BELEN</t>
        </is>
      </c>
      <c r="C2" t="inlineStr">
        <is>
          <t>SALUSTIANA</t>
        </is>
      </c>
      <c r="D2" t="inlineStr">
        <is>
          <t>2026</t>
        </is>
      </c>
      <c r="E2" t="inlineStr">
        <is>
          <t>1</t>
        </is>
      </c>
      <c r="F2" t="inlineStr">
        <is>
          <t>CITRICOS</t>
        </is>
      </c>
      <c r="G2" t="inlineStr">
        <is>
          <t>SÍ</t>
        </is>
      </c>
      <c r="H2" t="inlineStr">
        <is>
          <t>SÍ</t>
        </is>
      </c>
      <c r="I2" t="inlineStr">
        <is>
          <t>NO</t>
        </is>
      </c>
      <c r="J2" t="inlineStr">
        <is>
          <t>CITRICOS</t>
        </is>
      </c>
      <c r="K2" t="inlineStr"/>
      <c r="L2" t="inlineStr">
        <is>
          <t>ORO</t>
        </is>
      </c>
      <c r="M2" t="n">
        <v>1</v>
      </c>
      <c r="N2" t="n">
        <v>0.01803</v>
      </c>
      <c r="O2" t="n">
        <v>0</v>
      </c>
      <c r="P2" t="inlineStr">
        <is>
          <t>neto_comercial</t>
        </is>
      </c>
      <c r="Q2" t="n">
        <v>11620</v>
      </c>
      <c r="R2" t="n">
        <v>9450.153700000001</v>
      </c>
      <c r="S2" t="n">
        <v>9450.153700000001</v>
      </c>
      <c r="T2" t="n">
        <v>170.39</v>
      </c>
      <c r="U2" t="n">
        <v>170.39</v>
      </c>
      <c r="V2" t="n">
        <v>170.39</v>
      </c>
      <c r="W2" t="n">
        <v>170.39</v>
      </c>
      <c r="X2" t="inlineStr">
        <is>
          <t>calculated</t>
        </is>
      </c>
      <c r="Y2" t="inlineStr"/>
      <c r="Z2" t="inlineStr">
        <is>
          <t>SÍ</t>
        </is>
      </c>
    </row>
    <row r="3">
      <c r="A3" t="n">
        <v>1411</v>
      </c>
      <c r="B3" t="inlineStr">
        <is>
          <t>HERMANOS PEÑA GRIÑAN S.C.</t>
        </is>
      </c>
      <c r="C3" t="inlineStr">
        <is>
          <t>SALUSTIANA</t>
        </is>
      </c>
      <c r="D3" t="inlineStr">
        <is>
          <t>2026</t>
        </is>
      </c>
      <c r="E3" t="inlineStr">
        <is>
          <t>1</t>
        </is>
      </c>
      <c r="F3" t="inlineStr">
        <is>
          <t>CITRICOS</t>
        </is>
      </c>
      <c r="G3" t="inlineStr">
        <is>
          <t>SÍ</t>
        </is>
      </c>
      <c r="H3" t="inlineStr">
        <is>
          <t>NO</t>
        </is>
      </c>
      <c r="I3" t="inlineStr">
        <is>
          <t>NO</t>
        </is>
      </c>
      <c r="J3" t="inlineStr"/>
      <c r="K3" t="inlineStr">
        <is>
          <t>CITRICOS</t>
        </is>
      </c>
      <c r="N3" t="n">
        <v>0.01803</v>
      </c>
      <c r="O3" t="n">
        <v>0</v>
      </c>
      <c r="Q3" t="n">
        <v>12774</v>
      </c>
      <c r="R3" t="n">
        <v>10397.613029</v>
      </c>
      <c r="U3" t="n">
        <v>0</v>
      </c>
      <c r="V3" t="n">
        <v>0</v>
      </c>
      <c r="W3" t="n">
        <v>0</v>
      </c>
      <c r="X3" t="inlineStr">
        <is>
          <t>not_applicable</t>
        </is>
      </c>
      <c r="Y3" t="inlineStr"/>
      <c r="Z3" t="inlineStr">
        <is>
          <t>SÍ</t>
        </is>
      </c>
    </row>
    <row r="4">
      <c r="A4" t="n">
        <v>1540</v>
      </c>
      <c r="B4" t="inlineStr">
        <is>
          <t>AGRICOLA SANCHEZ CUENCA S.C.</t>
        </is>
      </c>
      <c r="C4" t="inlineStr">
        <is>
          <t>SALUSTIANA</t>
        </is>
      </c>
      <c r="D4" t="inlineStr">
        <is>
          <t>2026</t>
        </is>
      </c>
      <c r="E4" t="inlineStr">
        <is>
          <t>1</t>
        </is>
      </c>
      <c r="F4" t="inlineStr">
        <is>
          <t>CITRICOS</t>
        </is>
      </c>
      <c r="G4" t="inlineStr">
        <is>
          <t>SÍ</t>
        </is>
      </c>
      <c r="H4" t="inlineStr">
        <is>
          <t>SÍ</t>
        </is>
      </c>
      <c r="I4" t="inlineStr">
        <is>
          <t>NO</t>
        </is>
      </c>
      <c r="J4" t="inlineStr">
        <is>
          <t>CITRICOS</t>
        </is>
      </c>
      <c r="K4" t="inlineStr"/>
      <c r="L4" t="inlineStr">
        <is>
          <t>ORO</t>
        </is>
      </c>
      <c r="M4" t="n">
        <v>1</v>
      </c>
      <c r="N4" t="n">
        <v>0.01803</v>
      </c>
      <c r="O4" t="n">
        <v>0</v>
      </c>
      <c r="P4" t="inlineStr">
        <is>
          <t>neto_comercial</t>
        </is>
      </c>
      <c r="Q4" t="n">
        <v>23480</v>
      </c>
      <c r="R4" t="n">
        <v>17527.600864</v>
      </c>
      <c r="S4" t="n">
        <v>17527.600864</v>
      </c>
      <c r="T4" t="n">
        <v>316.02</v>
      </c>
      <c r="U4" t="n">
        <v>316.02</v>
      </c>
      <c r="V4" t="n">
        <v>316.02</v>
      </c>
      <c r="W4" t="n">
        <v>316.02</v>
      </c>
      <c r="X4" t="inlineStr">
        <is>
          <t>calculated</t>
        </is>
      </c>
      <c r="Y4" t="inlineStr"/>
      <c r="Z4" t="inlineStr">
        <is>
          <t>SÍ</t>
        </is>
      </c>
    </row>
    <row r="5">
      <c r="A5" t="n">
        <v>1570</v>
      </c>
      <c r="B5" t="inlineStr">
        <is>
          <t>FAMILIA LOPEZ CASTILLO S.C.</t>
        </is>
      </c>
      <c r="C5" t="inlineStr">
        <is>
          <t>SALUSTIANA</t>
        </is>
      </c>
      <c r="D5" t="inlineStr">
        <is>
          <t>2026</t>
        </is>
      </c>
      <c r="E5" t="inlineStr">
        <is>
          <t>1</t>
        </is>
      </c>
      <c r="F5" t="inlineStr">
        <is>
          <t>CITRICOS</t>
        </is>
      </c>
      <c r="G5" t="inlineStr">
        <is>
          <t>SÍ</t>
        </is>
      </c>
      <c r="H5" t="inlineStr">
        <is>
          <t>NO</t>
        </is>
      </c>
      <c r="I5" t="inlineStr">
        <is>
          <t>NO</t>
        </is>
      </c>
      <c r="J5" t="inlineStr"/>
      <c r="K5" t="inlineStr">
        <is>
          <t>CITRICOS</t>
        </is>
      </c>
      <c r="N5" t="n">
        <v>0.01803</v>
      </c>
      <c r="O5" t="n">
        <v>0</v>
      </c>
      <c r="Q5" t="n">
        <v>21640</v>
      </c>
      <c r="R5" t="n">
        <v>16428.373437</v>
      </c>
      <c r="U5" t="n">
        <v>0</v>
      </c>
      <c r="V5" t="n">
        <v>0</v>
      </c>
      <c r="W5" t="n">
        <v>0</v>
      </c>
      <c r="X5" t="inlineStr">
        <is>
          <t>not_applicable</t>
        </is>
      </c>
      <c r="Y5" t="inlineStr"/>
      <c r="Z5" t="inlineStr">
        <is>
          <t>SÍ</t>
        </is>
      </c>
    </row>
    <row r="6">
      <c r="A6" t="n">
        <v>1582</v>
      </c>
      <c r="B6" t="inlineStr">
        <is>
          <t>IGEÑO SANCHEZ, JOSE CARLOS</t>
        </is>
      </c>
      <c r="C6" t="inlineStr">
        <is>
          <t>SALUSTIANA</t>
        </is>
      </c>
      <c r="D6" t="inlineStr">
        <is>
          <t>2026</t>
        </is>
      </c>
      <c r="E6" t="inlineStr">
        <is>
          <t>1</t>
        </is>
      </c>
      <c r="F6" t="inlineStr">
        <is>
          <t>CITRICOS</t>
        </is>
      </c>
      <c r="G6" t="inlineStr">
        <is>
          <t>SÍ</t>
        </is>
      </c>
      <c r="H6" t="inlineStr">
        <is>
          <t>SÍ</t>
        </is>
      </c>
      <c r="I6" t="inlineStr">
        <is>
          <t>NO</t>
        </is>
      </c>
      <c r="J6" t="inlineStr">
        <is>
          <t>CITRICOS, KAKIS</t>
        </is>
      </c>
      <c r="K6" t="inlineStr"/>
      <c r="L6" t="inlineStr">
        <is>
          <t>ORO</t>
        </is>
      </c>
      <c r="M6" t="n">
        <v>1</v>
      </c>
      <c r="N6" t="n">
        <v>0.01803</v>
      </c>
      <c r="O6" t="n">
        <v>0</v>
      </c>
      <c r="P6" t="inlineStr">
        <is>
          <t>neto_comercial</t>
        </is>
      </c>
      <c r="Q6" t="n">
        <v>24020</v>
      </c>
      <c r="R6" t="n">
        <v>20759.41313</v>
      </c>
      <c r="S6" t="n">
        <v>20759.41313</v>
      </c>
      <c r="T6" t="n">
        <v>374.29</v>
      </c>
      <c r="U6" t="n">
        <v>374.29</v>
      </c>
      <c r="V6" t="n">
        <v>374.29</v>
      </c>
      <c r="W6" t="n">
        <v>374.29</v>
      </c>
      <c r="X6" t="inlineStr">
        <is>
          <t>calculated</t>
        </is>
      </c>
      <c r="Y6" t="inlineStr"/>
      <c r="Z6" t="inlineStr">
        <is>
          <t>SÍ</t>
        </is>
      </c>
    </row>
    <row r="7">
      <c r="A7" t="n">
        <v>1585</v>
      </c>
      <c r="B7" t="inlineStr">
        <is>
          <t>CESPEDES AGUILAR, PATRICIA</t>
        </is>
      </c>
      <c r="C7" t="inlineStr">
        <is>
          <t>SALUSTIANA</t>
        </is>
      </c>
      <c r="D7" t="inlineStr">
        <is>
          <t>2026</t>
        </is>
      </c>
      <c r="E7" t="inlineStr">
        <is>
          <t>1</t>
        </is>
      </c>
      <c r="F7" t="inlineStr">
        <is>
          <t>CITRICOS</t>
        </is>
      </c>
      <c r="G7" t="inlineStr">
        <is>
          <t>SÍ</t>
        </is>
      </c>
      <c r="H7" t="inlineStr">
        <is>
          <t>SÍ</t>
        </is>
      </c>
      <c r="I7" t="inlineStr">
        <is>
          <t>NO</t>
        </is>
      </c>
      <c r="J7" t="inlineStr">
        <is>
          <t>CITRICOS</t>
        </is>
      </c>
      <c r="K7" t="inlineStr"/>
      <c r="L7" t="inlineStr">
        <is>
          <t>ORO</t>
        </is>
      </c>
      <c r="M7" t="n">
        <v>1</v>
      </c>
      <c r="N7" t="n">
        <v>0.01803</v>
      </c>
      <c r="O7" t="n">
        <v>0</v>
      </c>
      <c r="P7" t="inlineStr">
        <is>
          <t>neto_comercial</t>
        </is>
      </c>
      <c r="Q7" t="n">
        <v>21133</v>
      </c>
      <c r="R7" t="n">
        <v>15339.443175</v>
      </c>
      <c r="S7" t="n">
        <v>15339.443175</v>
      </c>
      <c r="T7" t="n">
        <v>276.57</v>
      </c>
      <c r="U7" t="n">
        <v>276.57</v>
      </c>
      <c r="V7" t="n">
        <v>276.57</v>
      </c>
      <c r="W7" t="n">
        <v>276.57</v>
      </c>
      <c r="X7" t="inlineStr">
        <is>
          <t>calculated</t>
        </is>
      </c>
      <c r="Y7" t="inlineStr"/>
      <c r="Z7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CITRICOS</t>
        </is>
      </c>
      <c r="D2" t="inlineStr">
        <is>
          <t>BLANCA TEMPRANA sem 3</t>
        </is>
      </c>
      <c r="E2" t="inlineStr">
        <is>
          <t>BLANCA TEMPRANA</t>
        </is>
      </c>
      <c r="F2" t="inlineStr">
        <is>
          <t>GROUP</t>
        </is>
      </c>
      <c r="G2" t="inlineStr">
        <is>
          <t>BLANCA</t>
        </is>
      </c>
      <c r="H2" t="inlineStr">
        <is>
          <t>TEMPRANA</t>
        </is>
      </c>
      <c r="I2" t="inlineStr">
        <is>
          <t>SALUSTIANA</t>
        </is>
      </c>
      <c r="J2" t="n">
        <v>1</v>
      </c>
      <c r="K2" t="inlineStr">
        <is>
          <t>GROUP</t>
        </is>
      </c>
      <c r="L2" t="inlineStr"/>
      <c r="M2" t="inlineStr">
        <is>
          <t>BLANCA TEMPRANA</t>
        </is>
      </c>
      <c r="N2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1384</v>
      </c>
      <c r="B2" t="inlineStr">
        <is>
          <t>RIEGO MARTIN,ANA BELEN</t>
        </is>
      </c>
      <c r="C2" t="inlineStr">
        <is>
          <t>SALUSTIANA</t>
        </is>
      </c>
      <c r="D2" t="n">
        <v>4276.53</v>
      </c>
      <c r="E2" t="n">
        <v>4276.53</v>
      </c>
      <c r="F2" t="n">
        <v>836.64</v>
      </c>
      <c r="G2" t="n">
        <v>129.09</v>
      </c>
      <c r="H2" t="n">
        <v>0</v>
      </c>
      <c r="I2" t="n">
        <v>0</v>
      </c>
      <c r="J2" t="n">
        <v>170.39</v>
      </c>
      <c r="K2" t="n">
        <v>3481.19</v>
      </c>
      <c r="L2" t="n">
        <v>3481.19</v>
      </c>
      <c r="M2" t="n">
        <v>3481.19</v>
      </c>
      <c r="N2" t="n">
        <v>0</v>
      </c>
      <c r="O2" t="n">
        <v>0.29959</v>
      </c>
      <c r="P2" t="n">
        <v>0.32883</v>
      </c>
      <c r="Q2" t="inlineStr">
        <is>
          <t>SÍ</t>
        </is>
      </c>
      <c r="R2" t="inlineStr"/>
    </row>
    <row r="3">
      <c r="A3" t="n">
        <v>1411</v>
      </c>
      <c r="B3" t="inlineStr">
        <is>
          <t>HERMANOS PEÑA GRIÑAN S.C.</t>
        </is>
      </c>
      <c r="C3" t="inlineStr">
        <is>
          <t>SALUSTIANA</t>
        </is>
      </c>
      <c r="D3" t="n">
        <v>4784.24</v>
      </c>
      <c r="E3" t="n">
        <v>4784.24</v>
      </c>
      <c r="F3" t="n">
        <v>919.73</v>
      </c>
      <c r="G3" t="n">
        <v>106.04</v>
      </c>
      <c r="H3" t="n">
        <v>0</v>
      </c>
      <c r="I3" t="n">
        <v>0</v>
      </c>
      <c r="J3" t="n">
        <v>0</v>
      </c>
      <c r="K3" t="n">
        <v>3758.47</v>
      </c>
      <c r="L3" t="n">
        <v>3758.47</v>
      </c>
      <c r="M3" t="n">
        <v>3758.47</v>
      </c>
      <c r="N3" t="n">
        <v>0</v>
      </c>
      <c r="O3" t="n">
        <v>0.29423</v>
      </c>
      <c r="P3" t="n">
        <v>0.32295</v>
      </c>
      <c r="Q3" t="inlineStr">
        <is>
          <t>SÍ</t>
        </is>
      </c>
      <c r="R3" t="inlineStr"/>
    </row>
    <row r="4">
      <c r="A4" t="n">
        <v>1540</v>
      </c>
      <c r="B4" t="inlineStr">
        <is>
          <t>AGRICOLA SANCHEZ CUENCA S.C.</t>
        </is>
      </c>
      <c r="C4" t="inlineStr">
        <is>
          <t>SALUSTIANA</t>
        </is>
      </c>
      <c r="D4" t="n">
        <v>8167.78</v>
      </c>
      <c r="E4" t="n">
        <v>8167.78</v>
      </c>
      <c r="F4" t="n">
        <v>1690.56</v>
      </c>
      <c r="G4" t="n">
        <v>121.57</v>
      </c>
      <c r="H4" t="n">
        <v>0</v>
      </c>
      <c r="I4" t="n">
        <v>0</v>
      </c>
      <c r="J4" t="n">
        <v>316.02</v>
      </c>
      <c r="K4" t="n">
        <v>6671.67</v>
      </c>
      <c r="L4" t="n">
        <v>6671.67</v>
      </c>
      <c r="M4" t="n">
        <v>6671.67</v>
      </c>
      <c r="N4" t="n">
        <v>0</v>
      </c>
      <c r="O4" t="n">
        <v>0.28414</v>
      </c>
      <c r="P4" t="n">
        <v>0.31187</v>
      </c>
      <c r="Q4" t="inlineStr">
        <is>
          <t>SÍ</t>
        </is>
      </c>
      <c r="R4" t="inlineStr"/>
    </row>
    <row r="5">
      <c r="A5" t="n">
        <v>1570</v>
      </c>
      <c r="B5" t="inlineStr">
        <is>
          <t>FAMILIA LOPEZ CASTILLO S.C.</t>
        </is>
      </c>
      <c r="C5" t="inlineStr">
        <is>
          <t>SALUSTIANA</t>
        </is>
      </c>
      <c r="D5" t="n">
        <v>7291.68</v>
      </c>
      <c r="E5" t="n">
        <v>7291.68</v>
      </c>
      <c r="F5" t="n">
        <v>1558.08</v>
      </c>
      <c r="G5" t="n">
        <v>294.45</v>
      </c>
      <c r="H5" t="n">
        <v>0</v>
      </c>
      <c r="I5" t="n">
        <v>0</v>
      </c>
      <c r="J5" t="n">
        <v>0</v>
      </c>
      <c r="K5" t="n">
        <v>5439.15</v>
      </c>
      <c r="L5" t="n">
        <v>5439.15</v>
      </c>
      <c r="M5" t="n">
        <v>5439.15</v>
      </c>
      <c r="N5" t="n">
        <v>0</v>
      </c>
      <c r="O5" t="n">
        <v>0.25135</v>
      </c>
      <c r="P5" t="n">
        <v>0.27588</v>
      </c>
      <c r="Q5" t="inlineStr">
        <is>
          <t>SÍ</t>
        </is>
      </c>
      <c r="R5" t="inlineStr"/>
    </row>
    <row r="6">
      <c r="A6" t="n">
        <v>1582</v>
      </c>
      <c r="B6" t="inlineStr">
        <is>
          <t>IGEÑO SANCHEZ, JOSE CARLOS</t>
        </is>
      </c>
      <c r="C6" t="inlineStr">
        <is>
          <t>SALUSTIANA</t>
        </is>
      </c>
      <c r="D6" t="n">
        <v>9095.450000000001</v>
      </c>
      <c r="E6" t="n">
        <v>9095.450000000001</v>
      </c>
      <c r="F6" t="n">
        <v>1729.44</v>
      </c>
      <c r="G6" t="n">
        <v>114.84</v>
      </c>
      <c r="H6" t="n">
        <v>0</v>
      </c>
      <c r="I6" t="n">
        <v>266.62</v>
      </c>
      <c r="J6" t="n">
        <v>374.29</v>
      </c>
      <c r="K6" t="n">
        <v>7892.08</v>
      </c>
      <c r="L6" t="n">
        <v>7892.08</v>
      </c>
      <c r="M6" t="n">
        <v>7892.08</v>
      </c>
      <c r="N6" t="n">
        <v>0</v>
      </c>
      <c r="O6" t="n">
        <v>0.32856</v>
      </c>
      <c r="P6" t="n">
        <v>0.36063</v>
      </c>
      <c r="Q6" t="inlineStr">
        <is>
          <t>SÍ</t>
        </is>
      </c>
      <c r="R6" t="inlineStr"/>
    </row>
    <row r="7">
      <c r="A7" t="n">
        <v>1585</v>
      </c>
      <c r="B7" t="inlineStr">
        <is>
          <t>CESPEDES AGUILAR, PATRICIA</t>
        </is>
      </c>
      <c r="C7" t="inlineStr">
        <is>
          <t>SALUSTIANA</t>
        </is>
      </c>
      <c r="D7" t="n">
        <v>7130.43</v>
      </c>
      <c r="E7" t="n">
        <v>7130.43</v>
      </c>
      <c r="F7" t="n">
        <v>1521.58</v>
      </c>
      <c r="G7" t="n">
        <v>142.24</v>
      </c>
      <c r="H7" t="n">
        <v>0</v>
      </c>
      <c r="I7" t="n">
        <v>0</v>
      </c>
      <c r="J7" t="n">
        <v>276.57</v>
      </c>
      <c r="K7" t="n">
        <v>5743.18</v>
      </c>
      <c r="L7" t="n">
        <v>5743.18</v>
      </c>
      <c r="M7" t="n">
        <v>5743.18</v>
      </c>
      <c r="N7" t="n">
        <v>0</v>
      </c>
      <c r="O7" t="n">
        <v>0.27176</v>
      </c>
      <c r="P7" t="n">
        <v>0.29829</v>
      </c>
      <c r="Q7" t="inlineStr">
        <is>
          <t>SÍ</t>
        </is>
      </c>
      <c r="R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1384</v>
      </c>
      <c r="B2" t="inlineStr">
        <is>
          <t>RIEGO MARTIN,ANA BELEN</t>
        </is>
      </c>
      <c r="C2" t="inlineStr">
        <is>
          <t>SALUSTIANA</t>
        </is>
      </c>
      <c r="D2" t="n">
        <v>3481.19</v>
      </c>
      <c r="E2" t="n">
        <v>12</v>
      </c>
      <c r="F2" t="n">
        <v>1.12</v>
      </c>
      <c r="G2" t="n">
        <v>417.74</v>
      </c>
      <c r="H2" t="n">
        <v>3898.93</v>
      </c>
      <c r="I2" t="n">
        <v>2</v>
      </c>
      <c r="J2" t="n">
        <v>0.98</v>
      </c>
      <c r="K2" t="n">
        <v>77.98</v>
      </c>
      <c r="L2" t="n">
        <v>3820.95</v>
      </c>
      <c r="M2" t="n">
        <v>3820.95</v>
      </c>
      <c r="N2" t="n">
        <v>3820.95</v>
      </c>
      <c r="O2" t="n">
        <v>11620</v>
      </c>
      <c r="P2" t="n">
        <v>0.32883</v>
      </c>
      <c r="Q2" t="n">
        <v>0.32883</v>
      </c>
      <c r="R2" t="n">
        <v>0.32883</v>
      </c>
      <c r="S2" t="n">
        <v>0</v>
      </c>
      <c r="T2" t="n">
        <v>0</v>
      </c>
      <c r="U2" t="inlineStr">
        <is>
          <t>SÍ</t>
        </is>
      </c>
      <c r="V2" t="inlineStr"/>
    </row>
    <row r="3">
      <c r="A3" t="n">
        <v>1411</v>
      </c>
      <c r="B3" t="inlineStr">
        <is>
          <t>HERMANOS PEÑA GRIÑAN S.C.</t>
        </is>
      </c>
      <c r="C3" t="inlineStr">
        <is>
          <t>SALUSTIANA</t>
        </is>
      </c>
      <c r="D3" t="n">
        <v>3758.47</v>
      </c>
      <c r="E3" t="n">
        <v>12</v>
      </c>
      <c r="F3" t="n">
        <v>1.12</v>
      </c>
      <c r="G3" t="n">
        <v>451.02</v>
      </c>
      <c r="H3" t="n">
        <v>4209.49</v>
      </c>
      <c r="I3" t="n">
        <v>2</v>
      </c>
      <c r="J3" t="n">
        <v>0.98</v>
      </c>
      <c r="K3" t="n">
        <v>84.19</v>
      </c>
      <c r="L3" t="n">
        <v>4125.3</v>
      </c>
      <c r="M3" t="n">
        <v>4125.3</v>
      </c>
      <c r="N3" t="n">
        <v>4125.3</v>
      </c>
      <c r="O3" t="n">
        <v>12774</v>
      </c>
      <c r="P3" t="n">
        <v>0.32295</v>
      </c>
      <c r="Q3" t="n">
        <v>0.32295</v>
      </c>
      <c r="R3" t="n">
        <v>0.32295</v>
      </c>
      <c r="S3" t="n">
        <v>0</v>
      </c>
      <c r="T3" t="n">
        <v>0</v>
      </c>
      <c r="U3" t="inlineStr">
        <is>
          <t>SÍ</t>
        </is>
      </c>
      <c r="V3" t="inlineStr"/>
    </row>
    <row r="4">
      <c r="A4" t="n">
        <v>1540</v>
      </c>
      <c r="B4" t="inlineStr">
        <is>
          <t>AGRICOLA SANCHEZ CUENCA S.C.</t>
        </is>
      </c>
      <c r="C4" t="inlineStr">
        <is>
          <t>SALUSTIANA</t>
        </is>
      </c>
      <c r="D4" t="n">
        <v>6671.67</v>
      </c>
      <c r="E4" t="n">
        <v>12</v>
      </c>
      <c r="F4" t="n">
        <v>1.12</v>
      </c>
      <c r="G4" t="n">
        <v>800.6</v>
      </c>
      <c r="H4" t="n">
        <v>7472.27</v>
      </c>
      <c r="I4" t="n">
        <v>2</v>
      </c>
      <c r="J4" t="n">
        <v>0.98</v>
      </c>
      <c r="K4" t="n">
        <v>149.45</v>
      </c>
      <c r="L4" t="n">
        <v>7322.82</v>
      </c>
      <c r="M4" t="n">
        <v>7322.82</v>
      </c>
      <c r="N4" t="n">
        <v>7322.82</v>
      </c>
      <c r="O4" t="n">
        <v>23480</v>
      </c>
      <c r="P4" t="n">
        <v>0.31187</v>
      </c>
      <c r="Q4" t="n">
        <v>0.31187</v>
      </c>
      <c r="R4" t="n">
        <v>0.31187</v>
      </c>
      <c r="S4" t="n">
        <v>0</v>
      </c>
      <c r="T4" t="n">
        <v>0</v>
      </c>
      <c r="U4" t="inlineStr">
        <is>
          <t>SÍ</t>
        </is>
      </c>
      <c r="V4" t="inlineStr"/>
    </row>
    <row r="5">
      <c r="A5" t="n">
        <v>1570</v>
      </c>
      <c r="B5" t="inlineStr">
        <is>
          <t>FAMILIA LOPEZ CASTILLO S.C.</t>
        </is>
      </c>
      <c r="C5" t="inlineStr">
        <is>
          <t>SALUSTIANA</t>
        </is>
      </c>
      <c r="D5" t="n">
        <v>5439.15</v>
      </c>
      <c r="E5" t="n">
        <v>12</v>
      </c>
      <c r="F5" t="n">
        <v>1.12</v>
      </c>
      <c r="G5" t="n">
        <v>652.7</v>
      </c>
      <c r="H5" t="n">
        <v>6091.85</v>
      </c>
      <c r="I5" t="n">
        <v>2</v>
      </c>
      <c r="J5" t="n">
        <v>0.98</v>
      </c>
      <c r="K5" t="n">
        <v>121.84</v>
      </c>
      <c r="L5" t="n">
        <v>5970.01</v>
      </c>
      <c r="M5" t="n">
        <v>5970.01</v>
      </c>
      <c r="N5" t="n">
        <v>5970.01</v>
      </c>
      <c r="O5" t="n">
        <v>21640</v>
      </c>
      <c r="P5" t="n">
        <v>0.27588</v>
      </c>
      <c r="Q5" t="n">
        <v>0.27588</v>
      </c>
      <c r="R5" t="n">
        <v>0.27588</v>
      </c>
      <c r="S5" t="n">
        <v>0</v>
      </c>
      <c r="T5" t="n">
        <v>0</v>
      </c>
      <c r="U5" t="inlineStr">
        <is>
          <t>SÍ</t>
        </is>
      </c>
      <c r="V5" t="inlineStr"/>
    </row>
    <row r="6">
      <c r="A6" t="n">
        <v>1582</v>
      </c>
      <c r="B6" t="inlineStr">
        <is>
          <t>IGEÑO SANCHEZ, JOSE CARLOS</t>
        </is>
      </c>
      <c r="C6" t="inlineStr">
        <is>
          <t>SALUSTIANA</t>
        </is>
      </c>
      <c r="D6" t="n">
        <v>7892.08</v>
      </c>
      <c r="E6" t="n">
        <v>12</v>
      </c>
      <c r="F6" t="n">
        <v>1.12</v>
      </c>
      <c r="G6" t="n">
        <v>947.05</v>
      </c>
      <c r="H6" t="n">
        <v>8839.129999999999</v>
      </c>
      <c r="I6" t="n">
        <v>2</v>
      </c>
      <c r="J6" t="n">
        <v>0.98</v>
      </c>
      <c r="K6" t="n">
        <v>176.78</v>
      </c>
      <c r="L6" t="n">
        <v>8662.35</v>
      </c>
      <c r="M6" t="n">
        <v>8662.35</v>
      </c>
      <c r="N6" t="n">
        <v>8662.35</v>
      </c>
      <c r="O6" t="n">
        <v>24020</v>
      </c>
      <c r="P6" t="n">
        <v>0.36063</v>
      </c>
      <c r="Q6" t="n">
        <v>0.36063</v>
      </c>
      <c r="R6" t="n">
        <v>0.36063</v>
      </c>
      <c r="S6" t="n">
        <v>0</v>
      </c>
      <c r="T6" t="n">
        <v>0</v>
      </c>
      <c r="U6" t="inlineStr">
        <is>
          <t>SÍ</t>
        </is>
      </c>
      <c r="V6" t="inlineStr"/>
    </row>
    <row r="7">
      <c r="A7" t="n">
        <v>1585</v>
      </c>
      <c r="B7" t="inlineStr">
        <is>
          <t>CESPEDES AGUILAR, PATRICIA</t>
        </is>
      </c>
      <c r="C7" t="inlineStr">
        <is>
          <t>SALUSTIANA</t>
        </is>
      </c>
      <c r="D7" t="n">
        <v>5743.18</v>
      </c>
      <c r="E7" t="n">
        <v>12</v>
      </c>
      <c r="F7" t="n">
        <v>1.12</v>
      </c>
      <c r="G7" t="n">
        <v>689.1799999999999</v>
      </c>
      <c r="H7" t="n">
        <v>6432.36</v>
      </c>
      <c r="I7" t="n">
        <v>2</v>
      </c>
      <c r="J7" t="n">
        <v>0.98</v>
      </c>
      <c r="K7" t="n">
        <v>128.65</v>
      </c>
      <c r="L7" t="n">
        <v>6303.71</v>
      </c>
      <c r="M7" t="n">
        <v>6303.71</v>
      </c>
      <c r="N7" t="n">
        <v>6303.71</v>
      </c>
      <c r="O7" t="n">
        <v>21133</v>
      </c>
      <c r="P7" t="n">
        <v>0.29829</v>
      </c>
      <c r="Q7" t="n">
        <v>0.29829</v>
      </c>
      <c r="R7" t="n">
        <v>0.29829</v>
      </c>
      <c r="S7" t="n">
        <v>0</v>
      </c>
      <c r="T7" t="n">
        <v>0</v>
      </c>
      <c r="U7" t="inlineStr">
        <is>
          <t>SÍ</t>
        </is>
      </c>
      <c r="V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1384</v>
      </c>
      <c r="B2" t="inlineStr">
        <is>
          <t>RIEGO MARTIN,ANA BELEN</t>
        </is>
      </c>
      <c r="C2" t="inlineStr">
        <is>
          <t>SALUSTIANA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6.55</v>
      </c>
      <c r="M2" t="n">
        <v>195</v>
      </c>
      <c r="N2" t="n">
        <v>1277.25</v>
      </c>
      <c r="O2" t="n">
        <v>114972</v>
      </c>
      <c r="P2" t="n">
        <v>0.01110922659430122</v>
      </c>
      <c r="Q2" t="n">
        <v>11620</v>
      </c>
      <c r="R2" t="n">
        <v>129.09</v>
      </c>
      <c r="S2" t="n">
        <v>0</v>
      </c>
      <c r="T2" t="n">
        <v>129.09</v>
      </c>
      <c r="U2" t="n">
        <v>1148.16</v>
      </c>
      <c r="V2" t="inlineStr">
        <is>
          <t>OPEN</t>
        </is>
      </c>
      <c r="W2" t="inlineStr">
        <is>
          <t>calculated</t>
        </is>
      </c>
      <c r="X2" t="inlineStr">
        <is>
          <t>14 entregas ya figuran como liquidadas.; No existe tarifa BonCalidad para socio=1384 campaña=2026 empresa=1 cultivo=CITRICOS.; No existe fuente acumulada disponible; saldo informativo calculado con cuota ya aplicada = 0.</t>
        </is>
      </c>
      <c r="Y2" t="inlineStr">
        <is>
          <t>SÍ</t>
        </is>
      </c>
    </row>
    <row r="3">
      <c r="A3" t="n">
        <v>1411</v>
      </c>
      <c r="B3" t="inlineStr">
        <is>
          <t>HERMANOS PEÑA GRIÑAN S.C.</t>
        </is>
      </c>
      <c r="C3" t="inlineStr">
        <is>
          <t>SALUSTIANA</t>
        </is>
      </c>
      <c r="D3" t="inlineStr">
        <is>
          <t>2026</t>
        </is>
      </c>
      <c r="E3" t="inlineStr">
        <is>
          <t>1</t>
        </is>
      </c>
      <c r="F3" t="inlineStr">
        <is>
          <t>DIRECTOCHF, DIRECTO, MANDARINA, INDUSTRIA, CITRICOS</t>
        </is>
      </c>
      <c r="G3" t="n">
        <v>3</v>
      </c>
      <c r="H3" t="n">
        <v>3</v>
      </c>
      <c r="I3" t="n">
        <v>6</v>
      </c>
      <c r="J3" t="n">
        <v>0</v>
      </c>
      <c r="K3" t="n">
        <v>0</v>
      </c>
      <c r="L3" t="n">
        <v>12.74</v>
      </c>
      <c r="M3" t="n">
        <v>195</v>
      </c>
      <c r="N3" t="n">
        <v>2484.3</v>
      </c>
      <c r="O3" t="n">
        <v>299255</v>
      </c>
      <c r="P3" t="n">
        <v>0.008301615678936024</v>
      </c>
      <c r="Q3" t="n">
        <v>12774</v>
      </c>
      <c r="R3" t="n">
        <v>106.04</v>
      </c>
      <c r="S3" t="n">
        <v>0</v>
      </c>
      <c r="T3" t="n">
        <v>106.04</v>
      </c>
      <c r="U3" t="n">
        <v>2378.26</v>
      </c>
      <c r="V3" t="inlineStr">
        <is>
          <t>OPEN</t>
        </is>
      </c>
      <c r="W3" t="inlineStr">
        <is>
          <t>calculated</t>
        </is>
      </c>
      <c r="X3" t="inlineStr">
        <is>
          <t>14 entregas ya figuran como liquidadas.; No existe tarifa BonCalidad para socio=1411 campaña=2026 empresa=1 cultivo=CITRICOS.; No existe fuente acumulada disponible; saldo informativo calculado con cuota ya aplicada = 0.</t>
        </is>
      </c>
      <c r="Y3" t="inlineStr">
        <is>
          <t>SÍ</t>
        </is>
      </c>
    </row>
    <row r="4">
      <c r="A4" t="n">
        <v>1540</v>
      </c>
      <c r="B4" t="inlineStr">
        <is>
          <t>AGRICOLA SANCHEZ CUENCA S.C.</t>
        </is>
      </c>
      <c r="C4" t="inlineStr">
        <is>
          <t>SALUSTIANA</t>
        </is>
      </c>
      <c r="D4" t="inlineStr">
        <is>
          <t>2026</t>
        </is>
      </c>
      <c r="E4" t="inlineStr">
        <is>
          <t>1</t>
        </is>
      </c>
      <c r="F4" t="inlineStr">
        <is>
          <t>DIRECTOCHF, DIRECTO, MANDARINA, INDUSTRIA, CITRICOS</t>
        </is>
      </c>
      <c r="G4" t="n">
        <v>1</v>
      </c>
      <c r="H4" t="n">
        <v>1</v>
      </c>
      <c r="I4" t="n">
        <v>3</v>
      </c>
      <c r="J4" t="n">
        <v>0</v>
      </c>
      <c r="K4" t="n">
        <v>0</v>
      </c>
      <c r="L4" t="n">
        <v>5.96</v>
      </c>
      <c r="M4" t="n">
        <v>195</v>
      </c>
      <c r="N4" t="n">
        <v>1162.2</v>
      </c>
      <c r="O4" t="n">
        <v>224459</v>
      </c>
      <c r="P4" t="n">
        <v>0.005177783024962242</v>
      </c>
      <c r="Q4" t="n">
        <v>23480</v>
      </c>
      <c r="R4" t="n">
        <v>121.57</v>
      </c>
      <c r="S4" t="n">
        <v>0</v>
      </c>
      <c r="T4" t="n">
        <v>121.57</v>
      </c>
      <c r="U4" t="n">
        <v>1040.63</v>
      </c>
      <c r="V4" t="inlineStr">
        <is>
          <t>OPEN</t>
        </is>
      </c>
      <c r="W4" t="inlineStr">
        <is>
          <t>calculated</t>
        </is>
      </c>
      <c r="X4" t="inlineStr">
        <is>
          <t>14 entregas ya figuran como liquidadas.; No existe tarifa BonCalidad para socio=1540 campaña=2026 empresa=1 cultivo=CITRICOS.; No existe fuente acumulada disponible; saldo informativo calculado con cuota ya aplicada = 0.</t>
        </is>
      </c>
      <c r="Y4" t="inlineStr">
        <is>
          <t>SÍ</t>
        </is>
      </c>
    </row>
    <row r="5">
      <c r="A5" t="n">
        <v>1570</v>
      </c>
      <c r="B5" t="inlineStr">
        <is>
          <t>FAMILIA LOPEZ CASTILLO S.C.</t>
        </is>
      </c>
      <c r="C5" t="inlineStr">
        <is>
          <t>SALUSTIANA</t>
        </is>
      </c>
      <c r="D5" t="inlineStr">
        <is>
          <t>2026</t>
        </is>
      </c>
      <c r="E5" t="inlineStr">
        <is>
          <t>1</t>
        </is>
      </c>
      <c r="F5" t="inlineStr">
        <is>
          <t>DIRECTOCHF, DIRECTO, MANDARINA, INDUSTRIA, CITRICOS</t>
        </is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1.51</v>
      </c>
      <c r="M5" t="n">
        <v>195</v>
      </c>
      <c r="N5" t="n">
        <v>294.45</v>
      </c>
      <c r="O5" t="n">
        <v>21640</v>
      </c>
      <c r="P5" t="n">
        <v>0.01360674676524954</v>
      </c>
      <c r="Q5" t="n">
        <v>21640</v>
      </c>
      <c r="R5" t="n">
        <v>294.45</v>
      </c>
      <c r="S5" t="n">
        <v>0</v>
      </c>
      <c r="T5" t="n">
        <v>294.45</v>
      </c>
      <c r="U5" t="n">
        <v>0</v>
      </c>
      <c r="V5" t="inlineStr">
        <is>
          <t>CLOSED</t>
        </is>
      </c>
      <c r="W5" t="inlineStr">
        <is>
          <t>calculated</t>
        </is>
      </c>
      <c r="X5" t="inlineStr">
        <is>
          <t>14 entregas ya figuran como liquidadas.; No existe tarifa BonCalidad para socio=1570 campaña=2026 empresa=1 cultivo=CITRICOS.; No existe fuente acumulada disponible; saldo informativo calculado con cuota ya aplicada = 0.</t>
        </is>
      </c>
      <c r="Y5" t="inlineStr">
        <is>
          <t>SÍ</t>
        </is>
      </c>
    </row>
    <row r="6">
      <c r="A6" t="n">
        <v>1582</v>
      </c>
      <c r="B6" t="inlineStr">
        <is>
          <t>IGEÑO SANCHEZ, JOSE CARLOS</t>
        </is>
      </c>
      <c r="C6" t="inlineStr">
        <is>
          <t>SALUSTIANA</t>
        </is>
      </c>
      <c r="D6" t="inlineStr">
        <is>
          <t>2026</t>
        </is>
      </c>
      <c r="E6" t="inlineStr">
        <is>
          <t>1</t>
        </is>
      </c>
      <c r="F6" t="inlineStr">
        <is>
          <t>DIRECTOCHF, DIRECTO, MANDARINA, INDUSTRIA, CITRICOS</t>
        </is>
      </c>
      <c r="G6" t="n">
        <v>1</v>
      </c>
      <c r="H6" t="n">
        <v>1</v>
      </c>
      <c r="I6" t="n">
        <v>3</v>
      </c>
      <c r="J6" t="n">
        <v>0</v>
      </c>
      <c r="K6" t="n">
        <v>0</v>
      </c>
      <c r="L6" t="n">
        <v>5.11</v>
      </c>
      <c r="M6" t="n">
        <v>195</v>
      </c>
      <c r="N6" t="n">
        <v>996.45</v>
      </c>
      <c r="O6" t="n">
        <v>208412</v>
      </c>
      <c r="P6" t="n">
        <v>0.004781154636009443</v>
      </c>
      <c r="Q6" t="n">
        <v>24020</v>
      </c>
      <c r="R6" t="n">
        <v>114.84</v>
      </c>
      <c r="S6" t="n">
        <v>0</v>
      </c>
      <c r="T6" t="n">
        <v>114.84</v>
      </c>
      <c r="U6" t="n">
        <v>881.61</v>
      </c>
      <c r="V6" t="inlineStr">
        <is>
          <t>OPEN</t>
        </is>
      </c>
      <c r="W6" t="inlineStr">
        <is>
          <t>calculated</t>
        </is>
      </c>
      <c r="X6" t="inlineStr">
        <is>
          <t>14 entregas ya figuran como liquidadas.; No existe tarifa BonCalidad para socio=1582 campaña=2026 empresa=1 cultivo=CITRICOS.; No existe fuente acumulada disponible; saldo informativo calculado con cuota ya aplicada = 0.</t>
        </is>
      </c>
      <c r="Y6" t="inlineStr">
        <is>
          <t>SÍ</t>
        </is>
      </c>
    </row>
    <row r="7">
      <c r="A7" t="n">
        <v>1585</v>
      </c>
      <c r="B7" t="inlineStr">
        <is>
          <t>CESPEDES AGUILAR, PATRICIA</t>
        </is>
      </c>
      <c r="C7" t="inlineStr">
        <is>
          <t>SALUSTIANA</t>
        </is>
      </c>
      <c r="D7" t="inlineStr">
        <is>
          <t>2026</t>
        </is>
      </c>
      <c r="E7" t="inlineStr">
        <is>
          <t>1</t>
        </is>
      </c>
      <c r="F7" t="inlineStr">
        <is>
          <t>DIRECTOCHF, DIRECTO, MANDARINA, INDUSTRIA, CITRICOS</t>
        </is>
      </c>
      <c r="G7" t="n">
        <v>2</v>
      </c>
      <c r="H7" t="n">
        <v>2</v>
      </c>
      <c r="I7" t="n">
        <v>3</v>
      </c>
      <c r="J7" t="n">
        <v>0</v>
      </c>
      <c r="K7" t="n">
        <v>0</v>
      </c>
      <c r="L7" t="n">
        <v>8.34</v>
      </c>
      <c r="M7" t="n">
        <v>195</v>
      </c>
      <c r="N7" t="n">
        <v>1626.3</v>
      </c>
      <c r="O7" t="n">
        <v>241627</v>
      </c>
      <c r="P7" t="n">
        <v>0.006730621991747611</v>
      </c>
      <c r="Q7" t="n">
        <v>21133</v>
      </c>
      <c r="R7" t="n">
        <v>142.24</v>
      </c>
      <c r="S7" t="n">
        <v>0</v>
      </c>
      <c r="T7" t="n">
        <v>142.24</v>
      </c>
      <c r="U7" t="n">
        <v>1484.06</v>
      </c>
      <c r="V7" t="inlineStr">
        <is>
          <t>OPEN</t>
        </is>
      </c>
      <c r="W7" t="inlineStr">
        <is>
          <t>calculated</t>
        </is>
      </c>
      <c r="X7" t="inlineStr">
        <is>
          <t>14 entregas ya figuran como liquidadas.; No existe tarifa BonCalidad para socio=1585 campaña=2026 empresa=1 cultivo=CITRICOS.; No existe fuente acumulada disponible; saldo informativo calculado con cuota ya aplicada = 0.</t>
        </is>
      </c>
      <c r="Y7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1384</v>
      </c>
      <c r="B2" t="inlineStr">
        <is>
          <t>RIEGO MARTIN,ANA BELEN</t>
        </is>
      </c>
      <c r="C2" t="n">
        <v>173</v>
      </c>
      <c r="D2" t="inlineStr">
        <is>
          <t>8721</t>
        </is>
      </c>
      <c r="E2" t="inlineStr">
        <is>
          <t>13</t>
        </is>
      </c>
      <c r="F2" t="inlineStr">
        <is>
          <t>214</t>
        </is>
      </c>
      <c r="G2" t="inlineStr">
        <is>
          <t>1</t>
        </is>
      </c>
      <c r="H2" t="n">
        <v>1981</v>
      </c>
      <c r="I2" t="n">
        <v>6.55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6.55</v>
      </c>
      <c r="P2" t="n">
        <v>1277.25</v>
      </c>
      <c r="Q2" t="n">
        <v>114972</v>
      </c>
      <c r="R2" t="n">
        <v>0.01110922659430122</v>
      </c>
      <c r="S2" t="n">
        <v>11620</v>
      </c>
      <c r="T2" t="n">
        <v>129.09</v>
      </c>
    </row>
    <row r="3">
      <c r="A3" t="n">
        <v>1411</v>
      </c>
      <c r="B3" t="inlineStr">
        <is>
          <t>HERMANOS PEÑA GRIÑAN S.C.</t>
        </is>
      </c>
      <c r="C3" t="n">
        <v>1008</v>
      </c>
      <c r="D3" t="inlineStr">
        <is>
          <t>8783</t>
        </is>
      </c>
      <c r="E3" t="inlineStr">
        <is>
          <t>1</t>
        </is>
      </c>
      <c r="F3" t="inlineStr">
        <is>
          <t>37</t>
        </is>
      </c>
      <c r="G3" t="inlineStr">
        <is>
          <t>1</t>
        </is>
      </c>
      <c r="H3" t="n">
        <v>1972</v>
      </c>
      <c r="I3" t="n">
        <v>1.01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12.74</v>
      </c>
      <c r="P3" t="n">
        <v>2484.3</v>
      </c>
      <c r="Q3" t="n">
        <v>299255</v>
      </c>
      <c r="R3" t="n">
        <v>0.008301615678936024</v>
      </c>
      <c r="S3" t="n">
        <v>12774</v>
      </c>
      <c r="T3" t="n">
        <v>106.04</v>
      </c>
    </row>
    <row r="4">
      <c r="A4" t="n">
        <v>1411</v>
      </c>
      <c r="B4" t="inlineStr">
        <is>
          <t>HERMANOS PEÑA GRIÑAN S.C.</t>
        </is>
      </c>
      <c r="C4" t="n">
        <v>1008</v>
      </c>
      <c r="D4" t="inlineStr">
        <is>
          <t>8784</t>
        </is>
      </c>
      <c r="E4" t="inlineStr">
        <is>
          <t>1</t>
        </is>
      </c>
      <c r="F4" t="inlineStr">
        <is>
          <t>37</t>
        </is>
      </c>
      <c r="G4" t="inlineStr">
        <is>
          <t>1</t>
        </is>
      </c>
      <c r="H4" t="n">
        <v>1992</v>
      </c>
      <c r="I4" t="n">
        <v>2.2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12.74</v>
      </c>
      <c r="P4" t="n">
        <v>2484.3</v>
      </c>
      <c r="Q4" t="n">
        <v>299255</v>
      </c>
      <c r="R4" t="n">
        <v>0.008301615678936024</v>
      </c>
      <c r="S4" t="n">
        <v>12774</v>
      </c>
      <c r="T4" t="n">
        <v>106.04</v>
      </c>
    </row>
    <row r="5">
      <c r="A5" t="n">
        <v>1411</v>
      </c>
      <c r="B5" t="inlineStr">
        <is>
          <t>HERMANOS PEÑA GRIÑAN S.C.</t>
        </is>
      </c>
      <c r="C5" t="n">
        <v>1008</v>
      </c>
      <c r="D5" t="inlineStr">
        <is>
          <t>8785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n">
        <v>1967</v>
      </c>
      <c r="I5" t="n">
        <v>3.7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12.74</v>
      </c>
      <c r="P5" t="n">
        <v>2484.3</v>
      </c>
      <c r="Q5" t="n">
        <v>299255</v>
      </c>
      <c r="R5" t="n">
        <v>0.008301615678936024</v>
      </c>
      <c r="S5" t="n">
        <v>12774</v>
      </c>
      <c r="T5" t="n">
        <v>106.04</v>
      </c>
    </row>
    <row r="6">
      <c r="A6" t="n">
        <v>1411</v>
      </c>
      <c r="B6" t="inlineStr">
        <is>
          <t>HERMANOS PEÑA GRIÑAN S.C.</t>
        </is>
      </c>
      <c r="C6" t="n">
        <v>1009</v>
      </c>
      <c r="D6" t="inlineStr">
        <is>
          <t>8786</t>
        </is>
      </c>
      <c r="E6" t="inlineStr">
        <is>
          <t>1</t>
        </is>
      </c>
      <c r="F6" t="inlineStr">
        <is>
          <t>34</t>
        </is>
      </c>
      <c r="G6" t="inlineStr">
        <is>
          <t>1</t>
        </is>
      </c>
      <c r="H6" t="n">
        <v>1990</v>
      </c>
      <c r="I6" t="n">
        <v>2.83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12.74</v>
      </c>
      <c r="P6" t="n">
        <v>2484.3</v>
      </c>
      <c r="Q6" t="n">
        <v>299255</v>
      </c>
      <c r="R6" t="n">
        <v>0.008301615678936024</v>
      </c>
      <c r="S6" t="n">
        <v>12774</v>
      </c>
      <c r="T6" t="n">
        <v>106.04</v>
      </c>
    </row>
    <row r="7">
      <c r="A7" t="n">
        <v>1411</v>
      </c>
      <c r="B7" t="inlineStr">
        <is>
          <t>HERMANOS PEÑA GRIÑAN S.C.</t>
        </is>
      </c>
      <c r="C7" t="n">
        <v>1009</v>
      </c>
      <c r="D7" t="inlineStr">
        <is>
          <t>8787</t>
        </is>
      </c>
      <c r="E7" t="inlineStr">
        <is>
          <t>1</t>
        </is>
      </c>
      <c r="F7" t="inlineStr">
        <is>
          <t>37</t>
        </is>
      </c>
      <c r="G7" t="inlineStr">
        <is>
          <t>1</t>
        </is>
      </c>
      <c r="H7" t="n">
        <v>1967</v>
      </c>
      <c r="I7" t="n">
        <v>2</v>
      </c>
      <c r="J7" t="n">
        <v>1</v>
      </c>
      <c r="L7" t="inlineStr">
        <is>
          <t>Sí</t>
        </is>
      </c>
      <c r="M7" t="inlineStr">
        <is>
          <t>Sí</t>
        </is>
      </c>
      <c r="N7" t="inlineStr">
        <is>
          <t>VALIDA</t>
        </is>
      </c>
      <c r="O7" t="n">
        <v>12.74</v>
      </c>
      <c r="P7" t="n">
        <v>2484.3</v>
      </c>
      <c r="Q7" t="n">
        <v>299255</v>
      </c>
      <c r="R7" t="n">
        <v>0.008301615678936024</v>
      </c>
      <c r="S7" t="n">
        <v>12774</v>
      </c>
      <c r="T7" t="n">
        <v>106.04</v>
      </c>
    </row>
    <row r="8">
      <c r="A8" t="n">
        <v>1411</v>
      </c>
      <c r="B8" t="inlineStr">
        <is>
          <t>HERMANOS PEÑA GRIÑAN S.C.</t>
        </is>
      </c>
      <c r="C8" t="n">
        <v>1010</v>
      </c>
      <c r="D8" t="inlineStr">
        <is>
          <t>8788</t>
        </is>
      </c>
      <c r="E8" t="inlineStr">
        <is>
          <t>1</t>
        </is>
      </c>
      <c r="F8" t="inlineStr">
        <is>
          <t>37</t>
        </is>
      </c>
      <c r="G8" t="inlineStr">
        <is>
          <t>1</t>
        </is>
      </c>
      <c r="H8" t="n">
        <v>1972</v>
      </c>
      <c r="I8" t="n">
        <v>1</v>
      </c>
      <c r="J8" t="n">
        <v>1</v>
      </c>
      <c r="L8" t="inlineStr">
        <is>
          <t>Sí</t>
        </is>
      </c>
      <c r="M8" t="inlineStr">
        <is>
          <t>Sí</t>
        </is>
      </c>
      <c r="N8" t="inlineStr">
        <is>
          <t>VALIDA</t>
        </is>
      </c>
      <c r="O8" t="n">
        <v>12.74</v>
      </c>
      <c r="P8" t="n">
        <v>2484.3</v>
      </c>
      <c r="Q8" t="n">
        <v>299255</v>
      </c>
      <c r="R8" t="n">
        <v>0.008301615678936024</v>
      </c>
      <c r="S8" t="n">
        <v>12774</v>
      </c>
      <c r="T8" t="n">
        <v>106.04</v>
      </c>
    </row>
    <row r="9">
      <c r="A9" t="n">
        <v>1540</v>
      </c>
      <c r="B9" t="inlineStr">
        <is>
          <t>AGRICOLA SANCHEZ CUENCA S.C.</t>
        </is>
      </c>
      <c r="C9" t="n">
        <v>570</v>
      </c>
      <c r="D9" t="inlineStr">
        <is>
          <t>8729</t>
        </is>
      </c>
      <c r="E9" t="inlineStr">
        <is>
          <t>23</t>
        </is>
      </c>
      <c r="F9" t="inlineStr">
        <is>
          <t>85</t>
        </is>
      </c>
      <c r="G9" t="inlineStr">
        <is>
          <t>4</t>
        </is>
      </c>
      <c r="H9" t="n">
        <v>2002</v>
      </c>
      <c r="I9" t="n">
        <v>1.7</v>
      </c>
      <c r="J9" t="n">
        <v>1</v>
      </c>
      <c r="L9" t="inlineStr">
        <is>
          <t>Sí</t>
        </is>
      </c>
      <c r="M9" t="inlineStr">
        <is>
          <t>Sí</t>
        </is>
      </c>
      <c r="N9" t="inlineStr">
        <is>
          <t>VALIDA</t>
        </is>
      </c>
      <c r="O9" t="n">
        <v>5.96</v>
      </c>
      <c r="P9" t="n">
        <v>1162.2</v>
      </c>
      <c r="Q9" t="n">
        <v>224459</v>
      </c>
      <c r="R9" t="n">
        <v>0.005177783024962242</v>
      </c>
      <c r="S9" t="n">
        <v>23480</v>
      </c>
      <c r="T9" t="n">
        <v>121.57</v>
      </c>
    </row>
    <row r="10">
      <c r="A10" t="n">
        <v>1540</v>
      </c>
      <c r="B10" t="inlineStr">
        <is>
          <t>AGRICOLA SANCHEZ CUENCA S.C.</t>
        </is>
      </c>
      <c r="C10" t="n">
        <v>570</v>
      </c>
      <c r="D10" t="inlineStr">
        <is>
          <t>9084</t>
        </is>
      </c>
      <c r="E10" t="inlineStr">
        <is>
          <t>23</t>
        </is>
      </c>
      <c r="F10" t="inlineStr">
        <is>
          <t>84</t>
        </is>
      </c>
      <c r="G10" t="inlineStr">
        <is>
          <t>1</t>
        </is>
      </c>
      <c r="H10" t="n">
        <v>1993</v>
      </c>
      <c r="I10" t="n">
        <v>2.57</v>
      </c>
      <c r="J10" t="n">
        <v>1</v>
      </c>
      <c r="L10" t="inlineStr">
        <is>
          <t>Sí</t>
        </is>
      </c>
      <c r="M10" t="inlineStr">
        <is>
          <t>Sí</t>
        </is>
      </c>
      <c r="N10" t="inlineStr">
        <is>
          <t>VALIDA</t>
        </is>
      </c>
      <c r="O10" t="n">
        <v>5.96</v>
      </c>
      <c r="P10" t="n">
        <v>1162.2</v>
      </c>
      <c r="Q10" t="n">
        <v>224459</v>
      </c>
      <c r="R10" t="n">
        <v>0.005177783024962242</v>
      </c>
      <c r="S10" t="n">
        <v>23480</v>
      </c>
      <c r="T10" t="n">
        <v>121.57</v>
      </c>
    </row>
    <row r="11">
      <c r="A11" t="n">
        <v>1540</v>
      </c>
      <c r="B11" t="inlineStr">
        <is>
          <t>AGRICOLA SANCHEZ CUENCA S.C.</t>
        </is>
      </c>
      <c r="C11" t="n">
        <v>570</v>
      </c>
      <c r="D11" t="inlineStr">
        <is>
          <t>9679</t>
        </is>
      </c>
      <c r="E11" t="inlineStr">
        <is>
          <t>23</t>
        </is>
      </c>
      <c r="F11" t="inlineStr">
        <is>
          <t>85</t>
        </is>
      </c>
      <c r="G11" t="inlineStr">
        <is>
          <t>4</t>
        </is>
      </c>
      <c r="H11" t="n">
        <v>2008</v>
      </c>
      <c r="I11" t="n">
        <v>1.69</v>
      </c>
      <c r="J11" t="n">
        <v>1</v>
      </c>
      <c r="L11" t="inlineStr">
        <is>
          <t>Sí</t>
        </is>
      </c>
      <c r="M11" t="inlineStr">
        <is>
          <t>Sí</t>
        </is>
      </c>
      <c r="N11" t="inlineStr">
        <is>
          <t>VALIDA</t>
        </is>
      </c>
      <c r="O11" t="n">
        <v>5.96</v>
      </c>
      <c r="P11" t="n">
        <v>1162.2</v>
      </c>
      <c r="Q11" t="n">
        <v>224459</v>
      </c>
      <c r="R11" t="n">
        <v>0.005177783024962242</v>
      </c>
      <c r="S11" t="n">
        <v>23480</v>
      </c>
      <c r="T11" t="n">
        <v>121.57</v>
      </c>
    </row>
    <row r="12">
      <c r="A12" t="n">
        <v>1570</v>
      </c>
      <c r="B12" t="inlineStr">
        <is>
          <t>FAMILIA LOPEZ CASTILLO S.C.</t>
        </is>
      </c>
      <c r="C12" t="n">
        <v>172</v>
      </c>
      <c r="D12" t="inlineStr">
        <is>
          <t>9501</t>
        </is>
      </c>
      <c r="E12" t="inlineStr">
        <is>
          <t>12</t>
        </is>
      </c>
      <c r="F12" t="inlineStr">
        <is>
          <t>12</t>
        </is>
      </c>
      <c r="G12" t="inlineStr">
        <is>
          <t>1</t>
        </is>
      </c>
      <c r="H12" t="n">
        <v>1991</v>
      </c>
      <c r="I12" t="n">
        <v>1.51</v>
      </c>
      <c r="J12" t="n">
        <v>1</v>
      </c>
      <c r="L12" t="inlineStr">
        <is>
          <t>Sí</t>
        </is>
      </c>
      <c r="M12" t="inlineStr">
        <is>
          <t>Sí</t>
        </is>
      </c>
      <c r="N12" t="inlineStr">
        <is>
          <t>VALIDA</t>
        </is>
      </c>
      <c r="O12" t="n">
        <v>1.51</v>
      </c>
      <c r="P12" t="n">
        <v>294.45</v>
      </c>
      <c r="Q12" t="n">
        <v>21640</v>
      </c>
      <c r="R12" t="n">
        <v>0.01360674676524954</v>
      </c>
      <c r="S12" t="n">
        <v>21640</v>
      </c>
      <c r="T12" t="n">
        <v>294.45</v>
      </c>
    </row>
    <row r="13">
      <c r="A13" t="n">
        <v>1582</v>
      </c>
      <c r="B13" t="inlineStr">
        <is>
          <t>IGEÑO SANCHEZ, JOSE CARLOS</t>
        </is>
      </c>
      <c r="C13" t="n">
        <v>61</v>
      </c>
      <c r="D13" t="inlineStr">
        <is>
          <t>9132</t>
        </is>
      </c>
      <c r="E13" t="inlineStr">
        <is>
          <t>12</t>
        </is>
      </c>
      <c r="F13" t="inlineStr">
        <is>
          <t>86</t>
        </is>
      </c>
      <c r="G13" t="inlineStr">
        <is>
          <t>1</t>
        </is>
      </c>
      <c r="H13" t="n">
        <v>2010</v>
      </c>
      <c r="I13" t="n">
        <v>1.26</v>
      </c>
      <c r="J13" t="n">
        <v>1</v>
      </c>
      <c r="L13" t="inlineStr">
        <is>
          <t>Sí</t>
        </is>
      </c>
      <c r="M13" t="inlineStr">
        <is>
          <t>Sí</t>
        </is>
      </c>
      <c r="N13" t="inlineStr">
        <is>
          <t>VALIDA</t>
        </is>
      </c>
      <c r="O13" t="n">
        <v>5.11</v>
      </c>
      <c r="P13" t="n">
        <v>996.45</v>
      </c>
      <c r="Q13" t="n">
        <v>208412</v>
      </c>
      <c r="R13" t="n">
        <v>0.004781154636009443</v>
      </c>
      <c r="S13" t="n">
        <v>24020</v>
      </c>
      <c r="T13" t="n">
        <v>114.84</v>
      </c>
    </row>
    <row r="14">
      <c r="A14" t="n">
        <v>1582</v>
      </c>
      <c r="B14" t="inlineStr">
        <is>
          <t>IGEÑO SANCHEZ, JOSE CARLOS</t>
        </is>
      </c>
      <c r="C14" t="n">
        <v>61</v>
      </c>
      <c r="D14" t="inlineStr">
        <is>
          <t>9133</t>
        </is>
      </c>
      <c r="E14" t="inlineStr">
        <is>
          <t>12</t>
        </is>
      </c>
      <c r="F14" t="inlineStr">
        <is>
          <t>85</t>
        </is>
      </c>
      <c r="G14" t="inlineStr">
        <is>
          <t>2</t>
        </is>
      </c>
      <c r="H14" t="n">
        <v>2010</v>
      </c>
      <c r="I14" t="n">
        <v>2.33</v>
      </c>
      <c r="J14" t="n">
        <v>1</v>
      </c>
      <c r="L14" t="inlineStr">
        <is>
          <t>Sí</t>
        </is>
      </c>
      <c r="M14" t="inlineStr">
        <is>
          <t>Sí</t>
        </is>
      </c>
      <c r="N14" t="inlineStr">
        <is>
          <t>VALIDA</t>
        </is>
      </c>
      <c r="O14" t="n">
        <v>5.11</v>
      </c>
      <c r="P14" t="n">
        <v>996.45</v>
      </c>
      <c r="Q14" t="n">
        <v>208412</v>
      </c>
      <c r="R14" t="n">
        <v>0.004781154636009443</v>
      </c>
      <c r="S14" t="n">
        <v>24020</v>
      </c>
      <c r="T14" t="n">
        <v>114.84</v>
      </c>
    </row>
    <row r="15">
      <c r="A15" t="n">
        <v>1582</v>
      </c>
      <c r="B15" t="inlineStr">
        <is>
          <t>IGEÑO SANCHEZ, JOSE CARLOS</t>
        </is>
      </c>
      <c r="C15" t="n">
        <v>61</v>
      </c>
      <c r="D15" t="inlineStr">
        <is>
          <t>9134</t>
        </is>
      </c>
      <c r="E15" t="inlineStr">
        <is>
          <t>12</t>
        </is>
      </c>
      <c r="F15" t="inlineStr">
        <is>
          <t>85</t>
        </is>
      </c>
      <c r="G15" t="inlineStr">
        <is>
          <t>7</t>
        </is>
      </c>
      <c r="H15" t="n">
        <v>2010</v>
      </c>
      <c r="I15" t="n">
        <v>1.52</v>
      </c>
      <c r="J15" t="n">
        <v>1</v>
      </c>
      <c r="L15" t="inlineStr">
        <is>
          <t>Sí</t>
        </is>
      </c>
      <c r="M15" t="inlineStr">
        <is>
          <t>Sí</t>
        </is>
      </c>
      <c r="N15" t="inlineStr">
        <is>
          <t>VALIDA</t>
        </is>
      </c>
      <c r="O15" t="n">
        <v>5.11</v>
      </c>
      <c r="P15" t="n">
        <v>996.45</v>
      </c>
      <c r="Q15" t="n">
        <v>208412</v>
      </c>
      <c r="R15" t="n">
        <v>0.004781154636009443</v>
      </c>
      <c r="S15" t="n">
        <v>24020</v>
      </c>
      <c r="T15" t="n">
        <v>114.84</v>
      </c>
    </row>
    <row r="16">
      <c r="A16" t="n">
        <v>1585</v>
      </c>
      <c r="B16" t="inlineStr">
        <is>
          <t>CESPEDES AGUILAR, PATRICIA</t>
        </is>
      </c>
      <c r="C16" t="n">
        <v>93</v>
      </c>
      <c r="D16" t="inlineStr">
        <is>
          <t>9415</t>
        </is>
      </c>
      <c r="E16" t="inlineStr">
        <is>
          <t>12</t>
        </is>
      </c>
      <c r="F16" t="inlineStr">
        <is>
          <t>19</t>
        </is>
      </c>
      <c r="G16" t="inlineStr">
        <is>
          <t>1</t>
        </is>
      </c>
      <c r="H16" t="n">
        <v>1996</v>
      </c>
      <c r="I16" t="n">
        <v>3.15</v>
      </c>
      <c r="J16" t="n">
        <v>1</v>
      </c>
      <c r="L16" t="inlineStr">
        <is>
          <t>Sí</t>
        </is>
      </c>
      <c r="M16" t="inlineStr">
        <is>
          <t>Sí</t>
        </is>
      </c>
      <c r="N16" t="inlineStr">
        <is>
          <t>VALIDA</t>
        </is>
      </c>
      <c r="O16" t="n">
        <v>8.34</v>
      </c>
      <c r="P16" t="n">
        <v>1626.3</v>
      </c>
      <c r="Q16" t="n">
        <v>241627</v>
      </c>
      <c r="R16" t="n">
        <v>0.006730621991747611</v>
      </c>
      <c r="S16" t="n">
        <v>21133</v>
      </c>
      <c r="T16" t="n">
        <v>142.24</v>
      </c>
    </row>
    <row r="17">
      <c r="A17" t="n">
        <v>1585</v>
      </c>
      <c r="B17" t="inlineStr">
        <is>
          <t>CESPEDES AGUILAR, PATRICIA</t>
        </is>
      </c>
      <c r="C17" t="n">
        <v>245</v>
      </c>
      <c r="D17" t="inlineStr">
        <is>
          <t>9416</t>
        </is>
      </c>
      <c r="E17" t="inlineStr">
        <is>
          <t>11</t>
        </is>
      </c>
      <c r="F17" t="inlineStr">
        <is>
          <t>75</t>
        </is>
      </c>
      <c r="G17" t="inlineStr">
        <is>
          <t>2</t>
        </is>
      </c>
      <c r="H17" t="n">
        <v>2005</v>
      </c>
      <c r="I17" t="n">
        <v>1.29</v>
      </c>
      <c r="J17" t="n">
        <v>1</v>
      </c>
      <c r="L17" t="inlineStr">
        <is>
          <t>Sí</t>
        </is>
      </c>
      <c r="M17" t="inlineStr">
        <is>
          <t>Sí</t>
        </is>
      </c>
      <c r="N17" t="inlineStr">
        <is>
          <t>VALIDA</t>
        </is>
      </c>
      <c r="O17" t="n">
        <v>8.34</v>
      </c>
      <c r="P17" t="n">
        <v>1626.3</v>
      </c>
      <c r="Q17" t="n">
        <v>241627</v>
      </c>
      <c r="R17" t="n">
        <v>0.006730621991747611</v>
      </c>
      <c r="S17" t="n">
        <v>21133</v>
      </c>
      <c r="T17" t="n">
        <v>142.24</v>
      </c>
    </row>
    <row r="18">
      <c r="A18" t="n">
        <v>1585</v>
      </c>
      <c r="B18" t="inlineStr">
        <is>
          <t>CESPEDES AGUILAR, PATRICIA</t>
        </is>
      </c>
      <c r="C18" t="n">
        <v>245</v>
      </c>
      <c r="D18" t="inlineStr">
        <is>
          <t>9417</t>
        </is>
      </c>
      <c r="E18" t="inlineStr">
        <is>
          <t>11</t>
        </is>
      </c>
      <c r="F18" t="inlineStr">
        <is>
          <t>110</t>
        </is>
      </c>
      <c r="G18" t="inlineStr">
        <is>
          <t>1</t>
        </is>
      </c>
      <c r="H18" t="n">
        <v>2005</v>
      </c>
      <c r="I18" t="n">
        <v>3.9</v>
      </c>
      <c r="J18" t="n">
        <v>1</v>
      </c>
      <c r="L18" t="inlineStr">
        <is>
          <t>Sí</t>
        </is>
      </c>
      <c r="M18" t="inlineStr">
        <is>
          <t>Sí</t>
        </is>
      </c>
      <c r="N18" t="inlineStr">
        <is>
          <t>VALIDA</t>
        </is>
      </c>
      <c r="O18" t="n">
        <v>8.34</v>
      </c>
      <c r="P18" t="n">
        <v>1626.3</v>
      </c>
      <c r="Q18" t="n">
        <v>241627</v>
      </c>
      <c r="R18" t="n">
        <v>0.006730621991747611</v>
      </c>
      <c r="S18" t="n">
        <v>21133</v>
      </c>
      <c r="T18" t="n">
        <v>142.24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1384</v>
      </c>
      <c r="B2" t="inlineStr">
        <is>
          <t>RIEGO MARTIN,ANA BELEN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SALUSTIANA</t>
        </is>
      </c>
      <c r="I2" t="n">
        <v>173</v>
      </c>
      <c r="J2" t="n">
        <v>12240</v>
      </c>
      <c r="K2" t="n">
        <v>0</v>
      </c>
      <c r="L2" t="n">
        <v>12240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1384</v>
      </c>
      <c r="B3" t="inlineStr">
        <is>
          <t>RIEGO MARTIN,ANA BELEN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SALUSTIANA</t>
        </is>
      </c>
      <c r="I3" t="n">
        <v>173</v>
      </c>
      <c r="J3" t="n">
        <v>12520</v>
      </c>
      <c r="K3" t="n">
        <v>7976</v>
      </c>
      <c r="L3" t="n">
        <v>7976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1384</v>
      </c>
      <c r="B4" t="inlineStr">
        <is>
          <t>RIEGO MARTIN,ANA BELEN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SALUSTIANA</t>
        </is>
      </c>
      <c r="I4" t="n">
        <v>173</v>
      </c>
      <c r="J4" t="n">
        <v>11920</v>
      </c>
      <c r="K4" t="n">
        <v>0</v>
      </c>
      <c r="L4" t="n">
        <v>11920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1384</v>
      </c>
      <c r="B5" t="inlineStr">
        <is>
          <t>RIEGO MARTIN,ANA BELEN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SALUSTIANA</t>
        </is>
      </c>
      <c r="I5" t="n">
        <v>173</v>
      </c>
      <c r="J5" t="n">
        <v>12090</v>
      </c>
      <c r="K5" t="n">
        <v>9900</v>
      </c>
      <c r="L5" t="n">
        <v>9900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1384</v>
      </c>
      <c r="B6" t="inlineStr">
        <is>
          <t>RIEGO MARTIN,ANA BELEN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SALUSTIANA</t>
        </is>
      </c>
      <c r="I6" t="n">
        <v>173</v>
      </c>
      <c r="J6" t="n">
        <v>11880</v>
      </c>
      <c r="K6" t="n">
        <v>0</v>
      </c>
      <c r="L6" t="n">
        <v>11880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1384</v>
      </c>
      <c r="B7" t="inlineStr">
        <is>
          <t>RIEGO MARTIN,ANA BELEN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SALUSTIANA</t>
        </is>
      </c>
      <c r="I7" t="n">
        <v>173</v>
      </c>
      <c r="J7" t="n">
        <v>12320</v>
      </c>
      <c r="K7" t="n">
        <v>0</v>
      </c>
      <c r="L7" t="n">
        <v>12320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1384</v>
      </c>
      <c r="B8" t="inlineStr">
        <is>
          <t>RIEGO MARTIN,ANA BELEN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SALUSTIANA</t>
        </is>
      </c>
      <c r="I8" t="n">
        <v>173</v>
      </c>
      <c r="J8" t="n">
        <v>1980</v>
      </c>
      <c r="K8" t="n">
        <v>1980</v>
      </c>
      <c r="L8" t="n">
        <v>1980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1384</v>
      </c>
      <c r="B9" t="inlineStr">
        <is>
          <t>RIEGO MARTIN,ANA BELEN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SALUSTIANA</t>
        </is>
      </c>
      <c r="I9" t="n">
        <v>173</v>
      </c>
      <c r="J9" t="n">
        <v>12520</v>
      </c>
      <c r="K9" t="n">
        <v>0</v>
      </c>
      <c r="L9" t="n">
        <v>12520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1384</v>
      </c>
      <c r="B10" t="inlineStr">
        <is>
          <t>RIEGO MARTIN,ANA BELEN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SALUSTIANA</t>
        </is>
      </c>
      <c r="I10" t="n">
        <v>173</v>
      </c>
      <c r="J10" t="n">
        <v>12345</v>
      </c>
      <c r="K10" t="n">
        <v>11354</v>
      </c>
      <c r="L10" t="n">
        <v>11354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1384</v>
      </c>
      <c r="B11" t="inlineStr">
        <is>
          <t>RIEGO MARTIN,ANA BELEN</t>
        </is>
      </c>
      <c r="E11" t="n">
        <v>2026</v>
      </c>
      <c r="F11" t="n">
        <v>1</v>
      </c>
      <c r="G11" t="inlineStr">
        <is>
          <t>CITRICOS</t>
        </is>
      </c>
      <c r="H11" t="inlineStr">
        <is>
          <t>SALUSTIANA</t>
        </is>
      </c>
      <c r="I11" t="n">
        <v>173</v>
      </c>
      <c r="J11" t="n">
        <v>883</v>
      </c>
      <c r="K11" t="n">
        <v>0</v>
      </c>
      <c r="L11" t="n">
        <v>883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1384</v>
      </c>
      <c r="B12" t="inlineStr">
        <is>
          <t>RIEGO MARTIN,ANA BELEN</t>
        </is>
      </c>
      <c r="E12" t="n">
        <v>2026</v>
      </c>
      <c r="F12" t="n">
        <v>1</v>
      </c>
      <c r="G12" t="inlineStr">
        <is>
          <t>CITRICOS</t>
        </is>
      </c>
      <c r="H12" t="inlineStr">
        <is>
          <t>SALUSTIANA</t>
        </is>
      </c>
      <c r="I12" t="n">
        <v>173</v>
      </c>
      <c r="J12" t="n">
        <v>10484</v>
      </c>
      <c r="K12" t="n">
        <v>9384</v>
      </c>
      <c r="L12" t="n">
        <v>9384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1384</v>
      </c>
      <c r="B13" t="inlineStr">
        <is>
          <t>RIEGO MARTIN,ANA BELEN</t>
        </is>
      </c>
      <c r="E13" t="n">
        <v>2026</v>
      </c>
      <c r="F13" t="n">
        <v>1</v>
      </c>
      <c r="G13" t="inlineStr">
        <is>
          <t>CITRICOS</t>
        </is>
      </c>
      <c r="H13" t="inlineStr">
        <is>
          <t>SALUSTIANA</t>
        </is>
      </c>
      <c r="I13" t="n">
        <v>173</v>
      </c>
      <c r="J13" t="n">
        <v>995</v>
      </c>
      <c r="K13" t="n">
        <v>0</v>
      </c>
      <c r="L13" t="n">
        <v>995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1384</v>
      </c>
      <c r="B14" t="inlineStr">
        <is>
          <t>RIEGO MARTIN,ANA BELEN</t>
        </is>
      </c>
      <c r="E14" t="n">
        <v>2026</v>
      </c>
      <c r="F14" t="n">
        <v>1</v>
      </c>
      <c r="G14" t="inlineStr">
        <is>
          <t>CITRICOS</t>
        </is>
      </c>
      <c r="H14" t="inlineStr">
        <is>
          <t>SALUSTIANA</t>
        </is>
      </c>
      <c r="I14" t="n">
        <v>173</v>
      </c>
      <c r="J14" t="n">
        <v>11620</v>
      </c>
      <c r="K14" t="n">
        <v>0</v>
      </c>
      <c r="L14" t="n">
        <v>11620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1411</v>
      </c>
      <c r="B15" t="inlineStr">
        <is>
          <t>HERMANOS PEÑA GRIÑAN S.C.</t>
        </is>
      </c>
      <c r="E15" t="n">
        <v>2026</v>
      </c>
      <c r="F15" t="n">
        <v>1</v>
      </c>
      <c r="G15" t="inlineStr">
        <is>
          <t>CITRICOS</t>
        </is>
      </c>
      <c r="H15" t="inlineStr">
        <is>
          <t>SALUSTIANA</t>
        </is>
      </c>
      <c r="I15" t="n">
        <v>1009</v>
      </c>
      <c r="J15" t="n">
        <v>24900</v>
      </c>
      <c r="K15" t="n">
        <v>8286</v>
      </c>
      <c r="L15" t="n">
        <v>8286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1411</v>
      </c>
      <c r="B16" t="inlineStr">
        <is>
          <t>HERMANOS PEÑA GRIÑAN S.C.</t>
        </is>
      </c>
      <c r="E16" t="n">
        <v>2026</v>
      </c>
      <c r="F16" t="n">
        <v>1</v>
      </c>
      <c r="G16" t="inlineStr">
        <is>
          <t>CITRICOS</t>
        </is>
      </c>
      <c r="H16" t="inlineStr">
        <is>
          <t>NAVELINA</t>
        </is>
      </c>
      <c r="I16" t="n">
        <v>1008</v>
      </c>
      <c r="J16" t="n">
        <v>8551</v>
      </c>
      <c r="K16" t="n">
        <v>0</v>
      </c>
      <c r="L16" t="n">
        <v>8551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1411</v>
      </c>
      <c r="B17" t="inlineStr">
        <is>
          <t>HERMANOS PEÑA GRIÑAN S.C.</t>
        </is>
      </c>
      <c r="E17" t="n">
        <v>2026</v>
      </c>
      <c r="F17" t="n">
        <v>1</v>
      </c>
      <c r="G17" t="inlineStr">
        <is>
          <t>CITRICOS</t>
        </is>
      </c>
      <c r="H17" t="inlineStr">
        <is>
          <t>NAVELINA</t>
        </is>
      </c>
      <c r="I17" t="n">
        <v>1008</v>
      </c>
      <c r="J17" t="n">
        <v>23125</v>
      </c>
      <c r="K17" t="n">
        <v>17563</v>
      </c>
      <c r="L17" t="n">
        <v>17563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1411</v>
      </c>
      <c r="B18" t="inlineStr">
        <is>
          <t>HERMANOS PEÑA GRIÑAN S.C.</t>
        </is>
      </c>
      <c r="E18" t="n">
        <v>2026</v>
      </c>
      <c r="F18" t="n">
        <v>1</v>
      </c>
      <c r="G18" t="inlineStr">
        <is>
          <t>CITRICOS</t>
        </is>
      </c>
      <c r="H18" t="inlineStr">
        <is>
          <t>SALUSTIANA</t>
        </is>
      </c>
      <c r="I18" t="n">
        <v>1009</v>
      </c>
      <c r="J18" t="n">
        <v>25285</v>
      </c>
      <c r="K18" t="n">
        <v>4488</v>
      </c>
      <c r="L18" t="n">
        <v>4488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1411</v>
      </c>
      <c r="B19" t="inlineStr">
        <is>
          <t>HERMANOS PEÑA GRIÑAN S.C.</t>
        </is>
      </c>
      <c r="E19" t="n">
        <v>2026</v>
      </c>
      <c r="F19" t="n">
        <v>1</v>
      </c>
      <c r="G19" t="inlineStr">
        <is>
          <t>CITRICOS</t>
        </is>
      </c>
      <c r="H19" t="inlineStr">
        <is>
          <t>NAVELINA</t>
        </is>
      </c>
      <c r="I19" t="n">
        <v>1008</v>
      </c>
      <c r="J19" t="n">
        <v>24030</v>
      </c>
      <c r="K19" t="n">
        <v>16314</v>
      </c>
      <c r="L19" t="n">
        <v>16314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1411</v>
      </c>
      <c r="B20" t="inlineStr">
        <is>
          <t>HERMANOS PEÑA GRIÑAN S.C.</t>
        </is>
      </c>
      <c r="E20" t="n">
        <v>2026</v>
      </c>
      <c r="F20" t="n">
        <v>1</v>
      </c>
      <c r="G20" t="inlineStr">
        <is>
          <t>CITRICOS</t>
        </is>
      </c>
      <c r="H20" t="inlineStr">
        <is>
          <t>NAVELINA</t>
        </is>
      </c>
      <c r="I20" t="n">
        <v>1008</v>
      </c>
      <c r="J20" t="n">
        <v>2215</v>
      </c>
      <c r="K20" t="n">
        <v>0</v>
      </c>
      <c r="L20" t="n">
        <v>2215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1411</v>
      </c>
      <c r="B21" t="inlineStr">
        <is>
          <t>HERMANOS PEÑA GRIÑAN S.C.</t>
        </is>
      </c>
      <c r="E21" t="n">
        <v>2026</v>
      </c>
      <c r="F21" t="n">
        <v>1</v>
      </c>
      <c r="G21" t="inlineStr">
        <is>
          <t>CITRICOS</t>
        </is>
      </c>
      <c r="H21" t="inlineStr">
        <is>
          <t>WASHINGTON</t>
        </is>
      </c>
      <c r="I21" t="n">
        <v>1010</v>
      </c>
      <c r="J21" t="n">
        <v>23664</v>
      </c>
      <c r="K21" t="n">
        <v>2580</v>
      </c>
      <c r="L21" t="n">
        <v>2580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1411</v>
      </c>
      <c r="B22" t="inlineStr">
        <is>
          <t>HERMANOS PEÑA GRIÑAN S.C.</t>
        </is>
      </c>
      <c r="E22" t="n">
        <v>2026</v>
      </c>
      <c r="F22" t="n">
        <v>1</v>
      </c>
      <c r="G22" t="inlineStr">
        <is>
          <t>CITRICOS</t>
        </is>
      </c>
      <c r="H22" t="inlineStr">
        <is>
          <t>NAVELINA</t>
        </is>
      </c>
      <c r="I22" t="n">
        <v>1008</v>
      </c>
      <c r="J22" t="n">
        <v>7403</v>
      </c>
      <c r="K22" t="n">
        <v>0</v>
      </c>
      <c r="L22" t="n">
        <v>7403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1411</v>
      </c>
      <c r="B23" t="inlineStr">
        <is>
          <t>HERMANOS PEÑA GRIÑAN S.C.</t>
        </is>
      </c>
      <c r="E23" t="n">
        <v>2026</v>
      </c>
      <c r="F23" t="n">
        <v>1</v>
      </c>
      <c r="G23" t="inlineStr">
        <is>
          <t>CITRICOS</t>
        </is>
      </c>
      <c r="H23" t="inlineStr">
        <is>
          <t>NAVELINA</t>
        </is>
      </c>
      <c r="I23" t="n">
        <v>1008</v>
      </c>
      <c r="J23" t="n">
        <v>21710</v>
      </c>
      <c r="K23" t="n">
        <v>16142</v>
      </c>
      <c r="L23" t="n">
        <v>16142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1411</v>
      </c>
      <c r="B24" t="inlineStr">
        <is>
          <t>HERMANOS PEÑA GRIÑAN S.C.</t>
        </is>
      </c>
      <c r="E24" t="n">
        <v>2026</v>
      </c>
      <c r="F24" t="n">
        <v>1</v>
      </c>
      <c r="G24" t="inlineStr">
        <is>
          <t>CITRICOS</t>
        </is>
      </c>
      <c r="H24" t="inlineStr">
        <is>
          <t>WASHINGTON</t>
        </is>
      </c>
      <c r="I24" t="n">
        <v>1010</v>
      </c>
      <c r="J24" t="n">
        <v>23384</v>
      </c>
      <c r="K24" t="n">
        <v>6019</v>
      </c>
      <c r="L24" t="n">
        <v>6019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1411</v>
      </c>
      <c r="B25" t="inlineStr">
        <is>
          <t>HERMANOS PEÑA GRIÑAN S.C.</t>
        </is>
      </c>
      <c r="E25" t="n">
        <v>2026</v>
      </c>
      <c r="F25" t="n">
        <v>1</v>
      </c>
      <c r="G25" t="inlineStr">
        <is>
          <t>CITRICOS</t>
        </is>
      </c>
      <c r="H25" t="inlineStr">
        <is>
          <t>SALUSTIANA</t>
        </is>
      </c>
      <c r="I25" t="n">
        <v>1009</v>
      </c>
      <c r="J25" t="n">
        <v>22150</v>
      </c>
      <c r="K25" t="n">
        <v>15509</v>
      </c>
      <c r="L25" t="n">
        <v>15509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1411</v>
      </c>
      <c r="B26" t="inlineStr">
        <is>
          <t>HERMANOS PEÑA GRIÑAN S.C.</t>
        </is>
      </c>
      <c r="E26" t="n">
        <v>2026</v>
      </c>
      <c r="F26" t="n">
        <v>1</v>
      </c>
      <c r="G26" t="inlineStr">
        <is>
          <t>CITRICOS</t>
        </is>
      </c>
      <c r="H26" t="inlineStr">
        <is>
          <t>NAVELINA</t>
        </is>
      </c>
      <c r="I26" t="n">
        <v>1008</v>
      </c>
      <c r="J26" t="n">
        <v>3989</v>
      </c>
      <c r="K26" t="n">
        <v>0</v>
      </c>
      <c r="L26" t="n">
        <v>3989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1411</v>
      </c>
      <c r="B27" t="inlineStr">
        <is>
          <t>HERMANOS PEÑA GRIÑAN S.C.</t>
        </is>
      </c>
      <c r="E27" t="n">
        <v>2026</v>
      </c>
      <c r="F27" t="n">
        <v>1</v>
      </c>
      <c r="G27" t="inlineStr">
        <is>
          <t>CITRICOS</t>
        </is>
      </c>
      <c r="H27" t="inlineStr">
        <is>
          <t>NAVELINA</t>
        </is>
      </c>
      <c r="I27" t="n">
        <v>1008</v>
      </c>
      <c r="J27" t="n">
        <v>25560</v>
      </c>
      <c r="K27" t="n">
        <v>3058</v>
      </c>
      <c r="L27" t="n">
        <v>3058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1411</v>
      </c>
      <c r="B28" t="inlineStr">
        <is>
          <t>HERMANOS PEÑA GRIÑAN S.C.</t>
        </is>
      </c>
      <c r="E28" t="n">
        <v>2026</v>
      </c>
      <c r="F28" t="n">
        <v>1</v>
      </c>
      <c r="G28" t="inlineStr">
        <is>
          <t>CITRICOS</t>
        </is>
      </c>
      <c r="H28" t="inlineStr">
        <is>
          <t>NAVELINA</t>
        </is>
      </c>
      <c r="I28" t="n">
        <v>1008</v>
      </c>
      <c r="J28" t="n">
        <v>848</v>
      </c>
      <c r="K28" t="n">
        <v>0</v>
      </c>
      <c r="L28" t="n">
        <v>848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1411</v>
      </c>
      <c r="B29" t="inlineStr">
        <is>
          <t>HERMANOS PEÑA GRIÑAN S.C.</t>
        </is>
      </c>
      <c r="E29" t="n">
        <v>2026</v>
      </c>
      <c r="F29" t="n">
        <v>1</v>
      </c>
      <c r="G29" t="inlineStr">
        <is>
          <t>CITRICOS</t>
        </is>
      </c>
      <c r="H29" t="inlineStr">
        <is>
          <t>NAVELINA</t>
        </is>
      </c>
      <c r="I29" t="n">
        <v>1008</v>
      </c>
      <c r="J29" t="n">
        <v>15665</v>
      </c>
      <c r="K29" t="n">
        <v>12826</v>
      </c>
      <c r="L29" t="n">
        <v>12826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1411</v>
      </c>
      <c r="B30" t="inlineStr">
        <is>
          <t>HERMANOS PEÑA GRIÑAN S.C.</t>
        </is>
      </c>
      <c r="E30" t="n">
        <v>2026</v>
      </c>
      <c r="F30" t="n">
        <v>1</v>
      </c>
      <c r="G30" t="inlineStr">
        <is>
          <t>CITRICOS</t>
        </is>
      </c>
      <c r="H30" t="inlineStr">
        <is>
          <t>NAVELINA</t>
        </is>
      </c>
      <c r="I30" t="n">
        <v>1008</v>
      </c>
      <c r="J30" t="n">
        <v>623</v>
      </c>
      <c r="K30" t="n">
        <v>0</v>
      </c>
      <c r="L30" t="n">
        <v>623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1411</v>
      </c>
      <c r="B31" t="inlineStr">
        <is>
          <t>HERMANOS PEÑA GRIÑAN S.C.</t>
        </is>
      </c>
      <c r="E31" t="n">
        <v>2026</v>
      </c>
      <c r="F31" t="n">
        <v>1</v>
      </c>
      <c r="G31" t="inlineStr">
        <is>
          <t>CITRICOS</t>
        </is>
      </c>
      <c r="H31" t="inlineStr">
        <is>
          <t>SALUSTIANA</t>
        </is>
      </c>
      <c r="I31" t="n">
        <v>1009</v>
      </c>
      <c r="J31" t="n">
        <v>23841</v>
      </c>
      <c r="K31" t="n">
        <v>7001</v>
      </c>
      <c r="L31" t="n">
        <v>7001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  <row r="32">
      <c r="A32" t="n">
        <v>1411</v>
      </c>
      <c r="B32" t="inlineStr">
        <is>
          <t>HERMANOS PEÑA GRIÑAN S.C.</t>
        </is>
      </c>
      <c r="E32" t="n">
        <v>2026</v>
      </c>
      <c r="F32" t="n">
        <v>1</v>
      </c>
      <c r="G32" t="inlineStr">
        <is>
          <t>CITRICOS</t>
        </is>
      </c>
      <c r="H32" t="inlineStr">
        <is>
          <t>SALUSTIANA</t>
        </is>
      </c>
      <c r="I32" t="n">
        <v>1009</v>
      </c>
      <c r="J32" t="n">
        <v>1776</v>
      </c>
      <c r="K32" t="n">
        <v>0</v>
      </c>
      <c r="L32" t="n">
        <v>1776</v>
      </c>
      <c r="M32" t="inlineStr">
        <is>
          <t>Sí</t>
        </is>
      </c>
      <c r="N32" t="inlineStr"/>
      <c r="O32" t="inlineStr">
        <is>
          <t>Informativa</t>
        </is>
      </c>
      <c r="P32" t="inlineStr">
        <is>
          <t>No interviene en el prorrateo</t>
        </is>
      </c>
    </row>
    <row r="33">
      <c r="A33" t="n">
        <v>1411</v>
      </c>
      <c r="B33" t="inlineStr">
        <is>
          <t>HERMANOS PEÑA GRIÑAN S.C.</t>
        </is>
      </c>
      <c r="E33" t="n">
        <v>2026</v>
      </c>
      <c r="F33" t="n">
        <v>1</v>
      </c>
      <c r="G33" t="inlineStr">
        <is>
          <t>CITRICOS</t>
        </is>
      </c>
      <c r="H33" t="inlineStr">
        <is>
          <t>NAVELINA</t>
        </is>
      </c>
      <c r="I33" t="n">
        <v>1008</v>
      </c>
      <c r="J33" t="n">
        <v>4016</v>
      </c>
      <c r="K33" t="n">
        <v>0</v>
      </c>
      <c r="L33" t="n">
        <v>4016</v>
      </c>
      <c r="M33" t="inlineStr">
        <is>
          <t>Sí</t>
        </is>
      </c>
      <c r="N33" t="inlineStr"/>
      <c r="O33" t="inlineStr">
        <is>
          <t>Informativa</t>
        </is>
      </c>
      <c r="P33" t="inlineStr">
        <is>
          <t>No interviene en el prorrateo</t>
        </is>
      </c>
    </row>
    <row r="34">
      <c r="A34" t="n">
        <v>1411</v>
      </c>
      <c r="B34" t="inlineStr">
        <is>
          <t>HERMANOS PEÑA GRIÑAN S.C.</t>
        </is>
      </c>
      <c r="E34" t="n">
        <v>2026</v>
      </c>
      <c r="F34" t="n">
        <v>1</v>
      </c>
      <c r="G34" t="inlineStr">
        <is>
          <t>CITRICOS</t>
        </is>
      </c>
      <c r="H34" t="inlineStr">
        <is>
          <t>NAVELINA</t>
        </is>
      </c>
      <c r="I34" t="n">
        <v>1008</v>
      </c>
      <c r="J34" t="n">
        <v>25210</v>
      </c>
      <c r="K34" t="n">
        <v>6457</v>
      </c>
      <c r="L34" t="n">
        <v>6457</v>
      </c>
      <c r="M34" t="inlineStr">
        <is>
          <t>Sí</t>
        </is>
      </c>
      <c r="N34" t="inlineStr"/>
      <c r="O34" t="inlineStr">
        <is>
          <t>Informativa</t>
        </is>
      </c>
      <c r="P34" t="inlineStr">
        <is>
          <t>No interviene en el prorrateo</t>
        </is>
      </c>
    </row>
    <row r="35">
      <c r="A35" t="n">
        <v>1411</v>
      </c>
      <c r="B35" t="inlineStr">
        <is>
          <t>HERMANOS PEÑA GRIÑAN S.C.</t>
        </is>
      </c>
      <c r="E35" t="n">
        <v>2026</v>
      </c>
      <c r="F35" t="n">
        <v>1</v>
      </c>
      <c r="G35" t="inlineStr">
        <is>
          <t>CITRICOS</t>
        </is>
      </c>
      <c r="H35" t="inlineStr">
        <is>
          <t>NAVELINA</t>
        </is>
      </c>
      <c r="I35" t="n">
        <v>1008</v>
      </c>
      <c r="J35" t="n">
        <v>25035</v>
      </c>
      <c r="K35" t="n">
        <v>8156</v>
      </c>
      <c r="L35" t="n">
        <v>8156</v>
      </c>
      <c r="M35" t="inlineStr">
        <is>
          <t>Sí</t>
        </is>
      </c>
      <c r="N35" t="inlineStr"/>
      <c r="O35" t="inlineStr">
        <is>
          <t>Informativa</t>
        </is>
      </c>
      <c r="P35" t="inlineStr">
        <is>
          <t>No interviene en el prorrateo</t>
        </is>
      </c>
    </row>
    <row r="36">
      <c r="A36" t="n">
        <v>1411</v>
      </c>
      <c r="B36" t="inlineStr">
        <is>
          <t>HERMANOS PEÑA GRIÑAN S.C.</t>
        </is>
      </c>
      <c r="E36" t="n">
        <v>2026</v>
      </c>
      <c r="F36" t="n">
        <v>1</v>
      </c>
      <c r="G36" t="inlineStr">
        <is>
          <t>CITRICOS</t>
        </is>
      </c>
      <c r="H36" t="inlineStr">
        <is>
          <t>SALUSTIANA</t>
        </is>
      </c>
      <c r="I36" t="n">
        <v>1009</v>
      </c>
      <c r="J36" t="n">
        <v>23630</v>
      </c>
      <c r="K36" t="n">
        <v>21142</v>
      </c>
      <c r="L36" t="n">
        <v>21142</v>
      </c>
      <c r="M36" t="inlineStr">
        <is>
          <t>Sí</t>
        </is>
      </c>
      <c r="N36" t="inlineStr"/>
      <c r="O36" t="inlineStr">
        <is>
          <t>Informativa</t>
        </is>
      </c>
      <c r="P36" t="inlineStr">
        <is>
          <t>No interviene en el prorrateo</t>
        </is>
      </c>
    </row>
    <row r="37">
      <c r="A37" t="n">
        <v>1411</v>
      </c>
      <c r="B37" t="inlineStr">
        <is>
          <t>HERMANOS PEÑA GRIÑAN S.C.</t>
        </is>
      </c>
      <c r="E37" t="n">
        <v>2026</v>
      </c>
      <c r="F37" t="n">
        <v>1</v>
      </c>
      <c r="G37" t="inlineStr">
        <is>
          <t>CITRICOS</t>
        </is>
      </c>
      <c r="H37" t="inlineStr">
        <is>
          <t>SALUSTIANA</t>
        </is>
      </c>
      <c r="I37" t="n">
        <v>1009</v>
      </c>
      <c r="J37" t="n">
        <v>22861</v>
      </c>
      <c r="K37" t="n">
        <v>19349</v>
      </c>
      <c r="L37" t="n">
        <v>19349</v>
      </c>
      <c r="M37" t="inlineStr">
        <is>
          <t>Sí</t>
        </is>
      </c>
      <c r="N37" t="inlineStr"/>
      <c r="O37" t="inlineStr">
        <is>
          <t>Informativa</t>
        </is>
      </c>
      <c r="P37" t="inlineStr">
        <is>
          <t>No interviene en el prorrateo</t>
        </is>
      </c>
    </row>
    <row r="38">
      <c r="A38" t="n">
        <v>1411</v>
      </c>
      <c r="B38" t="inlineStr">
        <is>
          <t>HERMANOS PEÑA GRIÑAN S.C.</t>
        </is>
      </c>
      <c r="E38" t="n">
        <v>2026</v>
      </c>
      <c r="F38" t="n">
        <v>1</v>
      </c>
      <c r="G38" t="inlineStr">
        <is>
          <t>CITRICOS</t>
        </is>
      </c>
      <c r="H38" t="inlineStr">
        <is>
          <t>SALUSTIANA</t>
        </is>
      </c>
      <c r="I38" t="n">
        <v>1009</v>
      </c>
      <c r="J38" t="n">
        <v>1274</v>
      </c>
      <c r="K38" t="n">
        <v>0</v>
      </c>
      <c r="L38" t="n">
        <v>1274</v>
      </c>
      <c r="M38" t="inlineStr">
        <is>
          <t>Sí</t>
        </is>
      </c>
      <c r="N38" t="inlineStr"/>
      <c r="O38" t="inlineStr">
        <is>
          <t>Informativa</t>
        </is>
      </c>
      <c r="P38" t="inlineStr">
        <is>
          <t>No interviene en el prorrateo</t>
        </is>
      </c>
    </row>
    <row r="39">
      <c r="A39" t="n">
        <v>1411</v>
      </c>
      <c r="B39" t="inlineStr">
        <is>
          <t>HERMANOS PEÑA GRIÑAN S.C.</t>
        </is>
      </c>
      <c r="E39" t="n">
        <v>2026</v>
      </c>
      <c r="F39" t="n">
        <v>1</v>
      </c>
      <c r="G39" t="inlineStr">
        <is>
          <t>CITRICOS</t>
        </is>
      </c>
      <c r="H39" t="inlineStr">
        <is>
          <t>NAVELINA</t>
        </is>
      </c>
      <c r="I39" t="n">
        <v>1008</v>
      </c>
      <c r="J39" t="n">
        <v>23290</v>
      </c>
      <c r="K39" t="n">
        <v>9197</v>
      </c>
      <c r="L39" t="n">
        <v>9197</v>
      </c>
      <c r="M39" t="inlineStr">
        <is>
          <t>Sí</t>
        </is>
      </c>
      <c r="N39" t="inlineStr"/>
      <c r="O39" t="inlineStr">
        <is>
          <t>Informativa</t>
        </is>
      </c>
      <c r="P39" t="inlineStr">
        <is>
          <t>No interviene en el prorrateo</t>
        </is>
      </c>
    </row>
    <row r="40">
      <c r="A40" t="n">
        <v>1411</v>
      </c>
      <c r="B40" t="inlineStr">
        <is>
          <t>HERMANOS PEÑA GRIÑAN S.C.</t>
        </is>
      </c>
      <c r="E40" t="n">
        <v>2026</v>
      </c>
      <c r="F40" t="n">
        <v>1</v>
      </c>
      <c r="G40" t="inlineStr">
        <is>
          <t>CITRICOS</t>
        </is>
      </c>
      <c r="H40" t="inlineStr">
        <is>
          <t>NAVELINA</t>
        </is>
      </c>
      <c r="I40" t="n">
        <v>1008</v>
      </c>
      <c r="J40" t="n">
        <v>2097</v>
      </c>
      <c r="K40" t="n">
        <v>0</v>
      </c>
      <c r="L40" t="n">
        <v>2097</v>
      </c>
      <c r="M40" t="inlineStr">
        <is>
          <t>Sí</t>
        </is>
      </c>
      <c r="N40" t="inlineStr"/>
      <c r="O40" t="inlineStr">
        <is>
          <t>Informativa</t>
        </is>
      </c>
      <c r="P40" t="inlineStr">
        <is>
          <t>No interviene en el prorrateo</t>
        </is>
      </c>
    </row>
    <row r="41">
      <c r="A41" t="n">
        <v>1411</v>
      </c>
      <c r="B41" t="inlineStr">
        <is>
          <t>HERMANOS PEÑA GRIÑAN S.C.</t>
        </is>
      </c>
      <c r="E41" t="n">
        <v>2026</v>
      </c>
      <c r="F41" t="n">
        <v>1</v>
      </c>
      <c r="G41" t="inlineStr">
        <is>
          <t>CITRICOS</t>
        </is>
      </c>
      <c r="H41" t="inlineStr">
        <is>
          <t>NAVELINA</t>
        </is>
      </c>
      <c r="I41" t="n">
        <v>1008</v>
      </c>
      <c r="J41" t="n">
        <v>5728</v>
      </c>
      <c r="K41" t="n">
        <v>0</v>
      </c>
      <c r="L41" t="n">
        <v>5728</v>
      </c>
      <c r="M41" t="inlineStr">
        <is>
          <t>Sí</t>
        </is>
      </c>
      <c r="N41" t="inlineStr"/>
      <c r="O41" t="inlineStr">
        <is>
          <t>Informativa</t>
        </is>
      </c>
      <c r="P41" t="inlineStr">
        <is>
          <t>No interviene en el prorrateo</t>
        </is>
      </c>
    </row>
    <row r="42">
      <c r="A42" t="n">
        <v>1411</v>
      </c>
      <c r="B42" t="inlineStr">
        <is>
          <t>HERMANOS PEÑA GRIÑAN S.C.</t>
        </is>
      </c>
      <c r="E42" t="n">
        <v>2026</v>
      </c>
      <c r="F42" t="n">
        <v>1</v>
      </c>
      <c r="G42" t="inlineStr">
        <is>
          <t>INDUSTRIA</t>
        </is>
      </c>
      <c r="H42" t="inlineStr">
        <is>
          <t>SALUSTIANA</t>
        </is>
      </c>
      <c r="I42" t="n">
        <v>1009</v>
      </c>
      <c r="J42" t="n">
        <v>670</v>
      </c>
      <c r="K42" t="n">
        <v>0</v>
      </c>
      <c r="L42" t="n">
        <v>670</v>
      </c>
      <c r="M42" t="inlineStr">
        <is>
          <t>Sí</t>
        </is>
      </c>
      <c r="N42" t="inlineStr"/>
      <c r="O42" t="inlineStr">
        <is>
          <t>Informativa</t>
        </is>
      </c>
      <c r="P42" t="inlineStr">
        <is>
          <t>No interviene en el prorrateo</t>
        </is>
      </c>
    </row>
    <row r="43">
      <c r="A43" t="n">
        <v>1411</v>
      </c>
      <c r="B43" t="inlineStr">
        <is>
          <t>HERMANOS PEÑA GRIÑAN S.C.</t>
        </is>
      </c>
      <c r="E43" t="n">
        <v>2026</v>
      </c>
      <c r="F43" t="n">
        <v>1</v>
      </c>
      <c r="G43" t="inlineStr">
        <is>
          <t>INDUSTRIA</t>
        </is>
      </c>
      <c r="H43" t="inlineStr">
        <is>
          <t>NAVELINA</t>
        </is>
      </c>
      <c r="I43" t="n">
        <v>1008</v>
      </c>
      <c r="J43" t="n">
        <v>1330</v>
      </c>
      <c r="K43" t="n">
        <v>0</v>
      </c>
      <c r="L43" t="n">
        <v>1330</v>
      </c>
      <c r="M43" t="inlineStr">
        <is>
          <t>Sí</t>
        </is>
      </c>
      <c r="N43" t="inlineStr"/>
      <c r="O43" t="inlineStr">
        <is>
          <t>Informativa</t>
        </is>
      </c>
      <c r="P43" t="inlineStr">
        <is>
          <t>No interviene en el prorrateo</t>
        </is>
      </c>
    </row>
    <row r="44">
      <c r="A44" t="n">
        <v>1411</v>
      </c>
      <c r="B44" t="inlineStr">
        <is>
          <t>HERMANOS PEÑA GRIÑAN S.C.</t>
        </is>
      </c>
      <c r="E44" t="n">
        <v>2026</v>
      </c>
      <c r="F44" t="n">
        <v>1</v>
      </c>
      <c r="G44" t="inlineStr">
        <is>
          <t>INDUSTRIA</t>
        </is>
      </c>
      <c r="H44" t="inlineStr">
        <is>
          <t>NAVELINA</t>
        </is>
      </c>
      <c r="I44" t="n">
        <v>1008</v>
      </c>
      <c r="J44" t="n">
        <v>22075</v>
      </c>
      <c r="K44" t="n">
        <v>5037</v>
      </c>
      <c r="L44" t="n">
        <v>5037</v>
      </c>
      <c r="M44" t="inlineStr">
        <is>
          <t>Sí</t>
        </is>
      </c>
      <c r="N44" t="inlineStr"/>
      <c r="O44" t="inlineStr">
        <is>
          <t>Informativa</t>
        </is>
      </c>
      <c r="P44" t="inlineStr">
        <is>
          <t>No interviene en el prorrateo</t>
        </is>
      </c>
    </row>
    <row r="45">
      <c r="A45" t="n">
        <v>1411</v>
      </c>
      <c r="B45" t="inlineStr">
        <is>
          <t>HERMANOS PEÑA GRIÑAN S.C.</t>
        </is>
      </c>
      <c r="E45" t="n">
        <v>2026</v>
      </c>
      <c r="F45" t="n">
        <v>1</v>
      </c>
      <c r="G45" t="inlineStr">
        <is>
          <t>INDUSTRIA</t>
        </is>
      </c>
      <c r="H45" t="inlineStr">
        <is>
          <t>NAVELINA</t>
        </is>
      </c>
      <c r="I45" t="n">
        <v>1008</v>
      </c>
      <c r="J45" t="n">
        <v>4035</v>
      </c>
      <c r="K45" t="n">
        <v>0</v>
      </c>
      <c r="L45" t="n">
        <v>4035</v>
      </c>
      <c r="M45" t="inlineStr">
        <is>
          <t>Sí</t>
        </is>
      </c>
      <c r="N45" t="inlineStr"/>
      <c r="O45" t="inlineStr">
        <is>
          <t>Informativa</t>
        </is>
      </c>
      <c r="P45" t="inlineStr">
        <is>
          <t>No interviene en el prorrateo</t>
        </is>
      </c>
    </row>
    <row r="46">
      <c r="A46" t="n">
        <v>1411</v>
      </c>
      <c r="B46" t="inlineStr">
        <is>
          <t>HERMANOS PEÑA GRIÑAN S.C.</t>
        </is>
      </c>
      <c r="E46" t="n">
        <v>2026</v>
      </c>
      <c r="F46" t="n">
        <v>1</v>
      </c>
      <c r="G46" t="inlineStr">
        <is>
          <t>INDUSTRIA</t>
        </is>
      </c>
      <c r="H46" t="inlineStr">
        <is>
          <t>NAVELINA</t>
        </is>
      </c>
      <c r="I46" t="n">
        <v>1008</v>
      </c>
      <c r="J46" t="n">
        <v>665</v>
      </c>
      <c r="K46" t="n">
        <v>0</v>
      </c>
      <c r="L46" t="n">
        <v>665</v>
      </c>
      <c r="M46" t="inlineStr">
        <is>
          <t>Sí</t>
        </is>
      </c>
      <c r="N46" t="inlineStr"/>
      <c r="O46" t="inlineStr">
        <is>
          <t>Informativa</t>
        </is>
      </c>
      <c r="P46" t="inlineStr">
        <is>
          <t>No interviene en el prorrateo</t>
        </is>
      </c>
    </row>
    <row r="47">
      <c r="A47" t="n">
        <v>1411</v>
      </c>
      <c r="B47" t="inlineStr">
        <is>
          <t>HERMANOS PEÑA GRIÑAN S.C.</t>
        </is>
      </c>
      <c r="E47" t="n">
        <v>2026</v>
      </c>
      <c r="F47" t="n">
        <v>1</v>
      </c>
      <c r="G47" t="inlineStr">
        <is>
          <t>INDUSTRIA</t>
        </is>
      </c>
      <c r="H47" t="inlineStr">
        <is>
          <t>WASHINGTON</t>
        </is>
      </c>
      <c r="I47" t="n">
        <v>1010</v>
      </c>
      <c r="J47" t="n">
        <v>5410</v>
      </c>
      <c r="K47" t="n">
        <v>0</v>
      </c>
      <c r="L47" t="n">
        <v>5410</v>
      </c>
      <c r="M47" t="inlineStr">
        <is>
          <t>Sí</t>
        </is>
      </c>
      <c r="N47" t="inlineStr"/>
      <c r="O47" t="inlineStr">
        <is>
          <t>Informativa</t>
        </is>
      </c>
      <c r="P47" t="inlineStr">
        <is>
          <t>No interviene en el prorrateo</t>
        </is>
      </c>
    </row>
    <row r="48">
      <c r="A48" t="n">
        <v>1411</v>
      </c>
      <c r="B48" t="inlineStr">
        <is>
          <t>HERMANOS PEÑA GRIÑAN S.C.</t>
        </is>
      </c>
      <c r="E48" t="n">
        <v>2026</v>
      </c>
      <c r="F48" t="n">
        <v>1</v>
      </c>
      <c r="G48" t="inlineStr">
        <is>
          <t>INDUSTRIA</t>
        </is>
      </c>
      <c r="H48" t="inlineStr">
        <is>
          <t>NAVELINA</t>
        </is>
      </c>
      <c r="I48" t="n">
        <v>1008</v>
      </c>
      <c r="J48" t="n">
        <v>20202</v>
      </c>
      <c r="K48" t="n">
        <v>4930</v>
      </c>
      <c r="L48" t="n">
        <v>4930</v>
      </c>
      <c r="M48" t="inlineStr">
        <is>
          <t>Sí</t>
        </is>
      </c>
      <c r="N48" t="inlineStr"/>
      <c r="O48" t="inlineStr">
        <is>
          <t>Informativa</t>
        </is>
      </c>
      <c r="P48" t="inlineStr">
        <is>
          <t>No interviene en el prorrateo</t>
        </is>
      </c>
    </row>
    <row r="49">
      <c r="A49" t="n">
        <v>1411</v>
      </c>
      <c r="B49" t="inlineStr">
        <is>
          <t>HERMANOS PEÑA GRIÑAN S.C.</t>
        </is>
      </c>
      <c r="E49" t="n">
        <v>2026</v>
      </c>
      <c r="F49" t="n">
        <v>1</v>
      </c>
      <c r="G49" t="inlineStr">
        <is>
          <t>INDUSTRIA</t>
        </is>
      </c>
      <c r="H49" t="inlineStr">
        <is>
          <t>NAVELINA</t>
        </is>
      </c>
      <c r="I49" t="n">
        <v>1008</v>
      </c>
      <c r="J49" t="n">
        <v>446</v>
      </c>
      <c r="K49" t="n">
        <v>0</v>
      </c>
      <c r="L49" t="n">
        <v>446</v>
      </c>
      <c r="M49" t="inlineStr">
        <is>
          <t>Sí</t>
        </is>
      </c>
      <c r="N49" t="inlineStr"/>
      <c r="O49" t="inlineStr">
        <is>
          <t>Informativa</t>
        </is>
      </c>
      <c r="P49" t="inlineStr">
        <is>
          <t>No interviene en el prorrateo</t>
        </is>
      </c>
    </row>
    <row r="50">
      <c r="A50" t="n">
        <v>1411</v>
      </c>
      <c r="B50" t="inlineStr">
        <is>
          <t>HERMANOS PEÑA GRIÑAN S.C.</t>
        </is>
      </c>
      <c r="E50" t="n">
        <v>2026</v>
      </c>
      <c r="F50" t="n">
        <v>1</v>
      </c>
      <c r="G50" t="inlineStr">
        <is>
          <t>INDUSTRIA</t>
        </is>
      </c>
      <c r="H50" t="inlineStr">
        <is>
          <t>SALUSTIANA</t>
        </is>
      </c>
      <c r="I50" t="n">
        <v>1009</v>
      </c>
      <c r="J50" t="n">
        <v>1352</v>
      </c>
      <c r="K50" t="n">
        <v>0</v>
      </c>
      <c r="L50" t="n">
        <v>1352</v>
      </c>
      <c r="M50" t="inlineStr">
        <is>
          <t>Sí</t>
        </is>
      </c>
      <c r="N50" t="inlineStr"/>
      <c r="O50" t="inlineStr">
        <is>
          <t>Informativa</t>
        </is>
      </c>
      <c r="P50" t="inlineStr">
        <is>
          <t>No interviene en el prorrateo</t>
        </is>
      </c>
    </row>
    <row r="51">
      <c r="A51" t="n">
        <v>1411</v>
      </c>
      <c r="B51" t="inlineStr">
        <is>
          <t>HERMANOS PEÑA GRIÑAN S.C.</t>
        </is>
      </c>
      <c r="E51" t="n">
        <v>2026</v>
      </c>
      <c r="F51" t="n">
        <v>1</v>
      </c>
      <c r="G51" t="inlineStr">
        <is>
          <t>INDUSTRIA</t>
        </is>
      </c>
      <c r="H51" t="inlineStr">
        <is>
          <t>NAVELINA</t>
        </is>
      </c>
      <c r="I51" t="n">
        <v>1008</v>
      </c>
      <c r="J51" t="n">
        <v>24920</v>
      </c>
      <c r="K51" t="n">
        <v>0</v>
      </c>
      <c r="L51" t="n">
        <v>24920</v>
      </c>
      <c r="M51" t="inlineStr">
        <is>
          <t>Sí</t>
        </is>
      </c>
      <c r="N51" t="inlineStr"/>
      <c r="O51" t="inlineStr">
        <is>
          <t>Informativa</t>
        </is>
      </c>
      <c r="P51" t="inlineStr">
        <is>
          <t>No interviene en el prorrateo</t>
        </is>
      </c>
    </row>
    <row r="52">
      <c r="A52" t="n">
        <v>1411</v>
      </c>
      <c r="B52" t="inlineStr">
        <is>
          <t>HERMANOS PEÑA GRIÑAN S.C.</t>
        </is>
      </c>
      <c r="E52" t="n">
        <v>2026</v>
      </c>
      <c r="F52" t="n">
        <v>1</v>
      </c>
      <c r="G52" t="inlineStr">
        <is>
          <t>INDUSTRIA</t>
        </is>
      </c>
      <c r="H52" t="inlineStr">
        <is>
          <t>NAVELINA</t>
        </is>
      </c>
      <c r="I52" t="n">
        <v>1008</v>
      </c>
      <c r="J52" t="n">
        <v>4938</v>
      </c>
      <c r="K52" t="n">
        <v>0</v>
      </c>
      <c r="L52" t="n">
        <v>4938</v>
      </c>
      <c r="M52" t="inlineStr">
        <is>
          <t>Sí</t>
        </is>
      </c>
      <c r="N52" t="inlineStr"/>
      <c r="O52" t="inlineStr">
        <is>
          <t>Informativa</t>
        </is>
      </c>
      <c r="P52" t="inlineStr">
        <is>
          <t>No interviene en el prorrateo</t>
        </is>
      </c>
    </row>
    <row r="53">
      <c r="A53" t="n">
        <v>1411</v>
      </c>
      <c r="B53" t="inlineStr">
        <is>
          <t>HERMANOS PEÑA GRIÑAN S.C.</t>
        </is>
      </c>
      <c r="E53" t="n">
        <v>2026</v>
      </c>
      <c r="F53" t="n">
        <v>1</v>
      </c>
      <c r="G53" t="inlineStr">
        <is>
          <t>INDUSTRIA</t>
        </is>
      </c>
      <c r="H53" t="inlineStr">
        <is>
          <t>NAVELINA</t>
        </is>
      </c>
      <c r="I53" t="n">
        <v>1008</v>
      </c>
      <c r="J53" t="n">
        <v>1710</v>
      </c>
      <c r="K53" t="n">
        <v>0</v>
      </c>
      <c r="L53" t="n">
        <v>1710</v>
      </c>
      <c r="M53" t="inlineStr">
        <is>
          <t>Sí</t>
        </is>
      </c>
      <c r="N53" t="inlineStr"/>
      <c r="O53" t="inlineStr">
        <is>
          <t>Informativa</t>
        </is>
      </c>
      <c r="P53" t="inlineStr">
        <is>
          <t>No interviene en el prorrateo</t>
        </is>
      </c>
    </row>
    <row r="54">
      <c r="A54" t="n">
        <v>1411</v>
      </c>
      <c r="B54" t="inlineStr">
        <is>
          <t>HERMANOS PEÑA GRIÑAN S.C.</t>
        </is>
      </c>
      <c r="E54" t="n">
        <v>2026</v>
      </c>
      <c r="F54" t="n">
        <v>1</v>
      </c>
      <c r="G54" t="inlineStr">
        <is>
          <t>INDUSTRIA</t>
        </is>
      </c>
      <c r="H54" t="inlineStr">
        <is>
          <t>NAVELINA</t>
        </is>
      </c>
      <c r="I54" t="n">
        <v>1008</v>
      </c>
      <c r="J54" t="n">
        <v>223</v>
      </c>
      <c r="K54" t="n">
        <v>0</v>
      </c>
      <c r="L54" t="n">
        <v>223</v>
      </c>
      <c r="M54" t="inlineStr">
        <is>
          <t>Sí</t>
        </is>
      </c>
      <c r="N54" t="inlineStr"/>
      <c r="O54" t="inlineStr">
        <is>
          <t>Informativa</t>
        </is>
      </c>
      <c r="P54" t="inlineStr">
        <is>
          <t>No interviene en el prorrateo</t>
        </is>
      </c>
    </row>
    <row r="55">
      <c r="A55" t="n">
        <v>1411</v>
      </c>
      <c r="B55" t="inlineStr">
        <is>
          <t>HERMANOS PEÑA GRIÑAN S.C.</t>
        </is>
      </c>
      <c r="E55" t="n">
        <v>2026</v>
      </c>
      <c r="F55" t="n">
        <v>1</v>
      </c>
      <c r="G55" t="inlineStr">
        <is>
          <t>INDUSTRIA</t>
        </is>
      </c>
      <c r="H55" t="inlineStr">
        <is>
          <t>SALUSTIANA</t>
        </is>
      </c>
      <c r="I55" t="n">
        <v>1009</v>
      </c>
      <c r="J55" t="n">
        <v>1048</v>
      </c>
      <c r="K55" t="n">
        <v>0</v>
      </c>
      <c r="L55" t="n">
        <v>1048</v>
      </c>
      <c r="M55" t="inlineStr">
        <is>
          <t>Sí</t>
        </is>
      </c>
      <c r="N55" t="inlineStr"/>
      <c r="O55" t="inlineStr">
        <is>
          <t>Informativa</t>
        </is>
      </c>
      <c r="P55" t="inlineStr">
        <is>
          <t>No interviene en el prorrateo</t>
        </is>
      </c>
    </row>
    <row r="56">
      <c r="A56" t="n">
        <v>1411</v>
      </c>
      <c r="B56" t="inlineStr">
        <is>
          <t>HERMANOS PEÑA GRIÑAN S.C.</t>
        </is>
      </c>
      <c r="E56" t="n">
        <v>2026</v>
      </c>
      <c r="F56" t="n">
        <v>1</v>
      </c>
      <c r="G56" t="inlineStr">
        <is>
          <t>INDUSTRIA</t>
        </is>
      </c>
      <c r="H56" t="inlineStr">
        <is>
          <t>NAVELINA</t>
        </is>
      </c>
      <c r="I56" t="n">
        <v>1008</v>
      </c>
      <c r="J56" t="n">
        <v>8419</v>
      </c>
      <c r="K56" t="n">
        <v>0</v>
      </c>
      <c r="L56" t="n">
        <v>8419</v>
      </c>
      <c r="M56" t="inlineStr">
        <is>
          <t>Sí</t>
        </is>
      </c>
      <c r="N56" t="inlineStr"/>
      <c r="O56" t="inlineStr">
        <is>
          <t>Informativa</t>
        </is>
      </c>
      <c r="P56" t="inlineStr">
        <is>
          <t>No interviene en el prorrateo</t>
        </is>
      </c>
    </row>
    <row r="57">
      <c r="A57" t="n">
        <v>1411</v>
      </c>
      <c r="B57" t="inlineStr">
        <is>
          <t>HERMANOS PEÑA GRIÑAN S.C.</t>
        </is>
      </c>
      <c r="E57" t="n">
        <v>2026</v>
      </c>
      <c r="F57" t="n">
        <v>1</v>
      </c>
      <c r="G57" t="inlineStr">
        <is>
          <t>INDUSTRIA</t>
        </is>
      </c>
      <c r="H57" t="inlineStr">
        <is>
          <t>SALUSTIANA</t>
        </is>
      </c>
      <c r="I57" t="n">
        <v>1009</v>
      </c>
      <c r="J57" t="n">
        <v>24715</v>
      </c>
      <c r="K57" t="n">
        <v>2243</v>
      </c>
      <c r="L57" t="n">
        <v>2243</v>
      </c>
      <c r="M57" t="inlineStr">
        <is>
          <t>Sí</t>
        </is>
      </c>
      <c r="N57" t="inlineStr"/>
      <c r="O57" t="inlineStr">
        <is>
          <t>Informativa</t>
        </is>
      </c>
      <c r="P57" t="inlineStr">
        <is>
          <t>No interviene en el prorrateo</t>
        </is>
      </c>
    </row>
    <row r="58">
      <c r="A58" t="n">
        <v>1411</v>
      </c>
      <c r="B58" t="inlineStr">
        <is>
          <t>HERMANOS PEÑA GRIÑAN S.C.</t>
        </is>
      </c>
      <c r="E58" t="n">
        <v>2026</v>
      </c>
      <c r="F58" t="n">
        <v>1</v>
      </c>
      <c r="G58" t="inlineStr">
        <is>
          <t>INDUSTRIA</t>
        </is>
      </c>
      <c r="H58" t="inlineStr">
        <is>
          <t>SALUSTIANA</t>
        </is>
      </c>
      <c r="I58" t="n">
        <v>1009</v>
      </c>
      <c r="J58" t="n">
        <v>2040</v>
      </c>
      <c r="K58" t="n">
        <v>0</v>
      </c>
      <c r="L58" t="n">
        <v>2040</v>
      </c>
      <c r="M58" t="inlineStr">
        <is>
          <t>Sí</t>
        </is>
      </c>
      <c r="N58" t="inlineStr"/>
      <c r="O58" t="inlineStr">
        <is>
          <t>Informativa</t>
        </is>
      </c>
      <c r="P58" t="inlineStr">
        <is>
          <t>No interviene en el prorrateo</t>
        </is>
      </c>
    </row>
    <row r="59">
      <c r="A59" t="n">
        <v>1411</v>
      </c>
      <c r="B59" t="inlineStr">
        <is>
          <t>HERMANOS PEÑA GRIÑAN S.C.</t>
        </is>
      </c>
      <c r="E59" t="n">
        <v>2026</v>
      </c>
      <c r="F59" t="n">
        <v>1</v>
      </c>
      <c r="G59" t="inlineStr">
        <is>
          <t>INDUSTRIA</t>
        </is>
      </c>
      <c r="H59" t="inlineStr">
        <is>
          <t>NAVELINA</t>
        </is>
      </c>
      <c r="I59" t="n">
        <v>1008</v>
      </c>
      <c r="J59" t="n">
        <v>4478</v>
      </c>
      <c r="K59" t="n">
        <v>0</v>
      </c>
      <c r="L59" t="n">
        <v>4478</v>
      </c>
      <c r="M59" t="inlineStr">
        <is>
          <t>Sí</t>
        </is>
      </c>
      <c r="N59" t="inlineStr"/>
      <c r="O59" t="inlineStr">
        <is>
          <t>Informativa</t>
        </is>
      </c>
      <c r="P59" t="inlineStr">
        <is>
          <t>No interviene en el prorrateo</t>
        </is>
      </c>
    </row>
    <row r="60">
      <c r="A60" t="n">
        <v>1411</v>
      </c>
      <c r="B60" t="inlineStr">
        <is>
          <t>HERMANOS PEÑA GRIÑAN S.C.</t>
        </is>
      </c>
      <c r="E60" t="n">
        <v>2026</v>
      </c>
      <c r="F60" t="n">
        <v>1</v>
      </c>
      <c r="G60" t="inlineStr">
        <is>
          <t>INDUSTRIA</t>
        </is>
      </c>
      <c r="H60" t="inlineStr">
        <is>
          <t>NAVELINA</t>
        </is>
      </c>
      <c r="I60" t="n">
        <v>1008</v>
      </c>
      <c r="J60" t="n">
        <v>412</v>
      </c>
      <c r="K60" t="n">
        <v>0</v>
      </c>
      <c r="L60" t="n">
        <v>412</v>
      </c>
      <c r="M60" t="inlineStr">
        <is>
          <t>Sí</t>
        </is>
      </c>
      <c r="N60" t="inlineStr"/>
      <c r="O60" t="inlineStr">
        <is>
          <t>Informativa</t>
        </is>
      </c>
      <c r="P60" t="inlineStr">
        <is>
          <t>No interviene en el prorrateo</t>
        </is>
      </c>
    </row>
    <row r="61">
      <c r="A61" t="n">
        <v>1411</v>
      </c>
      <c r="B61" t="inlineStr">
        <is>
          <t>HERMANOS PEÑA GRIÑAN S.C.</t>
        </is>
      </c>
      <c r="E61" t="n">
        <v>2026</v>
      </c>
      <c r="F61" t="n">
        <v>1</v>
      </c>
      <c r="G61" t="inlineStr">
        <is>
          <t>INDUSTRIA</t>
        </is>
      </c>
      <c r="H61" t="inlineStr">
        <is>
          <t>SALUSTIANA</t>
        </is>
      </c>
      <c r="I61" t="n">
        <v>1009</v>
      </c>
      <c r="J61" t="n">
        <v>12432</v>
      </c>
      <c r="K61" t="n">
        <v>11896</v>
      </c>
      <c r="L61" t="n">
        <v>11896</v>
      </c>
      <c r="M61" t="inlineStr">
        <is>
          <t>Sí</t>
        </is>
      </c>
      <c r="N61" t="inlineStr"/>
      <c r="O61" t="inlineStr">
        <is>
          <t>Informativa</t>
        </is>
      </c>
      <c r="P61" t="inlineStr">
        <is>
          <t>No interviene en el prorrateo</t>
        </is>
      </c>
    </row>
    <row r="62">
      <c r="A62" t="n">
        <v>1411</v>
      </c>
      <c r="B62" t="inlineStr">
        <is>
          <t>HERMANOS PEÑA GRIÑAN S.C.</t>
        </is>
      </c>
      <c r="E62" t="n">
        <v>2026</v>
      </c>
      <c r="F62" t="n">
        <v>1</v>
      </c>
      <c r="G62" t="inlineStr">
        <is>
          <t>INDUSTRIA</t>
        </is>
      </c>
      <c r="H62" t="inlineStr">
        <is>
          <t>SALUSTIANA</t>
        </is>
      </c>
      <c r="I62" t="n">
        <v>1009</v>
      </c>
      <c r="J62" t="n">
        <v>446</v>
      </c>
      <c r="K62" t="n">
        <v>0</v>
      </c>
      <c r="L62" t="n">
        <v>446</v>
      </c>
      <c r="M62" t="inlineStr">
        <is>
          <t>Sí</t>
        </is>
      </c>
      <c r="N62" t="inlineStr"/>
      <c r="O62" t="inlineStr">
        <is>
          <t>Informativa</t>
        </is>
      </c>
      <c r="P62" t="inlineStr">
        <is>
          <t>No interviene en el prorrateo</t>
        </is>
      </c>
    </row>
    <row r="63">
      <c r="A63" t="n">
        <v>1540</v>
      </c>
      <c r="B63" t="inlineStr">
        <is>
          <t>AGRICOLA SANCHEZ CUENCA S.C.</t>
        </is>
      </c>
      <c r="E63" t="n">
        <v>2026</v>
      </c>
      <c r="F63" t="n">
        <v>1</v>
      </c>
      <c r="G63" t="inlineStr">
        <is>
          <t>CITRICOS</t>
        </is>
      </c>
      <c r="H63" t="inlineStr">
        <is>
          <t>SALUSTIANA</t>
        </is>
      </c>
      <c r="I63" t="n">
        <v>570</v>
      </c>
      <c r="J63" t="n">
        <v>11720</v>
      </c>
      <c r="K63" t="n">
        <v>0</v>
      </c>
      <c r="L63" t="n">
        <v>11720</v>
      </c>
      <c r="M63" t="inlineStr">
        <is>
          <t>Sí</t>
        </is>
      </c>
      <c r="N63" t="inlineStr"/>
      <c r="O63" t="inlineStr">
        <is>
          <t>Informativa</t>
        </is>
      </c>
      <c r="P63" t="inlineStr">
        <is>
          <t>No interviene en el prorrateo</t>
        </is>
      </c>
    </row>
    <row r="64">
      <c r="A64" t="n">
        <v>1540</v>
      </c>
      <c r="B64" t="inlineStr">
        <is>
          <t>AGRICOLA SANCHEZ CUENCA S.C.</t>
        </is>
      </c>
      <c r="E64" t="n">
        <v>2026</v>
      </c>
      <c r="F64" t="n">
        <v>1</v>
      </c>
      <c r="G64" t="inlineStr">
        <is>
          <t>CITRICOS</t>
        </is>
      </c>
      <c r="H64" t="inlineStr">
        <is>
          <t>SALUSTIANA</t>
        </is>
      </c>
      <c r="I64" t="n">
        <v>570</v>
      </c>
      <c r="J64" t="n">
        <v>11760</v>
      </c>
      <c r="K64" t="n">
        <v>0</v>
      </c>
      <c r="L64" t="n">
        <v>11760</v>
      </c>
      <c r="M64" t="inlineStr">
        <is>
          <t>Sí</t>
        </is>
      </c>
      <c r="N64" t="inlineStr"/>
      <c r="O64" t="inlineStr">
        <is>
          <t>Informativa</t>
        </is>
      </c>
      <c r="P64" t="inlineStr">
        <is>
          <t>No interviene en el prorrateo</t>
        </is>
      </c>
    </row>
    <row r="65">
      <c r="A65" t="n">
        <v>1540</v>
      </c>
      <c r="B65" t="inlineStr">
        <is>
          <t>AGRICOLA SANCHEZ CUENCA S.C.</t>
        </is>
      </c>
      <c r="E65" t="n">
        <v>2026</v>
      </c>
      <c r="F65" t="n">
        <v>1</v>
      </c>
      <c r="G65" t="inlineStr">
        <is>
          <t>CITRICOS</t>
        </is>
      </c>
      <c r="H65" t="inlineStr">
        <is>
          <t>SALUSTIANA</t>
        </is>
      </c>
      <c r="I65" t="n">
        <v>570</v>
      </c>
      <c r="J65" t="n">
        <v>10050</v>
      </c>
      <c r="K65" t="n">
        <v>0</v>
      </c>
      <c r="L65" t="n">
        <v>10050</v>
      </c>
      <c r="M65" t="inlineStr">
        <is>
          <t>Sí</t>
        </is>
      </c>
      <c r="N65" t="inlineStr"/>
      <c r="O65" t="inlineStr">
        <is>
          <t>Informativa</t>
        </is>
      </c>
      <c r="P65" t="inlineStr">
        <is>
          <t>No interviene en el prorrateo</t>
        </is>
      </c>
    </row>
    <row r="66">
      <c r="A66" t="n">
        <v>1540</v>
      </c>
      <c r="B66" t="inlineStr">
        <is>
          <t>AGRICOLA SANCHEZ CUENCA S.C.</t>
        </is>
      </c>
      <c r="E66" t="n">
        <v>2026</v>
      </c>
      <c r="F66" t="n">
        <v>1</v>
      </c>
      <c r="G66" t="inlineStr">
        <is>
          <t>CITRICOS</t>
        </is>
      </c>
      <c r="H66" t="inlineStr">
        <is>
          <t>SALUSTIANA</t>
        </is>
      </c>
      <c r="I66" t="n">
        <v>570</v>
      </c>
      <c r="J66" t="n">
        <v>13960</v>
      </c>
      <c r="K66" t="n">
        <v>0</v>
      </c>
      <c r="L66" t="n">
        <v>13960</v>
      </c>
      <c r="M66" t="inlineStr">
        <is>
          <t>Sí</t>
        </is>
      </c>
      <c r="N66" t="inlineStr"/>
      <c r="O66" t="inlineStr">
        <is>
          <t>Informativa</t>
        </is>
      </c>
      <c r="P66" t="inlineStr">
        <is>
          <t>No interviene en el prorrateo</t>
        </is>
      </c>
    </row>
    <row r="67">
      <c r="A67" t="n">
        <v>1540</v>
      </c>
      <c r="B67" t="inlineStr">
        <is>
          <t>AGRICOLA SANCHEZ CUENCA S.C.</t>
        </is>
      </c>
      <c r="E67" t="n">
        <v>2026</v>
      </c>
      <c r="F67" t="n">
        <v>1</v>
      </c>
      <c r="G67" t="inlineStr">
        <is>
          <t>CITRICOS</t>
        </is>
      </c>
      <c r="H67" t="inlineStr">
        <is>
          <t>SALUSTIANA</t>
        </is>
      </c>
      <c r="I67" t="n">
        <v>570</v>
      </c>
      <c r="J67" t="n">
        <v>12000</v>
      </c>
      <c r="K67" t="n">
        <v>0</v>
      </c>
      <c r="L67" t="n">
        <v>12000</v>
      </c>
      <c r="M67" t="inlineStr">
        <is>
          <t>Sí</t>
        </is>
      </c>
      <c r="N67" t="inlineStr"/>
      <c r="O67" t="inlineStr">
        <is>
          <t>Informativa</t>
        </is>
      </c>
      <c r="P67" t="inlineStr">
        <is>
          <t>No interviene en el prorrateo</t>
        </is>
      </c>
    </row>
    <row r="68">
      <c r="A68" t="n">
        <v>1540</v>
      </c>
      <c r="B68" t="inlineStr">
        <is>
          <t>AGRICOLA SANCHEZ CUENCA S.C.</t>
        </is>
      </c>
      <c r="E68" t="n">
        <v>2026</v>
      </c>
      <c r="F68" t="n">
        <v>1</v>
      </c>
      <c r="G68" t="inlineStr">
        <is>
          <t>CITRICOS</t>
        </is>
      </c>
      <c r="H68" t="inlineStr">
        <is>
          <t>SALUSTIANA</t>
        </is>
      </c>
      <c r="I68" t="n">
        <v>570</v>
      </c>
      <c r="J68" t="n">
        <v>11700</v>
      </c>
      <c r="K68" t="n">
        <v>3620</v>
      </c>
      <c r="L68" t="n">
        <v>3620</v>
      </c>
      <c r="M68" t="inlineStr">
        <is>
          <t>Sí</t>
        </is>
      </c>
      <c r="N68" t="inlineStr"/>
      <c r="O68" t="inlineStr">
        <is>
          <t>Informativa</t>
        </is>
      </c>
      <c r="P68" t="inlineStr">
        <is>
          <t>No interviene en el prorrateo</t>
        </is>
      </c>
    </row>
    <row r="69">
      <c r="A69" t="n">
        <v>1540</v>
      </c>
      <c r="B69" t="inlineStr">
        <is>
          <t>AGRICOLA SANCHEZ CUENCA S.C.</t>
        </is>
      </c>
      <c r="E69" t="n">
        <v>2026</v>
      </c>
      <c r="F69" t="n">
        <v>1</v>
      </c>
      <c r="G69" t="inlineStr">
        <is>
          <t>CITRICOS</t>
        </is>
      </c>
      <c r="H69" t="inlineStr">
        <is>
          <t>SALUSTIANA</t>
        </is>
      </c>
      <c r="I69" t="n">
        <v>570</v>
      </c>
      <c r="J69" t="n">
        <v>11940</v>
      </c>
      <c r="K69" t="n">
        <v>0</v>
      </c>
      <c r="L69" t="n">
        <v>11940</v>
      </c>
      <c r="M69" t="inlineStr">
        <is>
          <t>Sí</t>
        </is>
      </c>
      <c r="N69" t="inlineStr"/>
      <c r="O69" t="inlineStr">
        <is>
          <t>Informativa</t>
        </is>
      </c>
      <c r="P69" t="inlineStr">
        <is>
          <t>No interviene en el prorrateo</t>
        </is>
      </c>
    </row>
    <row r="70">
      <c r="A70" t="n">
        <v>1540</v>
      </c>
      <c r="B70" t="inlineStr">
        <is>
          <t>AGRICOLA SANCHEZ CUENCA S.C.</t>
        </is>
      </c>
      <c r="E70" t="n">
        <v>2026</v>
      </c>
      <c r="F70" t="n">
        <v>1</v>
      </c>
      <c r="G70" t="inlineStr">
        <is>
          <t>CITRICOS</t>
        </is>
      </c>
      <c r="H70" t="inlineStr">
        <is>
          <t>SALUSTIANA</t>
        </is>
      </c>
      <c r="I70" t="n">
        <v>570</v>
      </c>
      <c r="J70" t="n">
        <v>11280</v>
      </c>
      <c r="K70" t="n">
        <v>7240</v>
      </c>
      <c r="L70" t="n">
        <v>7240</v>
      </c>
      <c r="M70" t="inlineStr">
        <is>
          <t>Sí</t>
        </is>
      </c>
      <c r="N70" t="inlineStr"/>
      <c r="O70" t="inlineStr">
        <is>
          <t>Informativa</t>
        </is>
      </c>
      <c r="P70" t="inlineStr">
        <is>
          <t>No interviene en el prorrateo</t>
        </is>
      </c>
    </row>
    <row r="71">
      <c r="A71" t="n">
        <v>1540</v>
      </c>
      <c r="B71" t="inlineStr">
        <is>
          <t>AGRICOLA SANCHEZ CUENCA S.C.</t>
        </is>
      </c>
      <c r="E71" t="n">
        <v>2026</v>
      </c>
      <c r="F71" t="n">
        <v>1</v>
      </c>
      <c r="G71" t="inlineStr">
        <is>
          <t>CITRICOS</t>
        </is>
      </c>
      <c r="H71" t="inlineStr">
        <is>
          <t>SALUSTIANA</t>
        </is>
      </c>
      <c r="I71" t="n">
        <v>570</v>
      </c>
      <c r="J71" t="n">
        <v>12060</v>
      </c>
      <c r="K71" t="n">
        <v>0</v>
      </c>
      <c r="L71" t="n">
        <v>12060</v>
      </c>
      <c r="M71" t="inlineStr">
        <is>
          <t>Sí</t>
        </is>
      </c>
      <c r="N71" t="inlineStr"/>
      <c r="O71" t="inlineStr">
        <is>
          <t>Informativa</t>
        </is>
      </c>
      <c r="P71" t="inlineStr">
        <is>
          <t>No interviene en el prorrateo</t>
        </is>
      </c>
    </row>
    <row r="72">
      <c r="A72" t="n">
        <v>1540</v>
      </c>
      <c r="B72" t="inlineStr">
        <is>
          <t>AGRICOLA SANCHEZ CUENCA S.C.</t>
        </is>
      </c>
      <c r="E72" t="n">
        <v>2026</v>
      </c>
      <c r="F72" t="n">
        <v>1</v>
      </c>
      <c r="G72" t="inlineStr">
        <is>
          <t>CITRICOS</t>
        </is>
      </c>
      <c r="H72" t="inlineStr">
        <is>
          <t>SALUSTIANA</t>
        </is>
      </c>
      <c r="I72" t="n">
        <v>570</v>
      </c>
      <c r="J72" t="n">
        <v>13015</v>
      </c>
      <c r="K72" t="n">
        <v>988</v>
      </c>
      <c r="L72" t="n">
        <v>988</v>
      </c>
      <c r="M72" t="inlineStr">
        <is>
          <t>Sí</t>
        </is>
      </c>
      <c r="N72" t="inlineStr"/>
      <c r="O72" t="inlineStr">
        <is>
          <t>Informativa</t>
        </is>
      </c>
      <c r="P72" t="inlineStr">
        <is>
          <t>No interviene en el prorrateo</t>
        </is>
      </c>
    </row>
    <row r="73">
      <c r="A73" t="n">
        <v>1540</v>
      </c>
      <c r="B73" t="inlineStr">
        <is>
          <t>AGRICOLA SANCHEZ CUENCA S.C.</t>
        </is>
      </c>
      <c r="E73" t="n">
        <v>2026</v>
      </c>
      <c r="F73" t="n">
        <v>1</v>
      </c>
      <c r="G73" t="inlineStr">
        <is>
          <t>CITRICOS</t>
        </is>
      </c>
      <c r="H73" t="inlineStr">
        <is>
          <t>SALUSTIANA</t>
        </is>
      </c>
      <c r="I73" t="n">
        <v>570</v>
      </c>
      <c r="J73" t="n">
        <v>11965</v>
      </c>
      <c r="K73" t="n">
        <v>10872</v>
      </c>
      <c r="L73" t="n">
        <v>10872</v>
      </c>
      <c r="M73" t="inlineStr">
        <is>
          <t>Sí</t>
        </is>
      </c>
      <c r="N73" t="inlineStr"/>
      <c r="O73" t="inlineStr">
        <is>
          <t>Informativa</t>
        </is>
      </c>
      <c r="P73" t="inlineStr">
        <is>
          <t>No interviene en el prorrateo</t>
        </is>
      </c>
    </row>
    <row r="74">
      <c r="A74" t="n">
        <v>1540</v>
      </c>
      <c r="B74" t="inlineStr">
        <is>
          <t>AGRICOLA SANCHEZ CUENCA S.C.</t>
        </is>
      </c>
      <c r="E74" t="n">
        <v>2026</v>
      </c>
      <c r="F74" t="n">
        <v>1</v>
      </c>
      <c r="G74" t="inlineStr">
        <is>
          <t>CITRICOS</t>
        </is>
      </c>
      <c r="H74" t="inlineStr">
        <is>
          <t>SALUSTIANA</t>
        </is>
      </c>
      <c r="I74" t="n">
        <v>570</v>
      </c>
      <c r="J74" t="n">
        <v>1009</v>
      </c>
      <c r="K74" t="n">
        <v>0</v>
      </c>
      <c r="L74" t="n">
        <v>1009</v>
      </c>
      <c r="M74" t="inlineStr">
        <is>
          <t>Sí</t>
        </is>
      </c>
      <c r="N74" t="inlineStr"/>
      <c r="O74" t="inlineStr">
        <is>
          <t>Informativa</t>
        </is>
      </c>
      <c r="P74" t="inlineStr">
        <is>
          <t>No interviene en el prorrateo</t>
        </is>
      </c>
    </row>
    <row r="75">
      <c r="A75" t="n">
        <v>1540</v>
      </c>
      <c r="B75" t="inlineStr">
        <is>
          <t>AGRICOLA SANCHEZ CUENCA S.C.</t>
        </is>
      </c>
      <c r="E75" t="n">
        <v>2026</v>
      </c>
      <c r="F75" t="n">
        <v>1</v>
      </c>
      <c r="G75" t="inlineStr">
        <is>
          <t>CITRICOS</t>
        </is>
      </c>
      <c r="H75" t="inlineStr">
        <is>
          <t>SALUSTIANA</t>
        </is>
      </c>
      <c r="I75" t="n">
        <v>570</v>
      </c>
      <c r="J75" t="n">
        <v>11850</v>
      </c>
      <c r="K75" t="n">
        <v>0</v>
      </c>
      <c r="L75" t="n">
        <v>11850</v>
      </c>
      <c r="M75" t="inlineStr">
        <is>
          <t>Sí</t>
        </is>
      </c>
      <c r="N75" t="inlineStr"/>
      <c r="O75" t="inlineStr">
        <is>
          <t>Informativa</t>
        </is>
      </c>
      <c r="P75" t="inlineStr">
        <is>
          <t>No interviene en el prorrateo</t>
        </is>
      </c>
    </row>
    <row r="76">
      <c r="A76" t="n">
        <v>1540</v>
      </c>
      <c r="B76" t="inlineStr">
        <is>
          <t>AGRICOLA SANCHEZ CUENCA S.C.</t>
        </is>
      </c>
      <c r="E76" t="n">
        <v>2026</v>
      </c>
      <c r="F76" t="n">
        <v>1</v>
      </c>
      <c r="G76" t="inlineStr">
        <is>
          <t>CITRICOS</t>
        </is>
      </c>
      <c r="H76" t="inlineStr">
        <is>
          <t>SALUSTIANA</t>
        </is>
      </c>
      <c r="I76" t="n">
        <v>570</v>
      </c>
      <c r="J76" t="n">
        <v>12140</v>
      </c>
      <c r="K76" t="n">
        <v>7813</v>
      </c>
      <c r="L76" t="n">
        <v>7813</v>
      </c>
      <c r="M76" t="inlineStr">
        <is>
          <t>Sí</t>
        </is>
      </c>
      <c r="N76" t="inlineStr"/>
      <c r="O76" t="inlineStr">
        <is>
          <t>Informativa</t>
        </is>
      </c>
      <c r="P76" t="inlineStr">
        <is>
          <t>No interviene en el prorrateo</t>
        </is>
      </c>
    </row>
    <row r="77">
      <c r="A77" t="n">
        <v>1540</v>
      </c>
      <c r="B77" t="inlineStr">
        <is>
          <t>AGRICOLA SANCHEZ CUENCA S.C.</t>
        </is>
      </c>
      <c r="E77" t="n">
        <v>2026</v>
      </c>
      <c r="F77" t="n">
        <v>1</v>
      </c>
      <c r="G77" t="inlineStr">
        <is>
          <t>CITRICOS</t>
        </is>
      </c>
      <c r="H77" t="inlineStr">
        <is>
          <t>SALUSTIANA</t>
        </is>
      </c>
      <c r="I77" t="n">
        <v>570</v>
      </c>
      <c r="J77" t="n">
        <v>12560</v>
      </c>
      <c r="K77" t="n">
        <v>3907</v>
      </c>
      <c r="L77" t="n">
        <v>3907</v>
      </c>
      <c r="M77" t="inlineStr">
        <is>
          <t>Sí</t>
        </is>
      </c>
      <c r="N77" t="inlineStr"/>
      <c r="O77" t="inlineStr">
        <is>
          <t>Informativa</t>
        </is>
      </c>
      <c r="P77" t="inlineStr">
        <is>
          <t>No interviene en el prorrateo</t>
        </is>
      </c>
    </row>
    <row r="78">
      <c r="A78" t="n">
        <v>1540</v>
      </c>
      <c r="B78" t="inlineStr">
        <is>
          <t>AGRICOLA SANCHEZ CUENCA S.C.</t>
        </is>
      </c>
      <c r="E78" t="n">
        <v>2026</v>
      </c>
      <c r="F78" t="n">
        <v>1</v>
      </c>
      <c r="G78" t="inlineStr">
        <is>
          <t>CITRICOS</t>
        </is>
      </c>
      <c r="H78" t="inlineStr">
        <is>
          <t>SALUSTIANA</t>
        </is>
      </c>
      <c r="I78" t="n">
        <v>570</v>
      </c>
      <c r="J78" t="n">
        <v>11680</v>
      </c>
      <c r="K78" t="n">
        <v>0</v>
      </c>
      <c r="L78" t="n">
        <v>11680</v>
      </c>
      <c r="M78" t="inlineStr">
        <is>
          <t>Sí</t>
        </is>
      </c>
      <c r="N78" t="inlineStr"/>
      <c r="O78" t="inlineStr">
        <is>
          <t>Informativa</t>
        </is>
      </c>
      <c r="P78" t="inlineStr">
        <is>
          <t>No interviene en el prorrateo</t>
        </is>
      </c>
    </row>
    <row r="79">
      <c r="A79" t="n">
        <v>1540</v>
      </c>
      <c r="B79" t="inlineStr">
        <is>
          <t>AGRICOLA SANCHEZ CUENCA S.C.</t>
        </is>
      </c>
      <c r="E79" t="n">
        <v>2026</v>
      </c>
      <c r="F79" t="n">
        <v>1</v>
      </c>
      <c r="G79" t="inlineStr">
        <is>
          <t>CITRICOS</t>
        </is>
      </c>
      <c r="H79" t="inlineStr">
        <is>
          <t>SALUSTIANA</t>
        </is>
      </c>
      <c r="I79" t="n">
        <v>570</v>
      </c>
      <c r="J79" t="n">
        <v>11600</v>
      </c>
      <c r="K79" t="n">
        <v>0</v>
      </c>
      <c r="L79" t="n">
        <v>11600</v>
      </c>
      <c r="M79" t="inlineStr">
        <is>
          <t>Sí</t>
        </is>
      </c>
      <c r="N79" t="inlineStr"/>
      <c r="O79" t="inlineStr">
        <is>
          <t>Informativa</t>
        </is>
      </c>
      <c r="P79" t="inlineStr">
        <is>
          <t>No interviene en el prorrateo</t>
        </is>
      </c>
    </row>
    <row r="80">
      <c r="A80" t="n">
        <v>1540</v>
      </c>
      <c r="B80" t="inlineStr">
        <is>
          <t>AGRICOLA SANCHEZ CUENCA S.C.</t>
        </is>
      </c>
      <c r="E80" t="n">
        <v>2026</v>
      </c>
      <c r="F80" t="n">
        <v>1</v>
      </c>
      <c r="G80" t="inlineStr">
        <is>
          <t>CITRICOS</t>
        </is>
      </c>
      <c r="H80" t="inlineStr">
        <is>
          <t>SALUSTIANA</t>
        </is>
      </c>
      <c r="I80" t="n">
        <v>570</v>
      </c>
      <c r="J80" t="n">
        <v>11560</v>
      </c>
      <c r="K80" t="n">
        <v>0</v>
      </c>
      <c r="L80" t="n">
        <v>11560</v>
      </c>
      <c r="M80" t="inlineStr">
        <is>
          <t>Sí</t>
        </is>
      </c>
      <c r="N80" t="inlineStr"/>
      <c r="O80" t="inlineStr">
        <is>
          <t>Informativa</t>
        </is>
      </c>
      <c r="P80" t="inlineStr">
        <is>
          <t>No interviene en el prorrateo</t>
        </is>
      </c>
    </row>
    <row r="81">
      <c r="A81" t="n">
        <v>1540</v>
      </c>
      <c r="B81" t="inlineStr">
        <is>
          <t>AGRICOLA SANCHEZ CUENCA S.C.</t>
        </is>
      </c>
      <c r="E81" t="n">
        <v>2026</v>
      </c>
      <c r="F81" t="n">
        <v>1</v>
      </c>
      <c r="G81" t="inlineStr">
        <is>
          <t>CITRICOS</t>
        </is>
      </c>
      <c r="H81" t="inlineStr">
        <is>
          <t>SALUSTIANA</t>
        </is>
      </c>
      <c r="I81" t="n">
        <v>570</v>
      </c>
      <c r="J81" t="n">
        <v>11500</v>
      </c>
      <c r="K81" t="n">
        <v>0</v>
      </c>
      <c r="L81" t="n">
        <v>11500</v>
      </c>
      <c r="M81" t="inlineStr">
        <is>
          <t>Sí</t>
        </is>
      </c>
      <c r="N81" t="inlineStr"/>
      <c r="O81" t="inlineStr">
        <is>
          <t>Informativa</t>
        </is>
      </c>
      <c r="P81" t="inlineStr">
        <is>
          <t>No interviene en el prorrateo</t>
        </is>
      </c>
    </row>
    <row r="82">
      <c r="A82" t="n">
        <v>1540</v>
      </c>
      <c r="B82" t="inlineStr">
        <is>
          <t>AGRICOLA SANCHEZ CUENCA S.C.</t>
        </is>
      </c>
      <c r="E82" t="n">
        <v>2026</v>
      </c>
      <c r="F82" t="n">
        <v>1</v>
      </c>
      <c r="G82" t="inlineStr">
        <is>
          <t>CITRICOS</t>
        </is>
      </c>
      <c r="H82" t="inlineStr">
        <is>
          <t>SALUSTIANA</t>
        </is>
      </c>
      <c r="I82" t="n">
        <v>570</v>
      </c>
      <c r="J82" t="n">
        <v>23390</v>
      </c>
      <c r="K82" t="n">
        <v>0</v>
      </c>
      <c r="L82" t="n">
        <v>23390</v>
      </c>
      <c r="M82" t="inlineStr">
        <is>
          <t>Sí</t>
        </is>
      </c>
      <c r="N82" t="inlineStr"/>
      <c r="O82" t="inlineStr">
        <is>
          <t>Informativa</t>
        </is>
      </c>
      <c r="P82" t="inlineStr">
        <is>
          <t>No interviene en el prorrateo</t>
        </is>
      </c>
    </row>
    <row r="83">
      <c r="A83" t="n">
        <v>1540</v>
      </c>
      <c r="B83" t="inlineStr">
        <is>
          <t>AGRICOLA SANCHEZ CUENCA S.C.</t>
        </is>
      </c>
      <c r="E83" t="n">
        <v>2026</v>
      </c>
      <c r="F83" t="n">
        <v>1</v>
      </c>
      <c r="G83" t="inlineStr">
        <is>
          <t>CITRICOS</t>
        </is>
      </c>
      <c r="H83" t="inlineStr">
        <is>
          <t>SALUSTIANA</t>
        </is>
      </c>
      <c r="I83" t="n">
        <v>570</v>
      </c>
      <c r="J83" t="n">
        <v>12220</v>
      </c>
      <c r="K83" t="n">
        <v>0</v>
      </c>
      <c r="L83" t="n">
        <v>12220</v>
      </c>
      <c r="M83" t="inlineStr">
        <is>
          <t>Sí</t>
        </is>
      </c>
      <c r="N83" t="inlineStr"/>
      <c r="O83" t="inlineStr">
        <is>
          <t>Informativa</t>
        </is>
      </c>
      <c r="P83" t="inlineStr">
        <is>
          <t>No interviene en el prorrateo</t>
        </is>
      </c>
    </row>
    <row r="84">
      <c r="A84" t="n">
        <v>1570</v>
      </c>
      <c r="B84" t="inlineStr">
        <is>
          <t>FAMILIA LOPEZ CASTILLO S.C.</t>
        </is>
      </c>
      <c r="E84" t="n">
        <v>2026</v>
      </c>
      <c r="F84" t="n">
        <v>1</v>
      </c>
      <c r="G84" t="inlineStr">
        <is>
          <t>CITRICOS</t>
        </is>
      </c>
      <c r="H84" t="inlineStr">
        <is>
          <t>SALUSTIANA</t>
        </is>
      </c>
      <c r="I84" t="n">
        <v>172</v>
      </c>
      <c r="J84" t="n">
        <v>10280</v>
      </c>
      <c r="K84" t="n">
        <v>2973</v>
      </c>
      <c r="L84" t="n">
        <v>2973</v>
      </c>
      <c r="M84" t="inlineStr">
        <is>
          <t>Sí</t>
        </is>
      </c>
      <c r="N84" t="inlineStr"/>
      <c r="O84" t="inlineStr">
        <is>
          <t>Informativa</t>
        </is>
      </c>
      <c r="P84" t="inlineStr">
        <is>
          <t>No interviene en el prorrateo</t>
        </is>
      </c>
    </row>
    <row r="85">
      <c r="A85" t="n">
        <v>1570</v>
      </c>
      <c r="B85" t="inlineStr">
        <is>
          <t>FAMILIA LOPEZ CASTILLO S.C.</t>
        </is>
      </c>
      <c r="E85" t="n">
        <v>2026</v>
      </c>
      <c r="F85" t="n">
        <v>1</v>
      </c>
      <c r="G85" t="inlineStr">
        <is>
          <t>CITRICOS</t>
        </is>
      </c>
      <c r="H85" t="inlineStr">
        <is>
          <t>SALUSTIANA</t>
        </is>
      </c>
      <c r="I85" t="n">
        <v>172</v>
      </c>
      <c r="J85" t="n">
        <v>12060</v>
      </c>
      <c r="K85" t="n">
        <v>0</v>
      </c>
      <c r="L85" t="n">
        <v>12060</v>
      </c>
      <c r="M85" t="inlineStr">
        <is>
          <t>Sí</t>
        </is>
      </c>
      <c r="N85" t="inlineStr"/>
      <c r="O85" t="inlineStr">
        <is>
          <t>Informativa</t>
        </is>
      </c>
      <c r="P85" t="inlineStr">
        <is>
          <t>No interviene en el prorrateo</t>
        </is>
      </c>
    </row>
    <row r="86">
      <c r="A86" t="n">
        <v>1570</v>
      </c>
      <c r="B86" t="inlineStr">
        <is>
          <t>FAMILIA LOPEZ CASTILLO S.C.</t>
        </is>
      </c>
      <c r="E86" t="n">
        <v>2026</v>
      </c>
      <c r="F86" t="n">
        <v>1</v>
      </c>
      <c r="G86" t="inlineStr">
        <is>
          <t>CITRICOS</t>
        </is>
      </c>
      <c r="H86" t="inlineStr">
        <is>
          <t>SALUSTIANA</t>
        </is>
      </c>
      <c r="I86" t="n">
        <v>172</v>
      </c>
      <c r="J86" t="n">
        <v>9895</v>
      </c>
      <c r="K86" t="n">
        <v>6607</v>
      </c>
      <c r="L86" t="n">
        <v>6607</v>
      </c>
      <c r="M86" t="inlineStr">
        <is>
          <t>Sí</t>
        </is>
      </c>
      <c r="N86" t="inlineStr"/>
      <c r="O86" t="inlineStr">
        <is>
          <t>Informativa</t>
        </is>
      </c>
      <c r="P86" t="inlineStr">
        <is>
          <t>No interviene en el prorrateo</t>
        </is>
      </c>
    </row>
    <row r="87">
      <c r="A87" t="n">
        <v>1582</v>
      </c>
      <c r="B87" t="inlineStr">
        <is>
          <t>IGEÑO SANCHEZ, JOSE CARLOS</t>
        </is>
      </c>
      <c r="E87" t="n">
        <v>2026</v>
      </c>
      <c r="F87" t="n">
        <v>1</v>
      </c>
      <c r="G87" t="inlineStr">
        <is>
          <t>CITRICOS</t>
        </is>
      </c>
      <c r="H87" t="inlineStr">
        <is>
          <t>SALUSTIANA</t>
        </is>
      </c>
      <c r="I87" t="n">
        <v>61</v>
      </c>
      <c r="J87" t="n">
        <v>11920</v>
      </c>
      <c r="K87" t="n">
        <v>0</v>
      </c>
      <c r="L87" t="n">
        <v>11920</v>
      </c>
      <c r="M87" t="inlineStr">
        <is>
          <t>Sí</t>
        </is>
      </c>
      <c r="N87" t="inlineStr"/>
      <c r="O87" t="inlineStr">
        <is>
          <t>Informativa</t>
        </is>
      </c>
      <c r="P87" t="inlineStr">
        <is>
          <t>No interviene en el prorrateo</t>
        </is>
      </c>
    </row>
    <row r="88">
      <c r="A88" t="n">
        <v>1582</v>
      </c>
      <c r="B88" t="inlineStr">
        <is>
          <t>IGEÑO SANCHEZ, JOSE CARLOS</t>
        </is>
      </c>
      <c r="E88" t="n">
        <v>2026</v>
      </c>
      <c r="F88" t="n">
        <v>1</v>
      </c>
      <c r="G88" t="inlineStr">
        <is>
          <t>CITRICOS</t>
        </is>
      </c>
      <c r="H88" t="inlineStr">
        <is>
          <t>SALUSTIANA</t>
        </is>
      </c>
      <c r="I88" t="n">
        <v>61</v>
      </c>
      <c r="J88" t="n">
        <v>12532</v>
      </c>
      <c r="K88" t="n">
        <v>8643</v>
      </c>
      <c r="L88" t="n">
        <v>8643</v>
      </c>
      <c r="M88" t="inlineStr">
        <is>
          <t>Sí</t>
        </is>
      </c>
      <c r="N88" t="inlineStr"/>
      <c r="O88" t="inlineStr">
        <is>
          <t>Informativa</t>
        </is>
      </c>
      <c r="P88" t="inlineStr">
        <is>
          <t>No interviene en el prorrateo</t>
        </is>
      </c>
    </row>
    <row r="89">
      <c r="A89" t="n">
        <v>1582</v>
      </c>
      <c r="B89" t="inlineStr">
        <is>
          <t>IGEÑO SANCHEZ, JOSE CARLOS</t>
        </is>
      </c>
      <c r="E89" t="n">
        <v>2026</v>
      </c>
      <c r="F89" t="n">
        <v>1</v>
      </c>
      <c r="G89" t="inlineStr">
        <is>
          <t>CITRICOS</t>
        </is>
      </c>
      <c r="H89" t="inlineStr">
        <is>
          <t>SALUSTIANA</t>
        </is>
      </c>
      <c r="I89" t="n">
        <v>61</v>
      </c>
      <c r="J89" t="n">
        <v>5194</v>
      </c>
      <c r="K89" t="n">
        <v>0</v>
      </c>
      <c r="L89" t="n">
        <v>5194</v>
      </c>
      <c r="M89" t="inlineStr">
        <is>
          <t>Sí</t>
        </is>
      </c>
      <c r="N89" t="inlineStr"/>
      <c r="O89" t="inlineStr">
        <is>
          <t>Informativa</t>
        </is>
      </c>
      <c r="P89" t="inlineStr">
        <is>
          <t>No interviene en el prorrateo</t>
        </is>
      </c>
    </row>
    <row r="90">
      <c r="A90" t="n">
        <v>1582</v>
      </c>
      <c r="B90" t="inlineStr">
        <is>
          <t>IGEÑO SANCHEZ, JOSE CARLOS</t>
        </is>
      </c>
      <c r="E90" t="n">
        <v>2026</v>
      </c>
      <c r="F90" t="n">
        <v>1</v>
      </c>
      <c r="G90" t="inlineStr">
        <is>
          <t>CITRICOS</t>
        </is>
      </c>
      <c r="H90" t="inlineStr">
        <is>
          <t>SALUSTIANA</t>
        </is>
      </c>
      <c r="I90" t="n">
        <v>61</v>
      </c>
      <c r="J90" t="n">
        <v>12592</v>
      </c>
      <c r="K90" t="n">
        <v>8571</v>
      </c>
      <c r="L90" t="n">
        <v>8571</v>
      </c>
      <c r="M90" t="inlineStr">
        <is>
          <t>Sí</t>
        </is>
      </c>
      <c r="N90" t="inlineStr"/>
      <c r="O90" t="inlineStr">
        <is>
          <t>Informativa</t>
        </is>
      </c>
      <c r="P90" t="inlineStr">
        <is>
          <t>No interviene en el prorrateo</t>
        </is>
      </c>
    </row>
    <row r="91">
      <c r="A91" t="n">
        <v>1582</v>
      </c>
      <c r="B91" t="inlineStr">
        <is>
          <t>IGEÑO SANCHEZ, JOSE CARLOS</t>
        </is>
      </c>
      <c r="E91" t="n">
        <v>2026</v>
      </c>
      <c r="F91" t="n">
        <v>1</v>
      </c>
      <c r="G91" t="inlineStr">
        <is>
          <t>CITRICOS</t>
        </is>
      </c>
      <c r="H91" t="inlineStr">
        <is>
          <t>SALUSTIANA</t>
        </is>
      </c>
      <c r="I91" t="n">
        <v>61</v>
      </c>
      <c r="J91" t="n">
        <v>13180</v>
      </c>
      <c r="K91" t="n">
        <v>3457</v>
      </c>
      <c r="L91" t="n">
        <v>3457</v>
      </c>
      <c r="M91" t="inlineStr">
        <is>
          <t>Sí</t>
        </is>
      </c>
      <c r="N91" t="inlineStr"/>
      <c r="O91" t="inlineStr">
        <is>
          <t>Informativa</t>
        </is>
      </c>
      <c r="P91" t="inlineStr">
        <is>
          <t>No interviene en el prorrateo</t>
        </is>
      </c>
    </row>
    <row r="92">
      <c r="A92" t="n">
        <v>1582</v>
      </c>
      <c r="B92" t="inlineStr">
        <is>
          <t>IGEÑO SANCHEZ, JOSE CARLOS</t>
        </is>
      </c>
      <c r="E92" t="n">
        <v>2026</v>
      </c>
      <c r="F92" t="n">
        <v>1</v>
      </c>
      <c r="G92" t="inlineStr">
        <is>
          <t>CITRICOS</t>
        </is>
      </c>
      <c r="H92" t="inlineStr">
        <is>
          <t>SALUSTIANA</t>
        </is>
      </c>
      <c r="I92" t="n">
        <v>61</v>
      </c>
      <c r="J92" t="n">
        <v>12020</v>
      </c>
      <c r="K92" t="n">
        <v>0</v>
      </c>
      <c r="L92" t="n">
        <v>12020</v>
      </c>
      <c r="M92" t="inlineStr">
        <is>
          <t>Sí</t>
        </is>
      </c>
      <c r="N92" t="inlineStr"/>
      <c r="O92" t="inlineStr">
        <is>
          <t>Informativa</t>
        </is>
      </c>
      <c r="P92" t="inlineStr">
        <is>
          <t>No interviene en el prorrateo</t>
        </is>
      </c>
    </row>
    <row r="93">
      <c r="A93" t="n">
        <v>1582</v>
      </c>
      <c r="B93" t="inlineStr">
        <is>
          <t>IGEÑO SANCHEZ, JOSE CARLOS</t>
        </is>
      </c>
      <c r="E93" t="n">
        <v>2026</v>
      </c>
      <c r="F93" t="n">
        <v>1</v>
      </c>
      <c r="G93" t="inlineStr">
        <is>
          <t>CITRICOS</t>
        </is>
      </c>
      <c r="H93" t="inlineStr">
        <is>
          <t>SALUSTIANA</t>
        </is>
      </c>
      <c r="I93" t="n">
        <v>61</v>
      </c>
      <c r="J93" t="n">
        <v>12180</v>
      </c>
      <c r="K93" t="n">
        <v>0</v>
      </c>
      <c r="L93" t="n">
        <v>12180</v>
      </c>
      <c r="M93" t="inlineStr">
        <is>
          <t>Sí</t>
        </is>
      </c>
      <c r="N93" t="inlineStr"/>
      <c r="O93" t="inlineStr">
        <is>
          <t>Informativa</t>
        </is>
      </c>
      <c r="P93" t="inlineStr">
        <is>
          <t>No interviene en el prorrateo</t>
        </is>
      </c>
    </row>
    <row r="94">
      <c r="A94" t="n">
        <v>1582</v>
      </c>
      <c r="B94" t="inlineStr">
        <is>
          <t>IGEÑO SANCHEZ, JOSE CARLOS</t>
        </is>
      </c>
      <c r="E94" t="n">
        <v>2026</v>
      </c>
      <c r="F94" t="n">
        <v>1</v>
      </c>
      <c r="G94" t="inlineStr">
        <is>
          <t>CITRICOS</t>
        </is>
      </c>
      <c r="H94" t="inlineStr">
        <is>
          <t>SALUSTIANA</t>
        </is>
      </c>
      <c r="I94" t="n">
        <v>61</v>
      </c>
      <c r="J94" t="n">
        <v>12204</v>
      </c>
      <c r="K94" t="n">
        <v>10214</v>
      </c>
      <c r="L94" t="n">
        <v>10214</v>
      </c>
      <c r="M94" t="inlineStr">
        <is>
          <t>Sí</t>
        </is>
      </c>
      <c r="N94" t="inlineStr"/>
      <c r="O94" t="inlineStr">
        <is>
          <t>Informativa</t>
        </is>
      </c>
      <c r="P94" t="inlineStr">
        <is>
          <t>No interviene en el prorrateo</t>
        </is>
      </c>
    </row>
    <row r="95">
      <c r="A95" t="n">
        <v>1582</v>
      </c>
      <c r="B95" t="inlineStr">
        <is>
          <t>IGEÑO SANCHEZ, JOSE CARLOS</t>
        </is>
      </c>
      <c r="E95" t="n">
        <v>2026</v>
      </c>
      <c r="F95" t="n">
        <v>1</v>
      </c>
      <c r="G95" t="inlineStr">
        <is>
          <t>CITRICOS</t>
        </is>
      </c>
      <c r="H95" t="inlineStr">
        <is>
          <t>SALUSTIANA</t>
        </is>
      </c>
      <c r="I95" t="n">
        <v>61</v>
      </c>
      <c r="J95" t="n">
        <v>12440</v>
      </c>
      <c r="K95" t="n">
        <v>0</v>
      </c>
      <c r="L95" t="n">
        <v>12440</v>
      </c>
      <c r="M95" t="inlineStr">
        <is>
          <t>Sí</t>
        </is>
      </c>
      <c r="N95" t="inlineStr"/>
      <c r="O95" t="inlineStr">
        <is>
          <t>Informativa</t>
        </is>
      </c>
      <c r="P95" t="inlineStr">
        <is>
          <t>No interviene en el prorrateo</t>
        </is>
      </c>
    </row>
    <row r="96">
      <c r="A96" t="n">
        <v>1582</v>
      </c>
      <c r="B96" t="inlineStr">
        <is>
          <t>IGEÑO SANCHEZ, JOSE CARLOS</t>
        </is>
      </c>
      <c r="E96" t="n">
        <v>2026</v>
      </c>
      <c r="F96" t="n">
        <v>1</v>
      </c>
      <c r="G96" t="inlineStr">
        <is>
          <t>CITRICOS</t>
        </is>
      </c>
      <c r="H96" t="inlineStr">
        <is>
          <t>SALUSTIANA</t>
        </is>
      </c>
      <c r="I96" t="n">
        <v>61</v>
      </c>
      <c r="J96" t="n">
        <v>13291</v>
      </c>
      <c r="K96" t="n">
        <v>3383</v>
      </c>
      <c r="L96" t="n">
        <v>3383</v>
      </c>
      <c r="M96" t="inlineStr">
        <is>
          <t>Sí</t>
        </is>
      </c>
      <c r="N96" t="inlineStr"/>
      <c r="O96" t="inlineStr">
        <is>
          <t>Informativa</t>
        </is>
      </c>
      <c r="P96" t="inlineStr">
        <is>
          <t>No interviene en el prorrateo</t>
        </is>
      </c>
    </row>
    <row r="97">
      <c r="A97" t="n">
        <v>1582</v>
      </c>
      <c r="B97" t="inlineStr">
        <is>
          <t>IGEÑO SANCHEZ, JOSE CARLOS</t>
        </is>
      </c>
      <c r="E97" t="n">
        <v>2026</v>
      </c>
      <c r="F97" t="n">
        <v>1</v>
      </c>
      <c r="G97" t="inlineStr">
        <is>
          <t>CITRICOS</t>
        </is>
      </c>
      <c r="H97" t="inlineStr">
        <is>
          <t>SALUSTIANA</t>
        </is>
      </c>
      <c r="I97" t="n">
        <v>61</v>
      </c>
      <c r="J97" t="n">
        <v>12740</v>
      </c>
      <c r="K97" t="n">
        <v>0</v>
      </c>
      <c r="L97" t="n">
        <v>12740</v>
      </c>
      <c r="M97" t="inlineStr">
        <is>
          <t>Sí</t>
        </is>
      </c>
      <c r="N97" t="inlineStr"/>
      <c r="O97" t="inlineStr">
        <is>
          <t>Informativa</t>
        </is>
      </c>
      <c r="P97" t="inlineStr">
        <is>
          <t>No interviene en el prorrateo</t>
        </is>
      </c>
    </row>
    <row r="98">
      <c r="A98" t="n">
        <v>1582</v>
      </c>
      <c r="B98" t="inlineStr">
        <is>
          <t>IGEÑO SANCHEZ, JOSE CARLOS</t>
        </is>
      </c>
      <c r="E98" t="n">
        <v>2026</v>
      </c>
      <c r="F98" t="n">
        <v>1</v>
      </c>
      <c r="G98" t="inlineStr">
        <is>
          <t>CITRICOS</t>
        </is>
      </c>
      <c r="H98" t="inlineStr">
        <is>
          <t>SALUSTIANA</t>
        </is>
      </c>
      <c r="I98" t="n">
        <v>61</v>
      </c>
      <c r="J98" t="n">
        <v>13308</v>
      </c>
      <c r="K98" t="n">
        <v>1702</v>
      </c>
      <c r="L98" t="n">
        <v>1702</v>
      </c>
      <c r="M98" t="inlineStr">
        <is>
          <t>Sí</t>
        </is>
      </c>
      <c r="N98" t="inlineStr"/>
      <c r="O98" t="inlineStr">
        <is>
          <t>Informativa</t>
        </is>
      </c>
      <c r="P98" t="inlineStr">
        <is>
          <t>No interviene en el prorrateo</t>
        </is>
      </c>
    </row>
    <row r="99">
      <c r="A99" t="n">
        <v>1582</v>
      </c>
      <c r="B99" t="inlineStr">
        <is>
          <t>IGEÑO SANCHEZ, JOSE CARLOS</t>
        </is>
      </c>
      <c r="E99" t="n">
        <v>2026</v>
      </c>
      <c r="F99" t="n">
        <v>1</v>
      </c>
      <c r="G99" t="inlineStr">
        <is>
          <t>CITRICOS</t>
        </is>
      </c>
      <c r="H99" t="inlineStr">
        <is>
          <t>SALUSTIANA</t>
        </is>
      </c>
      <c r="I99" t="n">
        <v>61</v>
      </c>
      <c r="J99" t="n">
        <v>12300</v>
      </c>
      <c r="K99" t="n">
        <v>0</v>
      </c>
      <c r="L99" t="n">
        <v>12300</v>
      </c>
      <c r="M99" t="inlineStr">
        <is>
          <t>Sí</t>
        </is>
      </c>
      <c r="N99" t="inlineStr"/>
      <c r="O99" t="inlineStr">
        <is>
          <t>Informativa</t>
        </is>
      </c>
      <c r="P99" t="inlineStr">
        <is>
          <t>No interviene en el prorrateo</t>
        </is>
      </c>
    </row>
    <row r="100">
      <c r="A100" t="n">
        <v>1582</v>
      </c>
      <c r="B100" t="inlineStr">
        <is>
          <t>IGEÑO SANCHEZ, JOSE CARLOS</t>
        </is>
      </c>
      <c r="E100" t="n">
        <v>2026</v>
      </c>
      <c r="F100" t="n">
        <v>1</v>
      </c>
      <c r="G100" t="inlineStr">
        <is>
          <t>CITRICOS</t>
        </is>
      </c>
      <c r="H100" t="inlineStr">
        <is>
          <t>SALUSTIANA</t>
        </is>
      </c>
      <c r="I100" t="n">
        <v>61</v>
      </c>
      <c r="J100" t="n">
        <v>12134</v>
      </c>
      <c r="K100" t="n">
        <v>11749</v>
      </c>
      <c r="L100" t="n">
        <v>11749</v>
      </c>
      <c r="M100" t="inlineStr">
        <is>
          <t>Sí</t>
        </is>
      </c>
      <c r="N100" t="inlineStr"/>
      <c r="O100" t="inlineStr">
        <is>
          <t>Informativa</t>
        </is>
      </c>
      <c r="P100" t="inlineStr">
        <is>
          <t>No interviene en el prorrateo</t>
        </is>
      </c>
    </row>
    <row r="101">
      <c r="A101" t="n">
        <v>1582</v>
      </c>
      <c r="B101" t="inlineStr">
        <is>
          <t>IGEÑO SANCHEZ, JOSE CARLOS</t>
        </is>
      </c>
      <c r="E101" t="n">
        <v>2026</v>
      </c>
      <c r="F101" t="n">
        <v>1</v>
      </c>
      <c r="G101" t="inlineStr">
        <is>
          <t>CITRICOS</t>
        </is>
      </c>
      <c r="H101" t="inlineStr">
        <is>
          <t>SALUSTIANA</t>
        </is>
      </c>
      <c r="I101" t="n">
        <v>61</v>
      </c>
      <c r="J101" t="n">
        <v>12200</v>
      </c>
      <c r="K101" t="n">
        <v>0</v>
      </c>
      <c r="L101" t="n">
        <v>12200</v>
      </c>
      <c r="M101" t="inlineStr">
        <is>
          <t>Sí</t>
        </is>
      </c>
      <c r="N101" t="inlineStr"/>
      <c r="O101" t="inlineStr">
        <is>
          <t>Informativa</t>
        </is>
      </c>
      <c r="P101" t="inlineStr">
        <is>
          <t>No interviene en el prorrateo</t>
        </is>
      </c>
    </row>
    <row r="102">
      <c r="A102" t="n">
        <v>1582</v>
      </c>
      <c r="B102" t="inlineStr">
        <is>
          <t>IGEÑO SANCHEZ, JOSE CARLOS</t>
        </is>
      </c>
      <c r="E102" t="n">
        <v>2026</v>
      </c>
      <c r="F102" t="n">
        <v>1</v>
      </c>
      <c r="G102" t="inlineStr">
        <is>
          <t>CITRICOS</t>
        </is>
      </c>
      <c r="H102" t="inlineStr">
        <is>
          <t>SALUSTIANA</t>
        </is>
      </c>
      <c r="I102" t="n">
        <v>61</v>
      </c>
      <c r="J102" t="n">
        <v>12487</v>
      </c>
      <c r="K102" t="n">
        <v>12243</v>
      </c>
      <c r="L102" t="n">
        <v>12243</v>
      </c>
      <c r="M102" t="inlineStr">
        <is>
          <t>Sí</t>
        </is>
      </c>
      <c r="N102" t="inlineStr"/>
      <c r="O102" t="inlineStr">
        <is>
          <t>Informativa</t>
        </is>
      </c>
      <c r="P102" t="inlineStr">
        <is>
          <t>No interviene en el prorrateo</t>
        </is>
      </c>
    </row>
    <row r="103">
      <c r="A103" t="n">
        <v>1582</v>
      </c>
      <c r="B103" t="inlineStr">
        <is>
          <t>IGEÑO SANCHEZ, JOSE CARLOS</t>
        </is>
      </c>
      <c r="E103" t="n">
        <v>2026</v>
      </c>
      <c r="F103" t="n">
        <v>1</v>
      </c>
      <c r="G103" t="inlineStr">
        <is>
          <t>CITRICOS</t>
        </is>
      </c>
      <c r="H103" t="inlineStr">
        <is>
          <t>SALUSTIANA</t>
        </is>
      </c>
      <c r="I103" t="n">
        <v>61</v>
      </c>
      <c r="J103" t="n">
        <v>12340</v>
      </c>
      <c r="K103" t="n">
        <v>0</v>
      </c>
      <c r="L103" t="n">
        <v>12340</v>
      </c>
      <c r="M103" t="inlineStr">
        <is>
          <t>Sí</t>
        </is>
      </c>
      <c r="N103" t="inlineStr"/>
      <c r="O103" t="inlineStr">
        <is>
          <t>Informativa</t>
        </is>
      </c>
      <c r="P103" t="inlineStr">
        <is>
          <t>No interviene en el prorrateo</t>
        </is>
      </c>
    </row>
    <row r="104">
      <c r="A104" t="n">
        <v>1582</v>
      </c>
      <c r="B104" t="inlineStr">
        <is>
          <t>IGEÑO SANCHEZ, JOSE CARLOS</t>
        </is>
      </c>
      <c r="E104" t="n">
        <v>2026</v>
      </c>
      <c r="F104" t="n">
        <v>1</v>
      </c>
      <c r="G104" t="inlineStr">
        <is>
          <t>CITRICOS</t>
        </is>
      </c>
      <c r="H104" t="inlineStr">
        <is>
          <t>SALUSTIANA</t>
        </is>
      </c>
      <c r="I104" t="n">
        <v>61</v>
      </c>
      <c r="J104" t="n">
        <v>12935</v>
      </c>
      <c r="K104" t="n">
        <v>6797</v>
      </c>
      <c r="L104" t="n">
        <v>6797</v>
      </c>
      <c r="M104" t="inlineStr">
        <is>
          <t>Sí</t>
        </is>
      </c>
      <c r="N104" t="inlineStr"/>
      <c r="O104" t="inlineStr">
        <is>
          <t>Informativa</t>
        </is>
      </c>
      <c r="P104" t="inlineStr">
        <is>
          <t>No interviene en el prorrateo</t>
        </is>
      </c>
    </row>
    <row r="105">
      <c r="A105" t="n">
        <v>1582</v>
      </c>
      <c r="B105" t="inlineStr">
        <is>
          <t>IGEÑO SANCHEZ, JOSE CARLOS</t>
        </is>
      </c>
      <c r="E105" t="n">
        <v>2026</v>
      </c>
      <c r="F105" t="n">
        <v>1</v>
      </c>
      <c r="G105" t="inlineStr">
        <is>
          <t>CITRICOS</t>
        </is>
      </c>
      <c r="H105" t="inlineStr">
        <is>
          <t>SALUSTIANA</t>
        </is>
      </c>
      <c r="I105" t="n">
        <v>61</v>
      </c>
      <c r="J105" t="n">
        <v>12526</v>
      </c>
      <c r="K105" t="n">
        <v>11979</v>
      </c>
      <c r="L105" t="n">
        <v>11979</v>
      </c>
      <c r="M105" t="inlineStr">
        <is>
          <t>Sí</t>
        </is>
      </c>
      <c r="N105" t="inlineStr"/>
      <c r="O105" t="inlineStr">
        <is>
          <t>Informativa</t>
        </is>
      </c>
      <c r="P105" t="inlineStr">
        <is>
          <t>No interviene en el prorrateo</t>
        </is>
      </c>
    </row>
    <row r="106">
      <c r="A106" t="n">
        <v>1582</v>
      </c>
      <c r="B106" t="inlineStr">
        <is>
          <t>IGEÑO SANCHEZ, JOSE CARLOS</t>
        </is>
      </c>
      <c r="E106" t="n">
        <v>2026</v>
      </c>
      <c r="F106" t="n">
        <v>1</v>
      </c>
      <c r="G106" t="inlineStr">
        <is>
          <t>CITRICOS</t>
        </is>
      </c>
      <c r="H106" t="inlineStr">
        <is>
          <t>SALUSTIANA</t>
        </is>
      </c>
      <c r="I106" t="n">
        <v>61</v>
      </c>
      <c r="J106" t="n">
        <v>12388</v>
      </c>
      <c r="K106" t="n">
        <v>0</v>
      </c>
      <c r="L106" t="n">
        <v>12388</v>
      </c>
      <c r="M106" t="inlineStr">
        <is>
          <t>Sí</t>
        </is>
      </c>
      <c r="N106" t="inlineStr"/>
      <c r="O106" t="inlineStr">
        <is>
          <t>Informativa</t>
        </is>
      </c>
      <c r="P106" t="inlineStr">
        <is>
          <t>No interviene en el prorrateo</t>
        </is>
      </c>
    </row>
    <row r="107">
      <c r="A107" t="n">
        <v>1582</v>
      </c>
      <c r="B107" t="inlineStr">
        <is>
          <t>IGEÑO SANCHEZ, JOSE CARLOS</t>
        </is>
      </c>
      <c r="E107" t="n">
        <v>2026</v>
      </c>
      <c r="F107" t="n">
        <v>1</v>
      </c>
      <c r="G107" t="inlineStr">
        <is>
          <t>CITRICOS</t>
        </is>
      </c>
      <c r="H107" t="inlineStr">
        <is>
          <t>SALUSTIANA</t>
        </is>
      </c>
      <c r="I107" t="n">
        <v>61</v>
      </c>
      <c r="J107" t="n">
        <v>6756</v>
      </c>
      <c r="K107" t="n">
        <v>5692</v>
      </c>
      <c r="L107" t="n">
        <v>5692</v>
      </c>
      <c r="M107" t="inlineStr">
        <is>
          <t>Sí</t>
        </is>
      </c>
      <c r="N107" t="inlineStr"/>
      <c r="O107" t="inlineStr">
        <is>
          <t>Informativa</t>
        </is>
      </c>
      <c r="P107" t="inlineStr">
        <is>
          <t>No interviene en el prorrateo</t>
        </is>
      </c>
    </row>
    <row r="108">
      <c r="A108" t="n">
        <v>1582</v>
      </c>
      <c r="B108" t="inlineStr">
        <is>
          <t>IGEÑO SANCHEZ, JOSE CARLOS</t>
        </is>
      </c>
      <c r="E108" t="n">
        <v>2026</v>
      </c>
      <c r="F108" t="n">
        <v>1</v>
      </c>
      <c r="G108" t="inlineStr">
        <is>
          <t>CITRICOS</t>
        </is>
      </c>
      <c r="H108" t="inlineStr">
        <is>
          <t>SALUSTIANA</t>
        </is>
      </c>
      <c r="I108" t="n">
        <v>61</v>
      </c>
      <c r="J108" t="n">
        <v>13124</v>
      </c>
      <c r="K108" t="n">
        <v>5262</v>
      </c>
      <c r="L108" t="n">
        <v>5262</v>
      </c>
      <c r="M108" t="inlineStr">
        <is>
          <t>Sí</t>
        </is>
      </c>
      <c r="N108" t="inlineStr"/>
      <c r="O108" t="inlineStr">
        <is>
          <t>Informativa</t>
        </is>
      </c>
      <c r="P108" t="inlineStr">
        <is>
          <t>No interviene en el prorrateo</t>
        </is>
      </c>
    </row>
    <row r="109">
      <c r="A109" t="n">
        <v>1582</v>
      </c>
      <c r="B109" t="inlineStr">
        <is>
          <t>IGEÑO SANCHEZ, JOSE CARLOS</t>
        </is>
      </c>
      <c r="E109" t="n">
        <v>2026</v>
      </c>
      <c r="F109" t="n">
        <v>1</v>
      </c>
      <c r="G109" t="inlineStr">
        <is>
          <t>INDUSTRIA</t>
        </is>
      </c>
      <c r="H109" t="inlineStr">
        <is>
          <t>SALUSTIANA</t>
        </is>
      </c>
      <c r="I109" t="n">
        <v>61</v>
      </c>
      <c r="J109" t="n">
        <v>12022</v>
      </c>
      <c r="K109" t="n">
        <v>331</v>
      </c>
      <c r="L109" t="n">
        <v>331</v>
      </c>
      <c r="M109" t="inlineStr">
        <is>
          <t>Sí</t>
        </is>
      </c>
      <c r="N109" t="inlineStr"/>
      <c r="O109" t="inlineStr">
        <is>
          <t>Informativa</t>
        </is>
      </c>
      <c r="P109" t="inlineStr">
        <is>
          <t>No interviene en el prorrateo</t>
        </is>
      </c>
    </row>
    <row r="110">
      <c r="A110" t="n">
        <v>1582</v>
      </c>
      <c r="B110" t="inlineStr">
        <is>
          <t>IGEÑO SANCHEZ, JOSE CARLOS</t>
        </is>
      </c>
      <c r="E110" t="n">
        <v>2026</v>
      </c>
      <c r="F110" t="n">
        <v>1</v>
      </c>
      <c r="G110" t="inlineStr">
        <is>
          <t>INDUSTRIA</t>
        </is>
      </c>
      <c r="H110" t="inlineStr">
        <is>
          <t>SALUSTIANA</t>
        </is>
      </c>
      <c r="I110" t="n">
        <v>61</v>
      </c>
      <c r="J110" t="n">
        <v>12433</v>
      </c>
      <c r="K110" t="n">
        <v>217</v>
      </c>
      <c r="L110" t="n">
        <v>217</v>
      </c>
      <c r="M110" t="inlineStr">
        <is>
          <t>Sí</t>
        </is>
      </c>
      <c r="N110" t="inlineStr"/>
      <c r="O110" t="inlineStr">
        <is>
          <t>Informativa</t>
        </is>
      </c>
      <c r="P110" t="inlineStr">
        <is>
          <t>No interviene en el prorrateo</t>
        </is>
      </c>
    </row>
    <row r="111">
      <c r="A111" t="n">
        <v>1582</v>
      </c>
      <c r="B111" t="inlineStr">
        <is>
          <t>IGEÑO SANCHEZ, JOSE CARLOS</t>
        </is>
      </c>
      <c r="E111" t="n">
        <v>2026</v>
      </c>
      <c r="F111" t="n">
        <v>1</v>
      </c>
      <c r="G111" t="inlineStr">
        <is>
          <t>INDUSTRIA</t>
        </is>
      </c>
      <c r="H111" t="inlineStr">
        <is>
          <t>SALUSTIANA</t>
        </is>
      </c>
      <c r="I111" t="n">
        <v>61</v>
      </c>
      <c r="J111" t="n">
        <v>12233</v>
      </c>
      <c r="K111" t="n">
        <v>201</v>
      </c>
      <c r="L111" t="n">
        <v>201</v>
      </c>
      <c r="M111" t="inlineStr">
        <is>
          <t>Sí</t>
        </is>
      </c>
      <c r="N111" t="inlineStr"/>
      <c r="O111" t="inlineStr">
        <is>
          <t>Informativa</t>
        </is>
      </c>
      <c r="P111" t="inlineStr">
        <is>
          <t>No interviene en el prorrateo</t>
        </is>
      </c>
    </row>
    <row r="112">
      <c r="A112" t="n">
        <v>1582</v>
      </c>
      <c r="B112" t="inlineStr">
        <is>
          <t>IGEÑO SANCHEZ, JOSE CARLOS</t>
        </is>
      </c>
      <c r="E112" t="n">
        <v>2026</v>
      </c>
      <c r="F112" t="n">
        <v>1</v>
      </c>
      <c r="G112" t="inlineStr">
        <is>
          <t>INDUSTRIA</t>
        </is>
      </c>
      <c r="H112" t="inlineStr">
        <is>
          <t>SALUSTIANA</t>
        </is>
      </c>
      <c r="I112" t="n">
        <v>61</v>
      </c>
      <c r="J112" t="n">
        <v>13062</v>
      </c>
      <c r="K112" t="n">
        <v>445</v>
      </c>
      <c r="L112" t="n">
        <v>445</v>
      </c>
      <c r="M112" t="inlineStr">
        <is>
          <t>Sí</t>
        </is>
      </c>
      <c r="N112" t="inlineStr"/>
      <c r="O112" t="inlineStr">
        <is>
          <t>Informativa</t>
        </is>
      </c>
      <c r="P112" t="inlineStr">
        <is>
          <t>No interviene en el prorrateo</t>
        </is>
      </c>
    </row>
    <row r="113">
      <c r="A113" t="n">
        <v>1582</v>
      </c>
      <c r="B113" t="inlineStr">
        <is>
          <t>IGEÑO SANCHEZ, JOSE CARLOS</t>
        </is>
      </c>
      <c r="E113" t="n">
        <v>2026</v>
      </c>
      <c r="F113" t="n">
        <v>1</v>
      </c>
      <c r="G113" t="inlineStr">
        <is>
          <t>INDUSTRIA</t>
        </is>
      </c>
      <c r="H113" t="inlineStr">
        <is>
          <t>SALUSTIANA</t>
        </is>
      </c>
      <c r="I113" t="n">
        <v>61</v>
      </c>
      <c r="J113" t="n">
        <v>5884</v>
      </c>
      <c r="K113" t="n">
        <v>1004</v>
      </c>
      <c r="L113" t="n">
        <v>1004</v>
      </c>
      <c r="M113" t="inlineStr">
        <is>
          <t>Sí</t>
        </is>
      </c>
      <c r="N113" t="inlineStr"/>
      <c r="O113" t="inlineStr">
        <is>
          <t>Informativa</t>
        </is>
      </c>
      <c r="P113" t="inlineStr">
        <is>
          <t>No interviene en el prorrateo</t>
        </is>
      </c>
    </row>
    <row r="114">
      <c r="A114" t="n">
        <v>1582</v>
      </c>
      <c r="B114" t="inlineStr">
        <is>
          <t>IGEÑO SANCHEZ, JOSE CARLOS</t>
        </is>
      </c>
      <c r="E114" t="n">
        <v>2026</v>
      </c>
      <c r="F114" t="n">
        <v>1</v>
      </c>
      <c r="G114" t="inlineStr">
        <is>
          <t>INDUSTRIA</t>
        </is>
      </c>
      <c r="H114" t="inlineStr">
        <is>
          <t>SALUSTIANA</t>
        </is>
      </c>
      <c r="I114" t="n">
        <v>61</v>
      </c>
      <c r="J114" t="n">
        <v>800</v>
      </c>
      <c r="K114" t="n">
        <v>0</v>
      </c>
      <c r="L114" t="n">
        <v>800</v>
      </c>
      <c r="M114" t="inlineStr">
        <is>
          <t>Sí</t>
        </is>
      </c>
      <c r="N114" t="inlineStr"/>
      <c r="O114" t="inlineStr">
        <is>
          <t>Informativa</t>
        </is>
      </c>
      <c r="P114" t="inlineStr">
        <is>
          <t>No interviene en el prorrateo</t>
        </is>
      </c>
    </row>
    <row r="115">
      <c r="A115" t="n">
        <v>1585</v>
      </c>
      <c r="B115" t="inlineStr">
        <is>
          <t>CESPEDES AGUILAR, PATRICIA</t>
        </is>
      </c>
      <c r="E115" t="n">
        <v>2026</v>
      </c>
      <c r="F115" t="n">
        <v>1</v>
      </c>
      <c r="G115" t="inlineStr">
        <is>
          <t>CITRICOS</t>
        </is>
      </c>
      <c r="H115" t="inlineStr">
        <is>
          <t>SALUSTIANA</t>
        </is>
      </c>
      <c r="I115" t="n">
        <v>93</v>
      </c>
      <c r="J115" t="n">
        <v>11760</v>
      </c>
      <c r="K115" t="n">
        <v>0</v>
      </c>
      <c r="L115" t="n">
        <v>11760</v>
      </c>
      <c r="M115" t="inlineStr">
        <is>
          <t>Sí</t>
        </is>
      </c>
      <c r="N115" t="inlineStr"/>
      <c r="O115" t="inlineStr">
        <is>
          <t>Informativa</t>
        </is>
      </c>
      <c r="P115" t="inlineStr">
        <is>
          <t>No interviene en el prorrateo</t>
        </is>
      </c>
    </row>
    <row r="116">
      <c r="A116" t="n">
        <v>1585</v>
      </c>
      <c r="B116" t="inlineStr">
        <is>
          <t>CESPEDES AGUILAR, PATRICIA</t>
        </is>
      </c>
      <c r="E116" t="n">
        <v>2026</v>
      </c>
      <c r="F116" t="n">
        <v>1</v>
      </c>
      <c r="G116" t="inlineStr">
        <is>
          <t>CITRICOS</t>
        </is>
      </c>
      <c r="H116" t="inlineStr">
        <is>
          <t>SALUSTIANA</t>
        </is>
      </c>
      <c r="I116" t="n">
        <v>93</v>
      </c>
      <c r="J116" t="n">
        <v>11950</v>
      </c>
      <c r="K116" t="n">
        <v>11173</v>
      </c>
      <c r="L116" t="n">
        <v>11173</v>
      </c>
      <c r="M116" t="inlineStr">
        <is>
          <t>Sí</t>
        </is>
      </c>
      <c r="N116" t="inlineStr"/>
      <c r="O116" t="inlineStr">
        <is>
          <t>Informativa</t>
        </is>
      </c>
      <c r="P116" t="inlineStr">
        <is>
          <t>No interviene en el prorrateo</t>
        </is>
      </c>
    </row>
    <row r="117">
      <c r="A117" t="n">
        <v>1585</v>
      </c>
      <c r="B117" t="inlineStr">
        <is>
          <t>CESPEDES AGUILAR, PATRICIA</t>
        </is>
      </c>
      <c r="E117" t="n">
        <v>2026</v>
      </c>
      <c r="F117" t="n">
        <v>1</v>
      </c>
      <c r="G117" t="inlineStr">
        <is>
          <t>CITRICOS</t>
        </is>
      </c>
      <c r="H117" t="inlineStr">
        <is>
          <t>SALUSTIANA</t>
        </is>
      </c>
      <c r="I117" t="n">
        <v>93</v>
      </c>
      <c r="J117" t="n">
        <v>11720</v>
      </c>
      <c r="K117" t="n">
        <v>0</v>
      </c>
      <c r="L117" t="n">
        <v>11720</v>
      </c>
      <c r="M117" t="inlineStr">
        <is>
          <t>Sí</t>
        </is>
      </c>
      <c r="N117" t="inlineStr"/>
      <c r="O117" t="inlineStr">
        <is>
          <t>Informativa</t>
        </is>
      </c>
      <c r="P117" t="inlineStr">
        <is>
          <t>No interviene en el prorrateo</t>
        </is>
      </c>
    </row>
    <row r="118">
      <c r="A118" t="n">
        <v>1585</v>
      </c>
      <c r="B118" t="inlineStr">
        <is>
          <t>CESPEDES AGUILAR, PATRICIA</t>
        </is>
      </c>
      <c r="E118" t="n">
        <v>2026</v>
      </c>
      <c r="F118" t="n">
        <v>1</v>
      </c>
      <c r="G118" t="inlineStr">
        <is>
          <t>CITRICOS</t>
        </is>
      </c>
      <c r="H118" t="inlineStr">
        <is>
          <t>SALUSTIANA</t>
        </is>
      </c>
      <c r="I118" t="n">
        <v>93</v>
      </c>
      <c r="J118" t="n">
        <v>12715</v>
      </c>
      <c r="K118" t="n">
        <v>3654</v>
      </c>
      <c r="L118" t="n">
        <v>3654</v>
      </c>
      <c r="M118" t="inlineStr">
        <is>
          <t>Sí</t>
        </is>
      </c>
      <c r="N118" t="inlineStr"/>
      <c r="O118" t="inlineStr">
        <is>
          <t>Informativa</t>
        </is>
      </c>
      <c r="P118" t="inlineStr">
        <is>
          <t>No interviene en el prorrateo</t>
        </is>
      </c>
    </row>
    <row r="119">
      <c r="A119" t="n">
        <v>1585</v>
      </c>
      <c r="B119" t="inlineStr">
        <is>
          <t>CESPEDES AGUILAR, PATRICIA</t>
        </is>
      </c>
      <c r="E119" t="n">
        <v>2026</v>
      </c>
      <c r="F119" t="n">
        <v>1</v>
      </c>
      <c r="G119" t="inlineStr">
        <is>
          <t>CITRICOS</t>
        </is>
      </c>
      <c r="H119" t="inlineStr">
        <is>
          <t>SALUSTIANA</t>
        </is>
      </c>
      <c r="I119" t="n">
        <v>93</v>
      </c>
      <c r="J119" t="n">
        <v>12365</v>
      </c>
      <c r="K119" t="n">
        <v>6977</v>
      </c>
      <c r="L119" t="n">
        <v>6977</v>
      </c>
      <c r="M119" t="inlineStr">
        <is>
          <t>Sí</t>
        </is>
      </c>
      <c r="N119" t="inlineStr"/>
      <c r="O119" t="inlineStr">
        <is>
          <t>Informativa</t>
        </is>
      </c>
      <c r="P119" t="inlineStr">
        <is>
          <t>No interviene en el prorrateo</t>
        </is>
      </c>
    </row>
    <row r="120">
      <c r="A120" t="n">
        <v>1585</v>
      </c>
      <c r="B120" t="inlineStr">
        <is>
          <t>CESPEDES AGUILAR, PATRICIA</t>
        </is>
      </c>
      <c r="E120" t="n">
        <v>2026</v>
      </c>
      <c r="F120" t="n">
        <v>1</v>
      </c>
      <c r="G120" t="inlineStr">
        <is>
          <t>CITRICOS</t>
        </is>
      </c>
      <c r="H120" t="inlineStr">
        <is>
          <t>SALUSTIANA</t>
        </is>
      </c>
      <c r="I120" t="n">
        <v>93</v>
      </c>
      <c r="J120" t="n">
        <v>12640</v>
      </c>
      <c r="K120" t="n">
        <v>8147</v>
      </c>
      <c r="L120" t="n">
        <v>8147</v>
      </c>
      <c r="M120" t="inlineStr">
        <is>
          <t>Sí</t>
        </is>
      </c>
      <c r="N120" t="inlineStr"/>
      <c r="O120" t="inlineStr">
        <is>
          <t>Informativa</t>
        </is>
      </c>
      <c r="P120" t="inlineStr">
        <is>
          <t>No interviene en el prorrateo</t>
        </is>
      </c>
    </row>
    <row r="121">
      <c r="A121" t="n">
        <v>1585</v>
      </c>
      <c r="B121" t="inlineStr">
        <is>
          <t>CESPEDES AGUILAR, PATRICIA</t>
        </is>
      </c>
      <c r="E121" t="n">
        <v>2026</v>
      </c>
      <c r="F121" t="n">
        <v>1</v>
      </c>
      <c r="G121" t="inlineStr">
        <is>
          <t>CITRICOS</t>
        </is>
      </c>
      <c r="H121" t="inlineStr">
        <is>
          <t>SALUSTIANA</t>
        </is>
      </c>
      <c r="I121" t="n">
        <v>93</v>
      </c>
      <c r="J121" t="n">
        <v>6300</v>
      </c>
      <c r="K121" t="n">
        <v>0</v>
      </c>
      <c r="L121" t="n">
        <v>6300</v>
      </c>
      <c r="M121" t="inlineStr">
        <is>
          <t>Sí</t>
        </is>
      </c>
      <c r="N121" t="inlineStr"/>
      <c r="O121" t="inlineStr">
        <is>
          <t>Informativa</t>
        </is>
      </c>
      <c r="P121" t="inlineStr">
        <is>
          <t>No interviene en el prorrateo</t>
        </is>
      </c>
    </row>
    <row r="122">
      <c r="A122" t="n">
        <v>1585</v>
      </c>
      <c r="B122" t="inlineStr">
        <is>
          <t>CESPEDES AGUILAR, PATRICIA</t>
        </is>
      </c>
      <c r="E122" t="n">
        <v>2026</v>
      </c>
      <c r="F122" t="n">
        <v>1</v>
      </c>
      <c r="G122" t="inlineStr">
        <is>
          <t>CITRICOS</t>
        </is>
      </c>
      <c r="H122" t="inlineStr">
        <is>
          <t>SALUSTIANA</t>
        </is>
      </c>
      <c r="I122" t="n">
        <v>245</v>
      </c>
      <c r="J122" t="n">
        <v>11920</v>
      </c>
      <c r="K122" t="n">
        <v>0</v>
      </c>
      <c r="L122" t="n">
        <v>11920</v>
      </c>
      <c r="M122" t="inlineStr">
        <is>
          <t>Sí</t>
        </is>
      </c>
      <c r="N122" t="inlineStr"/>
      <c r="O122" t="inlineStr">
        <is>
          <t>Informativa</t>
        </is>
      </c>
      <c r="P122" t="inlineStr">
        <is>
          <t>No interviene en el prorrateo</t>
        </is>
      </c>
    </row>
    <row r="123">
      <c r="A123" t="n">
        <v>1585</v>
      </c>
      <c r="B123" t="inlineStr">
        <is>
          <t>CESPEDES AGUILAR, PATRICIA</t>
        </is>
      </c>
      <c r="E123" t="n">
        <v>2026</v>
      </c>
      <c r="F123" t="n">
        <v>1</v>
      </c>
      <c r="G123" t="inlineStr">
        <is>
          <t>CITRICOS</t>
        </is>
      </c>
      <c r="H123" t="inlineStr">
        <is>
          <t>SALUSTIANA</t>
        </is>
      </c>
      <c r="I123" t="n">
        <v>245</v>
      </c>
      <c r="J123" t="n">
        <v>23732</v>
      </c>
      <c r="K123" t="n">
        <v>4924</v>
      </c>
      <c r="L123" t="n">
        <v>4924</v>
      </c>
      <c r="M123" t="inlineStr">
        <is>
          <t>Sí</t>
        </is>
      </c>
      <c r="N123" t="inlineStr"/>
      <c r="O123" t="inlineStr">
        <is>
          <t>Informativa</t>
        </is>
      </c>
      <c r="P123" t="inlineStr">
        <is>
          <t>No interviene en el prorrateo</t>
        </is>
      </c>
    </row>
    <row r="124">
      <c r="A124" t="n">
        <v>1585</v>
      </c>
      <c r="B124" t="inlineStr">
        <is>
          <t>CESPEDES AGUILAR, PATRICIA</t>
        </is>
      </c>
      <c r="E124" t="n">
        <v>2026</v>
      </c>
      <c r="F124" t="n">
        <v>1</v>
      </c>
      <c r="G124" t="inlineStr">
        <is>
          <t>CITRICOS</t>
        </is>
      </c>
      <c r="H124" t="inlineStr">
        <is>
          <t>SALUSTIANA</t>
        </is>
      </c>
      <c r="I124" t="n">
        <v>93</v>
      </c>
      <c r="J124" t="n">
        <v>13060</v>
      </c>
      <c r="K124" t="n">
        <v>4073</v>
      </c>
      <c r="L124" t="n">
        <v>4073</v>
      </c>
      <c r="M124" t="inlineStr">
        <is>
          <t>Sí</t>
        </is>
      </c>
      <c r="N124" t="inlineStr"/>
      <c r="O124" t="inlineStr">
        <is>
          <t>Informativa</t>
        </is>
      </c>
      <c r="P124" t="inlineStr">
        <is>
          <t>No interviene en el prorrateo</t>
        </is>
      </c>
    </row>
    <row r="125">
      <c r="A125" t="n">
        <v>1585</v>
      </c>
      <c r="B125" t="inlineStr">
        <is>
          <t>CESPEDES AGUILAR, PATRICIA</t>
        </is>
      </c>
      <c r="E125" t="n">
        <v>2026</v>
      </c>
      <c r="F125" t="n">
        <v>1</v>
      </c>
      <c r="G125" t="inlineStr">
        <is>
          <t>CITRICOS</t>
        </is>
      </c>
      <c r="H125" t="inlineStr">
        <is>
          <t>SALUSTIANA</t>
        </is>
      </c>
      <c r="I125" t="n">
        <v>245</v>
      </c>
      <c r="J125" t="n">
        <v>23840</v>
      </c>
      <c r="K125" t="n">
        <v>4104</v>
      </c>
      <c r="L125" t="n">
        <v>4104</v>
      </c>
      <c r="M125" t="inlineStr">
        <is>
          <t>Sí</t>
        </is>
      </c>
      <c r="N125" t="inlineStr"/>
      <c r="O125" t="inlineStr">
        <is>
          <t>Informativa</t>
        </is>
      </c>
      <c r="P125" t="inlineStr">
        <is>
          <t>No interviene en el prorrateo</t>
        </is>
      </c>
    </row>
    <row r="126">
      <c r="A126" t="n">
        <v>1585</v>
      </c>
      <c r="B126" t="inlineStr">
        <is>
          <t>CESPEDES AGUILAR, PATRICIA</t>
        </is>
      </c>
      <c r="E126" t="n">
        <v>2026</v>
      </c>
      <c r="F126" t="n">
        <v>1</v>
      </c>
      <c r="G126" t="inlineStr">
        <is>
          <t>CITRICOS</t>
        </is>
      </c>
      <c r="H126" t="inlineStr">
        <is>
          <t>SALUSTIANA</t>
        </is>
      </c>
      <c r="I126" t="n">
        <v>245</v>
      </c>
      <c r="J126" t="n">
        <v>22669</v>
      </c>
      <c r="K126" t="n">
        <v>12105</v>
      </c>
      <c r="L126" t="n">
        <v>12105</v>
      </c>
      <c r="M126" t="inlineStr">
        <is>
          <t>Sí</t>
        </is>
      </c>
      <c r="N126" t="inlineStr"/>
      <c r="O126" t="inlineStr">
        <is>
          <t>Informativa</t>
        </is>
      </c>
      <c r="P126" t="inlineStr">
        <is>
          <t>No interviene en el prorrateo</t>
        </is>
      </c>
    </row>
    <row r="127">
      <c r="A127" t="n">
        <v>1585</v>
      </c>
      <c r="B127" t="inlineStr">
        <is>
          <t>CESPEDES AGUILAR, PATRICIA</t>
        </is>
      </c>
      <c r="E127" t="n">
        <v>2026</v>
      </c>
      <c r="F127" t="n">
        <v>1</v>
      </c>
      <c r="G127" t="inlineStr">
        <is>
          <t>CITRICOS</t>
        </is>
      </c>
      <c r="H127" t="inlineStr">
        <is>
          <t>SALUSTIANA</t>
        </is>
      </c>
      <c r="I127" t="n">
        <v>245</v>
      </c>
      <c r="J127" t="n">
        <v>12860</v>
      </c>
      <c r="K127" t="n">
        <v>4066</v>
      </c>
      <c r="L127" t="n">
        <v>4066</v>
      </c>
      <c r="M127" t="inlineStr">
        <is>
          <t>Sí</t>
        </is>
      </c>
      <c r="N127" t="inlineStr"/>
      <c r="O127" t="inlineStr">
        <is>
          <t>Informativa</t>
        </is>
      </c>
      <c r="P127" t="inlineStr">
        <is>
          <t>No interviene en el prorrateo</t>
        </is>
      </c>
    </row>
    <row r="128">
      <c r="A128" t="n">
        <v>1585</v>
      </c>
      <c r="B128" t="inlineStr">
        <is>
          <t>CESPEDES AGUILAR, PATRICIA</t>
        </is>
      </c>
      <c r="E128" t="n">
        <v>2026</v>
      </c>
      <c r="F128" t="n">
        <v>1</v>
      </c>
      <c r="G128" t="inlineStr">
        <is>
          <t>CITRICOS</t>
        </is>
      </c>
      <c r="H128" t="inlineStr">
        <is>
          <t>SALUSTIANA</t>
        </is>
      </c>
      <c r="I128" t="n">
        <v>245</v>
      </c>
      <c r="J128" t="n">
        <v>12800</v>
      </c>
      <c r="K128" t="n">
        <v>0</v>
      </c>
      <c r="L128" t="n">
        <v>12800</v>
      </c>
      <c r="M128" t="inlineStr">
        <is>
          <t>Sí</t>
        </is>
      </c>
      <c r="N128" t="inlineStr"/>
      <c r="O128" t="inlineStr">
        <is>
          <t>Informativa</t>
        </is>
      </c>
      <c r="P128" t="inlineStr">
        <is>
          <t>No interviene en el prorrateo</t>
        </is>
      </c>
    </row>
    <row r="129">
      <c r="A129" t="n">
        <v>1585</v>
      </c>
      <c r="B129" t="inlineStr">
        <is>
          <t>CESPEDES AGUILAR, PATRICIA</t>
        </is>
      </c>
      <c r="E129" t="n">
        <v>2026</v>
      </c>
      <c r="F129" t="n">
        <v>1</v>
      </c>
      <c r="G129" t="inlineStr">
        <is>
          <t>CITRICOS</t>
        </is>
      </c>
      <c r="H129" t="inlineStr">
        <is>
          <t>SALUSTIANA</t>
        </is>
      </c>
      <c r="I129" t="n">
        <v>245</v>
      </c>
      <c r="J129" t="n">
        <v>9220</v>
      </c>
      <c r="K129" t="n">
        <v>0</v>
      </c>
      <c r="L129" t="n">
        <v>9220</v>
      </c>
      <c r="M129" t="inlineStr">
        <is>
          <t>Sí</t>
        </is>
      </c>
      <c r="N129" t="inlineStr"/>
      <c r="O129" t="inlineStr">
        <is>
          <t>Informativa</t>
        </is>
      </c>
      <c r="P129" t="inlineStr">
        <is>
          <t>No interviene en el prorrateo</t>
        </is>
      </c>
    </row>
    <row r="130">
      <c r="A130" t="n">
        <v>1585</v>
      </c>
      <c r="B130" t="inlineStr">
        <is>
          <t>CESPEDES AGUILAR, PATRICIA</t>
        </is>
      </c>
      <c r="E130" t="n">
        <v>2026</v>
      </c>
      <c r="F130" t="n">
        <v>1</v>
      </c>
      <c r="G130" t="inlineStr">
        <is>
          <t>CITRICOS</t>
        </is>
      </c>
      <c r="H130" t="inlineStr">
        <is>
          <t>SALUSTIANA</t>
        </is>
      </c>
      <c r="I130" t="n">
        <v>245</v>
      </c>
      <c r="J130" t="n">
        <v>13262</v>
      </c>
      <c r="K130" t="n">
        <v>0</v>
      </c>
      <c r="L130" t="n">
        <v>13262</v>
      </c>
      <c r="M130" t="inlineStr">
        <is>
          <t>Sí</t>
        </is>
      </c>
      <c r="N130" t="inlineStr"/>
      <c r="O130" t="inlineStr">
        <is>
          <t>Informativa</t>
        </is>
      </c>
      <c r="P130" t="inlineStr">
        <is>
          <t>No interviene en el prorrateo</t>
        </is>
      </c>
    </row>
    <row r="131">
      <c r="A131" t="n">
        <v>1585</v>
      </c>
      <c r="B131" t="inlineStr">
        <is>
          <t>CESPEDES AGUILAR, PATRICIA</t>
        </is>
      </c>
      <c r="E131" t="n">
        <v>2026</v>
      </c>
      <c r="F131" t="n">
        <v>1</v>
      </c>
      <c r="G131" t="inlineStr">
        <is>
          <t>CITRICOS</t>
        </is>
      </c>
      <c r="H131" t="inlineStr">
        <is>
          <t>SALUSTIANA</t>
        </is>
      </c>
      <c r="I131" t="n">
        <v>245</v>
      </c>
      <c r="J131" t="n">
        <v>13490</v>
      </c>
      <c r="K131" t="n">
        <v>0</v>
      </c>
      <c r="L131" t="n">
        <v>13490</v>
      </c>
      <c r="M131" t="inlineStr">
        <is>
          <t>Sí</t>
        </is>
      </c>
      <c r="N131" t="inlineStr"/>
      <c r="O131" t="inlineStr">
        <is>
          <t>Informativa</t>
        </is>
      </c>
      <c r="P131" t="inlineStr">
        <is>
          <t>No interviene en el prorrateo</t>
        </is>
      </c>
    </row>
    <row r="132">
      <c r="A132" t="n">
        <v>1585</v>
      </c>
      <c r="B132" t="inlineStr">
        <is>
          <t>CESPEDES AGUILAR, PATRICIA</t>
        </is>
      </c>
      <c r="E132" t="n">
        <v>2026</v>
      </c>
      <c r="F132" t="n">
        <v>1</v>
      </c>
      <c r="G132" t="inlineStr">
        <is>
          <t>CITRICOS</t>
        </is>
      </c>
      <c r="H132" t="inlineStr">
        <is>
          <t>SALUSTIANA</t>
        </is>
      </c>
      <c r="I132" t="n">
        <v>245</v>
      </c>
      <c r="J132" t="n">
        <v>10080</v>
      </c>
      <c r="K132" t="n">
        <v>3960</v>
      </c>
      <c r="L132" t="n">
        <v>3960</v>
      </c>
      <c r="M132" t="inlineStr">
        <is>
          <t>Sí</t>
        </is>
      </c>
      <c r="N132" t="inlineStr"/>
      <c r="O132" t="inlineStr">
        <is>
          <t>Informativa</t>
        </is>
      </c>
      <c r="P132" t="inlineStr">
        <is>
          <t>No interviene en el prorrateo</t>
        </is>
      </c>
    </row>
    <row r="133">
      <c r="A133" t="n">
        <v>1585</v>
      </c>
      <c r="B133" t="inlineStr">
        <is>
          <t>CESPEDES AGUILAR, PATRICIA</t>
        </is>
      </c>
      <c r="E133" t="n">
        <v>2026</v>
      </c>
      <c r="F133" t="n">
        <v>1</v>
      </c>
      <c r="G133" t="inlineStr">
        <is>
          <t>CITRICOS</t>
        </is>
      </c>
      <c r="H133" t="inlineStr">
        <is>
          <t>SALUSTIANA</t>
        </is>
      </c>
      <c r="I133" t="n">
        <v>245</v>
      </c>
      <c r="J133" t="n">
        <v>3900</v>
      </c>
      <c r="K133" t="n">
        <v>0</v>
      </c>
      <c r="L133" t="n">
        <v>3900</v>
      </c>
      <c r="M133" t="inlineStr">
        <is>
          <t>Sí</t>
        </is>
      </c>
      <c r="N133" t="inlineStr"/>
      <c r="O133" t="inlineStr">
        <is>
          <t>Informativa</t>
        </is>
      </c>
      <c r="P133" t="inlineStr">
        <is>
          <t>No interviene en el prorrateo</t>
        </is>
      </c>
    </row>
    <row r="134">
      <c r="A134" t="n">
        <v>1585</v>
      </c>
      <c r="B134" t="inlineStr">
        <is>
          <t>CESPEDES AGUILAR, PATRICIA</t>
        </is>
      </c>
      <c r="E134" t="n">
        <v>2026</v>
      </c>
      <c r="F134" t="n">
        <v>1</v>
      </c>
      <c r="G134" t="inlineStr">
        <is>
          <t>CITRICOS</t>
        </is>
      </c>
      <c r="H134" t="inlineStr">
        <is>
          <t>SALUSTIANA</t>
        </is>
      </c>
      <c r="I134" t="n">
        <v>245</v>
      </c>
      <c r="J134" t="n">
        <v>11440</v>
      </c>
      <c r="K134" t="n">
        <v>0</v>
      </c>
      <c r="L134" t="n">
        <v>11440</v>
      </c>
      <c r="M134" t="inlineStr">
        <is>
          <t>Sí</t>
        </is>
      </c>
      <c r="N134" t="inlineStr"/>
      <c r="O134" t="inlineStr">
        <is>
          <t>Informativa</t>
        </is>
      </c>
      <c r="P134" t="inlineStr">
        <is>
          <t>No interviene en el prorrateo</t>
        </is>
      </c>
    </row>
    <row r="135">
      <c r="A135" t="n">
        <v>1585</v>
      </c>
      <c r="B135" t="inlineStr">
        <is>
          <t>CESPEDES AGUILAR, PATRICIA</t>
        </is>
      </c>
      <c r="E135" t="n">
        <v>2026</v>
      </c>
      <c r="F135" t="n">
        <v>1</v>
      </c>
      <c r="G135" t="inlineStr">
        <is>
          <t>CITRICOS</t>
        </is>
      </c>
      <c r="H135" t="inlineStr">
        <is>
          <t>SALUSTIANA</t>
        </is>
      </c>
      <c r="I135" t="n">
        <v>245</v>
      </c>
      <c r="J135" t="n">
        <v>3767</v>
      </c>
      <c r="K135" t="n">
        <v>0</v>
      </c>
      <c r="L135" t="n">
        <v>3767</v>
      </c>
      <c r="M135" t="inlineStr">
        <is>
          <t>Sí</t>
        </is>
      </c>
      <c r="N135" t="inlineStr"/>
      <c r="O135" t="inlineStr">
        <is>
          <t>Informativa</t>
        </is>
      </c>
      <c r="P135" t="inlineStr">
        <is>
          <t>No interviene en el prorrateo</t>
        </is>
      </c>
    </row>
    <row r="136">
      <c r="A136" t="n">
        <v>1585</v>
      </c>
      <c r="B136" t="inlineStr">
        <is>
          <t>CESPEDES AGUILAR, PATRICIA</t>
        </is>
      </c>
      <c r="E136" t="n">
        <v>2026</v>
      </c>
      <c r="F136" t="n">
        <v>1</v>
      </c>
      <c r="G136" t="inlineStr">
        <is>
          <t>CITRICOS</t>
        </is>
      </c>
      <c r="H136" t="inlineStr">
        <is>
          <t>SALUSTIANA</t>
        </is>
      </c>
      <c r="I136" t="n">
        <v>245</v>
      </c>
      <c r="J136" t="n">
        <v>13116</v>
      </c>
      <c r="K136" t="n">
        <v>2677</v>
      </c>
      <c r="L136" t="n">
        <v>2677</v>
      </c>
      <c r="M136" t="inlineStr">
        <is>
          <t>Sí</t>
        </is>
      </c>
      <c r="N136" t="inlineStr"/>
      <c r="O136" t="inlineStr">
        <is>
          <t>Informativa</t>
        </is>
      </c>
      <c r="P136" t="inlineStr">
        <is>
          <t>No interviene en el prorrateo</t>
        </is>
      </c>
    </row>
    <row r="137">
      <c r="A137" t="n">
        <v>1585</v>
      </c>
      <c r="B137" t="inlineStr">
        <is>
          <t>CESPEDES AGUILAR, PATRICIA</t>
        </is>
      </c>
      <c r="E137" t="n">
        <v>2026</v>
      </c>
      <c r="F137" t="n">
        <v>1</v>
      </c>
      <c r="G137" t="inlineStr">
        <is>
          <t>CITRICOS</t>
        </is>
      </c>
      <c r="H137" t="inlineStr">
        <is>
          <t>SALUSTIANA</t>
        </is>
      </c>
      <c r="I137" t="n">
        <v>245</v>
      </c>
      <c r="J137" t="n">
        <v>4912</v>
      </c>
      <c r="K137" t="n">
        <v>0</v>
      </c>
      <c r="L137" t="n">
        <v>4912</v>
      </c>
      <c r="M137" t="inlineStr">
        <is>
          <t>Sí</t>
        </is>
      </c>
      <c r="N137" t="inlineStr"/>
      <c r="O137" t="inlineStr">
        <is>
          <t>Informativa</t>
        </is>
      </c>
      <c r="P137" t="inlineStr">
        <is>
          <t>No interviene en el prorrateo</t>
        </is>
      </c>
    </row>
    <row r="138">
      <c r="A138" t="n">
        <v>1585</v>
      </c>
      <c r="B138" t="inlineStr">
        <is>
          <t>CESPEDES AGUILAR, PATRICIA</t>
        </is>
      </c>
      <c r="E138" t="n">
        <v>2026</v>
      </c>
      <c r="F138" t="n">
        <v>1</v>
      </c>
      <c r="G138" t="inlineStr">
        <is>
          <t>CITRICOS</t>
        </is>
      </c>
      <c r="H138" t="inlineStr">
        <is>
          <t>SALUSTIANA</t>
        </is>
      </c>
      <c r="I138" t="n">
        <v>245</v>
      </c>
      <c r="J138" t="n">
        <v>12668</v>
      </c>
      <c r="K138" t="n">
        <v>7231</v>
      </c>
      <c r="L138" t="n">
        <v>7231</v>
      </c>
      <c r="M138" t="inlineStr">
        <is>
          <t>Sí</t>
        </is>
      </c>
      <c r="N138" t="inlineStr"/>
      <c r="O138" t="inlineStr">
        <is>
          <t>Informativa</t>
        </is>
      </c>
      <c r="P138" t="inlineStr">
        <is>
          <t>No interviene en el prorrateo</t>
        </is>
      </c>
    </row>
    <row r="139">
      <c r="A139" t="n">
        <v>1585</v>
      </c>
      <c r="B139" t="inlineStr">
        <is>
          <t>CESPEDES AGUILAR, PATRICIA</t>
        </is>
      </c>
      <c r="E139" t="n">
        <v>2026</v>
      </c>
      <c r="F139" t="n">
        <v>1</v>
      </c>
      <c r="G139" t="inlineStr">
        <is>
          <t>CITRICOS</t>
        </is>
      </c>
      <c r="H139" t="inlineStr">
        <is>
          <t>SALUSTIANA</t>
        </is>
      </c>
      <c r="I139" t="n">
        <v>245</v>
      </c>
      <c r="J139" t="n">
        <v>11532</v>
      </c>
      <c r="K139" t="n">
        <v>5098</v>
      </c>
      <c r="L139" t="n">
        <v>5098</v>
      </c>
      <c r="M139" t="inlineStr">
        <is>
          <t>Sí</t>
        </is>
      </c>
      <c r="N139" t="inlineStr"/>
      <c r="O139" t="inlineStr">
        <is>
          <t>Informativa</t>
        </is>
      </c>
      <c r="P139" t="inlineStr">
        <is>
          <t>No interviene en el prorrateo</t>
        </is>
      </c>
    </row>
    <row r="140">
      <c r="A140" t="n">
        <v>1585</v>
      </c>
      <c r="B140" t="inlineStr">
        <is>
          <t>CESPEDES AGUILAR, PATRICIA</t>
        </is>
      </c>
      <c r="E140" t="n">
        <v>2026</v>
      </c>
      <c r="F140" t="n">
        <v>1</v>
      </c>
      <c r="G140" t="inlineStr">
        <is>
          <t>CITRICOS</t>
        </is>
      </c>
      <c r="H140" t="inlineStr">
        <is>
          <t>SALUSTIANA</t>
        </is>
      </c>
      <c r="I140" t="n">
        <v>245</v>
      </c>
      <c r="J140" t="n">
        <v>5804</v>
      </c>
      <c r="K140" t="n">
        <v>0</v>
      </c>
      <c r="L140" t="n">
        <v>5804</v>
      </c>
      <c r="M140" t="inlineStr">
        <is>
          <t>Sí</t>
        </is>
      </c>
      <c r="N140" t="inlineStr"/>
      <c r="O140" t="inlineStr">
        <is>
          <t>Informativa</t>
        </is>
      </c>
      <c r="P140" t="inlineStr">
        <is>
          <t>No interviene en el prorrateo</t>
        </is>
      </c>
    </row>
    <row r="141">
      <c r="A141" t="n">
        <v>1585</v>
      </c>
      <c r="B141" t="inlineStr">
        <is>
          <t>CESPEDES AGUILAR, PATRICIA</t>
        </is>
      </c>
      <c r="E141" t="n">
        <v>2026</v>
      </c>
      <c r="F141" t="n">
        <v>1</v>
      </c>
      <c r="G141" t="inlineStr">
        <is>
          <t>CITRICOS</t>
        </is>
      </c>
      <c r="H141" t="inlineStr">
        <is>
          <t>SALUSTIANA</t>
        </is>
      </c>
      <c r="I141" t="n">
        <v>245</v>
      </c>
      <c r="J141" t="n">
        <v>10440</v>
      </c>
      <c r="K141" t="n">
        <v>8270</v>
      </c>
      <c r="L141" t="n">
        <v>8270</v>
      </c>
      <c r="M141" t="inlineStr">
        <is>
          <t>Sí</t>
        </is>
      </c>
      <c r="N141" t="inlineStr"/>
      <c r="O141" t="inlineStr">
        <is>
          <t>Informativa</t>
        </is>
      </c>
      <c r="P141" t="inlineStr">
        <is>
          <t>No interviene en el prorrateo</t>
        </is>
      </c>
    </row>
    <row r="142">
      <c r="A142" t="n">
        <v>1585</v>
      </c>
      <c r="B142" t="inlineStr">
        <is>
          <t>CESPEDES AGUILAR, PATRICIA</t>
        </is>
      </c>
      <c r="E142" t="n">
        <v>2026</v>
      </c>
      <c r="F142" t="n">
        <v>1</v>
      </c>
      <c r="G142" t="inlineStr">
        <is>
          <t>CITRICOS</t>
        </is>
      </c>
      <c r="H142" t="inlineStr">
        <is>
          <t>SALUSTIANA</t>
        </is>
      </c>
      <c r="I142" t="n">
        <v>245</v>
      </c>
      <c r="J142" t="n">
        <v>1960</v>
      </c>
      <c r="K142" t="n">
        <v>0</v>
      </c>
      <c r="L142" t="n">
        <v>1960</v>
      </c>
      <c r="M142" t="inlineStr">
        <is>
          <t>Sí</t>
        </is>
      </c>
      <c r="N142" t="inlineStr"/>
      <c r="O142" t="inlineStr">
        <is>
          <t>Informativa</t>
        </is>
      </c>
      <c r="P142" t="inlineStr">
        <is>
          <t>No interviene en el prorrateo</t>
        </is>
      </c>
    </row>
    <row r="143">
      <c r="A143" t="n">
        <v>1585</v>
      </c>
      <c r="B143" t="inlineStr">
        <is>
          <t>CESPEDES AGUILAR, PATRICIA</t>
        </is>
      </c>
      <c r="E143" t="n">
        <v>2026</v>
      </c>
      <c r="F143" t="n">
        <v>1</v>
      </c>
      <c r="G143" t="inlineStr">
        <is>
          <t>CITRICOS</t>
        </is>
      </c>
      <c r="H143" t="inlineStr">
        <is>
          <t>SALUSTIANA</t>
        </is>
      </c>
      <c r="I143" t="n">
        <v>245</v>
      </c>
      <c r="J143" t="n">
        <v>9012</v>
      </c>
      <c r="K143" t="n">
        <v>4692</v>
      </c>
      <c r="L143" t="n">
        <v>4692</v>
      </c>
      <c r="M143" t="inlineStr">
        <is>
          <t>Sí</t>
        </is>
      </c>
      <c r="N143" t="inlineStr"/>
      <c r="O143" t="inlineStr">
        <is>
          <t>Informativa</t>
        </is>
      </c>
      <c r="P143" t="inlineStr">
        <is>
          <t>No interviene en el prorrateo</t>
        </is>
      </c>
    </row>
    <row r="144">
      <c r="A144" t="n">
        <v>1585</v>
      </c>
      <c r="B144" t="inlineStr">
        <is>
          <t>CESPEDES AGUILAR, PATRICIA</t>
        </is>
      </c>
      <c r="E144" t="n">
        <v>2026</v>
      </c>
      <c r="F144" t="n">
        <v>1</v>
      </c>
      <c r="G144" t="inlineStr">
        <is>
          <t>CITRICOS</t>
        </is>
      </c>
      <c r="H144" t="inlineStr">
        <is>
          <t>SALUSTIANA</t>
        </is>
      </c>
      <c r="I144" t="n">
        <v>245</v>
      </c>
      <c r="J144" t="n">
        <v>5756</v>
      </c>
      <c r="K144" t="n">
        <v>0</v>
      </c>
      <c r="L144" t="n">
        <v>5756</v>
      </c>
      <c r="M144" t="inlineStr">
        <is>
          <t>Sí</t>
        </is>
      </c>
      <c r="N144" t="inlineStr"/>
      <c r="O144" t="inlineStr">
        <is>
          <t>Informativa</t>
        </is>
      </c>
      <c r="P144" t="inlineStr">
        <is>
          <t>No interviene en el prorrateo</t>
        </is>
      </c>
    </row>
    <row r="145">
      <c r="A145" t="n">
        <v>1585</v>
      </c>
      <c r="B145" t="inlineStr">
        <is>
          <t>CESPEDES AGUILAR, PATRICIA</t>
        </is>
      </c>
      <c r="E145" t="n">
        <v>2026</v>
      </c>
      <c r="F145" t="n">
        <v>1</v>
      </c>
      <c r="G145" t="inlineStr">
        <is>
          <t>CITRICOS</t>
        </is>
      </c>
      <c r="H145" t="inlineStr">
        <is>
          <t>SALUSTIANA</t>
        </is>
      </c>
      <c r="I145" t="n">
        <v>245</v>
      </c>
      <c r="J145" t="n">
        <v>10404</v>
      </c>
      <c r="K145" t="n">
        <v>1584</v>
      </c>
      <c r="L145" t="n">
        <v>1584</v>
      </c>
      <c r="M145" t="inlineStr">
        <is>
          <t>Sí</t>
        </is>
      </c>
      <c r="N145" t="inlineStr"/>
      <c r="O145" t="inlineStr">
        <is>
          <t>Informativa</t>
        </is>
      </c>
      <c r="P145" t="inlineStr">
        <is>
          <t>No interviene en el prorrateo</t>
        </is>
      </c>
    </row>
    <row r="146">
      <c r="A146" t="n">
        <v>1585</v>
      </c>
      <c r="B146" t="inlineStr">
        <is>
          <t>CESPEDES AGUILAR, PATRICIA</t>
        </is>
      </c>
      <c r="E146" t="n">
        <v>2026</v>
      </c>
      <c r="F146" t="n">
        <v>1</v>
      </c>
      <c r="G146" t="inlineStr">
        <is>
          <t>CITRICOS</t>
        </is>
      </c>
      <c r="H146" t="inlineStr">
        <is>
          <t>SALUSTIANA</t>
        </is>
      </c>
      <c r="I146" t="n">
        <v>245</v>
      </c>
      <c r="J146" t="n">
        <v>12900</v>
      </c>
      <c r="K146" t="n">
        <v>4462</v>
      </c>
      <c r="L146" t="n">
        <v>4462</v>
      </c>
      <c r="M146" t="inlineStr">
        <is>
          <t>Sí</t>
        </is>
      </c>
      <c r="N146" t="inlineStr"/>
      <c r="O146" t="inlineStr">
        <is>
          <t>Informativa</t>
        </is>
      </c>
      <c r="P146" t="inlineStr">
        <is>
          <t>No interviene en el prorrateo</t>
        </is>
      </c>
    </row>
    <row r="147">
      <c r="A147" t="n">
        <v>1585</v>
      </c>
      <c r="B147" t="inlineStr">
        <is>
          <t>CESPEDES AGUILAR, PATRICIA</t>
        </is>
      </c>
      <c r="E147" t="n">
        <v>2026</v>
      </c>
      <c r="F147" t="n">
        <v>1</v>
      </c>
      <c r="G147" t="inlineStr">
        <is>
          <t>INDUSTRIA</t>
        </is>
      </c>
      <c r="H147" t="inlineStr">
        <is>
          <t>SALUSTIANA</t>
        </is>
      </c>
      <c r="I147" t="n">
        <v>93</v>
      </c>
      <c r="J147" t="n">
        <v>13070</v>
      </c>
      <c r="K147" t="n">
        <v>707</v>
      </c>
      <c r="L147" t="n">
        <v>707</v>
      </c>
      <c r="M147" t="inlineStr">
        <is>
          <t>Sí</t>
        </is>
      </c>
      <c r="N147" t="inlineStr"/>
      <c r="O147" t="inlineStr">
        <is>
          <t>Informativa</t>
        </is>
      </c>
      <c r="P147" t="inlineStr">
        <is>
          <t>No interviene en el prorrateo</t>
        </is>
      </c>
    </row>
    <row r="148">
      <c r="A148" t="n">
        <v>1585</v>
      </c>
      <c r="B148" t="inlineStr">
        <is>
          <t>CESPEDES AGUILAR, PATRICIA</t>
        </is>
      </c>
      <c r="E148" t="n">
        <v>2026</v>
      </c>
      <c r="F148" t="n">
        <v>1</v>
      </c>
      <c r="G148" t="inlineStr">
        <is>
          <t>INDUSTRIA</t>
        </is>
      </c>
      <c r="H148" t="inlineStr">
        <is>
          <t>SALUSTIANA</t>
        </is>
      </c>
      <c r="I148" t="n">
        <v>93</v>
      </c>
      <c r="J148" t="n">
        <v>11700</v>
      </c>
      <c r="K148" t="n">
        <v>1209</v>
      </c>
      <c r="L148" t="n">
        <v>1209</v>
      </c>
      <c r="M148" t="inlineStr">
        <is>
          <t>Sí</t>
        </is>
      </c>
      <c r="N148" t="inlineStr"/>
      <c r="O148" t="inlineStr">
        <is>
          <t>Informativa</t>
        </is>
      </c>
      <c r="P148" t="inlineStr">
        <is>
          <t>No interviene en el prorrateo</t>
        </is>
      </c>
    </row>
    <row r="149">
      <c r="A149" t="n">
        <v>1585</v>
      </c>
      <c r="B149" t="inlineStr">
        <is>
          <t>CESPEDES AGUILAR, PATRICIA</t>
        </is>
      </c>
      <c r="E149" t="n">
        <v>2026</v>
      </c>
      <c r="F149" t="n">
        <v>1</v>
      </c>
      <c r="G149" t="inlineStr">
        <is>
          <t>INDUSTRIA</t>
        </is>
      </c>
      <c r="H149" t="inlineStr">
        <is>
          <t>SALUSTIANA</t>
        </is>
      </c>
      <c r="I149" t="n">
        <v>245</v>
      </c>
      <c r="J149" t="n">
        <v>24351</v>
      </c>
      <c r="K149" t="n">
        <v>231</v>
      </c>
      <c r="L149" t="n">
        <v>231</v>
      </c>
      <c r="M149" t="inlineStr">
        <is>
          <t>Sí</t>
        </is>
      </c>
      <c r="N149" t="inlineStr"/>
      <c r="O149" t="inlineStr">
        <is>
          <t>Informativa</t>
        </is>
      </c>
      <c r="P149" t="inlineStr">
        <is>
          <t>No interviene en el prorrateo</t>
        </is>
      </c>
    </row>
    <row r="150">
      <c r="A150" t="n">
        <v>1585</v>
      </c>
      <c r="B150" t="inlineStr">
        <is>
          <t>CESPEDES AGUILAR, PATRICIA</t>
        </is>
      </c>
      <c r="E150" t="n">
        <v>2026</v>
      </c>
      <c r="F150" t="n">
        <v>1</v>
      </c>
      <c r="G150" t="inlineStr">
        <is>
          <t>INDUSTRIA</t>
        </is>
      </c>
      <c r="H150" t="inlineStr">
        <is>
          <t>SALUSTIANA</t>
        </is>
      </c>
      <c r="I150" t="n">
        <v>93</v>
      </c>
      <c r="J150" t="n">
        <v>443</v>
      </c>
      <c r="K150" t="n">
        <v>0</v>
      </c>
      <c r="L150" t="n">
        <v>443</v>
      </c>
      <c r="M150" t="inlineStr">
        <is>
          <t>Sí</t>
        </is>
      </c>
      <c r="N150" t="inlineStr"/>
      <c r="O150" t="inlineStr">
        <is>
          <t>Informativa</t>
        </is>
      </c>
      <c r="P150" t="inlineStr">
        <is>
          <t>No interviene en el prorrateo</t>
        </is>
      </c>
    </row>
    <row r="151">
      <c r="A151" t="n">
        <v>1585</v>
      </c>
      <c r="B151" t="inlineStr">
        <is>
          <t>CESPEDES AGUILAR, PATRICIA</t>
        </is>
      </c>
      <c r="E151" t="n">
        <v>2026</v>
      </c>
      <c r="F151" t="n">
        <v>1</v>
      </c>
      <c r="G151" t="inlineStr">
        <is>
          <t>INDUSTRIA</t>
        </is>
      </c>
      <c r="H151" t="inlineStr">
        <is>
          <t>SALUSTIANA</t>
        </is>
      </c>
      <c r="I151" t="n">
        <v>93</v>
      </c>
      <c r="J151" t="n">
        <v>480</v>
      </c>
      <c r="K151" t="n">
        <v>0</v>
      </c>
      <c r="L151" t="n">
        <v>480</v>
      </c>
      <c r="M151" t="inlineStr">
        <is>
          <t>Sí</t>
        </is>
      </c>
      <c r="N151" t="inlineStr"/>
      <c r="O151" t="inlineStr">
        <is>
          <t>Informativa</t>
        </is>
      </c>
      <c r="P151" t="inlineStr">
        <is>
          <t>No interviene en el prorrateo</t>
        </is>
      </c>
    </row>
    <row r="152">
      <c r="A152" t="n">
        <v>1585</v>
      </c>
      <c r="B152" t="inlineStr">
        <is>
          <t>CESPEDES AGUILAR, PATRICIA</t>
        </is>
      </c>
      <c r="E152" t="n">
        <v>2026</v>
      </c>
      <c r="F152" t="n">
        <v>1</v>
      </c>
      <c r="G152" t="inlineStr">
        <is>
          <t>INDUSTRIA</t>
        </is>
      </c>
      <c r="H152" t="inlineStr">
        <is>
          <t>SALUSTIANA</t>
        </is>
      </c>
      <c r="I152" t="n">
        <v>93</v>
      </c>
      <c r="J152" t="n">
        <v>471</v>
      </c>
      <c r="K152" t="n">
        <v>0</v>
      </c>
      <c r="L152" t="n">
        <v>471</v>
      </c>
      <c r="M152" t="inlineStr">
        <is>
          <t>Sí</t>
        </is>
      </c>
      <c r="N152" t="inlineStr"/>
      <c r="O152" t="inlineStr">
        <is>
          <t>Informativa</t>
        </is>
      </c>
      <c r="P152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1384</v>
      </c>
      <c r="B2" t="inlineStr">
        <is>
          <t>RIEGO MARTIN,ANA BELEN</t>
        </is>
      </c>
      <c r="C2" t="inlineStr">
        <is>
          <t>SALUSTIANA</t>
        </is>
      </c>
      <c r="D2" t="inlineStr">
        <is>
          <t>Hectáreas</t>
        </is>
      </c>
      <c r="E2" t="n">
        <v>6.55</v>
      </c>
      <c r="I2" t="inlineStr"/>
    </row>
    <row r="3">
      <c r="A3" t="n">
        <v>1384</v>
      </c>
      <c r="B3" t="inlineStr">
        <is>
          <t>RIEGO MARTIN,ANA BELEN</t>
        </is>
      </c>
      <c r="C3" t="inlineStr">
        <is>
          <t>SALUSTIANA</t>
        </is>
      </c>
      <c r="D3" t="inlineStr">
        <is>
          <t>Cuota teórica</t>
        </is>
      </c>
      <c r="E3" t="n">
        <v>1277.25</v>
      </c>
      <c r="I3" t="inlineStr"/>
    </row>
    <row r="4">
      <c r="A4" t="n">
        <v>1384</v>
      </c>
      <c r="B4" t="inlineStr">
        <is>
          <t>RIEGO MARTIN,ANA BELEN</t>
        </is>
      </c>
      <c r="C4" t="inlineStr">
        <is>
          <t>SALUSTIANA</t>
        </is>
      </c>
      <c r="D4" t="inlineStr">
        <is>
          <t>Kg campaña</t>
        </is>
      </c>
      <c r="E4" t="n">
        <v>114972</v>
      </c>
      <c r="I4" t="inlineStr"/>
    </row>
    <row r="5">
      <c r="A5" t="n">
        <v>1384</v>
      </c>
      <c r="B5" t="inlineStr">
        <is>
          <t>RIEGO MARTIN,ANA BELEN</t>
        </is>
      </c>
      <c r="C5" t="inlineStr">
        <is>
          <t>SALUSTIANA</t>
        </is>
      </c>
      <c r="D5" t="inlineStr">
        <is>
          <t>Índice</t>
        </is>
      </c>
      <c r="E5" t="n">
        <v>0.01110922659430122</v>
      </c>
      <c r="I5" t="inlineStr"/>
    </row>
    <row r="6">
      <c r="A6" t="n">
        <v>1384</v>
      </c>
      <c r="B6" t="inlineStr">
        <is>
          <t>RIEGO MARTIN,ANA BELEN</t>
        </is>
      </c>
      <c r="C6" t="inlineStr">
        <is>
          <t>SALUSTIANA</t>
        </is>
      </c>
      <c r="D6" t="inlineStr">
        <is>
          <t>Kg remesa</t>
        </is>
      </c>
      <c r="E6" t="n">
        <v>11620</v>
      </c>
      <c r="I6" t="inlineStr"/>
    </row>
    <row r="7">
      <c r="A7" t="n">
        <v>1384</v>
      </c>
      <c r="B7" t="inlineStr">
        <is>
          <t>RIEGO MARTIN,ANA BELEN</t>
        </is>
      </c>
      <c r="C7" t="inlineStr">
        <is>
          <t>SALUSTIANA</t>
        </is>
      </c>
      <c r="D7" t="inlineStr">
        <is>
          <t>Cuota parcial</t>
        </is>
      </c>
      <c r="E7" t="n">
        <v>129.09</v>
      </c>
      <c r="I7" t="inlineStr"/>
    </row>
    <row r="8">
      <c r="A8" t="n">
        <v>1384</v>
      </c>
      <c r="B8" t="inlineStr">
        <is>
          <t>RIEGO MARTIN,ANA BELEN</t>
        </is>
      </c>
      <c r="C8" t="inlineStr">
        <is>
          <t>SALUSTIANA</t>
        </is>
      </c>
      <c r="D8" t="inlineStr">
        <is>
          <t>Importe bruto</t>
        </is>
      </c>
      <c r="E8" t="n">
        <v>4276.53</v>
      </c>
      <c r="I8" t="inlineStr"/>
    </row>
    <row r="9">
      <c r="A9" t="n">
        <v>1384</v>
      </c>
      <c r="B9" t="inlineStr">
        <is>
          <t>RIEGO MARTIN,ANA BELEN</t>
        </is>
      </c>
      <c r="C9" t="inlineStr">
        <is>
          <t>SALUSTIANA</t>
        </is>
      </c>
      <c r="D9" t="inlineStr">
        <is>
          <t>Recolección</t>
        </is>
      </c>
      <c r="E9" t="n">
        <v>836.64</v>
      </c>
      <c r="I9" t="inlineStr"/>
    </row>
    <row r="10">
      <c r="A10" t="n">
        <v>1384</v>
      </c>
      <c r="B10" t="inlineStr">
        <is>
          <t>RIEGO MARTIN,ANA BELEN</t>
        </is>
      </c>
      <c r="C10" t="inlineStr">
        <is>
          <t>SALUSTIANA</t>
        </is>
      </c>
      <c r="D10" t="inlineStr">
        <is>
          <t>Transporte</t>
        </is>
      </c>
      <c r="E10" t="n">
        <v>0</v>
      </c>
      <c r="I10" t="inlineStr"/>
    </row>
    <row r="11">
      <c r="A11" t="n">
        <v>1384</v>
      </c>
      <c r="B11" t="inlineStr">
        <is>
          <t>RIEGO MARTIN,ANA BELEN</t>
        </is>
      </c>
      <c r="C11" t="inlineStr">
        <is>
          <t>SALUSTIANA</t>
        </is>
      </c>
      <c r="D11" t="inlineStr">
        <is>
          <t>Calidad</t>
        </is>
      </c>
      <c r="E11" t="n">
        <v>0</v>
      </c>
      <c r="I11" t="inlineStr"/>
    </row>
    <row r="12">
      <c r="A12" t="n">
        <v>1384</v>
      </c>
      <c r="B12" t="inlineStr">
        <is>
          <t>RIEGO MARTIN,ANA BELEN</t>
        </is>
      </c>
      <c r="C12" t="inlineStr">
        <is>
          <t>SALUSTIANA</t>
        </is>
      </c>
      <c r="D12" t="inlineStr">
        <is>
          <t>GlobalGAP</t>
        </is>
      </c>
      <c r="E12" t="n">
        <v>170.39</v>
      </c>
      <c r="I12" t="inlineStr"/>
    </row>
    <row r="13">
      <c r="A13" t="n">
        <v>1384</v>
      </c>
      <c r="B13" t="inlineStr">
        <is>
          <t>RIEGO MARTIN,ANA BELEN</t>
        </is>
      </c>
      <c r="C13" t="inlineStr">
        <is>
          <t>SALUSTIANA</t>
        </is>
      </c>
      <c r="D13" t="inlineStr">
        <is>
          <t>Base imponible</t>
        </is>
      </c>
      <c r="E13" t="n">
        <v>3481.19</v>
      </c>
      <c r="I13" t="inlineStr"/>
    </row>
    <row r="14">
      <c r="A14" t="n">
        <v>1384</v>
      </c>
      <c r="B14" t="inlineStr">
        <is>
          <t>RIEGO MARTIN,ANA BELEN</t>
        </is>
      </c>
      <c r="C14" t="inlineStr">
        <is>
          <t>SALUSTIANA</t>
        </is>
      </c>
      <c r="D14" t="inlineStr">
        <is>
          <t>IVA</t>
        </is>
      </c>
      <c r="E14" t="n">
        <v>417.74</v>
      </c>
      <c r="I14" t="inlineStr"/>
    </row>
    <row r="15">
      <c r="A15" t="n">
        <v>1384</v>
      </c>
      <c r="B15" t="inlineStr">
        <is>
          <t>RIEGO MARTIN,ANA BELEN</t>
        </is>
      </c>
      <c r="C15" t="inlineStr">
        <is>
          <t>SALUSTIANA</t>
        </is>
      </c>
      <c r="D15" t="inlineStr">
        <is>
          <t>Retención</t>
        </is>
      </c>
      <c r="E15" t="n">
        <v>77.98</v>
      </c>
      <c r="I15" t="inlineStr"/>
    </row>
    <row r="16">
      <c r="A16" t="n">
        <v>1384</v>
      </c>
      <c r="B16" t="inlineStr">
        <is>
          <t>RIEGO MARTIN,ANA BELEN</t>
        </is>
      </c>
      <c r="C16" t="inlineStr">
        <is>
          <t>SALUSTIANA</t>
        </is>
      </c>
      <c r="D16" t="inlineStr">
        <is>
          <t>Total</t>
        </is>
      </c>
      <c r="E16" t="n">
        <v>3820.95</v>
      </c>
      <c r="I16" t="inlineStr"/>
    </row>
    <row r="17">
      <c r="A17" t="n">
        <v>1411</v>
      </c>
      <c r="B17" t="inlineStr">
        <is>
          <t>HERMANOS PEÑA GRIÑAN S.C.</t>
        </is>
      </c>
      <c r="C17" t="inlineStr">
        <is>
          <t>SALUSTIANA</t>
        </is>
      </c>
      <c r="D17" t="inlineStr">
        <is>
          <t>Hectáreas</t>
        </is>
      </c>
      <c r="E17" t="n">
        <v>12.74</v>
      </c>
      <c r="I17" t="inlineStr"/>
    </row>
    <row r="18">
      <c r="A18" t="n">
        <v>1411</v>
      </c>
      <c r="B18" t="inlineStr">
        <is>
          <t>HERMANOS PEÑA GRIÑAN S.C.</t>
        </is>
      </c>
      <c r="C18" t="inlineStr">
        <is>
          <t>SALUSTIANA</t>
        </is>
      </c>
      <c r="D18" t="inlineStr">
        <is>
          <t>Cuota teórica</t>
        </is>
      </c>
      <c r="E18" t="n">
        <v>2484.3</v>
      </c>
      <c r="I18" t="inlineStr"/>
    </row>
    <row r="19">
      <c r="A19" t="n">
        <v>1411</v>
      </c>
      <c r="B19" t="inlineStr">
        <is>
          <t>HERMANOS PEÑA GRIÑAN S.C.</t>
        </is>
      </c>
      <c r="C19" t="inlineStr">
        <is>
          <t>SALUSTIANA</t>
        </is>
      </c>
      <c r="D19" t="inlineStr">
        <is>
          <t>Kg campaña</t>
        </is>
      </c>
      <c r="E19" t="n">
        <v>299255</v>
      </c>
      <c r="I19" t="inlineStr"/>
    </row>
    <row r="20">
      <c r="A20" t="n">
        <v>1411</v>
      </c>
      <c r="B20" t="inlineStr">
        <is>
          <t>HERMANOS PEÑA GRIÑAN S.C.</t>
        </is>
      </c>
      <c r="C20" t="inlineStr">
        <is>
          <t>SALUSTIANA</t>
        </is>
      </c>
      <c r="D20" t="inlineStr">
        <is>
          <t>Índice</t>
        </is>
      </c>
      <c r="E20" t="n">
        <v>0.008301615678936024</v>
      </c>
      <c r="I20" t="inlineStr"/>
    </row>
    <row r="21">
      <c r="A21" t="n">
        <v>1411</v>
      </c>
      <c r="B21" t="inlineStr">
        <is>
          <t>HERMANOS PEÑA GRIÑAN S.C.</t>
        </is>
      </c>
      <c r="C21" t="inlineStr">
        <is>
          <t>SALUSTIANA</t>
        </is>
      </c>
      <c r="D21" t="inlineStr">
        <is>
          <t>Kg remesa</t>
        </is>
      </c>
      <c r="E21" t="n">
        <v>12774</v>
      </c>
      <c r="I21" t="inlineStr"/>
    </row>
    <row r="22">
      <c r="A22" t="n">
        <v>1411</v>
      </c>
      <c r="B22" t="inlineStr">
        <is>
          <t>HERMANOS PEÑA GRIÑAN S.C.</t>
        </is>
      </c>
      <c r="C22" t="inlineStr">
        <is>
          <t>SALUSTIANA</t>
        </is>
      </c>
      <c r="D22" t="inlineStr">
        <is>
          <t>Cuota parcial</t>
        </is>
      </c>
      <c r="E22" t="n">
        <v>106.04</v>
      </c>
      <c r="I22" t="inlineStr"/>
    </row>
    <row r="23">
      <c r="A23" t="n">
        <v>1411</v>
      </c>
      <c r="B23" t="inlineStr">
        <is>
          <t>HERMANOS PEÑA GRIÑAN S.C.</t>
        </is>
      </c>
      <c r="C23" t="inlineStr">
        <is>
          <t>SALUSTIANA</t>
        </is>
      </c>
      <c r="D23" t="inlineStr">
        <is>
          <t>Importe bruto</t>
        </is>
      </c>
      <c r="E23" t="n">
        <v>4784.24</v>
      </c>
      <c r="I23" t="inlineStr"/>
    </row>
    <row r="24">
      <c r="A24" t="n">
        <v>1411</v>
      </c>
      <c r="B24" t="inlineStr">
        <is>
          <t>HERMANOS PEÑA GRIÑAN S.C.</t>
        </is>
      </c>
      <c r="C24" t="inlineStr">
        <is>
          <t>SALUSTIANA</t>
        </is>
      </c>
      <c r="D24" t="inlineStr">
        <is>
          <t>Recolección</t>
        </is>
      </c>
      <c r="E24" t="n">
        <v>919.73</v>
      </c>
      <c r="I24" t="inlineStr"/>
    </row>
    <row r="25">
      <c r="A25" t="n">
        <v>1411</v>
      </c>
      <c r="B25" t="inlineStr">
        <is>
          <t>HERMANOS PEÑA GRIÑAN S.C.</t>
        </is>
      </c>
      <c r="C25" t="inlineStr">
        <is>
          <t>SALUSTIANA</t>
        </is>
      </c>
      <c r="D25" t="inlineStr">
        <is>
          <t>Transporte</t>
        </is>
      </c>
      <c r="E25" t="n">
        <v>0</v>
      </c>
      <c r="I25" t="inlineStr"/>
    </row>
    <row r="26">
      <c r="A26" t="n">
        <v>1411</v>
      </c>
      <c r="B26" t="inlineStr">
        <is>
          <t>HERMANOS PEÑA GRIÑAN S.C.</t>
        </is>
      </c>
      <c r="C26" t="inlineStr">
        <is>
          <t>SALUSTIANA</t>
        </is>
      </c>
      <c r="D26" t="inlineStr">
        <is>
          <t>Calidad</t>
        </is>
      </c>
      <c r="E26" t="n">
        <v>0</v>
      </c>
      <c r="I26" t="inlineStr"/>
    </row>
    <row r="27">
      <c r="A27" t="n">
        <v>1411</v>
      </c>
      <c r="B27" t="inlineStr">
        <is>
          <t>HERMANOS PEÑA GRIÑAN S.C.</t>
        </is>
      </c>
      <c r="C27" t="inlineStr">
        <is>
          <t>SALUSTIANA</t>
        </is>
      </c>
      <c r="D27" t="inlineStr">
        <is>
          <t>GlobalGAP</t>
        </is>
      </c>
      <c r="E27" t="n">
        <v>0</v>
      </c>
      <c r="I27" t="inlineStr"/>
    </row>
    <row r="28">
      <c r="A28" t="n">
        <v>1411</v>
      </c>
      <c r="B28" t="inlineStr">
        <is>
          <t>HERMANOS PEÑA GRIÑAN S.C.</t>
        </is>
      </c>
      <c r="C28" t="inlineStr">
        <is>
          <t>SALUSTIANA</t>
        </is>
      </c>
      <c r="D28" t="inlineStr">
        <is>
          <t>Base imponible</t>
        </is>
      </c>
      <c r="E28" t="n">
        <v>3758.47</v>
      </c>
      <c r="I28" t="inlineStr"/>
    </row>
    <row r="29">
      <c r="A29" t="n">
        <v>1411</v>
      </c>
      <c r="B29" t="inlineStr">
        <is>
          <t>HERMANOS PEÑA GRIÑAN S.C.</t>
        </is>
      </c>
      <c r="C29" t="inlineStr">
        <is>
          <t>SALUSTIANA</t>
        </is>
      </c>
      <c r="D29" t="inlineStr">
        <is>
          <t>IVA</t>
        </is>
      </c>
      <c r="E29" t="n">
        <v>451.02</v>
      </c>
      <c r="I29" t="inlineStr"/>
    </row>
    <row r="30">
      <c r="A30" t="n">
        <v>1411</v>
      </c>
      <c r="B30" t="inlineStr">
        <is>
          <t>HERMANOS PEÑA GRIÑAN S.C.</t>
        </is>
      </c>
      <c r="C30" t="inlineStr">
        <is>
          <t>SALUSTIANA</t>
        </is>
      </c>
      <c r="D30" t="inlineStr">
        <is>
          <t>Retención</t>
        </is>
      </c>
      <c r="E30" t="n">
        <v>84.19</v>
      </c>
      <c r="I30" t="inlineStr"/>
    </row>
    <row r="31">
      <c r="A31" t="n">
        <v>1411</v>
      </c>
      <c r="B31" t="inlineStr">
        <is>
          <t>HERMANOS PEÑA GRIÑAN S.C.</t>
        </is>
      </c>
      <c r="C31" t="inlineStr">
        <is>
          <t>SALUSTIANA</t>
        </is>
      </c>
      <c r="D31" t="inlineStr">
        <is>
          <t>Total</t>
        </is>
      </c>
      <c r="E31" t="n">
        <v>4125.3</v>
      </c>
      <c r="I31" t="inlineStr"/>
    </row>
    <row r="32">
      <c r="A32" t="n">
        <v>1540</v>
      </c>
      <c r="B32" t="inlineStr">
        <is>
          <t>AGRICOLA SANCHEZ CUENCA S.C.</t>
        </is>
      </c>
      <c r="C32" t="inlineStr">
        <is>
          <t>SALUSTIANA</t>
        </is>
      </c>
      <c r="D32" t="inlineStr">
        <is>
          <t>Hectáreas</t>
        </is>
      </c>
      <c r="E32" t="n">
        <v>5.96</v>
      </c>
      <c r="I32" t="inlineStr"/>
    </row>
    <row r="33">
      <c r="A33" t="n">
        <v>1540</v>
      </c>
      <c r="B33" t="inlineStr">
        <is>
          <t>AGRICOLA SANCHEZ CUENCA S.C.</t>
        </is>
      </c>
      <c r="C33" t="inlineStr">
        <is>
          <t>SALUSTIANA</t>
        </is>
      </c>
      <c r="D33" t="inlineStr">
        <is>
          <t>Cuota teórica</t>
        </is>
      </c>
      <c r="E33" t="n">
        <v>1162.2</v>
      </c>
      <c r="I33" t="inlineStr"/>
    </row>
    <row r="34">
      <c r="A34" t="n">
        <v>1540</v>
      </c>
      <c r="B34" t="inlineStr">
        <is>
          <t>AGRICOLA SANCHEZ CUENCA S.C.</t>
        </is>
      </c>
      <c r="C34" t="inlineStr">
        <is>
          <t>SALUSTIANA</t>
        </is>
      </c>
      <c r="D34" t="inlineStr">
        <is>
          <t>Kg campaña</t>
        </is>
      </c>
      <c r="E34" t="n">
        <v>224459</v>
      </c>
      <c r="I34" t="inlineStr"/>
    </row>
    <row r="35">
      <c r="A35" t="n">
        <v>1540</v>
      </c>
      <c r="B35" t="inlineStr">
        <is>
          <t>AGRICOLA SANCHEZ CUENCA S.C.</t>
        </is>
      </c>
      <c r="C35" t="inlineStr">
        <is>
          <t>SALUSTIANA</t>
        </is>
      </c>
      <c r="D35" t="inlineStr">
        <is>
          <t>Índice</t>
        </is>
      </c>
      <c r="E35" t="n">
        <v>0.005177783024962242</v>
      </c>
      <c r="I35" t="inlineStr"/>
    </row>
    <row r="36">
      <c r="A36" t="n">
        <v>1540</v>
      </c>
      <c r="B36" t="inlineStr">
        <is>
          <t>AGRICOLA SANCHEZ CUENCA S.C.</t>
        </is>
      </c>
      <c r="C36" t="inlineStr">
        <is>
          <t>SALUSTIANA</t>
        </is>
      </c>
      <c r="D36" t="inlineStr">
        <is>
          <t>Kg remesa</t>
        </is>
      </c>
      <c r="E36" t="n">
        <v>23480</v>
      </c>
      <c r="I36" t="inlineStr"/>
    </row>
    <row r="37">
      <c r="A37" t="n">
        <v>1540</v>
      </c>
      <c r="B37" t="inlineStr">
        <is>
          <t>AGRICOLA SANCHEZ CUENCA S.C.</t>
        </is>
      </c>
      <c r="C37" t="inlineStr">
        <is>
          <t>SALUSTIANA</t>
        </is>
      </c>
      <c r="D37" t="inlineStr">
        <is>
          <t>Cuota parcial</t>
        </is>
      </c>
      <c r="E37" t="n">
        <v>121.57</v>
      </c>
      <c r="I37" t="inlineStr"/>
    </row>
    <row r="38">
      <c r="A38" t="n">
        <v>1540</v>
      </c>
      <c r="B38" t="inlineStr">
        <is>
          <t>AGRICOLA SANCHEZ CUENCA S.C.</t>
        </is>
      </c>
      <c r="C38" t="inlineStr">
        <is>
          <t>SALUSTIANA</t>
        </is>
      </c>
      <c r="D38" t="inlineStr">
        <is>
          <t>Importe bruto</t>
        </is>
      </c>
      <c r="E38" t="n">
        <v>8167.78</v>
      </c>
      <c r="I38" t="inlineStr"/>
    </row>
    <row r="39">
      <c r="A39" t="n">
        <v>1540</v>
      </c>
      <c r="B39" t="inlineStr">
        <is>
          <t>AGRICOLA SANCHEZ CUENCA S.C.</t>
        </is>
      </c>
      <c r="C39" t="inlineStr">
        <is>
          <t>SALUSTIANA</t>
        </is>
      </c>
      <c r="D39" t="inlineStr">
        <is>
          <t>Recolección</t>
        </is>
      </c>
      <c r="E39" t="n">
        <v>1690.56</v>
      </c>
      <c r="I39" t="inlineStr"/>
    </row>
    <row r="40">
      <c r="A40" t="n">
        <v>1540</v>
      </c>
      <c r="B40" t="inlineStr">
        <is>
          <t>AGRICOLA SANCHEZ CUENCA S.C.</t>
        </is>
      </c>
      <c r="C40" t="inlineStr">
        <is>
          <t>SALUSTIANA</t>
        </is>
      </c>
      <c r="D40" t="inlineStr">
        <is>
          <t>Transporte</t>
        </is>
      </c>
      <c r="E40" t="n">
        <v>0</v>
      </c>
      <c r="I40" t="inlineStr"/>
    </row>
    <row r="41">
      <c r="A41" t="n">
        <v>1540</v>
      </c>
      <c r="B41" t="inlineStr">
        <is>
          <t>AGRICOLA SANCHEZ CUENCA S.C.</t>
        </is>
      </c>
      <c r="C41" t="inlineStr">
        <is>
          <t>SALUSTIANA</t>
        </is>
      </c>
      <c r="D41" t="inlineStr">
        <is>
          <t>Calidad</t>
        </is>
      </c>
      <c r="E41" t="n">
        <v>0</v>
      </c>
      <c r="I41" t="inlineStr"/>
    </row>
    <row r="42">
      <c r="A42" t="n">
        <v>1540</v>
      </c>
      <c r="B42" t="inlineStr">
        <is>
          <t>AGRICOLA SANCHEZ CUENCA S.C.</t>
        </is>
      </c>
      <c r="C42" t="inlineStr">
        <is>
          <t>SALUSTIANA</t>
        </is>
      </c>
      <c r="D42" t="inlineStr">
        <is>
          <t>GlobalGAP</t>
        </is>
      </c>
      <c r="E42" t="n">
        <v>316.02</v>
      </c>
      <c r="I42" t="inlineStr"/>
    </row>
    <row r="43">
      <c r="A43" t="n">
        <v>1540</v>
      </c>
      <c r="B43" t="inlineStr">
        <is>
          <t>AGRICOLA SANCHEZ CUENCA S.C.</t>
        </is>
      </c>
      <c r="C43" t="inlineStr">
        <is>
          <t>SALUSTIANA</t>
        </is>
      </c>
      <c r="D43" t="inlineStr">
        <is>
          <t>Base imponible</t>
        </is>
      </c>
      <c r="E43" t="n">
        <v>6671.67</v>
      </c>
      <c r="I43" t="inlineStr"/>
    </row>
    <row r="44">
      <c r="A44" t="n">
        <v>1540</v>
      </c>
      <c r="B44" t="inlineStr">
        <is>
          <t>AGRICOLA SANCHEZ CUENCA S.C.</t>
        </is>
      </c>
      <c r="C44" t="inlineStr">
        <is>
          <t>SALUSTIANA</t>
        </is>
      </c>
      <c r="D44" t="inlineStr">
        <is>
          <t>IVA</t>
        </is>
      </c>
      <c r="E44" t="n">
        <v>800.6</v>
      </c>
      <c r="I44" t="inlineStr"/>
    </row>
    <row r="45">
      <c r="A45" t="n">
        <v>1540</v>
      </c>
      <c r="B45" t="inlineStr">
        <is>
          <t>AGRICOLA SANCHEZ CUENCA S.C.</t>
        </is>
      </c>
      <c r="C45" t="inlineStr">
        <is>
          <t>SALUSTIANA</t>
        </is>
      </c>
      <c r="D45" t="inlineStr">
        <is>
          <t>Retención</t>
        </is>
      </c>
      <c r="E45" t="n">
        <v>149.45</v>
      </c>
      <c r="I45" t="inlineStr"/>
    </row>
    <row r="46">
      <c r="A46" t="n">
        <v>1540</v>
      </c>
      <c r="B46" t="inlineStr">
        <is>
          <t>AGRICOLA SANCHEZ CUENCA S.C.</t>
        </is>
      </c>
      <c r="C46" t="inlineStr">
        <is>
          <t>SALUSTIANA</t>
        </is>
      </c>
      <c r="D46" t="inlineStr">
        <is>
          <t>Total</t>
        </is>
      </c>
      <c r="E46" t="n">
        <v>7322.82</v>
      </c>
      <c r="I46" t="inlineStr"/>
    </row>
    <row r="47">
      <c r="A47" t="n">
        <v>1570</v>
      </c>
      <c r="B47" t="inlineStr">
        <is>
          <t>FAMILIA LOPEZ CASTILLO S.C.</t>
        </is>
      </c>
      <c r="C47" t="inlineStr">
        <is>
          <t>SALUSTIANA</t>
        </is>
      </c>
      <c r="D47" t="inlineStr">
        <is>
          <t>Hectáreas</t>
        </is>
      </c>
      <c r="E47" t="n">
        <v>1.51</v>
      </c>
      <c r="I47" t="inlineStr"/>
    </row>
    <row r="48">
      <c r="A48" t="n">
        <v>1570</v>
      </c>
      <c r="B48" t="inlineStr">
        <is>
          <t>FAMILIA LOPEZ CASTILLO S.C.</t>
        </is>
      </c>
      <c r="C48" t="inlineStr">
        <is>
          <t>SALUSTIANA</t>
        </is>
      </c>
      <c r="D48" t="inlineStr">
        <is>
          <t>Cuota teórica</t>
        </is>
      </c>
      <c r="E48" t="n">
        <v>294.45</v>
      </c>
      <c r="I48" t="inlineStr"/>
    </row>
    <row r="49">
      <c r="A49" t="n">
        <v>1570</v>
      </c>
      <c r="B49" t="inlineStr">
        <is>
          <t>FAMILIA LOPEZ CASTILLO S.C.</t>
        </is>
      </c>
      <c r="C49" t="inlineStr">
        <is>
          <t>SALUSTIANA</t>
        </is>
      </c>
      <c r="D49" t="inlineStr">
        <is>
          <t>Kg campaña</t>
        </is>
      </c>
      <c r="E49" t="n">
        <v>21640</v>
      </c>
      <c r="I49" t="inlineStr"/>
    </row>
    <row r="50">
      <c r="A50" t="n">
        <v>1570</v>
      </c>
      <c r="B50" t="inlineStr">
        <is>
          <t>FAMILIA LOPEZ CASTILLO S.C.</t>
        </is>
      </c>
      <c r="C50" t="inlineStr">
        <is>
          <t>SALUSTIANA</t>
        </is>
      </c>
      <c r="D50" t="inlineStr">
        <is>
          <t>Índice</t>
        </is>
      </c>
      <c r="E50" t="n">
        <v>0.01360674676524954</v>
      </c>
      <c r="I50" t="inlineStr"/>
    </row>
    <row r="51">
      <c r="A51" t="n">
        <v>1570</v>
      </c>
      <c r="B51" t="inlineStr">
        <is>
          <t>FAMILIA LOPEZ CASTILLO S.C.</t>
        </is>
      </c>
      <c r="C51" t="inlineStr">
        <is>
          <t>SALUSTIANA</t>
        </is>
      </c>
      <c r="D51" t="inlineStr">
        <is>
          <t>Kg remesa</t>
        </is>
      </c>
      <c r="E51" t="n">
        <v>21640</v>
      </c>
      <c r="I51" t="inlineStr"/>
    </row>
    <row r="52">
      <c r="A52" t="n">
        <v>1570</v>
      </c>
      <c r="B52" t="inlineStr">
        <is>
          <t>FAMILIA LOPEZ CASTILLO S.C.</t>
        </is>
      </c>
      <c r="C52" t="inlineStr">
        <is>
          <t>SALUSTIANA</t>
        </is>
      </c>
      <c r="D52" t="inlineStr">
        <is>
          <t>Cuota parcial</t>
        </is>
      </c>
      <c r="E52" t="n">
        <v>294.45</v>
      </c>
      <c r="I52" t="inlineStr"/>
    </row>
    <row r="53">
      <c r="A53" t="n">
        <v>1570</v>
      </c>
      <c r="B53" t="inlineStr">
        <is>
          <t>FAMILIA LOPEZ CASTILLO S.C.</t>
        </is>
      </c>
      <c r="C53" t="inlineStr">
        <is>
          <t>SALUSTIANA</t>
        </is>
      </c>
      <c r="D53" t="inlineStr">
        <is>
          <t>Importe bruto</t>
        </is>
      </c>
      <c r="E53" t="n">
        <v>7291.68</v>
      </c>
      <c r="I53" t="inlineStr"/>
    </row>
    <row r="54">
      <c r="A54" t="n">
        <v>1570</v>
      </c>
      <c r="B54" t="inlineStr">
        <is>
          <t>FAMILIA LOPEZ CASTILLO S.C.</t>
        </is>
      </c>
      <c r="C54" t="inlineStr">
        <is>
          <t>SALUSTIANA</t>
        </is>
      </c>
      <c r="D54" t="inlineStr">
        <is>
          <t>Recolección</t>
        </is>
      </c>
      <c r="E54" t="n">
        <v>1558.08</v>
      </c>
      <c r="I54" t="inlineStr"/>
    </row>
    <row r="55">
      <c r="A55" t="n">
        <v>1570</v>
      </c>
      <c r="B55" t="inlineStr">
        <is>
          <t>FAMILIA LOPEZ CASTILLO S.C.</t>
        </is>
      </c>
      <c r="C55" t="inlineStr">
        <is>
          <t>SALUSTIANA</t>
        </is>
      </c>
      <c r="D55" t="inlineStr">
        <is>
          <t>Transporte</t>
        </is>
      </c>
      <c r="E55" t="n">
        <v>0</v>
      </c>
      <c r="I55" t="inlineStr"/>
    </row>
    <row r="56">
      <c r="A56" t="n">
        <v>1570</v>
      </c>
      <c r="B56" t="inlineStr">
        <is>
          <t>FAMILIA LOPEZ CASTILLO S.C.</t>
        </is>
      </c>
      <c r="C56" t="inlineStr">
        <is>
          <t>SALUSTIANA</t>
        </is>
      </c>
      <c r="D56" t="inlineStr">
        <is>
          <t>Calidad</t>
        </is>
      </c>
      <c r="E56" t="n">
        <v>0</v>
      </c>
      <c r="I56" t="inlineStr"/>
    </row>
    <row r="57">
      <c r="A57" t="n">
        <v>1570</v>
      </c>
      <c r="B57" t="inlineStr">
        <is>
          <t>FAMILIA LOPEZ CASTILLO S.C.</t>
        </is>
      </c>
      <c r="C57" t="inlineStr">
        <is>
          <t>SALUSTIANA</t>
        </is>
      </c>
      <c r="D57" t="inlineStr">
        <is>
          <t>GlobalGAP</t>
        </is>
      </c>
      <c r="E57" t="n">
        <v>0</v>
      </c>
      <c r="I57" t="inlineStr"/>
    </row>
    <row r="58">
      <c r="A58" t="n">
        <v>1570</v>
      </c>
      <c r="B58" t="inlineStr">
        <is>
          <t>FAMILIA LOPEZ CASTILLO S.C.</t>
        </is>
      </c>
      <c r="C58" t="inlineStr">
        <is>
          <t>SALUSTIANA</t>
        </is>
      </c>
      <c r="D58" t="inlineStr">
        <is>
          <t>Base imponible</t>
        </is>
      </c>
      <c r="E58" t="n">
        <v>5439.15</v>
      </c>
      <c r="I58" t="inlineStr"/>
    </row>
    <row r="59">
      <c r="A59" t="n">
        <v>1570</v>
      </c>
      <c r="B59" t="inlineStr">
        <is>
          <t>FAMILIA LOPEZ CASTILLO S.C.</t>
        </is>
      </c>
      <c r="C59" t="inlineStr">
        <is>
          <t>SALUSTIANA</t>
        </is>
      </c>
      <c r="D59" t="inlineStr">
        <is>
          <t>IVA</t>
        </is>
      </c>
      <c r="E59" t="n">
        <v>652.7</v>
      </c>
      <c r="I59" t="inlineStr"/>
    </row>
    <row r="60">
      <c r="A60" t="n">
        <v>1570</v>
      </c>
      <c r="B60" t="inlineStr">
        <is>
          <t>FAMILIA LOPEZ CASTILLO S.C.</t>
        </is>
      </c>
      <c r="C60" t="inlineStr">
        <is>
          <t>SALUSTIANA</t>
        </is>
      </c>
      <c r="D60" t="inlineStr">
        <is>
          <t>Retención</t>
        </is>
      </c>
      <c r="E60" t="n">
        <v>121.84</v>
      </c>
      <c r="I60" t="inlineStr"/>
    </row>
    <row r="61">
      <c r="A61" t="n">
        <v>1570</v>
      </c>
      <c r="B61" t="inlineStr">
        <is>
          <t>FAMILIA LOPEZ CASTILLO S.C.</t>
        </is>
      </c>
      <c r="C61" t="inlineStr">
        <is>
          <t>SALUSTIANA</t>
        </is>
      </c>
      <c r="D61" t="inlineStr">
        <is>
          <t>Total</t>
        </is>
      </c>
      <c r="E61" t="n">
        <v>5970.01</v>
      </c>
      <c r="I61" t="inlineStr"/>
    </row>
    <row r="62">
      <c r="A62" t="n">
        <v>1582</v>
      </c>
      <c r="B62" t="inlineStr">
        <is>
          <t>IGEÑO SANCHEZ, JOSE CARLOS</t>
        </is>
      </c>
      <c r="C62" t="inlineStr">
        <is>
          <t>SALUSTIANA</t>
        </is>
      </c>
      <c r="D62" t="inlineStr">
        <is>
          <t>Hectáreas</t>
        </is>
      </c>
      <c r="E62" t="n">
        <v>5.11</v>
      </c>
      <c r="I62" t="inlineStr"/>
    </row>
    <row r="63">
      <c r="A63" t="n">
        <v>1582</v>
      </c>
      <c r="B63" t="inlineStr">
        <is>
          <t>IGEÑO SANCHEZ, JOSE CARLOS</t>
        </is>
      </c>
      <c r="C63" t="inlineStr">
        <is>
          <t>SALUSTIANA</t>
        </is>
      </c>
      <c r="D63" t="inlineStr">
        <is>
          <t>Cuota teórica</t>
        </is>
      </c>
      <c r="E63" t="n">
        <v>996.45</v>
      </c>
      <c r="I63" t="inlineStr"/>
    </row>
    <row r="64">
      <c r="A64" t="n">
        <v>1582</v>
      </c>
      <c r="B64" t="inlineStr">
        <is>
          <t>IGEÑO SANCHEZ, JOSE CARLOS</t>
        </is>
      </c>
      <c r="C64" t="inlineStr">
        <is>
          <t>SALUSTIANA</t>
        </is>
      </c>
      <c r="D64" t="inlineStr">
        <is>
          <t>Kg campaña</t>
        </is>
      </c>
      <c r="E64" t="n">
        <v>208412</v>
      </c>
      <c r="I64" t="inlineStr"/>
    </row>
    <row r="65">
      <c r="A65" t="n">
        <v>1582</v>
      </c>
      <c r="B65" t="inlineStr">
        <is>
          <t>IGEÑO SANCHEZ, JOSE CARLOS</t>
        </is>
      </c>
      <c r="C65" t="inlineStr">
        <is>
          <t>SALUSTIANA</t>
        </is>
      </c>
      <c r="D65" t="inlineStr">
        <is>
          <t>Índice</t>
        </is>
      </c>
      <c r="E65" t="n">
        <v>0.004781154636009443</v>
      </c>
      <c r="I65" t="inlineStr"/>
    </row>
    <row r="66">
      <c r="A66" t="n">
        <v>1582</v>
      </c>
      <c r="B66" t="inlineStr">
        <is>
          <t>IGEÑO SANCHEZ, JOSE CARLOS</t>
        </is>
      </c>
      <c r="C66" t="inlineStr">
        <is>
          <t>SALUSTIANA</t>
        </is>
      </c>
      <c r="D66" t="inlineStr">
        <is>
          <t>Kg remesa</t>
        </is>
      </c>
      <c r="E66" t="n">
        <v>24020</v>
      </c>
      <c r="I66" t="inlineStr"/>
    </row>
    <row r="67">
      <c r="A67" t="n">
        <v>1582</v>
      </c>
      <c r="B67" t="inlineStr">
        <is>
          <t>IGEÑO SANCHEZ, JOSE CARLOS</t>
        </is>
      </c>
      <c r="C67" t="inlineStr">
        <is>
          <t>SALUSTIANA</t>
        </is>
      </c>
      <c r="D67" t="inlineStr">
        <is>
          <t>Cuota parcial</t>
        </is>
      </c>
      <c r="E67" t="n">
        <v>114.84</v>
      </c>
      <c r="I67" t="inlineStr"/>
    </row>
    <row r="68">
      <c r="A68" t="n">
        <v>1582</v>
      </c>
      <c r="B68" t="inlineStr">
        <is>
          <t>IGEÑO SANCHEZ, JOSE CARLOS</t>
        </is>
      </c>
      <c r="C68" t="inlineStr">
        <is>
          <t>SALUSTIANA</t>
        </is>
      </c>
      <c r="D68" t="inlineStr">
        <is>
          <t>Importe bruto</t>
        </is>
      </c>
      <c r="E68" t="n">
        <v>9095.450000000001</v>
      </c>
      <c r="I68" t="inlineStr"/>
    </row>
    <row r="69">
      <c r="A69" t="n">
        <v>1582</v>
      </c>
      <c r="B69" t="inlineStr">
        <is>
          <t>IGEÑO SANCHEZ, JOSE CARLOS</t>
        </is>
      </c>
      <c r="C69" t="inlineStr">
        <is>
          <t>SALUSTIANA</t>
        </is>
      </c>
      <c r="D69" t="inlineStr">
        <is>
          <t>Recolección</t>
        </is>
      </c>
      <c r="E69" t="n">
        <v>1729.44</v>
      </c>
      <c r="I69" t="inlineStr"/>
    </row>
    <row r="70">
      <c r="A70" t="n">
        <v>1582</v>
      </c>
      <c r="B70" t="inlineStr">
        <is>
          <t>IGEÑO SANCHEZ, JOSE CARLOS</t>
        </is>
      </c>
      <c r="C70" t="inlineStr">
        <is>
          <t>SALUSTIANA</t>
        </is>
      </c>
      <c r="D70" t="inlineStr">
        <is>
          <t>Transporte</t>
        </is>
      </c>
      <c r="E70" t="n">
        <v>266.62</v>
      </c>
      <c r="I70" t="inlineStr"/>
    </row>
    <row r="71">
      <c r="A71" t="n">
        <v>1582</v>
      </c>
      <c r="B71" t="inlineStr">
        <is>
          <t>IGEÑO SANCHEZ, JOSE CARLOS</t>
        </is>
      </c>
      <c r="C71" t="inlineStr">
        <is>
          <t>SALUSTIANA</t>
        </is>
      </c>
      <c r="D71" t="inlineStr">
        <is>
          <t>Calidad</t>
        </is>
      </c>
      <c r="E71" t="n">
        <v>0</v>
      </c>
      <c r="I71" t="inlineStr"/>
    </row>
    <row r="72">
      <c r="A72" t="n">
        <v>1582</v>
      </c>
      <c r="B72" t="inlineStr">
        <is>
          <t>IGEÑO SANCHEZ, JOSE CARLOS</t>
        </is>
      </c>
      <c r="C72" t="inlineStr">
        <is>
          <t>SALUSTIANA</t>
        </is>
      </c>
      <c r="D72" t="inlineStr">
        <is>
          <t>GlobalGAP</t>
        </is>
      </c>
      <c r="E72" t="n">
        <v>374.29</v>
      </c>
      <c r="I72" t="inlineStr"/>
    </row>
    <row r="73">
      <c r="A73" t="n">
        <v>1582</v>
      </c>
      <c r="B73" t="inlineStr">
        <is>
          <t>IGEÑO SANCHEZ, JOSE CARLOS</t>
        </is>
      </c>
      <c r="C73" t="inlineStr">
        <is>
          <t>SALUSTIANA</t>
        </is>
      </c>
      <c r="D73" t="inlineStr">
        <is>
          <t>Base imponible</t>
        </is>
      </c>
      <c r="E73" t="n">
        <v>7892.08</v>
      </c>
      <c r="I73" t="inlineStr"/>
    </row>
    <row r="74">
      <c r="A74" t="n">
        <v>1582</v>
      </c>
      <c r="B74" t="inlineStr">
        <is>
          <t>IGEÑO SANCHEZ, JOSE CARLOS</t>
        </is>
      </c>
      <c r="C74" t="inlineStr">
        <is>
          <t>SALUSTIANA</t>
        </is>
      </c>
      <c r="D74" t="inlineStr">
        <is>
          <t>IVA</t>
        </is>
      </c>
      <c r="E74" t="n">
        <v>947.05</v>
      </c>
      <c r="I74" t="inlineStr"/>
    </row>
    <row r="75">
      <c r="A75" t="n">
        <v>1582</v>
      </c>
      <c r="B75" t="inlineStr">
        <is>
          <t>IGEÑO SANCHEZ, JOSE CARLOS</t>
        </is>
      </c>
      <c r="C75" t="inlineStr">
        <is>
          <t>SALUSTIANA</t>
        </is>
      </c>
      <c r="D75" t="inlineStr">
        <is>
          <t>Retención</t>
        </is>
      </c>
      <c r="E75" t="n">
        <v>176.78</v>
      </c>
      <c r="I75" t="inlineStr"/>
    </row>
    <row r="76">
      <c r="A76" t="n">
        <v>1582</v>
      </c>
      <c r="B76" t="inlineStr">
        <is>
          <t>IGEÑO SANCHEZ, JOSE CARLOS</t>
        </is>
      </c>
      <c r="C76" t="inlineStr">
        <is>
          <t>SALUSTIANA</t>
        </is>
      </c>
      <c r="D76" t="inlineStr">
        <is>
          <t>Total</t>
        </is>
      </c>
      <c r="E76" t="n">
        <v>8662.35</v>
      </c>
      <c r="I76" t="inlineStr"/>
    </row>
    <row r="77">
      <c r="A77" t="n">
        <v>1585</v>
      </c>
      <c r="B77" t="inlineStr">
        <is>
          <t>CESPEDES AGUILAR, PATRICIA</t>
        </is>
      </c>
      <c r="C77" t="inlineStr">
        <is>
          <t>SALUSTIANA</t>
        </is>
      </c>
      <c r="D77" t="inlineStr">
        <is>
          <t>Hectáreas</t>
        </is>
      </c>
      <c r="E77" t="n">
        <v>8.34</v>
      </c>
      <c r="I77" t="inlineStr"/>
    </row>
    <row r="78">
      <c r="A78" t="n">
        <v>1585</v>
      </c>
      <c r="B78" t="inlineStr">
        <is>
          <t>CESPEDES AGUILAR, PATRICIA</t>
        </is>
      </c>
      <c r="C78" t="inlineStr">
        <is>
          <t>SALUSTIANA</t>
        </is>
      </c>
      <c r="D78" t="inlineStr">
        <is>
          <t>Cuota teórica</t>
        </is>
      </c>
      <c r="E78" t="n">
        <v>1626.3</v>
      </c>
      <c r="I78" t="inlineStr"/>
    </row>
    <row r="79">
      <c r="A79" t="n">
        <v>1585</v>
      </c>
      <c r="B79" t="inlineStr">
        <is>
          <t>CESPEDES AGUILAR, PATRICIA</t>
        </is>
      </c>
      <c r="C79" t="inlineStr">
        <is>
          <t>SALUSTIANA</t>
        </is>
      </c>
      <c r="D79" t="inlineStr">
        <is>
          <t>Kg campaña</t>
        </is>
      </c>
      <c r="E79" t="n">
        <v>241627</v>
      </c>
      <c r="I79" t="inlineStr"/>
    </row>
    <row r="80">
      <c r="A80" t="n">
        <v>1585</v>
      </c>
      <c r="B80" t="inlineStr">
        <is>
          <t>CESPEDES AGUILAR, PATRICIA</t>
        </is>
      </c>
      <c r="C80" t="inlineStr">
        <is>
          <t>SALUSTIANA</t>
        </is>
      </c>
      <c r="D80" t="inlineStr">
        <is>
          <t>Índice</t>
        </is>
      </c>
      <c r="E80" t="n">
        <v>0.006730621991747611</v>
      </c>
      <c r="I80" t="inlineStr"/>
    </row>
    <row r="81">
      <c r="A81" t="n">
        <v>1585</v>
      </c>
      <c r="B81" t="inlineStr">
        <is>
          <t>CESPEDES AGUILAR, PATRICIA</t>
        </is>
      </c>
      <c r="C81" t="inlineStr">
        <is>
          <t>SALUSTIANA</t>
        </is>
      </c>
      <c r="D81" t="inlineStr">
        <is>
          <t>Kg remesa</t>
        </is>
      </c>
      <c r="E81" t="n">
        <v>21133</v>
      </c>
      <c r="I81" t="inlineStr"/>
    </row>
    <row r="82">
      <c r="A82" t="n">
        <v>1585</v>
      </c>
      <c r="B82" t="inlineStr">
        <is>
          <t>CESPEDES AGUILAR, PATRICIA</t>
        </is>
      </c>
      <c r="C82" t="inlineStr">
        <is>
          <t>SALUSTIANA</t>
        </is>
      </c>
      <c r="D82" t="inlineStr">
        <is>
          <t>Cuota parcial</t>
        </is>
      </c>
      <c r="E82" t="n">
        <v>142.24</v>
      </c>
      <c r="I82" t="inlineStr"/>
    </row>
    <row r="83">
      <c r="A83" t="n">
        <v>1585</v>
      </c>
      <c r="B83" t="inlineStr">
        <is>
          <t>CESPEDES AGUILAR, PATRICIA</t>
        </is>
      </c>
      <c r="C83" t="inlineStr">
        <is>
          <t>SALUSTIANA</t>
        </is>
      </c>
      <c r="D83" t="inlineStr">
        <is>
          <t>Importe bruto</t>
        </is>
      </c>
      <c r="E83" t="n">
        <v>7130.43</v>
      </c>
      <c r="I83" t="inlineStr"/>
    </row>
    <row r="84">
      <c r="A84" t="n">
        <v>1585</v>
      </c>
      <c r="B84" t="inlineStr">
        <is>
          <t>CESPEDES AGUILAR, PATRICIA</t>
        </is>
      </c>
      <c r="C84" t="inlineStr">
        <is>
          <t>SALUSTIANA</t>
        </is>
      </c>
      <c r="D84" t="inlineStr">
        <is>
          <t>Recolección</t>
        </is>
      </c>
      <c r="E84" t="n">
        <v>1521.58</v>
      </c>
      <c r="I84" t="inlineStr"/>
    </row>
    <row r="85">
      <c r="A85" t="n">
        <v>1585</v>
      </c>
      <c r="B85" t="inlineStr">
        <is>
          <t>CESPEDES AGUILAR, PATRICIA</t>
        </is>
      </c>
      <c r="C85" t="inlineStr">
        <is>
          <t>SALUSTIANA</t>
        </is>
      </c>
      <c r="D85" t="inlineStr">
        <is>
          <t>Transporte</t>
        </is>
      </c>
      <c r="E85" t="n">
        <v>0</v>
      </c>
      <c r="I85" t="inlineStr"/>
    </row>
    <row r="86">
      <c r="A86" t="n">
        <v>1585</v>
      </c>
      <c r="B86" t="inlineStr">
        <is>
          <t>CESPEDES AGUILAR, PATRICIA</t>
        </is>
      </c>
      <c r="C86" t="inlineStr">
        <is>
          <t>SALUSTIANA</t>
        </is>
      </c>
      <c r="D86" t="inlineStr">
        <is>
          <t>Calidad</t>
        </is>
      </c>
      <c r="E86" t="n">
        <v>0</v>
      </c>
      <c r="I86" t="inlineStr"/>
    </row>
    <row r="87">
      <c r="A87" t="n">
        <v>1585</v>
      </c>
      <c r="B87" t="inlineStr">
        <is>
          <t>CESPEDES AGUILAR, PATRICIA</t>
        </is>
      </c>
      <c r="C87" t="inlineStr">
        <is>
          <t>SALUSTIANA</t>
        </is>
      </c>
      <c r="D87" t="inlineStr">
        <is>
          <t>GlobalGAP</t>
        </is>
      </c>
      <c r="E87" t="n">
        <v>276.57</v>
      </c>
      <c r="I87" t="inlineStr"/>
    </row>
    <row r="88">
      <c r="A88" t="n">
        <v>1585</v>
      </c>
      <c r="B88" t="inlineStr">
        <is>
          <t>CESPEDES AGUILAR, PATRICIA</t>
        </is>
      </c>
      <c r="C88" t="inlineStr">
        <is>
          <t>SALUSTIANA</t>
        </is>
      </c>
      <c r="D88" t="inlineStr">
        <is>
          <t>Base imponible</t>
        </is>
      </c>
      <c r="E88" t="n">
        <v>5743.18</v>
      </c>
      <c r="I88" t="inlineStr"/>
    </row>
    <row r="89">
      <c r="A89" t="n">
        <v>1585</v>
      </c>
      <c r="B89" t="inlineStr">
        <is>
          <t>CESPEDES AGUILAR, PATRICIA</t>
        </is>
      </c>
      <c r="C89" t="inlineStr">
        <is>
          <t>SALUSTIANA</t>
        </is>
      </c>
      <c r="D89" t="inlineStr">
        <is>
          <t>IVA</t>
        </is>
      </c>
      <c r="E89" t="n">
        <v>689.1799999999999</v>
      </c>
      <c r="I89" t="inlineStr"/>
    </row>
    <row r="90">
      <c r="A90" t="n">
        <v>1585</v>
      </c>
      <c r="B90" t="inlineStr">
        <is>
          <t>CESPEDES AGUILAR, PATRICIA</t>
        </is>
      </c>
      <c r="C90" t="inlineStr">
        <is>
          <t>SALUSTIANA</t>
        </is>
      </c>
      <c r="D90" t="inlineStr">
        <is>
          <t>Retención</t>
        </is>
      </c>
      <c r="E90" t="n">
        <v>128.65</v>
      </c>
      <c r="I90" t="inlineStr"/>
    </row>
    <row r="91">
      <c r="A91" t="n">
        <v>1585</v>
      </c>
      <c r="B91" t="inlineStr">
        <is>
          <t>CESPEDES AGUILAR, PATRICIA</t>
        </is>
      </c>
      <c r="C91" t="inlineStr">
        <is>
          <t>SALUSTIANA</t>
        </is>
      </c>
      <c r="D91" t="inlineStr">
        <is>
          <t>Total</t>
        </is>
      </c>
      <c r="E91" t="n">
        <v>6303.71</v>
      </c>
      <c r="I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2026-07-28T15:51:17Z</dcterms:created>
  <dcterms:modified xmlns:dcterms="http://purl.org/dc/terms/" xmlns:xsi="http://www.w3.org/2001/XMLSchema-instance" xsi:type="dcterms:W3CDTF">2026-07-28T15:51:17Z</dcterms:modified>
</cp:coreProperties>
</file>