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Detalle ajustes" sheetId="2" state="visible" r:id="rId2"/>
    <sheet xmlns:r="http://schemas.openxmlformats.org/officeDocument/2006/relationships" name="02_Parcelas" sheetId="3" state="visible" r:id="rId3"/>
    <sheet xmlns:r="http://schemas.openxmlformats.org/officeDocument/2006/relationships" name="04_CuotaHa" sheetId="4" state="visible" r:id="rId4"/>
    <sheet xmlns:r="http://schemas.openxmlformats.org/officeDocument/2006/relationships" name="Auditoría GlobalGAP" sheetId="5" state="visible" r:id="rId5"/>
    <sheet xmlns:r="http://schemas.openxmlformats.org/officeDocument/2006/relationships" name="Auditoría variedades" sheetId="6" state="visible" r:id="rId6"/>
    <sheet xmlns:r="http://schemas.openxmlformats.org/officeDocument/2006/relationships" name="Auditoría económica" sheetId="7" state="visible" r:id="rId7"/>
    <sheet xmlns:r="http://schemas.openxmlformats.org/officeDocument/2006/relationships" name="Auditoría fiscal" sheetId="8" state="visible" r:id="rId8"/>
    <sheet xmlns:r="http://schemas.openxmlformats.org/officeDocument/2006/relationships" name="Auditoría cuota Ha" sheetId="9" state="visible" r:id="rId9"/>
    <sheet xmlns:r="http://schemas.openxmlformats.org/officeDocument/2006/relationships" name="Parcelas cuota Ha" sheetId="10" state="visible" r:id="rId10"/>
    <sheet xmlns:r="http://schemas.openxmlformats.org/officeDocument/2006/relationships" name="Entregas prorrateo cuota Ha" sheetId="11" state="visible" r:id="rId11"/>
    <sheet xmlns:r="http://schemas.openxmlformats.org/officeDocument/2006/relationships" name="Comparación Perceco" sheetId="12" state="visible" r:id="rId12"/>
  </sheets>
  <definedNames>
    <definedName name="_xlnm._FilterDatabase" localSheetId="0" hidden="1">'Resumen'!$A$1:$U$36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;-#,##0;-"/>
    <numFmt numFmtId="165" formatCode="#,##0.00;-#,##0.00;-"/>
    <numFmt numFmtId="166" formatCode="0.00000000;-0.00000000;-"/>
    <numFmt numFmtId="167" formatCode="0&quot;%&quot;"/>
    <numFmt numFmtId="168" formatCode="0.00;-0.00;-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166" fontId="0" fillId="0" borderId="0" applyAlignment="1" pivotButton="0" quotePrefix="0" xfId="0">
      <alignment vertical="center"/>
    </xf>
    <xf numFmtId="167" fontId="0" fillId="0" borderId="0" applyAlignment="1" pivotButton="0" quotePrefix="0" xfId="0">
      <alignment vertical="center"/>
    </xf>
    <xf numFmtId="168" fontId="0" fillId="0" borderId="0" applyAlignment="1" pivotButton="0" quotePrefix="0" xfId="0">
      <alignment vertical="center"/>
    </xf>
    <xf numFmtId="164" fontId="1" fillId="0" borderId="1" applyAlignment="1" pivotButton="0" quotePrefix="0" xfId="0">
      <alignment vertical="center"/>
    </xf>
    <xf numFmtId="0" fontId="1" fillId="0" borderId="1" applyAlignment="1" pivotButton="0" quotePrefix="0" xfId="0">
      <alignment vertical="center"/>
    </xf>
    <xf numFmtId="165" fontId="1" fillId="0" borderId="1" applyAlignment="1" pivotButton="0" quotePrefix="0" xfId="0">
      <alignment vertical="center"/>
    </xf>
    <xf numFmtId="166" fontId="1" fillId="0" borderId="1" applyAlignment="1" pivotButton="0" quotePrefix="0" xfId="0">
      <alignment vertical="center"/>
    </xf>
    <xf numFmtId="167" fontId="1" fillId="0" borderId="1" applyAlignment="1" pivotButton="0" quotePrefix="0" xfId="0">
      <alignment vertical="center"/>
    </xf>
    <xf numFmtId="168" fontId="1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5" customWidth="1" min="2" max="2"/>
    <col width="18" customWidth="1" min="3" max="3"/>
    <col width="14" customWidth="1" min="4" max="4"/>
    <col width="15" customWidth="1" min="5" max="5"/>
    <col width="1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7" customWidth="1" min="12" max="12"/>
    <col width="12" customWidth="1" min="13" max="13"/>
    <col width="10" customWidth="1" min="14" max="14"/>
    <col width="10" customWidth="1" min="15" max="15"/>
    <col width="17" customWidth="1" min="16" max="16"/>
    <col width="32" customWidth="1" min="17" max="17"/>
    <col width="16" customWidth="1" min="18" max="18"/>
    <col width="24" customWidth="1" min="19" max="19"/>
    <col width="23" customWidth="1" min="20" max="20"/>
    <col width="24" customWidth="1" min="21" max="21"/>
  </cols>
  <sheetData>
    <row r="1">
      <c r="A1" s="1" t="inlineStr">
        <is>
          <t>Nº Socio</t>
        </is>
      </c>
      <c r="B1" s="1" t="inlineStr">
        <is>
          <t>Socio</t>
        </is>
      </c>
      <c r="C1" s="1" t="inlineStr">
        <is>
          <t>Variedad</t>
        </is>
      </c>
      <c r="D1" s="1" t="inlineStr">
        <is>
          <t>Neto</t>
        </is>
      </c>
      <c r="E1" s="1" t="inlineStr">
        <is>
          <t>I. Bruto</t>
        </is>
      </c>
      <c r="F1" s="1" t="inlineStr">
        <is>
          <t>P. Comer.</t>
        </is>
      </c>
      <c r="G1" s="1" t="inlineStr">
        <is>
          <t>Recolec.</t>
        </is>
      </c>
      <c r="H1" s="1" t="inlineStr">
        <is>
          <t>C. Has.</t>
        </is>
      </c>
      <c r="I1" s="1" t="inlineStr">
        <is>
          <t>B/P Cal.</t>
        </is>
      </c>
      <c r="J1" s="1" t="inlineStr">
        <is>
          <t>B. Trans.</t>
        </is>
      </c>
      <c r="K1" s="1" t="inlineStr">
        <is>
          <t>B. Glob.</t>
        </is>
      </c>
      <c r="L1" s="1" t="inlineStr">
        <is>
          <t>Base Imponible</t>
        </is>
      </c>
      <c r="M1" s="1" t="inlineStr">
        <is>
          <t>P.Medio</t>
        </is>
      </c>
      <c r="N1" s="1" t="inlineStr">
        <is>
          <t>I.V.A</t>
        </is>
      </c>
      <c r="O1" s="1" t="inlineStr">
        <is>
          <t>Ret.</t>
        </is>
      </c>
      <c r="P1" s="1" t="inlineStr">
        <is>
          <t>Importe Total.</t>
        </is>
      </c>
      <c r="Q1" s="1" t="inlineStr">
        <is>
          <t>Concepto Liquidación</t>
        </is>
      </c>
      <c r="R1" s="1" t="inlineStr">
        <is>
          <t>Cultivo</t>
        </is>
      </c>
      <c r="S1" s="1" t="inlineStr">
        <is>
          <t>Com. Recol. (Pts/kg)(&lt;11,65)</t>
        </is>
      </c>
      <c r="T1" s="1" t="inlineStr">
        <is>
          <t>Com. Global (Pts/kg)(&lt;2)</t>
        </is>
      </c>
      <c r="U1" s="1" t="inlineStr">
        <is>
          <t>Com. Trans. (Pts/kg) (&lt;1,7)</t>
        </is>
      </c>
    </row>
    <row r="2">
      <c r="A2" s="2" t="n">
        <v>869</v>
      </c>
      <c r="B2" s="3" t="inlineStr">
        <is>
          <t>IGEÑO LUQUE,JOSE</t>
        </is>
      </c>
      <c r="C2" s="3" t="inlineStr">
        <is>
          <t>SALUSTIANA</t>
        </is>
      </c>
      <c r="D2" s="2" t="n">
        <v>34508</v>
      </c>
      <c r="E2" s="4" t="n">
        <v>13200.56</v>
      </c>
      <c r="F2" s="5" t="n">
        <v>0.3825362234844094</v>
      </c>
      <c r="G2" s="4" t="n">
        <v>2476.51</v>
      </c>
      <c r="H2" s="4" t="n">
        <v>179.4</v>
      </c>
      <c r="I2" s="4" t="n">
        <v>0</v>
      </c>
      <c r="J2" s="4" t="n">
        <v>383.04</v>
      </c>
      <c r="K2" s="4" t="n">
        <v>0</v>
      </c>
      <c r="L2" s="4" t="n">
        <v>10927.69</v>
      </c>
      <c r="M2" s="5" t="n">
        <v>0.34758</v>
      </c>
      <c r="N2" s="6" t="n">
        <v>12</v>
      </c>
      <c r="O2" s="6" t="n">
        <v>2</v>
      </c>
      <c r="P2" s="4" t="n">
        <v>11994.23</v>
      </c>
      <c r="Q2" s="3" t="inlineStr">
        <is>
          <t>BLANCA TEMPRANA sem 4 y +</t>
        </is>
      </c>
      <c r="R2" s="3" t="inlineStr">
        <is>
          <t>CITRICOS</t>
        </is>
      </c>
      <c r="S2" s="7">
        <f>IFERROR(166.386*G2/D2,0)</f>
        <v/>
      </c>
      <c r="T2" s="7">
        <f>IFERROR(166.386*K2/D2,0)</f>
        <v/>
      </c>
      <c r="U2" s="7">
        <f>IFERROR(166.386*J2/D2,0)</f>
        <v/>
      </c>
    </row>
    <row r="3">
      <c r="A3" s="2" t="n">
        <v>883</v>
      </c>
      <c r="B3" s="3" t="inlineStr">
        <is>
          <t>TORO SANCHEZ,TERESA</t>
        </is>
      </c>
      <c r="C3" s="3" t="inlineStr">
        <is>
          <t>SALUSTIANA</t>
        </is>
      </c>
      <c r="D3" s="2" t="n">
        <v>140757</v>
      </c>
      <c r="E3" s="4" t="n">
        <v>50393.77</v>
      </c>
      <c r="F3" s="5" t="n">
        <v>0.3580196366788153</v>
      </c>
      <c r="G3" s="4" t="n">
        <v>10134.51</v>
      </c>
      <c r="H3" s="4" t="n">
        <v>1036.55</v>
      </c>
      <c r="I3" s="4" t="n">
        <v>0</v>
      </c>
      <c r="J3" s="4" t="n">
        <v>0</v>
      </c>
      <c r="K3" s="4" t="n">
        <v>2116.51</v>
      </c>
      <c r="L3" s="4" t="n">
        <v>41339.22</v>
      </c>
      <c r="M3" s="5" t="n">
        <v>0.32236</v>
      </c>
      <c r="N3" s="6" t="n">
        <v>12</v>
      </c>
      <c r="O3" s="6" t="n">
        <v>2</v>
      </c>
      <c r="P3" s="4" t="n">
        <v>45373.93</v>
      </c>
      <c r="Q3" s="3" t="inlineStr">
        <is>
          <t>BLANCA TEMPRANA sem 4 y +</t>
        </is>
      </c>
      <c r="R3" s="3" t="inlineStr">
        <is>
          <t>CITRICOS</t>
        </is>
      </c>
      <c r="S3" s="7">
        <f>IFERROR(166.386*G3/D3,0)</f>
        <v/>
      </c>
      <c r="T3" s="7">
        <f>IFERROR(166.386*K3/D3,0)</f>
        <v/>
      </c>
      <c r="U3" s="7">
        <f>IFERROR(166.386*J3/D3,0)</f>
        <v/>
      </c>
    </row>
    <row r="4">
      <c r="A4" s="2" t="n">
        <v>937</v>
      </c>
      <c r="B4" s="3" t="inlineStr">
        <is>
          <t>GALVEZ MACIAS,FRANCISCO</t>
        </is>
      </c>
      <c r="C4" s="3" t="inlineStr">
        <is>
          <t>SALUSTIANA</t>
        </is>
      </c>
      <c r="D4" s="2" t="n">
        <v>211701</v>
      </c>
      <c r="E4" s="4" t="n">
        <v>71010.71000000001</v>
      </c>
      <c r="F4" s="5" t="n">
        <v>0.3354292610804862</v>
      </c>
      <c r="G4" s="4" t="n">
        <v>13504.39</v>
      </c>
      <c r="H4" s="4" t="n">
        <v>1730.23</v>
      </c>
      <c r="I4" s="4" t="n">
        <v>0</v>
      </c>
      <c r="J4" s="4" t="n">
        <v>0</v>
      </c>
      <c r="K4" s="4" t="n">
        <v>2836.23</v>
      </c>
      <c r="L4" s="4" t="n">
        <v>58612.32</v>
      </c>
      <c r="M4" s="5" t="n">
        <v>0.30389</v>
      </c>
      <c r="N4" s="6" t="n">
        <v>12</v>
      </c>
      <c r="O4" s="6" t="n">
        <v>2</v>
      </c>
      <c r="P4" s="4" t="n">
        <v>64332.88</v>
      </c>
      <c r="Q4" s="3" t="inlineStr">
        <is>
          <t>BLANCA TEMPRANA sem 4 y +</t>
        </is>
      </c>
      <c r="R4" s="3" t="inlineStr">
        <is>
          <t>CITRICOS</t>
        </is>
      </c>
      <c r="S4" s="7">
        <f>IFERROR(166.386*G4/D4,0)</f>
        <v/>
      </c>
      <c r="T4" s="7">
        <f>IFERROR(166.386*K4/D4,0)</f>
        <v/>
      </c>
      <c r="U4" s="7">
        <f>IFERROR(166.386*J4/D4,0)</f>
        <v/>
      </c>
    </row>
    <row r="5">
      <c r="A5" s="2" t="n">
        <v>1072</v>
      </c>
      <c r="B5" s="3" t="inlineStr">
        <is>
          <t>GARCIA DELGADO,JUAN MANUEL</t>
        </is>
      </c>
      <c r="C5" s="3" t="inlineStr">
        <is>
          <t>SALUSTIANA</t>
        </is>
      </c>
      <c r="D5" s="2" t="n">
        <v>11898</v>
      </c>
      <c r="E5" s="4" t="n">
        <v>4208.14</v>
      </c>
      <c r="F5" s="5" t="n">
        <v>0.3536846528828375</v>
      </c>
      <c r="G5" s="4" t="n">
        <v>856.66</v>
      </c>
      <c r="H5" s="4" t="n">
        <v>177.24</v>
      </c>
      <c r="I5" s="4" t="n">
        <v>0</v>
      </c>
      <c r="J5" s="4" t="n">
        <v>0</v>
      </c>
      <c r="K5" s="4" t="n">
        <v>0</v>
      </c>
      <c r="L5" s="4" t="n">
        <v>3174.24</v>
      </c>
      <c r="M5" s="5" t="n">
        <v>0.29283</v>
      </c>
      <c r="N5" s="6" t="n">
        <v>12</v>
      </c>
      <c r="O5" s="6" t="n">
        <v>2</v>
      </c>
      <c r="P5" s="4" t="n">
        <v>3484.05</v>
      </c>
      <c r="Q5" s="3" t="inlineStr">
        <is>
          <t>BLANCA TEMPRANA sem 4 y +</t>
        </is>
      </c>
      <c r="R5" s="3" t="inlineStr">
        <is>
          <t>CITRICOS</t>
        </is>
      </c>
      <c r="S5" s="7">
        <f>IFERROR(166.386*G5/D5,0)</f>
        <v/>
      </c>
      <c r="T5" s="7">
        <f>IFERROR(166.386*K5/D5,0)</f>
        <v/>
      </c>
      <c r="U5" s="7">
        <f>IFERROR(166.386*J5/D5,0)</f>
        <v/>
      </c>
    </row>
    <row r="6">
      <c r="A6" s="2" t="n">
        <v>1128</v>
      </c>
      <c r="B6" s="3" t="inlineStr">
        <is>
          <t>CARRILLO PEÑALVER,JOSE</t>
        </is>
      </c>
      <c r="C6" s="3" t="inlineStr">
        <is>
          <t>SALUSTIANA</t>
        </is>
      </c>
      <c r="D6" s="2" t="n">
        <v>20913</v>
      </c>
      <c r="E6" s="4" t="n">
        <v>8189</v>
      </c>
      <c r="F6" s="5" t="n">
        <v>0.3915746186582508</v>
      </c>
      <c r="G6" s="4" t="n">
        <v>0</v>
      </c>
      <c r="H6" s="4" t="n">
        <v>368.9</v>
      </c>
      <c r="I6" s="4" t="n">
        <v>0</v>
      </c>
      <c r="J6" s="4" t="n">
        <v>194.67</v>
      </c>
      <c r="K6" s="4" t="n">
        <v>0</v>
      </c>
      <c r="L6" s="4" t="n">
        <v>8014.77</v>
      </c>
      <c r="M6" s="5" t="n">
        <v>0.42065</v>
      </c>
      <c r="N6" s="6" t="n">
        <v>12</v>
      </c>
      <c r="O6" s="6" t="n">
        <v>2</v>
      </c>
      <c r="P6" s="4" t="n">
        <v>8797.01</v>
      </c>
      <c r="Q6" s="3" t="inlineStr">
        <is>
          <t>BLANCA TEMPRANA sem 4 y +</t>
        </is>
      </c>
      <c r="R6" s="3" t="inlineStr">
        <is>
          <t>CITRICOS</t>
        </is>
      </c>
      <c r="S6" s="7">
        <f>IFERROR(166.386*G6/D6,0)</f>
        <v/>
      </c>
      <c r="T6" s="7">
        <f>IFERROR(166.386*K6/D6,0)</f>
        <v/>
      </c>
      <c r="U6" s="7">
        <f>IFERROR(166.386*J6/D6,0)</f>
        <v/>
      </c>
    </row>
    <row r="7">
      <c r="A7" s="2" t="n">
        <v>1133</v>
      </c>
      <c r="B7" s="3" t="inlineStr">
        <is>
          <t>MAYFE S.C.</t>
        </is>
      </c>
      <c r="C7" s="3" t="inlineStr">
        <is>
          <t>SALUSTIANA</t>
        </is>
      </c>
      <c r="D7" s="2" t="n">
        <v>69429</v>
      </c>
      <c r="E7" s="4" t="n">
        <v>23375.98</v>
      </c>
      <c r="F7" s="5" t="n">
        <v>0.3366889916317389</v>
      </c>
      <c r="G7" s="4" t="n">
        <v>4998.89</v>
      </c>
      <c r="H7" s="4" t="n">
        <v>659.6</v>
      </c>
      <c r="I7" s="4" t="n">
        <v>0</v>
      </c>
      <c r="J7" s="4" t="n">
        <v>0</v>
      </c>
      <c r="K7" s="4" t="n">
        <v>0</v>
      </c>
      <c r="L7" s="4" t="n">
        <v>17717.49</v>
      </c>
      <c r="M7" s="5" t="n">
        <v>0.2801</v>
      </c>
      <c r="N7" s="6" t="n">
        <v>12</v>
      </c>
      <c r="O7" s="6" t="n">
        <v>2</v>
      </c>
      <c r="P7" s="4" t="n">
        <v>19446.72</v>
      </c>
      <c r="Q7" s="3" t="inlineStr">
        <is>
          <t>BLANCA TEMPRANA sem 4 y +</t>
        </is>
      </c>
      <c r="R7" s="3" t="inlineStr">
        <is>
          <t>CITRICOS</t>
        </is>
      </c>
      <c r="S7" s="7">
        <f>IFERROR(166.386*G7/D7,0)</f>
        <v/>
      </c>
      <c r="T7" s="7">
        <f>IFERROR(166.386*K7/D7,0)</f>
        <v/>
      </c>
      <c r="U7" s="7">
        <f>IFERROR(166.386*J7/D7,0)</f>
        <v/>
      </c>
    </row>
    <row r="8">
      <c r="A8" s="2" t="n">
        <v>1178</v>
      </c>
      <c r="B8" s="3" t="inlineStr">
        <is>
          <t>CALZADO GARCIA,FRANCISCO JAVIER</t>
        </is>
      </c>
      <c r="C8" s="3" t="inlineStr">
        <is>
          <t>SALUSTIANA</t>
        </is>
      </c>
      <c r="D8" s="2" t="n">
        <v>73741</v>
      </c>
      <c r="E8" s="4" t="n">
        <v>27580.1</v>
      </c>
      <c r="F8" s="5" t="n">
        <v>0.3740130999037171</v>
      </c>
      <c r="G8" s="4" t="n">
        <v>5309.36</v>
      </c>
      <c r="H8" s="4" t="n">
        <v>908.01</v>
      </c>
      <c r="I8" s="4" t="n">
        <v>0</v>
      </c>
      <c r="J8" s="4" t="n">
        <v>0</v>
      </c>
      <c r="K8" s="4" t="n">
        <v>1175.79</v>
      </c>
      <c r="L8" s="4" t="n">
        <v>22538.52</v>
      </c>
      <c r="M8" s="5" t="n">
        <v>0.33548</v>
      </c>
      <c r="N8" s="6" t="n">
        <v>12</v>
      </c>
      <c r="O8" s="6" t="n">
        <v>2</v>
      </c>
      <c r="P8" s="4" t="n">
        <v>24738.28</v>
      </c>
      <c r="Q8" s="3" t="inlineStr">
        <is>
          <t>BLANCA TEMPRANA sem 4 y +</t>
        </is>
      </c>
      <c r="R8" s="3" t="inlineStr">
        <is>
          <t>CITRICOS</t>
        </is>
      </c>
      <c r="S8" s="7">
        <f>IFERROR(166.386*G8/D8,0)</f>
        <v/>
      </c>
      <c r="T8" s="7">
        <f>IFERROR(166.386*K8/D8,0)</f>
        <v/>
      </c>
      <c r="U8" s="7">
        <f>IFERROR(166.386*J8/D8,0)</f>
        <v/>
      </c>
    </row>
    <row r="9">
      <c r="A9" s="2" t="n">
        <v>1202</v>
      </c>
      <c r="B9" s="3" t="inlineStr">
        <is>
          <t>FUENTES HINOJOSA,MANUEL</t>
        </is>
      </c>
      <c r="C9" s="3" t="inlineStr">
        <is>
          <t>SALUSTIANA</t>
        </is>
      </c>
      <c r="D9" s="2" t="n">
        <v>30834</v>
      </c>
      <c r="E9" s="4" t="n">
        <v>11947.03</v>
      </c>
      <c r="F9" s="5" t="n">
        <v>0.3874628656677693</v>
      </c>
      <c r="G9" s="4" t="n">
        <v>2220.05</v>
      </c>
      <c r="H9" s="4" t="n">
        <v>457.66</v>
      </c>
      <c r="I9" s="4" t="n">
        <v>0</v>
      </c>
      <c r="J9" s="4" t="n">
        <v>0</v>
      </c>
      <c r="K9" s="4" t="n">
        <v>0</v>
      </c>
      <c r="L9" s="4" t="n">
        <v>9269.32</v>
      </c>
      <c r="M9" s="5" t="n">
        <v>0.32996</v>
      </c>
      <c r="N9" s="6" t="n">
        <v>12</v>
      </c>
      <c r="O9" s="6" t="n">
        <v>2</v>
      </c>
      <c r="P9" s="4" t="n">
        <v>10174.01</v>
      </c>
      <c r="Q9" s="3" t="inlineStr">
        <is>
          <t>BLANCA TEMPRANA sem 4 y +</t>
        </is>
      </c>
      <c r="R9" s="3" t="inlineStr">
        <is>
          <t>CITRICOS</t>
        </is>
      </c>
      <c r="S9" s="7">
        <f>IFERROR(166.386*G9/D9,0)</f>
        <v/>
      </c>
      <c r="T9" s="7">
        <f>IFERROR(166.386*K9/D9,0)</f>
        <v/>
      </c>
      <c r="U9" s="7">
        <f>IFERROR(166.386*J9/D9,0)</f>
        <v/>
      </c>
    </row>
    <row r="10">
      <c r="A10" s="2" t="n">
        <v>1219</v>
      </c>
      <c r="B10" s="3" t="inlineStr">
        <is>
          <t>LORA BUIZA,GREGORIO</t>
        </is>
      </c>
      <c r="C10" s="3" t="inlineStr">
        <is>
          <t>SALUSTIANA</t>
        </is>
      </c>
      <c r="D10" s="2" t="n">
        <v>3679</v>
      </c>
      <c r="E10" s="4" t="n">
        <v>1259.38</v>
      </c>
      <c r="F10" s="5" t="n">
        <v>0.3423158466974721</v>
      </c>
      <c r="G10" s="4" t="n">
        <v>264.89</v>
      </c>
      <c r="H10" s="4" t="n">
        <v>27.62</v>
      </c>
      <c r="I10" s="4" t="n">
        <v>0</v>
      </c>
      <c r="J10" s="4" t="n">
        <v>0</v>
      </c>
      <c r="K10" s="4" t="n">
        <v>0</v>
      </c>
      <c r="L10" s="4" t="n">
        <v>966.87</v>
      </c>
      <c r="M10" s="5" t="n">
        <v>0.28846</v>
      </c>
      <c r="N10" s="6" t="n">
        <v>12</v>
      </c>
      <c r="O10" s="6" t="n">
        <v>2</v>
      </c>
      <c r="P10" s="4" t="n">
        <v>1061.24</v>
      </c>
      <c r="Q10" s="3" t="inlineStr">
        <is>
          <t>BLANCA TEMPRANA sem 4 y +</t>
        </is>
      </c>
      <c r="R10" s="3" t="inlineStr">
        <is>
          <t>CITRICOS</t>
        </is>
      </c>
      <c r="S10" s="7">
        <f>IFERROR(166.386*G10/D10,0)</f>
        <v/>
      </c>
      <c r="T10" s="7">
        <f>IFERROR(166.386*K10/D10,0)</f>
        <v/>
      </c>
      <c r="U10" s="7">
        <f>IFERROR(166.386*J10/D10,0)</f>
        <v/>
      </c>
    </row>
    <row r="11">
      <c r="A11" s="2" t="n">
        <v>1251</v>
      </c>
      <c r="B11" s="3" t="inlineStr">
        <is>
          <t>DURAN ALMENARA,ANGELES</t>
        </is>
      </c>
      <c r="C11" s="3" t="inlineStr">
        <is>
          <t>SALUSTIANA</t>
        </is>
      </c>
      <c r="D11" s="2" t="n">
        <v>38737</v>
      </c>
      <c r="E11" s="4" t="n">
        <v>13484.29</v>
      </c>
      <c r="F11" s="5" t="n">
        <v>0.3480984588378037</v>
      </c>
      <c r="G11" s="4" t="n">
        <v>2789.06</v>
      </c>
      <c r="H11" s="4" t="n">
        <v>176.61</v>
      </c>
      <c r="I11" s="4" t="n">
        <v>0</v>
      </c>
      <c r="J11" s="4" t="n">
        <v>0</v>
      </c>
      <c r="K11" s="4" t="n">
        <v>0</v>
      </c>
      <c r="L11" s="4" t="n">
        <v>10518.62</v>
      </c>
      <c r="M11" s="5" t="n">
        <v>0.29804</v>
      </c>
      <c r="N11" s="6" t="n">
        <v>12</v>
      </c>
      <c r="O11" s="6" t="n">
        <v>2</v>
      </c>
      <c r="P11" s="4" t="n">
        <v>11545.24</v>
      </c>
      <c r="Q11" s="3" t="inlineStr">
        <is>
          <t>BLANCA TEMPRANA sem 4 y +</t>
        </is>
      </c>
      <c r="R11" s="3" t="inlineStr">
        <is>
          <t>CITRICOS</t>
        </is>
      </c>
      <c r="S11" s="7">
        <f>IFERROR(166.386*G11/D11,0)</f>
        <v/>
      </c>
      <c r="T11" s="7">
        <f>IFERROR(166.386*K11/D11,0)</f>
        <v/>
      </c>
      <c r="U11" s="7">
        <f>IFERROR(166.386*J11/D11,0)</f>
        <v/>
      </c>
    </row>
    <row r="12">
      <c r="A12" s="2" t="n">
        <v>1272</v>
      </c>
      <c r="B12" s="3" t="inlineStr">
        <is>
          <t>HERMANOS GONZALEZ ROLDAN,S.C.</t>
        </is>
      </c>
      <c r="C12" s="3" t="inlineStr">
        <is>
          <t>SALUSTIANA</t>
        </is>
      </c>
      <c r="D12" s="2" t="n">
        <v>74671</v>
      </c>
      <c r="E12" s="4" t="n">
        <v>23566.58</v>
      </c>
      <c r="F12" s="5" t="n">
        <v>0.3156055228937606</v>
      </c>
      <c r="G12" s="4" t="n">
        <v>5376.32</v>
      </c>
      <c r="H12" s="4" t="n">
        <v>1372.38</v>
      </c>
      <c r="I12" s="4" t="n">
        <v>328.139992067</v>
      </c>
      <c r="J12" s="4" t="n">
        <v>0</v>
      </c>
      <c r="K12" s="4" t="n">
        <v>921.38</v>
      </c>
      <c r="L12" s="4" t="n">
        <v>18067.4</v>
      </c>
      <c r="M12" s="5" t="n">
        <v>0.26558</v>
      </c>
      <c r="N12" s="6" t="n">
        <v>12</v>
      </c>
      <c r="O12" s="6" t="n">
        <v>2</v>
      </c>
      <c r="P12" s="4" t="n">
        <v>19830.78</v>
      </c>
      <c r="Q12" s="3" t="inlineStr">
        <is>
          <t>BLANCA TEMPRANA sem 4 y +</t>
        </is>
      </c>
      <c r="R12" s="3" t="inlineStr">
        <is>
          <t>CITRICOS</t>
        </is>
      </c>
      <c r="S12" s="7">
        <f>IFERROR(166.386*G12/D12,0)</f>
        <v/>
      </c>
      <c r="T12" s="7">
        <f>IFERROR(166.386*K12/D12,0)</f>
        <v/>
      </c>
      <c r="U12" s="7">
        <f>IFERROR(166.386*J12/D12,0)</f>
        <v/>
      </c>
    </row>
    <row r="13">
      <c r="A13" s="2" t="n">
        <v>1316</v>
      </c>
      <c r="B13" s="3" t="inlineStr">
        <is>
          <t>JIMENA GARCIA,JUAN MANUEL</t>
        </is>
      </c>
      <c r="C13" s="3" t="inlineStr">
        <is>
          <t>SALUSTIANA</t>
        </is>
      </c>
      <c r="D13" s="2" t="n">
        <v>57732</v>
      </c>
      <c r="E13" s="4" t="n">
        <v>19428.84</v>
      </c>
      <c r="F13" s="5" t="n">
        <v>0.3365350239035543</v>
      </c>
      <c r="G13" s="4" t="n">
        <v>4156.7</v>
      </c>
      <c r="H13" s="4" t="n">
        <v>388.12</v>
      </c>
      <c r="I13" s="4" t="n">
        <v>0</v>
      </c>
      <c r="J13" s="4" t="n">
        <v>0</v>
      </c>
      <c r="K13" s="4" t="n">
        <v>0</v>
      </c>
      <c r="L13" s="4" t="n">
        <v>14884.02</v>
      </c>
      <c r="M13" s="5" t="n">
        <v>0.28297</v>
      </c>
      <c r="N13" s="6" t="n">
        <v>12</v>
      </c>
      <c r="O13" s="6" t="n">
        <v>2</v>
      </c>
      <c r="P13" s="4" t="n">
        <v>16336.7</v>
      </c>
      <c r="Q13" s="3" t="inlineStr">
        <is>
          <t>BLANCA TEMPRANA sem 4 y +</t>
        </is>
      </c>
      <c r="R13" s="3" t="inlineStr">
        <is>
          <t>CITRICOS</t>
        </is>
      </c>
      <c r="S13" s="7">
        <f>IFERROR(166.386*G13/D13,0)</f>
        <v/>
      </c>
      <c r="T13" s="7">
        <f>IFERROR(166.386*K13/D13,0)</f>
        <v/>
      </c>
      <c r="U13" s="7">
        <f>IFERROR(166.386*J13/D13,0)</f>
        <v/>
      </c>
    </row>
    <row r="14">
      <c r="A14" s="2" t="n">
        <v>1350</v>
      </c>
      <c r="B14" s="3" t="inlineStr">
        <is>
          <t>FAMILIA GONZALEZ LACAL S.C.</t>
        </is>
      </c>
      <c r="C14" s="3" t="inlineStr">
        <is>
          <t>SALUSTIANA</t>
        </is>
      </c>
      <c r="D14" s="2" t="n">
        <v>24320</v>
      </c>
      <c r="E14" s="4" t="n">
        <v>8122.34</v>
      </c>
      <c r="F14" s="5" t="n">
        <v>0.3339777960526316</v>
      </c>
      <c r="G14" s="4" t="n">
        <v>1751.04</v>
      </c>
      <c r="H14" s="4" t="n">
        <v>339.66</v>
      </c>
      <c r="I14" s="4" t="n">
        <v>0</v>
      </c>
      <c r="J14" s="4" t="n">
        <v>0</v>
      </c>
      <c r="K14" s="4" t="n">
        <v>306.98</v>
      </c>
      <c r="L14" s="4" t="n">
        <v>6338.62</v>
      </c>
      <c r="M14" s="5" t="n">
        <v>0.28607</v>
      </c>
      <c r="N14" s="6" t="n">
        <v>12</v>
      </c>
      <c r="O14" s="6" t="n">
        <v>2</v>
      </c>
      <c r="P14" s="4" t="n">
        <v>6957.27</v>
      </c>
      <c r="Q14" s="3" t="inlineStr">
        <is>
          <t>BLANCA TEMPRANA sem 4 y +</t>
        </is>
      </c>
      <c r="R14" s="3" t="inlineStr">
        <is>
          <t>CITRICOS</t>
        </is>
      </c>
      <c r="S14" s="7">
        <f>IFERROR(166.386*G14/D14,0)</f>
        <v/>
      </c>
      <c r="T14" s="7">
        <f>IFERROR(166.386*K14/D14,0)</f>
        <v/>
      </c>
      <c r="U14" s="7">
        <f>IFERROR(166.386*J14/D14,0)</f>
        <v/>
      </c>
    </row>
    <row r="15">
      <c r="A15" s="2" t="n">
        <v>1354</v>
      </c>
      <c r="B15" s="3" t="inlineStr">
        <is>
          <t>MARTIN PORTALES,ALFREDO</t>
        </is>
      </c>
      <c r="C15" s="3" t="inlineStr">
        <is>
          <t>SALUSTIANA</t>
        </is>
      </c>
      <c r="D15" s="2" t="n">
        <v>148012</v>
      </c>
      <c r="E15" s="4" t="n">
        <v>53301.47</v>
      </c>
      <c r="F15" s="5" t="n">
        <v>0.3601158689835959</v>
      </c>
      <c r="G15" s="4" t="n">
        <v>10656.87</v>
      </c>
      <c r="H15" s="4" t="n">
        <v>988.5599999999999</v>
      </c>
      <c r="I15" s="4" t="n">
        <v>0</v>
      </c>
      <c r="J15" s="4" t="n">
        <v>0</v>
      </c>
      <c r="K15" s="4" t="n">
        <v>0</v>
      </c>
      <c r="L15" s="4" t="n">
        <v>41656.04</v>
      </c>
      <c r="M15" s="5" t="n">
        <v>0.30891</v>
      </c>
      <c r="N15" s="6" t="n">
        <v>12</v>
      </c>
      <c r="O15" s="6" t="n">
        <v>2</v>
      </c>
      <c r="P15" s="4" t="n">
        <v>45721.67</v>
      </c>
      <c r="Q15" s="3" t="inlineStr">
        <is>
          <t>BLANCA TEMPRANA sem 4 y +</t>
        </is>
      </c>
      <c r="R15" s="3" t="inlineStr">
        <is>
          <t>CITRICOS</t>
        </is>
      </c>
      <c r="S15" s="7">
        <f>IFERROR(166.386*G15/D15,0)</f>
        <v/>
      </c>
      <c r="T15" s="7">
        <f>IFERROR(166.386*K15/D15,0)</f>
        <v/>
      </c>
      <c r="U15" s="7">
        <f>IFERROR(166.386*J15/D15,0)</f>
        <v/>
      </c>
    </row>
    <row r="16">
      <c r="A16" s="2" t="n">
        <v>1355</v>
      </c>
      <c r="B16" s="3" t="inlineStr">
        <is>
          <t>CANO MANZANARES,JUAN ANTONIO</t>
        </is>
      </c>
      <c r="C16" s="3" t="inlineStr">
        <is>
          <t>SALUSTIANA</t>
        </is>
      </c>
      <c r="D16" s="2" t="n">
        <v>212858</v>
      </c>
      <c r="E16" s="4" t="n">
        <v>81403.11</v>
      </c>
      <c r="F16" s="5" t="n">
        <v>0.3824291781375377</v>
      </c>
      <c r="G16" s="4" t="n">
        <v>15356.78</v>
      </c>
      <c r="H16" s="4" t="n">
        <v>836.58</v>
      </c>
      <c r="I16" s="4" t="n">
        <v>0</v>
      </c>
      <c r="J16" s="4" t="n">
        <v>2094.37</v>
      </c>
      <c r="K16" s="4" t="n">
        <v>3410.06</v>
      </c>
      <c r="L16" s="4" t="n">
        <v>70714.17999999999</v>
      </c>
      <c r="M16" s="5" t="n">
        <v>0.36464</v>
      </c>
      <c r="N16" s="6" t="n">
        <v>12</v>
      </c>
      <c r="O16" s="6" t="n">
        <v>2</v>
      </c>
      <c r="P16" s="4" t="n">
        <v>77615.88</v>
      </c>
      <c r="Q16" s="3" t="inlineStr">
        <is>
          <t>BLANCA TEMPRANA sem 4 y +</t>
        </is>
      </c>
      <c r="R16" s="3" t="inlineStr">
        <is>
          <t>CITRICOS</t>
        </is>
      </c>
      <c r="S16" s="7">
        <f>IFERROR(166.386*G16/D16,0)</f>
        <v/>
      </c>
      <c r="T16" s="7">
        <f>IFERROR(166.386*K16/D16,0)</f>
        <v/>
      </c>
      <c r="U16" s="7">
        <f>IFERROR(166.386*J16/D16,0)</f>
        <v/>
      </c>
    </row>
    <row r="17">
      <c r="A17" s="2" t="n">
        <v>1374</v>
      </c>
      <c r="B17" s="3" t="inlineStr">
        <is>
          <t>MORENO SANCHEZ,JOSE ANTONIO</t>
        </is>
      </c>
      <c r="C17" s="3" t="inlineStr">
        <is>
          <t>SALUSTIANA</t>
        </is>
      </c>
      <c r="D17" s="2" t="n">
        <v>51699</v>
      </c>
      <c r="E17" s="4" t="n">
        <v>19898.38</v>
      </c>
      <c r="F17" s="5" t="n">
        <v>0.384889069421072</v>
      </c>
      <c r="G17" s="4" t="n">
        <v>3722.33</v>
      </c>
      <c r="H17" s="4" t="n">
        <v>285.84</v>
      </c>
      <c r="I17" s="4" t="n">
        <v>0</v>
      </c>
      <c r="J17" s="4" t="n">
        <v>0</v>
      </c>
      <c r="K17" s="4" t="n">
        <v>0</v>
      </c>
      <c r="L17" s="4" t="n">
        <v>15890.21</v>
      </c>
      <c r="M17" s="5" t="n">
        <v>0.33736</v>
      </c>
      <c r="N17" s="6" t="n">
        <v>12</v>
      </c>
      <c r="O17" s="6" t="n">
        <v>2</v>
      </c>
      <c r="P17" s="4" t="n">
        <v>17441.09</v>
      </c>
      <c r="Q17" s="3" t="inlineStr">
        <is>
          <t>BLANCA TEMPRANA sem 4 y +</t>
        </is>
      </c>
      <c r="R17" s="3" t="inlineStr">
        <is>
          <t>CITRICOS</t>
        </is>
      </c>
      <c r="S17" s="7">
        <f>IFERROR(166.386*G17/D17,0)</f>
        <v/>
      </c>
      <c r="T17" s="7">
        <f>IFERROR(166.386*K17/D17,0)</f>
        <v/>
      </c>
      <c r="U17" s="7">
        <f>IFERROR(166.386*J17/D17,0)</f>
        <v/>
      </c>
    </row>
    <row r="18">
      <c r="A18" s="2" t="n">
        <v>1389</v>
      </c>
      <c r="B18" s="3" t="inlineStr">
        <is>
          <t>AGRICOLA HUERTA LA MEJORA S.C.</t>
        </is>
      </c>
      <c r="C18" s="3" t="inlineStr">
        <is>
          <t>SALUSTIANA</t>
        </is>
      </c>
      <c r="D18" s="2" t="n">
        <v>47840</v>
      </c>
      <c r="E18" s="4" t="n">
        <v>18031.68</v>
      </c>
      <c r="F18" s="5" t="n">
        <v>0.3769163879598662</v>
      </c>
      <c r="G18" s="4" t="n">
        <v>3444.48</v>
      </c>
      <c r="H18" s="4" t="n">
        <v>719.65</v>
      </c>
      <c r="I18" s="4" t="n">
        <v>0</v>
      </c>
      <c r="J18" s="4" t="n">
        <v>0</v>
      </c>
      <c r="K18" s="4" t="n">
        <v>757.92</v>
      </c>
      <c r="L18" s="4" t="n">
        <v>14625.47</v>
      </c>
      <c r="M18" s="5" t="n">
        <v>0.33555</v>
      </c>
      <c r="N18" s="6" t="n">
        <v>12</v>
      </c>
      <c r="O18" s="6" t="n">
        <v>2</v>
      </c>
      <c r="P18" s="4" t="n">
        <v>16052.92</v>
      </c>
      <c r="Q18" s="3" t="inlineStr">
        <is>
          <t>BLANCA TEMPRANA sem 4 y +</t>
        </is>
      </c>
      <c r="R18" s="3" t="inlineStr">
        <is>
          <t>CITRICOS</t>
        </is>
      </c>
      <c r="S18" s="7">
        <f>IFERROR(166.386*G18/D18,0)</f>
        <v/>
      </c>
      <c r="T18" s="7">
        <f>IFERROR(166.386*K18/D18,0)</f>
        <v/>
      </c>
      <c r="U18" s="7">
        <f>IFERROR(166.386*J18/D18,0)</f>
        <v/>
      </c>
    </row>
    <row r="19">
      <c r="A19" s="2" t="n">
        <v>1395</v>
      </c>
      <c r="B19" s="3" t="inlineStr">
        <is>
          <t>AGRICOLA HERMANOS BUIZA S.C.</t>
        </is>
      </c>
      <c r="C19" s="3" t="inlineStr">
        <is>
          <t>SALUSTIANA</t>
        </is>
      </c>
      <c r="D19" s="2" t="n">
        <v>22880</v>
      </c>
      <c r="E19" s="4" t="n">
        <v>7948.23</v>
      </c>
      <c r="F19" s="5" t="n">
        <v>0.3473876748251749</v>
      </c>
      <c r="G19" s="4" t="n">
        <v>1647.36</v>
      </c>
      <c r="H19" s="4" t="n">
        <v>86.45</v>
      </c>
      <c r="I19" s="4" t="n">
        <v>0</v>
      </c>
      <c r="J19" s="4" t="n">
        <v>114.55</v>
      </c>
      <c r="K19" s="4" t="n">
        <v>328.22</v>
      </c>
      <c r="L19" s="4" t="n">
        <v>6657.19</v>
      </c>
      <c r="M19" s="5" t="n">
        <v>0.31936</v>
      </c>
      <c r="N19" s="6" t="n">
        <v>12</v>
      </c>
      <c r="O19" s="6" t="n">
        <v>2</v>
      </c>
      <c r="P19" s="4" t="n">
        <v>7306.93</v>
      </c>
      <c r="Q19" s="3" t="inlineStr">
        <is>
          <t>BLANCA TEMPRANA sem 4 y +</t>
        </is>
      </c>
      <c r="R19" s="3" t="inlineStr">
        <is>
          <t>CITRICOS</t>
        </is>
      </c>
      <c r="S19" s="7">
        <f>IFERROR(166.386*G19/D19,0)</f>
        <v/>
      </c>
      <c r="T19" s="7">
        <f>IFERROR(166.386*K19/D19,0)</f>
        <v/>
      </c>
      <c r="U19" s="7">
        <f>IFERROR(166.386*J19/D19,0)</f>
        <v/>
      </c>
    </row>
    <row r="20">
      <c r="A20" s="2" t="n">
        <v>1411</v>
      </c>
      <c r="B20" s="3" t="inlineStr">
        <is>
          <t>HERMANOS PEÑA GRIÑAN S.C.</t>
        </is>
      </c>
      <c r="C20" s="3" t="inlineStr">
        <is>
          <t>SALUSTIANA</t>
        </is>
      </c>
      <c r="D20" s="2" t="n">
        <v>66051</v>
      </c>
      <c r="E20" s="4" t="n">
        <v>24568.15</v>
      </c>
      <c r="F20" s="5" t="n">
        <v>0.3719572754386762</v>
      </c>
      <c r="G20" s="4" t="n">
        <v>4753.65</v>
      </c>
      <c r="H20" s="4" t="n">
        <v>548.33</v>
      </c>
      <c r="I20" s="4" t="n">
        <v>0</v>
      </c>
      <c r="J20" s="4" t="n">
        <v>0</v>
      </c>
      <c r="K20" s="4" t="n">
        <v>0</v>
      </c>
      <c r="L20" s="4" t="n">
        <v>19266.17</v>
      </c>
      <c r="M20" s="5" t="n">
        <v>0.32015</v>
      </c>
      <c r="N20" s="6" t="n">
        <v>12</v>
      </c>
      <c r="O20" s="6" t="n">
        <v>2</v>
      </c>
      <c r="P20" s="4" t="n">
        <v>21146.55</v>
      </c>
      <c r="Q20" s="3" t="inlineStr">
        <is>
          <t>BLANCA TEMPRANA sem 4 y +</t>
        </is>
      </c>
      <c r="R20" s="3" t="inlineStr">
        <is>
          <t>CITRICOS</t>
        </is>
      </c>
      <c r="S20" s="7">
        <f>IFERROR(166.386*G20/D20,0)</f>
        <v/>
      </c>
      <c r="T20" s="7">
        <f>IFERROR(166.386*K20/D20,0)</f>
        <v/>
      </c>
      <c r="U20" s="7">
        <f>IFERROR(166.386*J20/D20,0)</f>
        <v/>
      </c>
    </row>
    <row r="21">
      <c r="A21" s="2" t="n">
        <v>1419</v>
      </c>
      <c r="B21" s="3" t="inlineStr">
        <is>
          <t>MORAL GARCIA,JOSE ANTONIO</t>
        </is>
      </c>
      <c r="C21" s="3" t="inlineStr">
        <is>
          <t>SALUSTIANA</t>
        </is>
      </c>
      <c r="D21" s="2" t="n">
        <v>22950</v>
      </c>
      <c r="E21" s="4" t="n">
        <v>7464.66</v>
      </c>
      <c r="F21" s="5" t="n">
        <v>0.3252575163398693</v>
      </c>
      <c r="G21" s="4" t="n">
        <v>1652.4</v>
      </c>
      <c r="H21" s="4" t="n">
        <v>142.89</v>
      </c>
      <c r="I21" s="4" t="n">
        <v>0</v>
      </c>
      <c r="J21" s="4" t="n">
        <v>114.44</v>
      </c>
      <c r="K21" s="4" t="n">
        <v>0</v>
      </c>
      <c r="L21" s="4" t="n">
        <v>5783.81</v>
      </c>
      <c r="M21" s="5" t="n">
        <v>0.27661</v>
      </c>
      <c r="N21" s="6" t="n">
        <v>12</v>
      </c>
      <c r="O21" s="6" t="n">
        <v>2</v>
      </c>
      <c r="P21" s="4" t="n">
        <v>6348.31</v>
      </c>
      <c r="Q21" s="3" t="inlineStr">
        <is>
          <t>BLANCA TEMPRANA sem 4 y +</t>
        </is>
      </c>
      <c r="R21" s="3" t="inlineStr">
        <is>
          <t>CITRICOS</t>
        </is>
      </c>
      <c r="S21" s="7">
        <f>IFERROR(166.386*G21/D21,0)</f>
        <v/>
      </c>
      <c r="T21" s="7">
        <f>IFERROR(166.386*K21/D21,0)</f>
        <v/>
      </c>
      <c r="U21" s="7">
        <f>IFERROR(166.386*J21/D21,0)</f>
        <v/>
      </c>
    </row>
    <row r="22">
      <c r="A22" s="2" t="n">
        <v>1421</v>
      </c>
      <c r="B22" s="3" t="inlineStr">
        <is>
          <t>GARCIA GONZALEZ,ISIDORA</t>
        </is>
      </c>
      <c r="C22" s="3" t="inlineStr">
        <is>
          <t>SALUSTIANA</t>
        </is>
      </c>
      <c r="D22" s="2" t="n">
        <v>36875</v>
      </c>
      <c r="E22" s="4" t="n">
        <v>12343.35</v>
      </c>
      <c r="F22" s="5" t="n">
        <v>0.3347349152542373</v>
      </c>
      <c r="G22" s="4" t="n">
        <v>2655</v>
      </c>
      <c r="H22" s="4" t="n">
        <v>214.5</v>
      </c>
      <c r="I22" s="4" t="n">
        <v>0</v>
      </c>
      <c r="J22" s="4" t="n">
        <v>0</v>
      </c>
      <c r="K22" s="4" t="n">
        <v>0</v>
      </c>
      <c r="L22" s="4" t="n">
        <v>9473.85</v>
      </c>
      <c r="M22" s="5" t="n">
        <v>0.28199</v>
      </c>
      <c r="N22" s="6" t="n">
        <v>12</v>
      </c>
      <c r="O22" s="6" t="n">
        <v>2</v>
      </c>
      <c r="P22" s="4" t="n">
        <v>10398.5</v>
      </c>
      <c r="Q22" s="3" t="inlineStr">
        <is>
          <t>BLANCA TEMPRANA sem 4 y +</t>
        </is>
      </c>
      <c r="R22" s="3" t="inlineStr">
        <is>
          <t>CITRICOS</t>
        </is>
      </c>
      <c r="S22" s="7">
        <f>IFERROR(166.386*G22/D22,0)</f>
        <v/>
      </c>
      <c r="T22" s="7">
        <f>IFERROR(166.386*K22/D22,0)</f>
        <v/>
      </c>
      <c r="U22" s="7">
        <f>IFERROR(166.386*J22/D22,0)</f>
        <v/>
      </c>
    </row>
    <row r="23">
      <c r="A23" s="2" t="n">
        <v>1443</v>
      </c>
      <c r="B23" s="3" t="inlineStr">
        <is>
          <t>TOMENO SUAREZ,ALBERTO</t>
        </is>
      </c>
      <c r="C23" s="3" t="inlineStr">
        <is>
          <t>SALUSTIANA</t>
        </is>
      </c>
      <c r="D23" s="2" t="n">
        <v>34222</v>
      </c>
      <c r="E23" s="4" t="n">
        <v>11662.25</v>
      </c>
      <c r="F23" s="5" t="n">
        <v>0.3407822453392554</v>
      </c>
      <c r="G23" s="4" t="n">
        <v>0</v>
      </c>
      <c r="H23" s="4" t="n">
        <v>211.61</v>
      </c>
      <c r="I23" s="4" t="n">
        <v>0</v>
      </c>
      <c r="J23" s="4" t="n">
        <v>124.94</v>
      </c>
      <c r="K23" s="4" t="n">
        <v>492.06</v>
      </c>
      <c r="L23" s="4" t="n">
        <v>12067.64</v>
      </c>
      <c r="M23" s="5" t="n">
        <v>0.38704</v>
      </c>
      <c r="N23" s="6" t="n">
        <v>12</v>
      </c>
      <c r="O23" s="6" t="n">
        <v>2</v>
      </c>
      <c r="P23" s="4" t="n">
        <v>13245.44</v>
      </c>
      <c r="Q23" s="3" t="inlineStr">
        <is>
          <t>BLANCA TEMPRANA sem 4 y +</t>
        </is>
      </c>
      <c r="R23" s="3" t="inlineStr">
        <is>
          <t>CITRICOS</t>
        </is>
      </c>
      <c r="S23" s="7">
        <f>IFERROR(166.386*G23/D23,0)</f>
        <v/>
      </c>
      <c r="T23" s="7">
        <f>IFERROR(166.386*K23/D23,0)</f>
        <v/>
      </c>
      <c r="U23" s="7">
        <f>IFERROR(166.386*J23/D23,0)</f>
        <v/>
      </c>
    </row>
    <row r="24">
      <c r="A24" s="2" t="n">
        <v>1485</v>
      </c>
      <c r="B24" s="3" t="inlineStr">
        <is>
          <t>HNOS. CRESPO RUIZ S.C.</t>
        </is>
      </c>
      <c r="C24" s="3" t="inlineStr">
        <is>
          <t>SALUSTIANA</t>
        </is>
      </c>
      <c r="D24" s="2" t="n">
        <v>143835</v>
      </c>
      <c r="E24" s="4" t="n">
        <v>55407.6</v>
      </c>
      <c r="F24" s="5" t="n">
        <v>0.3852163937845448</v>
      </c>
      <c r="G24" s="4" t="n">
        <v>10356.12</v>
      </c>
      <c r="H24" s="4" t="n">
        <v>625.39</v>
      </c>
      <c r="I24" s="4" t="n">
        <v>0</v>
      </c>
      <c r="J24" s="4" t="n">
        <v>0</v>
      </c>
      <c r="K24" s="4" t="n">
        <v>0</v>
      </c>
      <c r="L24" s="4" t="n">
        <v>44426.09</v>
      </c>
      <c r="M24" s="5" t="n">
        <v>0.33901</v>
      </c>
      <c r="N24" s="6" t="n">
        <v>12</v>
      </c>
      <c r="O24" s="6" t="n">
        <v>2</v>
      </c>
      <c r="P24" s="4" t="n">
        <v>48762.08</v>
      </c>
      <c r="Q24" s="3" t="inlineStr">
        <is>
          <t>BLANCA TEMPRANA sem 4 y +</t>
        </is>
      </c>
      <c r="R24" s="3" t="inlineStr">
        <is>
          <t>CITRICOS</t>
        </is>
      </c>
      <c r="S24" s="7">
        <f>IFERROR(166.386*G24/D24,0)</f>
        <v/>
      </c>
      <c r="T24" s="7">
        <f>IFERROR(166.386*K24/D24,0)</f>
        <v/>
      </c>
      <c r="U24" s="7">
        <f>IFERROR(166.386*J24/D24,0)</f>
        <v/>
      </c>
    </row>
    <row r="25">
      <c r="A25" s="2" t="n">
        <v>1512</v>
      </c>
      <c r="B25" s="3" t="inlineStr">
        <is>
          <t>HERNANDEZ MOLINA,ANTONIO</t>
        </is>
      </c>
      <c r="C25" s="3" t="inlineStr">
        <is>
          <t>SALUSTIANA</t>
        </is>
      </c>
      <c r="D25" s="2" t="n">
        <v>41174</v>
      </c>
      <c r="E25" s="4" t="n">
        <v>13467.72</v>
      </c>
      <c r="F25" s="5" t="n">
        <v>0.3270928255695342</v>
      </c>
      <c r="G25" s="4" t="n">
        <v>2964.53</v>
      </c>
      <c r="H25" s="4" t="n">
        <v>284.75</v>
      </c>
      <c r="I25" s="4" t="n">
        <v>0</v>
      </c>
      <c r="J25" s="4" t="n">
        <v>0</v>
      </c>
      <c r="K25" s="4" t="n">
        <v>0</v>
      </c>
      <c r="L25" s="4" t="n">
        <v>10218.44</v>
      </c>
      <c r="M25" s="5" t="n">
        <v>0.2724</v>
      </c>
      <c r="N25" s="6" t="n">
        <v>12</v>
      </c>
      <c r="O25" s="6" t="n">
        <v>2</v>
      </c>
      <c r="P25" s="4" t="n">
        <v>11215.76</v>
      </c>
      <c r="Q25" s="3" t="inlineStr">
        <is>
          <t>BLANCA TEMPRANA sem 4 y +</t>
        </is>
      </c>
      <c r="R25" s="3" t="inlineStr">
        <is>
          <t>CITRICOS</t>
        </is>
      </c>
      <c r="S25" s="7">
        <f>IFERROR(166.386*G25/D25,0)</f>
        <v/>
      </c>
      <c r="T25" s="7">
        <f>IFERROR(166.386*K25/D25,0)</f>
        <v/>
      </c>
      <c r="U25" s="7">
        <f>IFERROR(166.386*J25/D25,0)</f>
        <v/>
      </c>
    </row>
    <row r="26">
      <c r="A26" s="2" t="n">
        <v>1523</v>
      </c>
      <c r="B26" s="3" t="inlineStr">
        <is>
          <t>RODRIGUEZ MEJÍAS, JOSE ANTONIO</t>
        </is>
      </c>
      <c r="C26" s="3" t="inlineStr">
        <is>
          <t>SALUSTIANA</t>
        </is>
      </c>
      <c r="D26" s="2" t="n">
        <v>243865</v>
      </c>
      <c r="E26" s="4" t="n">
        <v>91744.92</v>
      </c>
      <c r="F26" s="5" t="n">
        <v>0.3762119205298013</v>
      </c>
      <c r="G26" s="4" t="n">
        <v>17693.49</v>
      </c>
      <c r="H26" s="4" t="n">
        <v>1771.84</v>
      </c>
      <c r="I26" s="4" t="n">
        <v>0</v>
      </c>
      <c r="J26" s="4" t="n">
        <v>2247.92</v>
      </c>
      <c r="K26" s="4" t="n">
        <v>3868.67</v>
      </c>
      <c r="L26" s="4" t="n">
        <v>78396.17999999999</v>
      </c>
      <c r="M26" s="5" t="n">
        <v>0.35285</v>
      </c>
      <c r="N26" s="6" t="n">
        <v>12</v>
      </c>
      <c r="O26" s="6" t="n">
        <v>2</v>
      </c>
      <c r="P26" s="4" t="n">
        <v>86047.64999999999</v>
      </c>
      <c r="Q26" s="3" t="inlineStr">
        <is>
          <t>BLANCA TEMPRANA sem 4 y +</t>
        </is>
      </c>
      <c r="R26" s="3" t="inlineStr">
        <is>
          <t>CITRICOS</t>
        </is>
      </c>
      <c r="S26" s="7">
        <f>IFERROR(166.386*G26/D26,0)</f>
        <v/>
      </c>
      <c r="T26" s="7">
        <f>IFERROR(166.386*K26/D26,0)</f>
        <v/>
      </c>
      <c r="U26" s="7">
        <f>IFERROR(166.386*J26/D26,0)</f>
        <v/>
      </c>
    </row>
    <row r="27">
      <c r="A27" s="2" t="n">
        <v>1529</v>
      </c>
      <c r="B27" s="3" t="inlineStr">
        <is>
          <t>RAMOS BRUGAROLAS, JOSE</t>
        </is>
      </c>
      <c r="C27" s="3" t="inlineStr">
        <is>
          <t>SALUSTIANA</t>
        </is>
      </c>
      <c r="D27" s="2" t="n">
        <v>40245</v>
      </c>
      <c r="E27" s="4" t="n">
        <v>15237.54</v>
      </c>
      <c r="F27" s="5" t="n">
        <v>0.3786194558330228</v>
      </c>
      <c r="G27" s="4" t="n">
        <v>3018.38</v>
      </c>
      <c r="H27" s="4" t="n">
        <v>266.03</v>
      </c>
      <c r="I27" s="4" t="n">
        <v>0</v>
      </c>
      <c r="J27" s="4" t="n">
        <v>0</v>
      </c>
      <c r="K27" s="4" t="n">
        <v>0</v>
      </c>
      <c r="L27" s="4" t="n">
        <v>11953.13</v>
      </c>
      <c r="M27" s="5" t="n">
        <v>0.326</v>
      </c>
      <c r="N27" s="6" t="n">
        <v>12</v>
      </c>
      <c r="O27" s="6" t="n">
        <v>2</v>
      </c>
      <c r="P27" s="4" t="n">
        <v>13119.76</v>
      </c>
      <c r="Q27" s="3" t="inlineStr">
        <is>
          <t>BLANCA TEMPRANA sem 4 y +</t>
        </is>
      </c>
      <c r="R27" s="3" t="inlineStr">
        <is>
          <t>CITRICOS</t>
        </is>
      </c>
      <c r="S27" s="7">
        <f>IFERROR(166.386*G27/D27,0)</f>
        <v/>
      </c>
      <c r="T27" s="7">
        <f>IFERROR(166.386*K27/D27,0)</f>
        <v/>
      </c>
      <c r="U27" s="7">
        <f>IFERROR(166.386*J27/D27,0)</f>
        <v/>
      </c>
    </row>
    <row r="28">
      <c r="A28" s="2" t="n">
        <v>1540</v>
      </c>
      <c r="B28" s="3" t="inlineStr">
        <is>
          <t>AGRICOLA SANCHEZ CUENCA S.C.</t>
        </is>
      </c>
      <c r="C28" s="3" t="inlineStr">
        <is>
          <t>SALUSTIANA</t>
        </is>
      </c>
      <c r="D28" s="2" t="n">
        <v>200979</v>
      </c>
      <c r="E28" s="4" t="n">
        <v>74145.41</v>
      </c>
      <c r="F28" s="5" t="n">
        <v>0.3689211808198867</v>
      </c>
      <c r="G28" s="4" t="n">
        <v>14470.49</v>
      </c>
      <c r="H28" s="4" t="n">
        <v>1040.63</v>
      </c>
      <c r="I28" s="4" t="n">
        <v>0</v>
      </c>
      <c r="J28" s="4" t="n">
        <v>0</v>
      </c>
      <c r="K28" s="4" t="n">
        <v>3067.91</v>
      </c>
      <c r="L28" s="4" t="n">
        <v>61702.2</v>
      </c>
      <c r="M28" s="5" t="n">
        <v>0.33697</v>
      </c>
      <c r="N28" s="6" t="n">
        <v>12</v>
      </c>
      <c r="O28" s="6" t="n">
        <v>2</v>
      </c>
      <c r="P28" s="4" t="n">
        <v>67724.33</v>
      </c>
      <c r="Q28" s="3" t="inlineStr">
        <is>
          <t>BLANCA TEMPRANA sem 4 y +</t>
        </is>
      </c>
      <c r="R28" s="3" t="inlineStr">
        <is>
          <t>CITRICOS</t>
        </is>
      </c>
      <c r="S28" s="7">
        <f>IFERROR(166.386*G28/D28,0)</f>
        <v/>
      </c>
      <c r="T28" s="7">
        <f>IFERROR(166.386*K28/D28,0)</f>
        <v/>
      </c>
      <c r="U28" s="7">
        <f>IFERROR(166.386*J28/D28,0)</f>
        <v/>
      </c>
    </row>
    <row r="29">
      <c r="A29" s="2" t="n">
        <v>1544</v>
      </c>
      <c r="B29" s="3" t="inlineStr">
        <is>
          <t>HARO ORDOÑO, ALVARO</t>
        </is>
      </c>
      <c r="C29" s="3" t="inlineStr">
        <is>
          <t>SALUSTIANA</t>
        </is>
      </c>
      <c r="D29" s="2" t="n">
        <v>30040</v>
      </c>
      <c r="E29" s="4" t="n">
        <v>10405.43</v>
      </c>
      <c r="F29" s="5" t="n">
        <v>0.3463858189081225</v>
      </c>
      <c r="G29" s="4" t="n">
        <v>2162.88</v>
      </c>
      <c r="H29" s="4" t="n">
        <v>169</v>
      </c>
      <c r="I29" s="4" t="n">
        <v>0</v>
      </c>
      <c r="J29" s="4" t="n">
        <v>0</v>
      </c>
      <c r="K29" s="4" t="n">
        <v>0</v>
      </c>
      <c r="L29" s="4" t="n">
        <v>8073.55</v>
      </c>
      <c r="M29" s="5" t="n">
        <v>0.29499</v>
      </c>
      <c r="N29" s="6" t="n">
        <v>12</v>
      </c>
      <c r="O29" s="6" t="n">
        <v>2</v>
      </c>
      <c r="P29" s="4" t="n">
        <v>8861.530000000001</v>
      </c>
      <c r="Q29" s="3" t="inlineStr">
        <is>
          <t>BLANCA TEMPRANA sem 4 y +</t>
        </is>
      </c>
      <c r="R29" s="3" t="inlineStr">
        <is>
          <t>CITRICOS</t>
        </is>
      </c>
      <c r="S29" s="7">
        <f>IFERROR(166.386*G29/D29,0)</f>
        <v/>
      </c>
      <c r="T29" s="7">
        <f>IFERROR(166.386*K29/D29,0)</f>
        <v/>
      </c>
      <c r="U29" s="7">
        <f>IFERROR(166.386*J29/D29,0)</f>
        <v/>
      </c>
    </row>
    <row r="30">
      <c r="A30" s="2" t="n">
        <v>1564</v>
      </c>
      <c r="B30" s="3" t="inlineStr">
        <is>
          <t>VARELA MUÑOZ, ANTONIO</t>
        </is>
      </c>
      <c r="C30" s="3" t="inlineStr">
        <is>
          <t>SALUSTIANA</t>
        </is>
      </c>
      <c r="D30" s="2" t="n">
        <v>28013</v>
      </c>
      <c r="E30" s="4" t="n">
        <v>9831.85</v>
      </c>
      <c r="F30" s="5" t="n">
        <v>0.3509745475315033</v>
      </c>
      <c r="G30" s="4" t="n">
        <v>2016.94</v>
      </c>
      <c r="H30" s="4" t="n">
        <v>163.87</v>
      </c>
      <c r="I30" s="4" t="n">
        <v>0</v>
      </c>
      <c r="J30" s="4" t="n">
        <v>0</v>
      </c>
      <c r="K30" s="4" t="n">
        <v>0</v>
      </c>
      <c r="L30" s="4" t="n">
        <v>7651.04</v>
      </c>
      <c r="M30" s="5" t="n">
        <v>0.29978</v>
      </c>
      <c r="N30" s="6" t="n">
        <v>12</v>
      </c>
      <c r="O30" s="6" t="n">
        <v>2</v>
      </c>
      <c r="P30" s="4" t="n">
        <v>8397.780000000001</v>
      </c>
      <c r="Q30" s="3" t="inlineStr">
        <is>
          <t>BLANCA TEMPRANA sem 4 y +</t>
        </is>
      </c>
      <c r="R30" s="3" t="inlineStr">
        <is>
          <t>CITRICOS</t>
        </is>
      </c>
      <c r="S30" s="7">
        <f>IFERROR(166.386*G30/D30,0)</f>
        <v/>
      </c>
      <c r="T30" s="7">
        <f>IFERROR(166.386*K30/D30,0)</f>
        <v/>
      </c>
      <c r="U30" s="7">
        <f>IFERROR(166.386*J30/D30,0)</f>
        <v/>
      </c>
    </row>
    <row r="31">
      <c r="A31" s="2" t="n">
        <v>1577</v>
      </c>
      <c r="B31" s="3" t="inlineStr">
        <is>
          <t>GOMEZ GUERRERO, MARIA MERCEDES</t>
        </is>
      </c>
      <c r="C31" s="3" t="inlineStr">
        <is>
          <t>SALUSTIANA</t>
        </is>
      </c>
      <c r="D31" s="2" t="n">
        <v>139693</v>
      </c>
      <c r="E31" s="4" t="n">
        <v>51769.2</v>
      </c>
      <c r="F31" s="5" t="n">
        <v>0.3705926567544544</v>
      </c>
      <c r="G31" s="4" t="n">
        <v>10057.89</v>
      </c>
      <c r="H31" s="4" t="n">
        <v>891.5599999999999</v>
      </c>
      <c r="I31" s="4" t="n">
        <v>0</v>
      </c>
      <c r="J31" s="4" t="n">
        <v>0</v>
      </c>
      <c r="K31" s="4" t="n">
        <v>2136.13</v>
      </c>
      <c r="L31" s="4" t="n">
        <v>42955.88</v>
      </c>
      <c r="M31" s="5" t="n">
        <v>0.33751</v>
      </c>
      <c r="N31" s="6" t="n">
        <v>12</v>
      </c>
      <c r="O31" s="6" t="n">
        <v>2</v>
      </c>
      <c r="P31" s="4" t="n">
        <v>47148.37</v>
      </c>
      <c r="Q31" s="3" t="inlineStr">
        <is>
          <t>BLANCA TEMPRANA sem 4 y +</t>
        </is>
      </c>
      <c r="R31" s="3" t="inlineStr">
        <is>
          <t>CITRICOS</t>
        </is>
      </c>
      <c r="S31" s="7">
        <f>IFERROR(166.386*G31/D31,0)</f>
        <v/>
      </c>
      <c r="T31" s="7">
        <f>IFERROR(166.386*K31/D31,0)</f>
        <v/>
      </c>
      <c r="U31" s="7">
        <f>IFERROR(166.386*J31/D31,0)</f>
        <v/>
      </c>
    </row>
    <row r="32">
      <c r="A32" s="2" t="n">
        <v>1579</v>
      </c>
      <c r="B32" s="3" t="inlineStr">
        <is>
          <t>PEREZ JIMENEZ, ALFONSA</t>
        </is>
      </c>
      <c r="C32" s="3" t="inlineStr">
        <is>
          <t>SALUSTIANA</t>
        </is>
      </c>
      <c r="D32" s="2" t="n">
        <v>6077</v>
      </c>
      <c r="E32" s="4" t="n">
        <v>2053.81</v>
      </c>
      <c r="F32" s="5" t="n">
        <v>0.3379644561461247</v>
      </c>
      <c r="G32" s="4" t="n">
        <v>437.54</v>
      </c>
      <c r="H32" s="4" t="n">
        <v>0</v>
      </c>
      <c r="I32" s="4" t="n">
        <v>0</v>
      </c>
      <c r="J32" s="4" t="n">
        <v>0</v>
      </c>
      <c r="K32" s="4" t="n">
        <v>0</v>
      </c>
      <c r="L32" s="4" t="n">
        <v>1616.27</v>
      </c>
      <c r="M32" s="5" t="n">
        <v>0.29192</v>
      </c>
      <c r="N32" s="6" t="n">
        <v>12</v>
      </c>
      <c r="O32" s="6" t="n">
        <v>2</v>
      </c>
      <c r="P32" s="4" t="n">
        <v>1774.02</v>
      </c>
      <c r="Q32" s="3" t="inlineStr">
        <is>
          <t>BLANCA TEMPRANA sem 4 y +</t>
        </is>
      </c>
      <c r="R32" s="3" t="inlineStr">
        <is>
          <t>CITRICOS</t>
        </is>
      </c>
      <c r="S32" s="7">
        <f>IFERROR(166.386*G32/D32,0)</f>
        <v/>
      </c>
      <c r="T32" s="7">
        <f>IFERROR(166.386*K32/D32,0)</f>
        <v/>
      </c>
      <c r="U32" s="7">
        <f>IFERROR(166.386*J32/D32,0)</f>
        <v/>
      </c>
    </row>
    <row r="33">
      <c r="A33" s="2" t="n">
        <v>1582</v>
      </c>
      <c r="B33" s="3" t="inlineStr">
        <is>
          <t>IGEÑO SANCHEZ, JOSE CARLOS</t>
        </is>
      </c>
      <c r="C33" s="3" t="inlineStr">
        <is>
          <t>SALUSTIANA</t>
        </is>
      </c>
      <c r="D33" s="2" t="n">
        <v>181394</v>
      </c>
      <c r="E33" s="4" t="n">
        <v>68624.89</v>
      </c>
      <c r="F33" s="5" t="n">
        <v>0.3783195144271586</v>
      </c>
      <c r="G33" s="4" t="n">
        <v>13018.17</v>
      </c>
      <c r="H33" s="4" t="n">
        <v>867.27</v>
      </c>
      <c r="I33" s="4" t="n">
        <v>0</v>
      </c>
      <c r="J33" s="4" t="n">
        <v>2013.47</v>
      </c>
      <c r="K33" s="4" t="n">
        <v>2778.46</v>
      </c>
      <c r="L33" s="4" t="n">
        <v>59531.38</v>
      </c>
      <c r="M33" s="5" t="n">
        <v>0.36022</v>
      </c>
      <c r="N33" s="6" t="n">
        <v>12</v>
      </c>
      <c r="O33" s="6" t="n">
        <v>2</v>
      </c>
      <c r="P33" s="4" t="n">
        <v>65341.64</v>
      </c>
      <c r="Q33" s="3" t="inlineStr">
        <is>
          <t>BLANCA TEMPRANA sem 4 y +</t>
        </is>
      </c>
      <c r="R33" s="3" t="inlineStr">
        <is>
          <t>CITRICOS</t>
        </is>
      </c>
      <c r="S33" s="7">
        <f>IFERROR(166.386*G33/D33,0)</f>
        <v/>
      </c>
      <c r="T33" s="7">
        <f>IFERROR(166.386*K33/D33,0)</f>
        <v/>
      </c>
      <c r="U33" s="7">
        <f>IFERROR(166.386*J33/D33,0)</f>
        <v/>
      </c>
    </row>
    <row r="34">
      <c r="A34" s="2" t="n">
        <v>1585</v>
      </c>
      <c r="B34" s="3" t="inlineStr">
        <is>
          <t>CESPEDES AGUILAR, PATRICIA</t>
        </is>
      </c>
      <c r="C34" s="3" t="inlineStr">
        <is>
          <t>SALUSTIANA</t>
        </is>
      </c>
      <c r="D34" s="2" t="n">
        <v>141229</v>
      </c>
      <c r="E34" s="4" t="n">
        <v>52584.63</v>
      </c>
      <c r="F34" s="5" t="n">
        <v>0.3723359225088332</v>
      </c>
      <c r="G34" s="4" t="n">
        <v>10234.55</v>
      </c>
      <c r="H34" s="4" t="n">
        <v>950.5599999999999</v>
      </c>
      <c r="I34" s="4" t="n">
        <v>0</v>
      </c>
      <c r="J34" s="4" t="n">
        <v>0</v>
      </c>
      <c r="K34" s="4" t="n">
        <v>2175.48</v>
      </c>
      <c r="L34" s="4" t="n">
        <v>43575</v>
      </c>
      <c r="M34" s="5" t="n">
        <v>0.33866</v>
      </c>
      <c r="N34" s="6" t="n">
        <v>12</v>
      </c>
      <c r="O34" s="6" t="n">
        <v>2</v>
      </c>
      <c r="P34" s="4" t="n">
        <v>47827.92</v>
      </c>
      <c r="Q34" s="3" t="inlineStr">
        <is>
          <t>BLANCA TEMPRANA sem 4 y +</t>
        </is>
      </c>
      <c r="R34" s="3" t="inlineStr">
        <is>
          <t>CITRICOS</t>
        </is>
      </c>
      <c r="S34" s="7">
        <f>IFERROR(166.386*G34/D34,0)</f>
        <v/>
      </c>
      <c r="T34" s="7">
        <f>IFERROR(166.386*K34/D34,0)</f>
        <v/>
      </c>
      <c r="U34" s="7">
        <f>IFERROR(166.386*J34/D34,0)</f>
        <v/>
      </c>
    </row>
    <row r="35">
      <c r="A35" s="2" t="n">
        <v>1597</v>
      </c>
      <c r="B35" s="3" t="inlineStr">
        <is>
          <t>CARBALLO SIRIA, ANTONIO JOSE</t>
        </is>
      </c>
      <c r="C35" s="3" t="inlineStr">
        <is>
          <t>SALUSTIANA</t>
        </is>
      </c>
      <c r="D35" s="2" t="n">
        <v>72085</v>
      </c>
      <c r="E35" s="4" t="n">
        <v>24202.59</v>
      </c>
      <c r="F35" s="5" t="n">
        <v>0.3357507109662204</v>
      </c>
      <c r="G35" s="4" t="n">
        <v>5190.12</v>
      </c>
      <c r="H35" s="4" t="n">
        <v>661.41</v>
      </c>
      <c r="I35" s="4" t="n">
        <v>0</v>
      </c>
      <c r="J35" s="4" t="n">
        <v>0</v>
      </c>
      <c r="K35" s="4" t="n">
        <v>0</v>
      </c>
      <c r="L35" s="4" t="n">
        <v>18351.06</v>
      </c>
      <c r="M35" s="5" t="n">
        <v>0.27942</v>
      </c>
      <c r="N35" s="6" t="n">
        <v>12</v>
      </c>
      <c r="O35" s="6" t="n">
        <v>2</v>
      </c>
      <c r="P35" s="4" t="n">
        <v>20142.12</v>
      </c>
      <c r="Q35" s="3" t="inlineStr">
        <is>
          <t>BLANCA TEMPRANA sem 4 y +</t>
        </is>
      </c>
      <c r="R35" s="3" t="inlineStr">
        <is>
          <t>CITRICOS</t>
        </is>
      </c>
      <c r="S35" s="7">
        <f>IFERROR(166.386*G35/D35,0)</f>
        <v/>
      </c>
      <c r="T35" s="7">
        <f>IFERROR(166.386*K35/D35,0)</f>
        <v/>
      </c>
      <c r="U35" s="7">
        <f>IFERROR(166.386*J35/D35,0)</f>
        <v/>
      </c>
    </row>
    <row r="36">
      <c r="A36" s="8" t="n"/>
      <c r="B36" s="9" t="inlineStr">
        <is>
          <t>TOTAL</t>
        </is>
      </c>
      <c r="C36" s="9" t="n"/>
      <c r="D36" s="8">
        <f>SUM(D2:D35)</f>
        <v/>
      </c>
      <c r="E36" s="10">
        <f>SUM(E2:E35)</f>
        <v/>
      </c>
      <c r="F36" s="11" t="n"/>
      <c r="G36" s="10">
        <f>SUM(G2:G35)</f>
        <v/>
      </c>
      <c r="H36" s="10">
        <f>SUM(H2:H35)</f>
        <v/>
      </c>
      <c r="I36" s="10">
        <f>SUM(I2:I35)</f>
        <v/>
      </c>
      <c r="J36" s="10">
        <f>SUM(J2:J35)</f>
        <v/>
      </c>
      <c r="K36" s="10">
        <f>SUM(K2:K35)</f>
        <v/>
      </c>
      <c r="L36" s="10">
        <f>SUM(L2:L35)</f>
        <v/>
      </c>
      <c r="M36" s="11">
        <f>IFERROR(P36/D36,0)</f>
        <v/>
      </c>
      <c r="N36" s="12" t="n"/>
      <c r="O36" s="12" t="n"/>
      <c r="P36" s="10">
        <f>SUM(P2:P35)</f>
        <v/>
      </c>
      <c r="Q36" s="9" t="n"/>
      <c r="R36" s="9" t="n"/>
      <c r="S36" s="13" t="n"/>
      <c r="T36" s="13" t="n"/>
      <c r="U36" s="13" t="n"/>
    </row>
  </sheetData>
  <autoFilter ref="A1:U3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Variedad</t>
        </is>
      </c>
      <c r="D1" t="inlineStr">
        <is>
          <t>Bon/Pen tarifa</t>
        </is>
      </c>
      <c r="E1" t="inlineStr">
        <is>
          <t>Fuente tarifa</t>
        </is>
      </c>
      <c r="F1" t="inlineStr">
        <is>
          <t>Hectáreas</t>
        </is>
      </c>
      <c r="G1" t="inlineStr">
        <is>
          <t>Precio/ha</t>
        </is>
      </c>
      <c r="H1" t="inlineStr">
        <is>
          <t>Cuota total socio</t>
        </is>
      </c>
      <c r="I1" t="inlineStr">
        <is>
          <t>Kilos efectivos totales</t>
        </is>
      </c>
      <c r="J1" t="inlineStr">
        <is>
          <t>Proporción €/kg</t>
        </is>
      </c>
      <c r="K1" t="inlineStr">
        <is>
          <t>Cuota parcial</t>
        </is>
      </c>
      <c r="L1" t="inlineStr">
        <is>
          <t>Ajuste redondeo</t>
        </is>
      </c>
    </row>
    <row r="2">
      <c r="A2" t="n">
        <v>869</v>
      </c>
      <c r="B2" t="inlineStr">
        <is>
          <t>IGEÑO LUQUE,JOSE</t>
        </is>
      </c>
      <c r="C2" t="inlineStr">
        <is>
          <t>SALUSTIANA</t>
        </is>
      </c>
      <c r="D2" t="n">
        <v>0</v>
      </c>
      <c r="E2" t="inlineStr">
        <is>
          <t>not_found</t>
        </is>
      </c>
      <c r="F2" t="n">
        <v>0.92</v>
      </c>
      <c r="G2" t="n">
        <v>195</v>
      </c>
      <c r="H2" t="n">
        <v>179.4</v>
      </c>
      <c r="I2" t="n">
        <v>34508</v>
      </c>
      <c r="J2" t="n">
        <v>0.005198794482438855</v>
      </c>
      <c r="K2" t="n">
        <v>179.4</v>
      </c>
      <c r="L2" t="n">
        <v>0</v>
      </c>
    </row>
    <row r="3">
      <c r="A3" t="n">
        <v>883</v>
      </c>
      <c r="B3" t="inlineStr">
        <is>
          <t>TORO SANCHEZ,TERESA</t>
        </is>
      </c>
      <c r="C3" t="inlineStr">
        <is>
          <t>SALUSTIANA</t>
        </is>
      </c>
      <c r="D3" t="n">
        <v>0</v>
      </c>
      <c r="E3" t="inlineStr">
        <is>
          <t>not_found</t>
        </is>
      </c>
      <c r="F3" t="n">
        <v>5.62</v>
      </c>
      <c r="G3" t="n">
        <v>195</v>
      </c>
      <c r="H3" t="n">
        <v>1095.9</v>
      </c>
      <c r="I3" t="n">
        <v>148816</v>
      </c>
      <c r="J3" t="n">
        <v>0.007364127513170626</v>
      </c>
      <c r="K3" t="n">
        <v>1036.55</v>
      </c>
      <c r="L3" t="n">
        <v>0</v>
      </c>
    </row>
    <row r="4">
      <c r="A4" t="n">
        <v>937</v>
      </c>
      <c r="B4" t="inlineStr">
        <is>
          <t>GALVEZ MACIAS,FRANCISCO</t>
        </is>
      </c>
      <c r="C4" t="inlineStr">
        <is>
          <t>SALUSTIANA</t>
        </is>
      </c>
      <c r="D4" t="n">
        <v>0</v>
      </c>
      <c r="E4" t="inlineStr">
        <is>
          <t>not_found</t>
        </is>
      </c>
      <c r="F4" t="n">
        <v>14.73</v>
      </c>
      <c r="G4" t="n">
        <v>195</v>
      </c>
      <c r="H4" t="n">
        <v>2872.35</v>
      </c>
      <c r="I4" t="n">
        <v>351445</v>
      </c>
      <c r="J4" t="n">
        <v>0.008172971588726543</v>
      </c>
      <c r="K4" t="n">
        <v>1730.23</v>
      </c>
      <c r="L4" t="n">
        <v>0</v>
      </c>
    </row>
    <row r="5">
      <c r="A5" t="n">
        <v>1072</v>
      </c>
      <c r="B5" t="inlineStr">
        <is>
          <t>GARCIA DELGADO,JUAN MANUEL</t>
        </is>
      </c>
      <c r="C5" t="inlineStr">
        <is>
          <t>SALUSTIANA</t>
        </is>
      </c>
      <c r="D5" t="n">
        <v>0</v>
      </c>
      <c r="E5" t="inlineStr">
        <is>
          <t>not_found</t>
        </is>
      </c>
      <c r="F5" t="n">
        <v>8.970000000000001</v>
      </c>
      <c r="G5" t="n">
        <v>195</v>
      </c>
      <c r="H5" t="n">
        <v>1749.15</v>
      </c>
      <c r="I5" t="n">
        <v>117422</v>
      </c>
      <c r="J5" t="n">
        <v>0.01489627156750864</v>
      </c>
      <c r="K5" t="n">
        <v>177.24</v>
      </c>
      <c r="L5" t="n">
        <v>0</v>
      </c>
    </row>
    <row r="6">
      <c r="A6" t="n">
        <v>1128</v>
      </c>
      <c r="B6" t="inlineStr">
        <is>
          <t>CARRILLO PEÑALVER,JOSE</t>
        </is>
      </c>
      <c r="C6" t="inlineStr">
        <is>
          <t>SALUSTIANA</t>
        </is>
      </c>
      <c r="D6" t="n">
        <v>0</v>
      </c>
      <c r="E6" t="inlineStr">
        <is>
          <t>not_found</t>
        </is>
      </c>
      <c r="F6" t="n">
        <v>4.12</v>
      </c>
      <c r="G6" t="n">
        <v>195</v>
      </c>
      <c r="H6" t="n">
        <v>803.4</v>
      </c>
      <c r="I6" t="n">
        <v>45545</v>
      </c>
      <c r="J6" t="n">
        <v>0.0176396970029641</v>
      </c>
      <c r="K6" t="n">
        <v>368.9</v>
      </c>
      <c r="L6" t="n">
        <v>0</v>
      </c>
    </row>
    <row r="7">
      <c r="A7" t="n">
        <v>1133</v>
      </c>
      <c r="B7" t="inlineStr">
        <is>
          <t>MAYFE S.C.</t>
        </is>
      </c>
      <c r="C7" t="inlineStr">
        <is>
          <t>SALUSTIANA</t>
        </is>
      </c>
      <c r="D7" t="n">
        <v>0</v>
      </c>
      <c r="E7" t="inlineStr">
        <is>
          <t>not_found</t>
        </is>
      </c>
      <c r="F7" t="n">
        <v>14.28</v>
      </c>
      <c r="G7" t="n">
        <v>195</v>
      </c>
      <c r="H7" t="n">
        <v>2784.6</v>
      </c>
      <c r="I7" t="n">
        <v>293106</v>
      </c>
      <c r="J7" t="n">
        <v>0.009500317291355346</v>
      </c>
      <c r="K7" t="n">
        <v>659.6</v>
      </c>
      <c r="L7" t="n">
        <v>0</v>
      </c>
    </row>
    <row r="8">
      <c r="A8" t="n">
        <v>1178</v>
      </c>
      <c r="B8" t="inlineStr">
        <is>
          <t>CALZADO GARCIA,FRANCISCO JAVIER</t>
        </is>
      </c>
      <c r="C8" t="inlineStr">
        <is>
          <t>SALUSTIANA</t>
        </is>
      </c>
      <c r="D8" t="n">
        <v>0</v>
      </c>
      <c r="E8" t="inlineStr">
        <is>
          <t>not_found</t>
        </is>
      </c>
      <c r="F8" t="n">
        <v>9.630000000000001</v>
      </c>
      <c r="G8" t="n">
        <v>195</v>
      </c>
      <c r="H8" t="n">
        <v>1877.85</v>
      </c>
      <c r="I8" t="n">
        <v>152504</v>
      </c>
      <c r="J8" t="n">
        <v>0.01231344751613072</v>
      </c>
      <c r="K8" t="n">
        <v>908.01</v>
      </c>
      <c r="L8" t="n">
        <v>0</v>
      </c>
    </row>
    <row r="9">
      <c r="A9" t="n">
        <v>1202</v>
      </c>
      <c r="B9" t="inlineStr">
        <is>
          <t>FUENTES HINOJOSA,MANUEL</t>
        </is>
      </c>
      <c r="C9" t="inlineStr">
        <is>
          <t>SALUSTIANA</t>
        </is>
      </c>
      <c r="D9" t="n">
        <v>0</v>
      </c>
      <c r="E9" t="inlineStr">
        <is>
          <t>not_found</t>
        </is>
      </c>
      <c r="F9" t="n">
        <v>2.36</v>
      </c>
      <c r="G9" t="n">
        <v>195</v>
      </c>
      <c r="H9" t="n">
        <v>460.2</v>
      </c>
      <c r="I9" t="n">
        <v>31005</v>
      </c>
      <c r="J9" t="n">
        <v>0.01484276729559748</v>
      </c>
      <c r="K9" t="n">
        <v>457.66</v>
      </c>
      <c r="L9" t="n">
        <v>0</v>
      </c>
    </row>
    <row r="10">
      <c r="A10" t="n">
        <v>1219</v>
      </c>
      <c r="B10" t="inlineStr">
        <is>
          <t>LORA BUIZA,GREGORIO</t>
        </is>
      </c>
      <c r="C10" t="inlineStr">
        <is>
          <t>SALUSTIANA</t>
        </is>
      </c>
      <c r="D10" t="n">
        <v>0</v>
      </c>
      <c r="E10" t="inlineStr">
        <is>
          <t>not_found</t>
        </is>
      </c>
      <c r="F10" t="n">
        <v>0.28</v>
      </c>
      <c r="G10" t="n">
        <v>195</v>
      </c>
      <c r="H10" t="n">
        <v>54.6</v>
      </c>
      <c r="I10" t="n">
        <v>7272</v>
      </c>
      <c r="J10" t="n">
        <v>0.007508250825082509</v>
      </c>
      <c r="K10" t="n">
        <v>27.62</v>
      </c>
      <c r="L10" t="n">
        <v>0</v>
      </c>
    </row>
    <row r="11">
      <c r="A11" t="n">
        <v>1251</v>
      </c>
      <c r="B11" t="inlineStr">
        <is>
          <t>DURAN ALMENARA,ANGELES</t>
        </is>
      </c>
      <c r="C11" t="inlineStr">
        <is>
          <t>SALUSTIANA</t>
        </is>
      </c>
      <c r="D11" t="n">
        <v>0</v>
      </c>
      <c r="E11" t="inlineStr">
        <is>
          <t>not_found</t>
        </is>
      </c>
      <c r="F11" t="n">
        <v>2.12</v>
      </c>
      <c r="G11" t="n">
        <v>195</v>
      </c>
      <c r="H11" t="n">
        <v>413.4</v>
      </c>
      <c r="I11" t="n">
        <v>90674</v>
      </c>
      <c r="J11" t="n">
        <v>0.004559190065509407</v>
      </c>
      <c r="K11" t="n">
        <v>176.61</v>
      </c>
      <c r="L11" t="n">
        <v>0</v>
      </c>
    </row>
    <row r="12">
      <c r="A12" t="n">
        <v>1272</v>
      </c>
      <c r="B12" t="inlineStr">
        <is>
          <t>HERMANOS GONZALEZ ROLDAN,S.C.</t>
        </is>
      </c>
      <c r="C12" t="inlineStr">
        <is>
          <t>SALUSTIANA</t>
        </is>
      </c>
      <c r="D12" t="n">
        <v>0.004394477</v>
      </c>
      <c r="E12" t="inlineStr">
        <is>
          <t>specific</t>
        </is>
      </c>
      <c r="F12" t="n">
        <v>60.01</v>
      </c>
      <c r="G12" t="n">
        <v>195</v>
      </c>
      <c r="H12" t="n">
        <v>11701.95</v>
      </c>
      <c r="I12" t="n">
        <v>636702</v>
      </c>
      <c r="J12" t="n">
        <v>0.01837900619127944</v>
      </c>
      <c r="K12" t="n">
        <v>1372.38</v>
      </c>
      <c r="L12" t="n">
        <v>0</v>
      </c>
    </row>
    <row r="13">
      <c r="A13" t="n">
        <v>1316</v>
      </c>
      <c r="B13" t="inlineStr">
        <is>
          <t>JIMENA GARCIA,JUAN MANUEL</t>
        </is>
      </c>
      <c r="C13" t="inlineStr">
        <is>
          <t>SALUSTIANA</t>
        </is>
      </c>
      <c r="D13" t="n">
        <v>0</v>
      </c>
      <c r="E13" t="inlineStr">
        <is>
          <t>not_found</t>
        </is>
      </c>
      <c r="F13" t="n">
        <v>3.23</v>
      </c>
      <c r="G13" t="n">
        <v>195</v>
      </c>
      <c r="H13" t="n">
        <v>629.85</v>
      </c>
      <c r="I13" t="n">
        <v>93689</v>
      </c>
      <c r="J13" t="n">
        <v>0.006722774285134861</v>
      </c>
      <c r="K13" t="n">
        <v>388.12</v>
      </c>
      <c r="L13" t="n">
        <v>0</v>
      </c>
    </row>
    <row r="14">
      <c r="A14" t="n">
        <v>1350</v>
      </c>
      <c r="B14" t="inlineStr">
        <is>
          <t>FAMILIA GONZALEZ LACAL S.C.</t>
        </is>
      </c>
      <c r="C14" t="inlineStr">
        <is>
          <t>SALUSTIANA</t>
        </is>
      </c>
      <c r="D14" t="n">
        <v>0</v>
      </c>
      <c r="E14" t="inlineStr">
        <is>
          <t>not_found</t>
        </is>
      </c>
      <c r="F14" t="n">
        <v>9.16</v>
      </c>
      <c r="G14" t="n">
        <v>195</v>
      </c>
      <c r="H14" t="n">
        <v>1786.2</v>
      </c>
      <c r="I14" t="n">
        <v>127892</v>
      </c>
      <c r="J14" t="n">
        <v>0.01396647171050574</v>
      </c>
      <c r="K14" t="n">
        <v>339.66</v>
      </c>
      <c r="L14" t="n">
        <v>0</v>
      </c>
    </row>
    <row r="15">
      <c r="A15" t="n">
        <v>1354</v>
      </c>
      <c r="B15" t="inlineStr">
        <is>
          <t>MARTIN PORTALES,ALFREDO</t>
        </is>
      </c>
      <c r="C15" t="inlineStr">
        <is>
          <t>SALUSTIANA</t>
        </is>
      </c>
      <c r="D15" t="n">
        <v>0</v>
      </c>
      <c r="E15" t="inlineStr">
        <is>
          <t>not_found</t>
        </is>
      </c>
      <c r="F15" t="n">
        <v>5.24</v>
      </c>
      <c r="G15" t="n">
        <v>195</v>
      </c>
      <c r="H15" t="n">
        <v>1021.8</v>
      </c>
      <c r="I15" t="n">
        <v>152989</v>
      </c>
      <c r="J15" t="n">
        <v>0.006678911555732765</v>
      </c>
      <c r="K15" t="n">
        <v>988.5599999999999</v>
      </c>
      <c r="L15" t="n">
        <v>0</v>
      </c>
    </row>
    <row r="16">
      <c r="A16" t="n">
        <v>1355</v>
      </c>
      <c r="B16" t="inlineStr">
        <is>
          <t>CANO MANZANARES,JUAN ANTONIO</t>
        </is>
      </c>
      <c r="C16" t="inlineStr">
        <is>
          <t>SALUSTIANA</t>
        </is>
      </c>
      <c r="D16" t="n">
        <v>0</v>
      </c>
      <c r="E16" t="inlineStr">
        <is>
          <t>not_found</t>
        </is>
      </c>
      <c r="F16" t="n">
        <v>7.21</v>
      </c>
      <c r="G16" t="n">
        <v>195</v>
      </c>
      <c r="H16" t="n">
        <v>1405.95</v>
      </c>
      <c r="I16" t="n">
        <v>357726</v>
      </c>
      <c r="J16" t="n">
        <v>0.003930242699719897</v>
      </c>
      <c r="K16" t="n">
        <v>836.58</v>
      </c>
      <c r="L16" t="n">
        <v>0</v>
      </c>
    </row>
    <row r="17">
      <c r="A17" t="n">
        <v>1374</v>
      </c>
      <c r="B17" t="inlineStr">
        <is>
          <t>MORENO SANCHEZ,JOSE ANTONIO</t>
        </is>
      </c>
      <c r="C17" t="inlineStr">
        <is>
          <t>SALUSTIANA</t>
        </is>
      </c>
      <c r="D17" t="n">
        <v>0</v>
      </c>
      <c r="E17" t="inlineStr">
        <is>
          <t>not_found</t>
        </is>
      </c>
      <c r="F17" t="n">
        <v>1.8</v>
      </c>
      <c r="G17" t="n">
        <v>195</v>
      </c>
      <c r="H17" t="n">
        <v>351</v>
      </c>
      <c r="I17" t="n">
        <v>63484</v>
      </c>
      <c r="J17" t="n">
        <v>0.005528952176926469</v>
      </c>
      <c r="K17" t="n">
        <v>285.84</v>
      </c>
      <c r="L17" t="n">
        <v>0</v>
      </c>
    </row>
    <row r="18">
      <c r="A18" t="n">
        <v>1389</v>
      </c>
      <c r="B18" t="inlineStr">
        <is>
          <t>AGRICOLA HUERTA LA MEJORA S.C.</t>
        </is>
      </c>
      <c r="C18" t="inlineStr">
        <is>
          <t>SALUSTIANA</t>
        </is>
      </c>
      <c r="D18" t="n">
        <v>0</v>
      </c>
      <c r="E18" t="inlineStr">
        <is>
          <t>not_found</t>
        </is>
      </c>
      <c r="F18" t="n">
        <v>4.32</v>
      </c>
      <c r="G18" t="n">
        <v>195</v>
      </c>
      <c r="H18" t="n">
        <v>842.4</v>
      </c>
      <c r="I18" t="n">
        <v>56000</v>
      </c>
      <c r="J18" t="n">
        <v>0.01504285714285714</v>
      </c>
      <c r="K18" t="n">
        <v>719.65</v>
      </c>
      <c r="L18" t="n">
        <v>0</v>
      </c>
    </row>
    <row r="19">
      <c r="A19" t="n">
        <v>1395</v>
      </c>
      <c r="B19" t="inlineStr">
        <is>
          <t>AGRICOLA HERMANOS BUIZA S.C.</t>
        </is>
      </c>
      <c r="C19" t="inlineStr">
        <is>
          <t>SALUSTIANA</t>
        </is>
      </c>
      <c r="D19" t="n">
        <v>0</v>
      </c>
      <c r="E19" t="inlineStr">
        <is>
          <t>not_found</t>
        </is>
      </c>
      <c r="F19" t="n">
        <v>8.27</v>
      </c>
      <c r="G19" t="n">
        <v>195</v>
      </c>
      <c r="H19" t="n">
        <v>1612.65</v>
      </c>
      <c r="I19" t="n">
        <v>426827</v>
      </c>
      <c r="J19" t="n">
        <v>0.003778228650015111</v>
      </c>
      <c r="K19" t="n">
        <v>86.45</v>
      </c>
      <c r="L19" t="n">
        <v>0</v>
      </c>
    </row>
    <row r="20">
      <c r="A20" t="n">
        <v>1411</v>
      </c>
      <c r="B20" t="inlineStr">
        <is>
          <t>HERMANOS PEÑA GRIÑAN S.C.</t>
        </is>
      </c>
      <c r="C20" t="inlineStr">
        <is>
          <t>SALUSTIANA</t>
        </is>
      </c>
      <c r="D20" t="n">
        <v>0</v>
      </c>
      <c r="E20" t="inlineStr">
        <is>
          <t>not_found</t>
        </is>
      </c>
      <c r="F20" t="n">
        <v>12.74</v>
      </c>
      <c r="G20" t="n">
        <v>195</v>
      </c>
      <c r="H20" t="n">
        <v>2484.3</v>
      </c>
      <c r="I20" t="n">
        <v>299255</v>
      </c>
      <c r="J20" t="n">
        <v>0.008301615678936024</v>
      </c>
      <c r="K20" t="n">
        <v>548.33</v>
      </c>
      <c r="L20" t="n">
        <v>0</v>
      </c>
    </row>
    <row r="21">
      <c r="A21" t="n">
        <v>1419</v>
      </c>
      <c r="B21" t="inlineStr">
        <is>
          <t>MORAL GARCIA,JOSE ANTONIO</t>
        </is>
      </c>
      <c r="C21" t="inlineStr">
        <is>
          <t>SALUSTIANA</t>
        </is>
      </c>
      <c r="D21" t="n">
        <v>0</v>
      </c>
      <c r="E21" t="inlineStr">
        <is>
          <t>not_found</t>
        </is>
      </c>
      <c r="F21" t="n">
        <v>3.83</v>
      </c>
      <c r="G21" t="n">
        <v>195</v>
      </c>
      <c r="H21" t="n">
        <v>746.85</v>
      </c>
      <c r="I21" t="n">
        <v>119951</v>
      </c>
      <c r="J21" t="n">
        <v>0.006226292402731115</v>
      </c>
      <c r="K21" t="n">
        <v>142.89</v>
      </c>
      <c r="L21" t="n">
        <v>0</v>
      </c>
    </row>
    <row r="22">
      <c r="A22" t="n">
        <v>1421</v>
      </c>
      <c r="B22" t="inlineStr">
        <is>
          <t>GARCIA GONZALEZ,ISIDORA</t>
        </is>
      </c>
      <c r="C22" t="inlineStr">
        <is>
          <t>SALUSTIANA</t>
        </is>
      </c>
      <c r="D22" t="n">
        <v>0</v>
      </c>
      <c r="E22" t="inlineStr">
        <is>
          <t>not_found</t>
        </is>
      </c>
      <c r="F22" t="n">
        <v>1.1</v>
      </c>
      <c r="G22" t="n">
        <v>195</v>
      </c>
      <c r="H22" t="n">
        <v>214.5</v>
      </c>
      <c r="I22" t="n">
        <v>36875</v>
      </c>
      <c r="J22" t="n">
        <v>0.005816949152542373</v>
      </c>
      <c r="K22" t="n">
        <v>214.5</v>
      </c>
      <c r="L22" t="n">
        <v>0</v>
      </c>
    </row>
    <row r="23">
      <c r="A23" t="n">
        <v>1443</v>
      </c>
      <c r="B23" t="inlineStr">
        <is>
          <t>TOMENO SUAREZ,ALBERTO</t>
        </is>
      </c>
      <c r="C23" t="inlineStr">
        <is>
          <t>SALUSTIANA</t>
        </is>
      </c>
      <c r="D23" t="n">
        <v>0</v>
      </c>
      <c r="E23" t="inlineStr">
        <is>
          <t>not_found</t>
        </is>
      </c>
      <c r="F23" t="n">
        <v>17.08</v>
      </c>
      <c r="G23" t="n">
        <v>195</v>
      </c>
      <c r="H23" t="n">
        <v>3330.6</v>
      </c>
      <c r="I23" t="n">
        <v>538619</v>
      </c>
      <c r="J23" t="n">
        <v>0.006183591741100852</v>
      </c>
      <c r="K23" t="n">
        <v>211.61</v>
      </c>
      <c r="L23" t="n">
        <v>0</v>
      </c>
    </row>
    <row r="24">
      <c r="A24" t="n">
        <v>1485</v>
      </c>
      <c r="B24" t="inlineStr">
        <is>
          <t>HNOS. CRESPO RUIZ S.C.</t>
        </is>
      </c>
      <c r="C24" t="inlineStr">
        <is>
          <t>SALUSTIANA</t>
        </is>
      </c>
      <c r="D24" t="n">
        <v>0</v>
      </c>
      <c r="E24" t="inlineStr">
        <is>
          <t>not_found</t>
        </is>
      </c>
      <c r="F24" t="n">
        <v>3.24</v>
      </c>
      <c r="G24" t="n">
        <v>195</v>
      </c>
      <c r="H24" t="n">
        <v>631.8</v>
      </c>
      <c r="I24" t="n">
        <v>145310</v>
      </c>
      <c r="J24" t="n">
        <v>0.004347945771110041</v>
      </c>
      <c r="K24" t="n">
        <v>625.39</v>
      </c>
      <c r="L24" t="n">
        <v>0</v>
      </c>
    </row>
    <row r="25">
      <c r="A25" t="n">
        <v>1512</v>
      </c>
      <c r="B25" t="inlineStr">
        <is>
          <t>HERNANDEZ MOLINA,ANTONIO</t>
        </is>
      </c>
      <c r="C25" t="inlineStr">
        <is>
          <t>SALUSTIANA</t>
        </is>
      </c>
      <c r="D25" t="n">
        <v>0</v>
      </c>
      <c r="E25" t="inlineStr">
        <is>
          <t>not_found</t>
        </is>
      </c>
      <c r="F25" t="n">
        <v>1.58</v>
      </c>
      <c r="G25" t="n">
        <v>195</v>
      </c>
      <c r="H25" t="n">
        <v>308.1</v>
      </c>
      <c r="I25" t="n">
        <v>44550</v>
      </c>
      <c r="J25" t="n">
        <v>0.006915824915824916</v>
      </c>
      <c r="K25" t="n">
        <v>284.75</v>
      </c>
      <c r="L25" t="n">
        <v>0</v>
      </c>
    </row>
    <row r="26">
      <c r="A26" t="n">
        <v>1523</v>
      </c>
      <c r="B26" t="inlineStr">
        <is>
          <t>RODRIGUEZ MEJÍAS, JOSE ANTONIO</t>
        </is>
      </c>
      <c r="C26" t="inlineStr">
        <is>
          <t>SALUSTIANA</t>
        </is>
      </c>
      <c r="D26" t="n">
        <v>0</v>
      </c>
      <c r="E26" t="inlineStr">
        <is>
          <t>not_found</t>
        </is>
      </c>
      <c r="F26" t="n">
        <v>21.63</v>
      </c>
      <c r="G26" t="n">
        <v>195</v>
      </c>
      <c r="H26" t="n">
        <v>4217.85</v>
      </c>
      <c r="I26" t="n">
        <v>580520</v>
      </c>
      <c r="J26" t="n">
        <v>0.007265641149314408</v>
      </c>
      <c r="K26" t="n">
        <v>1771.84</v>
      </c>
      <c r="L26" t="n">
        <v>0</v>
      </c>
    </row>
    <row r="27">
      <c r="A27" t="n">
        <v>1529</v>
      </c>
      <c r="B27" t="inlineStr">
        <is>
          <t>RAMOS BRUGAROLAS, JOSE</t>
        </is>
      </c>
      <c r="C27" t="inlineStr">
        <is>
          <t>SALUSTIANA</t>
        </is>
      </c>
      <c r="D27" t="n">
        <v>0</v>
      </c>
      <c r="E27" t="inlineStr">
        <is>
          <t>not_found</t>
        </is>
      </c>
      <c r="F27" t="n">
        <v>19.8</v>
      </c>
      <c r="G27" t="n">
        <v>195</v>
      </c>
      <c r="H27" t="n">
        <v>3861</v>
      </c>
      <c r="I27" t="n">
        <v>584085</v>
      </c>
      <c r="J27" t="n">
        <v>0.006610339248568273</v>
      </c>
      <c r="K27" t="n">
        <v>266.03</v>
      </c>
      <c r="L27" t="n">
        <v>0</v>
      </c>
    </row>
    <row r="28">
      <c r="A28" t="n">
        <v>1540</v>
      </c>
      <c r="B28" t="inlineStr">
        <is>
          <t>AGRICOLA SANCHEZ CUENCA S.C.</t>
        </is>
      </c>
      <c r="C28" t="inlineStr">
        <is>
          <t>SALUSTIANA</t>
        </is>
      </c>
      <c r="D28" t="n">
        <v>0</v>
      </c>
      <c r="E28" t="inlineStr">
        <is>
          <t>not_found</t>
        </is>
      </c>
      <c r="F28" t="n">
        <v>5.96</v>
      </c>
      <c r="G28" t="n">
        <v>195</v>
      </c>
      <c r="H28" t="n">
        <v>1162.2</v>
      </c>
      <c r="I28" t="n">
        <v>224459</v>
      </c>
      <c r="J28" t="n">
        <v>0.005177783024962242</v>
      </c>
      <c r="K28" t="n">
        <v>1040.63</v>
      </c>
      <c r="L28" t="n">
        <v>0</v>
      </c>
    </row>
    <row r="29">
      <c r="A29" t="n">
        <v>1544</v>
      </c>
      <c r="B29" t="inlineStr">
        <is>
          <t>HARO ORDOÑO, ALVARO</t>
        </is>
      </c>
      <c r="C29" t="inlineStr">
        <is>
          <t>SALUSTIANA</t>
        </is>
      </c>
      <c r="D29" t="n">
        <v>0</v>
      </c>
      <c r="E29" t="inlineStr">
        <is>
          <t>not_found</t>
        </is>
      </c>
      <c r="F29" t="n">
        <v>3.8</v>
      </c>
      <c r="G29" t="n">
        <v>195</v>
      </c>
      <c r="H29" t="n">
        <v>741</v>
      </c>
      <c r="I29" t="n">
        <v>131717</v>
      </c>
      <c r="J29" t="n">
        <v>0.005625697518163942</v>
      </c>
      <c r="K29" t="n">
        <v>169</v>
      </c>
      <c r="L29" t="n">
        <v>0</v>
      </c>
    </row>
    <row r="30">
      <c r="A30" t="n">
        <v>1564</v>
      </c>
      <c r="B30" t="inlineStr">
        <is>
          <t>VARELA MUÑOZ, ANTONIO</t>
        </is>
      </c>
      <c r="C30" t="inlineStr">
        <is>
          <t>SALUSTIANA</t>
        </is>
      </c>
      <c r="D30" t="n">
        <v>0</v>
      </c>
      <c r="E30" t="inlineStr">
        <is>
          <t>not_found</t>
        </is>
      </c>
      <c r="F30" t="n">
        <v>0.89</v>
      </c>
      <c r="G30" t="n">
        <v>195</v>
      </c>
      <c r="H30" t="n">
        <v>173.55</v>
      </c>
      <c r="I30" t="n">
        <v>29668</v>
      </c>
      <c r="J30" t="n">
        <v>0.005849737090467844</v>
      </c>
      <c r="K30" t="n">
        <v>163.87</v>
      </c>
      <c r="L30" t="n">
        <v>0</v>
      </c>
    </row>
    <row r="31">
      <c r="A31" t="n">
        <v>1577</v>
      </c>
      <c r="B31" t="inlineStr">
        <is>
          <t>GOMEZ GUERRERO, MARIA MERCEDES</t>
        </is>
      </c>
      <c r="C31" t="inlineStr">
        <is>
          <t>SALUSTIANA</t>
        </is>
      </c>
      <c r="D31" t="n">
        <v>0</v>
      </c>
      <c r="E31" t="inlineStr">
        <is>
          <t>not_found</t>
        </is>
      </c>
      <c r="F31" t="n">
        <v>7.35</v>
      </c>
      <c r="G31" t="n">
        <v>195</v>
      </c>
      <c r="H31" t="n">
        <v>1433.25</v>
      </c>
      <c r="I31" t="n">
        <v>224568</v>
      </c>
      <c r="J31" t="n">
        <v>0.006382253927540878</v>
      </c>
      <c r="K31" t="n">
        <v>891.5599999999999</v>
      </c>
      <c r="L31" t="n">
        <v>0</v>
      </c>
    </row>
    <row r="32">
      <c r="A32" t="n">
        <v>1579</v>
      </c>
      <c r="B32" t="inlineStr">
        <is>
          <t>PEREZ JIMENEZ, ALFONSA</t>
        </is>
      </c>
      <c r="C32" t="inlineStr">
        <is>
          <t>SALUSTIANA</t>
        </is>
      </c>
      <c r="D32" t="n">
        <v>0</v>
      </c>
      <c r="E32" t="inlineStr">
        <is>
          <t>not_found</t>
        </is>
      </c>
      <c r="F32" t="n">
        <v>0</v>
      </c>
      <c r="G32" t="n">
        <v>195</v>
      </c>
      <c r="H32" t="n">
        <v>0</v>
      </c>
      <c r="I32" t="n">
        <v>15197</v>
      </c>
      <c r="K32" t="n">
        <v>0</v>
      </c>
      <c r="L32" t="n">
        <v>0</v>
      </c>
    </row>
    <row r="33">
      <c r="A33" t="n">
        <v>1582</v>
      </c>
      <c r="B33" t="inlineStr">
        <is>
          <t>IGEÑO SANCHEZ, JOSE CARLOS</t>
        </is>
      </c>
      <c r="C33" t="inlineStr">
        <is>
          <t>SALUSTIANA</t>
        </is>
      </c>
      <c r="D33" t="n">
        <v>0</v>
      </c>
      <c r="E33" t="inlineStr">
        <is>
          <t>not_found</t>
        </is>
      </c>
      <c r="F33" t="n">
        <v>5.11</v>
      </c>
      <c r="G33" t="n">
        <v>195</v>
      </c>
      <c r="H33" t="n">
        <v>996.45</v>
      </c>
      <c r="I33" t="n">
        <v>208412</v>
      </c>
      <c r="J33" t="n">
        <v>0.004781154636009443</v>
      </c>
      <c r="K33" t="n">
        <v>867.27</v>
      </c>
      <c r="L33" t="n">
        <v>0</v>
      </c>
    </row>
    <row r="34">
      <c r="A34" t="n">
        <v>1585</v>
      </c>
      <c r="B34" t="inlineStr">
        <is>
          <t>CESPEDES AGUILAR, PATRICIA</t>
        </is>
      </c>
      <c r="C34" t="inlineStr">
        <is>
          <t>SALUSTIANA</t>
        </is>
      </c>
      <c r="D34" t="n">
        <v>0</v>
      </c>
      <c r="E34" t="inlineStr">
        <is>
          <t>not_found</t>
        </is>
      </c>
      <c r="F34" t="n">
        <v>8.34</v>
      </c>
      <c r="G34" t="n">
        <v>195</v>
      </c>
      <c r="H34" t="n">
        <v>1626.3</v>
      </c>
      <c r="I34" t="n">
        <v>241627</v>
      </c>
      <c r="J34" t="n">
        <v>0.006730621991747611</v>
      </c>
      <c r="K34" t="n">
        <v>950.5599999999999</v>
      </c>
      <c r="L34" t="n">
        <v>0</v>
      </c>
    </row>
    <row r="35">
      <c r="A35" t="n">
        <v>1597</v>
      </c>
      <c r="B35" t="inlineStr">
        <is>
          <t>CARBALLO SIRIA, ANTONIO JOSE</t>
        </is>
      </c>
      <c r="C35" t="inlineStr">
        <is>
          <t>SALUSTIANA</t>
        </is>
      </c>
      <c r="D35" t="n">
        <v>0</v>
      </c>
      <c r="E35" t="inlineStr">
        <is>
          <t>not_found</t>
        </is>
      </c>
      <c r="F35" t="n">
        <v>5.63</v>
      </c>
      <c r="G35" t="n">
        <v>195</v>
      </c>
      <c r="H35" t="n">
        <v>1097.85</v>
      </c>
      <c r="I35" t="n">
        <v>119651</v>
      </c>
      <c r="J35" t="n">
        <v>0.00917543522411012</v>
      </c>
      <c r="K35" t="n">
        <v>661.41</v>
      </c>
      <c r="L3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1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IdSocio</t>
        </is>
      </c>
      <c r="B1" t="inlineStr">
        <is>
          <t>Nombre socio</t>
        </is>
      </c>
      <c r="C1" t="inlineStr">
        <is>
          <t>Boleta DEEPP</t>
        </is>
      </c>
      <c r="D1" t="inlineStr">
        <is>
          <t>Cultivo DEEPP</t>
        </is>
      </c>
      <c r="E1" t="inlineStr">
        <is>
          <t>Campaña DEEPP</t>
        </is>
      </c>
      <c r="F1" t="inlineStr">
        <is>
          <t>Empresa DEEPP</t>
        </is>
      </c>
      <c r="G1" t="inlineStr">
        <is>
          <t>CHA original</t>
        </is>
      </c>
      <c r="H1" t="inlineStr">
        <is>
          <t>CHA activo</t>
        </is>
      </c>
      <c r="I1" t="inlineStr">
        <is>
          <t>Baja DEEPP</t>
        </is>
      </c>
      <c r="J1" t="inlineStr">
        <is>
          <t>Boleta DParcela</t>
        </is>
      </c>
      <c r="K1" t="inlineStr">
        <is>
          <t>Campaña DParcela</t>
        </is>
      </c>
      <c r="L1" t="inlineStr">
        <is>
          <t>Empresa DParcela</t>
        </is>
      </c>
      <c r="M1" t="inlineStr">
        <is>
          <t>Cultivo DParcela</t>
        </is>
      </c>
      <c r="N1" t="inlineStr">
        <is>
          <t>IdPM</t>
        </is>
      </c>
      <c r="O1" t="inlineStr">
        <is>
          <t>Pol</t>
        </is>
      </c>
      <c r="P1" t="inlineStr">
        <is>
          <t>Par</t>
        </is>
      </c>
      <c r="Q1" t="inlineStr">
        <is>
          <t>Rec</t>
        </is>
      </c>
      <c r="R1" t="inlineStr">
        <is>
          <t>SupCul DParcela</t>
        </is>
      </c>
      <c r="S1" t="inlineStr">
        <is>
          <t>SupRec</t>
        </is>
      </c>
      <c r="T1" t="inlineStr">
        <is>
          <t>SupApor</t>
        </is>
      </c>
      <c r="U1" t="inlineStr">
        <is>
          <t>Baja DParcela</t>
        </is>
      </c>
      <c r="V1" t="inlineStr">
        <is>
          <t>Incluida</t>
        </is>
      </c>
      <c r="W1" t="inlineStr">
        <is>
          <t>Motivo exclusión</t>
        </is>
      </c>
      <c r="X1" t="inlineStr">
        <is>
          <t>Clave deduplicación</t>
        </is>
      </c>
    </row>
    <row r="2">
      <c r="A2" t="n">
        <v>869</v>
      </c>
      <c r="B2" t="inlineStr">
        <is>
          <t>IGEÑO LUQUE,JOSE</t>
        </is>
      </c>
      <c r="C2" t="n">
        <v>51</v>
      </c>
      <c r="D2" t="inlineStr">
        <is>
          <t>CITRICOS</t>
        </is>
      </c>
      <c r="E2" t="n">
        <v>2026</v>
      </c>
      <c r="F2" t="n">
        <v>1</v>
      </c>
      <c r="G2" t="n">
        <v>1</v>
      </c>
      <c r="H2" t="inlineStr">
        <is>
          <t>Sí</t>
        </is>
      </c>
      <c r="J2" t="n">
        <v>51</v>
      </c>
      <c r="K2" t="n">
        <v>2026</v>
      </c>
      <c r="L2" t="inlineStr">
        <is>
          <t>1</t>
        </is>
      </c>
      <c r="M2" t="inlineStr">
        <is>
          <t>CITRICOS</t>
        </is>
      </c>
      <c r="N2" t="inlineStr">
        <is>
          <t>41055</t>
        </is>
      </c>
      <c r="O2" t="inlineStr">
        <is>
          <t>12</t>
        </is>
      </c>
      <c r="P2" t="inlineStr">
        <is>
          <t>112</t>
        </is>
      </c>
      <c r="Q2" t="inlineStr">
        <is>
          <t>2</t>
        </is>
      </c>
      <c r="R2" t="n">
        <v>0.58</v>
      </c>
      <c r="S2" t="n">
        <v>0.59146</v>
      </c>
      <c r="T2" t="n">
        <v>0.59</v>
      </c>
      <c r="V2" t="inlineStr">
        <is>
          <t>Sí</t>
        </is>
      </c>
      <c r="W2" t="inlineStr"/>
    </row>
    <row r="3">
      <c r="A3" t="n">
        <v>869</v>
      </c>
      <c r="B3" t="inlineStr">
        <is>
          <t>IGEÑO LUQUE,JOSE</t>
        </is>
      </c>
      <c r="C3" t="n">
        <v>51</v>
      </c>
      <c r="D3" t="inlineStr">
        <is>
          <t>CITRICOS</t>
        </is>
      </c>
      <c r="E3" t="n">
        <v>2026</v>
      </c>
      <c r="F3" t="n">
        <v>1</v>
      </c>
      <c r="G3" t="n">
        <v>1</v>
      </c>
      <c r="H3" t="inlineStr">
        <is>
          <t>Sí</t>
        </is>
      </c>
      <c r="J3" t="n">
        <v>51</v>
      </c>
      <c r="K3" t="n">
        <v>2026</v>
      </c>
      <c r="L3" t="inlineStr">
        <is>
          <t>1</t>
        </is>
      </c>
      <c r="M3" t="inlineStr">
        <is>
          <t>CITRICOS</t>
        </is>
      </c>
      <c r="N3" t="inlineStr">
        <is>
          <t>41055</t>
        </is>
      </c>
      <c r="O3" t="inlineStr">
        <is>
          <t>12</t>
        </is>
      </c>
      <c r="P3" t="inlineStr">
        <is>
          <t>119</t>
        </is>
      </c>
      <c r="Q3" t="inlineStr">
        <is>
          <t>1</t>
        </is>
      </c>
      <c r="R3" t="n">
        <v>0.34</v>
      </c>
      <c r="S3" t="n">
        <v>0.335485</v>
      </c>
      <c r="T3" t="n">
        <v>0.32</v>
      </c>
      <c r="V3" t="inlineStr">
        <is>
          <t>Sí</t>
        </is>
      </c>
      <c r="W3" t="inlineStr"/>
    </row>
    <row r="4">
      <c r="A4" t="n">
        <v>883</v>
      </c>
      <c r="B4" t="inlineStr">
        <is>
          <t>TORO SANCHEZ,TERESA</t>
        </is>
      </c>
      <c r="C4" t="n">
        <v>512</v>
      </c>
      <c r="D4" t="inlineStr">
        <is>
          <t>CITRICOS</t>
        </is>
      </c>
      <c r="E4" t="n">
        <v>2026</v>
      </c>
      <c r="F4" t="n">
        <v>1</v>
      </c>
      <c r="G4" t="n">
        <v>1</v>
      </c>
      <c r="H4" t="inlineStr">
        <is>
          <t>Sí</t>
        </is>
      </c>
      <c r="J4" t="n">
        <v>512</v>
      </c>
      <c r="K4" t="n">
        <v>2026</v>
      </c>
      <c r="L4" t="inlineStr">
        <is>
          <t>1</t>
        </is>
      </c>
      <c r="M4" t="inlineStr">
        <is>
          <t>CITRICOS</t>
        </is>
      </c>
      <c r="N4" t="inlineStr">
        <is>
          <t>41055</t>
        </is>
      </c>
      <c r="O4" t="inlineStr">
        <is>
          <t>12</t>
        </is>
      </c>
      <c r="P4" t="inlineStr">
        <is>
          <t>62</t>
        </is>
      </c>
      <c r="Q4" t="inlineStr">
        <is>
          <t>1</t>
        </is>
      </c>
      <c r="R4" t="n">
        <v>3.24</v>
      </c>
      <c r="S4" t="n">
        <v>5.621029</v>
      </c>
      <c r="T4" t="n">
        <v>3.24</v>
      </c>
      <c r="V4" t="inlineStr">
        <is>
          <t>Sí</t>
        </is>
      </c>
      <c r="W4" t="inlineStr"/>
    </row>
    <row r="5">
      <c r="A5" t="n">
        <v>883</v>
      </c>
      <c r="B5" t="inlineStr">
        <is>
          <t>TORO SANCHEZ,TERESA</t>
        </is>
      </c>
      <c r="C5" t="n">
        <v>512</v>
      </c>
      <c r="D5" t="inlineStr">
        <is>
          <t>CITRICOS</t>
        </is>
      </c>
      <c r="E5" t="n">
        <v>2026</v>
      </c>
      <c r="F5" t="n">
        <v>1</v>
      </c>
      <c r="G5" t="n">
        <v>1</v>
      </c>
      <c r="H5" t="inlineStr">
        <is>
          <t>Sí</t>
        </is>
      </c>
      <c r="J5" t="n">
        <v>512</v>
      </c>
      <c r="K5" t="n">
        <v>2026</v>
      </c>
      <c r="L5" t="inlineStr">
        <is>
          <t>1</t>
        </is>
      </c>
      <c r="M5" t="inlineStr">
        <is>
          <t>CITRICOS</t>
        </is>
      </c>
      <c r="N5" t="inlineStr">
        <is>
          <t>41055</t>
        </is>
      </c>
      <c r="O5" t="inlineStr">
        <is>
          <t>12</t>
        </is>
      </c>
      <c r="P5" t="inlineStr">
        <is>
          <t>62</t>
        </is>
      </c>
      <c r="Q5" t="inlineStr">
        <is>
          <t>1</t>
        </is>
      </c>
      <c r="R5" t="n">
        <v>2.38</v>
      </c>
      <c r="S5" t="n">
        <v>5.621029</v>
      </c>
      <c r="T5" t="n">
        <v>2.37</v>
      </c>
      <c r="V5" t="inlineStr">
        <is>
          <t>Sí</t>
        </is>
      </c>
      <c r="W5" t="inlineStr"/>
    </row>
    <row r="6">
      <c r="A6" t="n">
        <v>937</v>
      </c>
      <c r="B6" t="inlineStr">
        <is>
          <t>GALVEZ MACIAS,FRANCISCO</t>
        </is>
      </c>
      <c r="C6" t="n">
        <v>152</v>
      </c>
      <c r="D6" t="inlineStr">
        <is>
          <t>CITRICOS</t>
        </is>
      </c>
      <c r="E6" t="n">
        <v>2026</v>
      </c>
      <c r="F6" t="n">
        <v>1</v>
      </c>
      <c r="G6" t="n">
        <v>1</v>
      </c>
      <c r="H6" t="inlineStr">
        <is>
          <t>Sí</t>
        </is>
      </c>
      <c r="J6" t="n">
        <v>152</v>
      </c>
      <c r="K6" t="n">
        <v>2026</v>
      </c>
      <c r="L6" t="inlineStr">
        <is>
          <t>1</t>
        </is>
      </c>
      <c r="M6" t="inlineStr">
        <is>
          <t>CITRICOS</t>
        </is>
      </c>
      <c r="N6" t="inlineStr">
        <is>
          <t>41055</t>
        </is>
      </c>
      <c r="O6" t="inlineStr">
        <is>
          <t>12</t>
        </is>
      </c>
      <c r="P6" t="inlineStr">
        <is>
          <t>66</t>
        </is>
      </c>
      <c r="Q6" t="inlineStr">
        <is>
          <t>3</t>
        </is>
      </c>
      <c r="R6" t="n">
        <v>0.35</v>
      </c>
      <c r="S6" t="n">
        <v>0.350155</v>
      </c>
      <c r="T6" t="n">
        <v>0.35</v>
      </c>
      <c r="V6" t="inlineStr">
        <is>
          <t>Sí</t>
        </is>
      </c>
      <c r="W6" t="inlineStr"/>
    </row>
    <row r="7">
      <c r="A7" t="n">
        <v>937</v>
      </c>
      <c r="B7" t="inlineStr">
        <is>
          <t>GALVEZ MACIAS,FRANCISCO</t>
        </is>
      </c>
      <c r="C7" t="n">
        <v>152</v>
      </c>
      <c r="D7" t="inlineStr">
        <is>
          <t>CITRICOS</t>
        </is>
      </c>
      <c r="E7" t="n">
        <v>2026</v>
      </c>
      <c r="F7" t="n">
        <v>1</v>
      </c>
      <c r="G7" t="n">
        <v>1</v>
      </c>
      <c r="H7" t="inlineStr">
        <is>
          <t>Sí</t>
        </is>
      </c>
      <c r="J7" t="n">
        <v>152</v>
      </c>
      <c r="K7" t="n">
        <v>2026</v>
      </c>
      <c r="L7" t="inlineStr">
        <is>
          <t>1</t>
        </is>
      </c>
      <c r="M7" t="inlineStr">
        <is>
          <t>CITRICOS</t>
        </is>
      </c>
      <c r="N7" t="inlineStr">
        <is>
          <t>41055</t>
        </is>
      </c>
      <c r="O7" t="inlineStr">
        <is>
          <t>12</t>
        </is>
      </c>
      <c r="P7" t="inlineStr">
        <is>
          <t>65</t>
        </is>
      </c>
      <c r="Q7" t="inlineStr">
        <is>
          <t>3</t>
        </is>
      </c>
      <c r="R7" t="n">
        <v>4.39</v>
      </c>
      <c r="S7" t="n">
        <v>4.390291</v>
      </c>
      <c r="T7" t="n">
        <v>4.39</v>
      </c>
      <c r="V7" t="inlineStr">
        <is>
          <t>Sí</t>
        </is>
      </c>
      <c r="W7" t="inlineStr"/>
    </row>
    <row r="8">
      <c r="A8" t="n">
        <v>937</v>
      </c>
      <c r="B8" t="inlineStr">
        <is>
          <t>GALVEZ MACIAS,FRANCISCO</t>
        </is>
      </c>
      <c r="C8" t="n">
        <v>152</v>
      </c>
      <c r="D8" t="inlineStr">
        <is>
          <t>CITRICOS</t>
        </is>
      </c>
      <c r="E8" t="n">
        <v>2026</v>
      </c>
      <c r="F8" t="n">
        <v>1</v>
      </c>
      <c r="G8" t="n">
        <v>1</v>
      </c>
      <c r="H8" t="inlineStr">
        <is>
          <t>Sí</t>
        </is>
      </c>
      <c r="J8" t="n">
        <v>152</v>
      </c>
      <c r="K8" t="n">
        <v>2026</v>
      </c>
      <c r="L8" t="inlineStr">
        <is>
          <t>1</t>
        </is>
      </c>
      <c r="M8" t="inlineStr">
        <is>
          <t>CITRICOS</t>
        </is>
      </c>
      <c r="N8" t="inlineStr">
        <is>
          <t>41055</t>
        </is>
      </c>
      <c r="O8" t="inlineStr">
        <is>
          <t>12</t>
        </is>
      </c>
      <c r="P8" t="inlineStr">
        <is>
          <t>66</t>
        </is>
      </c>
      <c r="Q8" t="inlineStr">
        <is>
          <t>4</t>
        </is>
      </c>
      <c r="R8" t="n">
        <v>1.15</v>
      </c>
      <c r="S8" t="n">
        <v>1.153439</v>
      </c>
      <c r="T8" t="n">
        <v>1.15</v>
      </c>
      <c r="V8" t="inlineStr">
        <is>
          <t>Sí</t>
        </is>
      </c>
      <c r="W8" t="inlineStr"/>
    </row>
    <row r="9">
      <c r="A9" t="n">
        <v>937</v>
      </c>
      <c r="B9" t="inlineStr">
        <is>
          <t>GALVEZ MACIAS,FRANCISCO</t>
        </is>
      </c>
      <c r="C9" t="n">
        <v>153</v>
      </c>
      <c r="D9" t="inlineStr">
        <is>
          <t>CITRICOS</t>
        </is>
      </c>
      <c r="E9" t="n">
        <v>2026</v>
      </c>
      <c r="F9" t="n">
        <v>1</v>
      </c>
      <c r="G9" t="n">
        <v>1</v>
      </c>
      <c r="H9" t="inlineStr">
        <is>
          <t>Sí</t>
        </is>
      </c>
      <c r="J9" t="n">
        <v>153</v>
      </c>
      <c r="K9" t="n">
        <v>2026</v>
      </c>
      <c r="L9" t="inlineStr">
        <is>
          <t>1</t>
        </is>
      </c>
      <c r="M9" t="inlineStr">
        <is>
          <t>CITRICOS</t>
        </is>
      </c>
      <c r="N9" t="inlineStr">
        <is>
          <t>41055</t>
        </is>
      </c>
      <c r="O9" t="inlineStr">
        <is>
          <t>34</t>
        </is>
      </c>
      <c r="P9" t="inlineStr">
        <is>
          <t>23</t>
        </is>
      </c>
      <c r="Q9" t="inlineStr">
        <is>
          <t>1</t>
        </is>
      </c>
      <c r="R9" t="n">
        <v>2.55</v>
      </c>
      <c r="S9" t="n">
        <v>2.554742</v>
      </c>
      <c r="T9" t="n">
        <v>2.55</v>
      </c>
      <c r="V9" t="inlineStr">
        <is>
          <t>Sí</t>
        </is>
      </c>
      <c r="W9" t="inlineStr"/>
    </row>
    <row r="10">
      <c r="A10" t="n">
        <v>937</v>
      </c>
      <c r="B10" t="inlineStr">
        <is>
          <t>GALVEZ MACIAS,FRANCISCO</t>
        </is>
      </c>
      <c r="C10" t="n">
        <v>440</v>
      </c>
      <c r="D10" t="inlineStr">
        <is>
          <t>CITRICOS</t>
        </is>
      </c>
      <c r="E10" t="n">
        <v>2026</v>
      </c>
      <c r="F10" t="n">
        <v>1</v>
      </c>
      <c r="G10" t="n">
        <v>1</v>
      </c>
      <c r="H10" t="inlineStr">
        <is>
          <t>Sí</t>
        </is>
      </c>
      <c r="J10" t="n">
        <v>440</v>
      </c>
      <c r="K10" t="n">
        <v>2026</v>
      </c>
      <c r="L10" t="inlineStr">
        <is>
          <t>1</t>
        </is>
      </c>
      <c r="M10" t="inlineStr">
        <is>
          <t>CITRICOS</t>
        </is>
      </c>
      <c r="N10" t="inlineStr">
        <is>
          <t>41055</t>
        </is>
      </c>
      <c r="O10" t="inlineStr">
        <is>
          <t>12</t>
        </is>
      </c>
      <c r="P10" t="inlineStr">
        <is>
          <t>42</t>
        </is>
      </c>
      <c r="Q10" t="inlineStr">
        <is>
          <t>1</t>
        </is>
      </c>
      <c r="R10" t="n">
        <v>3.5</v>
      </c>
      <c r="S10" t="n">
        <v>3.496083</v>
      </c>
      <c r="T10" t="n">
        <v>3.49</v>
      </c>
      <c r="V10" t="inlineStr">
        <is>
          <t>Sí</t>
        </is>
      </c>
      <c r="W10" t="inlineStr"/>
    </row>
    <row r="11">
      <c r="A11" t="n">
        <v>937</v>
      </c>
      <c r="B11" t="inlineStr">
        <is>
          <t>GALVEZ MACIAS,FRANCISCO</t>
        </is>
      </c>
      <c r="C11" t="n">
        <v>588</v>
      </c>
      <c r="D11" t="inlineStr">
        <is>
          <t>CITRICOS</t>
        </is>
      </c>
      <c r="E11" t="n">
        <v>2026</v>
      </c>
      <c r="F11" t="n">
        <v>1</v>
      </c>
      <c r="G11" t="n">
        <v>1</v>
      </c>
      <c r="H11" t="inlineStr">
        <is>
          <t>Sí</t>
        </is>
      </c>
      <c r="J11" t="n">
        <v>588</v>
      </c>
      <c r="K11" t="n">
        <v>2026</v>
      </c>
      <c r="L11" t="inlineStr">
        <is>
          <t>1</t>
        </is>
      </c>
      <c r="M11" t="inlineStr">
        <is>
          <t>CITRICOS</t>
        </is>
      </c>
      <c r="N11" t="inlineStr">
        <is>
          <t>41055</t>
        </is>
      </c>
      <c r="O11" t="inlineStr">
        <is>
          <t>28</t>
        </is>
      </c>
      <c r="P11" t="inlineStr">
        <is>
          <t>29</t>
        </is>
      </c>
      <c r="Q11" t="inlineStr">
        <is>
          <t>1</t>
        </is>
      </c>
      <c r="R11" t="n">
        <v>2.79</v>
      </c>
      <c r="S11" t="n">
        <v>0</v>
      </c>
      <c r="T11" t="n">
        <v>2.79</v>
      </c>
      <c r="V11" t="inlineStr">
        <is>
          <t>Sí</t>
        </is>
      </c>
      <c r="W11" t="inlineStr"/>
    </row>
    <row r="12">
      <c r="A12" t="n">
        <v>1072</v>
      </c>
      <c r="B12" t="inlineStr">
        <is>
          <t>GARCIA DELGADO,JUAN MANUEL</t>
        </is>
      </c>
      <c r="C12" t="n">
        <v>164</v>
      </c>
      <c r="D12" t="inlineStr">
        <is>
          <t>CITRICOS</t>
        </is>
      </c>
      <c r="E12" t="n">
        <v>2026</v>
      </c>
      <c r="F12" t="n">
        <v>1</v>
      </c>
      <c r="G12" t="n">
        <v>1</v>
      </c>
      <c r="H12" t="inlineStr">
        <is>
          <t>Sí</t>
        </is>
      </c>
      <c r="J12" t="n">
        <v>164</v>
      </c>
      <c r="K12" t="n">
        <v>2026</v>
      </c>
      <c r="L12" t="inlineStr">
        <is>
          <t>1</t>
        </is>
      </c>
      <c r="M12" t="inlineStr">
        <is>
          <t>CITRICOS</t>
        </is>
      </c>
      <c r="N12" t="inlineStr">
        <is>
          <t>41055</t>
        </is>
      </c>
      <c r="O12" t="inlineStr">
        <is>
          <t>11</t>
        </is>
      </c>
      <c r="P12" t="inlineStr">
        <is>
          <t>90</t>
        </is>
      </c>
      <c r="Q12" t="inlineStr">
        <is>
          <t>8</t>
        </is>
      </c>
      <c r="R12" t="n">
        <v>1.38</v>
      </c>
      <c r="S12" t="n">
        <v>1.380214</v>
      </c>
      <c r="T12" t="n">
        <v>1.38</v>
      </c>
      <c r="V12" t="inlineStr">
        <is>
          <t>Sí</t>
        </is>
      </c>
      <c r="W12" t="inlineStr"/>
    </row>
    <row r="13">
      <c r="A13" t="n">
        <v>1072</v>
      </c>
      <c r="B13" t="inlineStr">
        <is>
          <t>GARCIA DELGADO,JUAN MANUEL</t>
        </is>
      </c>
      <c r="C13" t="n">
        <v>617</v>
      </c>
      <c r="D13" t="inlineStr">
        <is>
          <t>CITRICOS</t>
        </is>
      </c>
      <c r="E13" t="n">
        <v>2026</v>
      </c>
      <c r="F13" t="n">
        <v>1</v>
      </c>
      <c r="G13" t="n">
        <v>1</v>
      </c>
      <c r="H13" t="inlineStr">
        <is>
          <t>Sí</t>
        </is>
      </c>
      <c r="J13" t="n">
        <v>617</v>
      </c>
      <c r="K13" t="n">
        <v>2026</v>
      </c>
      <c r="L13" t="inlineStr">
        <is>
          <t>1</t>
        </is>
      </c>
      <c r="M13" t="inlineStr">
        <is>
          <t>CITRICOS</t>
        </is>
      </c>
      <c r="N13" t="inlineStr">
        <is>
          <t>41055</t>
        </is>
      </c>
      <c r="O13" t="inlineStr">
        <is>
          <t>13</t>
        </is>
      </c>
      <c r="P13" t="inlineStr">
        <is>
          <t>219</t>
        </is>
      </c>
      <c r="Q13" t="inlineStr">
        <is>
          <t>2</t>
        </is>
      </c>
      <c r="R13" t="n">
        <v>4.06</v>
      </c>
      <c r="S13" t="n">
        <v>4.06</v>
      </c>
      <c r="T13" t="n">
        <v>4.06</v>
      </c>
      <c r="V13" t="inlineStr">
        <is>
          <t>Sí</t>
        </is>
      </c>
      <c r="W13" t="inlineStr"/>
    </row>
    <row r="14">
      <c r="A14" t="n">
        <v>1072</v>
      </c>
      <c r="B14" t="inlineStr">
        <is>
          <t>GARCIA DELGADO,JUAN MANUEL</t>
        </is>
      </c>
      <c r="C14" t="n">
        <v>617</v>
      </c>
      <c r="D14" t="inlineStr">
        <is>
          <t>CITRICOS</t>
        </is>
      </c>
      <c r="E14" t="n">
        <v>2026</v>
      </c>
      <c r="F14" t="n">
        <v>1</v>
      </c>
      <c r="G14" t="n">
        <v>1</v>
      </c>
      <c r="H14" t="inlineStr">
        <is>
          <t>Sí</t>
        </is>
      </c>
      <c r="J14" t="n">
        <v>617</v>
      </c>
      <c r="K14" t="n">
        <v>2026</v>
      </c>
      <c r="L14" t="inlineStr">
        <is>
          <t>1</t>
        </is>
      </c>
      <c r="M14" t="inlineStr">
        <is>
          <t>CITRICOS</t>
        </is>
      </c>
      <c r="N14" t="inlineStr">
        <is>
          <t>41055</t>
        </is>
      </c>
      <c r="O14" t="inlineStr">
        <is>
          <t>13</t>
        </is>
      </c>
      <c r="P14" t="inlineStr">
        <is>
          <t>283</t>
        </is>
      </c>
      <c r="Q14" t="inlineStr">
        <is>
          <t>1</t>
        </is>
      </c>
      <c r="R14" t="n">
        <v>3.53</v>
      </c>
      <c r="S14" t="n">
        <v>3.53</v>
      </c>
      <c r="T14" t="n">
        <v>3.53</v>
      </c>
      <c r="V14" t="inlineStr">
        <is>
          <t>Sí</t>
        </is>
      </c>
      <c r="W14" t="inlineStr"/>
    </row>
    <row r="15">
      <c r="A15" t="n">
        <v>1128</v>
      </c>
      <c r="B15" t="inlineStr">
        <is>
          <t>CARRILLO PEÑALVER,JOSE</t>
        </is>
      </c>
      <c r="C15" t="n">
        <v>120</v>
      </c>
      <c r="D15" t="inlineStr">
        <is>
          <t>CITRICOS</t>
        </is>
      </c>
      <c r="E15" t="n">
        <v>2026</v>
      </c>
      <c r="F15" t="n">
        <v>1</v>
      </c>
      <c r="G15" t="n">
        <v>1</v>
      </c>
      <c r="H15" t="inlineStr">
        <is>
          <t>Sí</t>
        </is>
      </c>
      <c r="J15" t="n">
        <v>120</v>
      </c>
      <c r="K15" t="n">
        <v>2026</v>
      </c>
      <c r="L15" t="inlineStr">
        <is>
          <t>1</t>
        </is>
      </c>
      <c r="M15" t="inlineStr">
        <is>
          <t>CITRICOS</t>
        </is>
      </c>
      <c r="N15" t="inlineStr">
        <is>
          <t>41055</t>
        </is>
      </c>
      <c r="O15" t="inlineStr">
        <is>
          <t>16</t>
        </is>
      </c>
      <c r="P15" t="inlineStr">
        <is>
          <t>103</t>
        </is>
      </c>
      <c r="Q15" t="inlineStr">
        <is>
          <t>1</t>
        </is>
      </c>
      <c r="R15" t="n">
        <v>4.12</v>
      </c>
      <c r="S15" t="n">
        <v>4.197953</v>
      </c>
      <c r="T15" t="n">
        <v>4.12</v>
      </c>
      <c r="V15" t="inlineStr">
        <is>
          <t>Sí</t>
        </is>
      </c>
      <c r="W15" t="inlineStr"/>
    </row>
    <row r="16">
      <c r="A16" t="n">
        <v>1133</v>
      </c>
      <c r="B16" t="inlineStr">
        <is>
          <t>MAYFE S.C.</t>
        </is>
      </c>
      <c r="C16" t="n">
        <v>124</v>
      </c>
      <c r="D16" t="inlineStr">
        <is>
          <t>CITRICOS</t>
        </is>
      </c>
      <c r="E16" t="n">
        <v>2026</v>
      </c>
      <c r="F16" t="n">
        <v>1</v>
      </c>
      <c r="G16" t="n">
        <v>1</v>
      </c>
      <c r="H16" t="inlineStr">
        <is>
          <t>Sí</t>
        </is>
      </c>
      <c r="J16" t="n">
        <v>124</v>
      </c>
      <c r="K16" t="n">
        <v>2026</v>
      </c>
      <c r="L16" t="inlineStr">
        <is>
          <t>1</t>
        </is>
      </c>
      <c r="M16" t="inlineStr">
        <is>
          <t>CITRICOS</t>
        </is>
      </c>
      <c r="N16" t="inlineStr">
        <is>
          <t>41055</t>
        </is>
      </c>
      <c r="O16" t="inlineStr">
        <is>
          <t>34</t>
        </is>
      </c>
      <c r="P16" t="inlineStr">
        <is>
          <t>30</t>
        </is>
      </c>
      <c r="Q16" t="inlineStr">
        <is>
          <t>1</t>
        </is>
      </c>
      <c r="R16" t="n">
        <v>1.42</v>
      </c>
      <c r="S16" t="n">
        <v>1.435994</v>
      </c>
      <c r="T16" t="n">
        <v>1.435</v>
      </c>
      <c r="V16" t="inlineStr">
        <is>
          <t>Sí</t>
        </is>
      </c>
      <c r="W16" t="inlineStr"/>
    </row>
    <row r="17">
      <c r="A17" t="n">
        <v>1133</v>
      </c>
      <c r="B17" t="inlineStr">
        <is>
          <t>MAYFE S.C.</t>
        </is>
      </c>
      <c r="C17" t="n">
        <v>125</v>
      </c>
      <c r="D17" t="inlineStr">
        <is>
          <t>CITRICOS</t>
        </is>
      </c>
      <c r="E17" t="n">
        <v>2026</v>
      </c>
      <c r="F17" t="n">
        <v>1</v>
      </c>
      <c r="G17" t="n">
        <v>1</v>
      </c>
      <c r="H17" t="inlineStr">
        <is>
          <t>Sí</t>
        </is>
      </c>
      <c r="J17" t="n">
        <v>125</v>
      </c>
      <c r="K17" t="n">
        <v>2026</v>
      </c>
      <c r="L17" t="inlineStr">
        <is>
          <t>1</t>
        </is>
      </c>
      <c r="M17" t="inlineStr">
        <is>
          <t>CITRICOS</t>
        </is>
      </c>
      <c r="N17" t="inlineStr">
        <is>
          <t>41055</t>
        </is>
      </c>
      <c r="O17" t="inlineStr">
        <is>
          <t>34</t>
        </is>
      </c>
      <c r="P17" t="inlineStr">
        <is>
          <t>29</t>
        </is>
      </c>
      <c r="Q17" t="inlineStr">
        <is>
          <t>1</t>
        </is>
      </c>
      <c r="R17" t="n">
        <v>4.37</v>
      </c>
      <c r="S17" t="n">
        <v>4.369623</v>
      </c>
      <c r="T17" t="n">
        <v>4.3696</v>
      </c>
      <c r="V17" t="inlineStr">
        <is>
          <t>Sí</t>
        </is>
      </c>
      <c r="W17" t="inlineStr"/>
    </row>
    <row r="18">
      <c r="A18" t="n">
        <v>1133</v>
      </c>
      <c r="B18" t="inlineStr">
        <is>
          <t>MAYFE S.C.</t>
        </is>
      </c>
      <c r="C18" t="n">
        <v>126</v>
      </c>
      <c r="D18" t="inlineStr">
        <is>
          <t>CITRICOS</t>
        </is>
      </c>
      <c r="E18" t="n">
        <v>2026</v>
      </c>
      <c r="F18" t="n">
        <v>1</v>
      </c>
      <c r="G18" t="n">
        <v>1</v>
      </c>
      <c r="H18" t="inlineStr">
        <is>
          <t>Sí</t>
        </is>
      </c>
      <c r="J18" t="n">
        <v>126</v>
      </c>
      <c r="K18" t="n">
        <v>2026</v>
      </c>
      <c r="L18" t="inlineStr">
        <is>
          <t>1</t>
        </is>
      </c>
      <c r="M18" t="inlineStr">
        <is>
          <t>CITRICOS</t>
        </is>
      </c>
      <c r="N18" t="inlineStr">
        <is>
          <t>41055</t>
        </is>
      </c>
      <c r="O18" t="inlineStr">
        <is>
          <t>23</t>
        </is>
      </c>
      <c r="P18" t="inlineStr">
        <is>
          <t>163</t>
        </is>
      </c>
      <c r="Q18" t="inlineStr">
        <is>
          <t>1</t>
        </is>
      </c>
      <c r="R18" t="n">
        <v>0.16</v>
      </c>
      <c r="S18" t="n">
        <v>0.177787</v>
      </c>
      <c r="T18" t="n">
        <v>0.18</v>
      </c>
      <c r="V18" t="inlineStr">
        <is>
          <t>Sí</t>
        </is>
      </c>
      <c r="W18" t="inlineStr"/>
    </row>
    <row r="19">
      <c r="A19" t="n">
        <v>1133</v>
      </c>
      <c r="B19" t="inlineStr">
        <is>
          <t>MAYFE S.C.</t>
        </is>
      </c>
      <c r="C19" t="n">
        <v>539</v>
      </c>
      <c r="D19" t="inlineStr">
        <is>
          <t>CITRICOS</t>
        </is>
      </c>
      <c r="E19" t="n">
        <v>2026</v>
      </c>
      <c r="F19" t="n">
        <v>1</v>
      </c>
      <c r="G19" t="n">
        <v>1</v>
      </c>
      <c r="H19" t="inlineStr">
        <is>
          <t>Sí</t>
        </is>
      </c>
      <c r="J19" t="n">
        <v>539</v>
      </c>
      <c r="K19" t="n">
        <v>2026</v>
      </c>
      <c r="L19" t="inlineStr">
        <is>
          <t>1</t>
        </is>
      </c>
      <c r="M19" t="inlineStr">
        <is>
          <t>CITRICOS</t>
        </is>
      </c>
      <c r="N19" t="inlineStr">
        <is>
          <t>41055</t>
        </is>
      </c>
      <c r="O19" t="inlineStr">
        <is>
          <t>34</t>
        </is>
      </c>
      <c r="P19" t="inlineStr">
        <is>
          <t>27</t>
        </is>
      </c>
      <c r="Q19" t="inlineStr">
        <is>
          <t>3</t>
        </is>
      </c>
      <c r="R19" t="n">
        <v>2.33</v>
      </c>
      <c r="S19" t="n">
        <v>0</v>
      </c>
      <c r="T19" t="n">
        <v>2.34</v>
      </c>
      <c r="V19" t="inlineStr">
        <is>
          <t>Sí</t>
        </is>
      </c>
      <c r="W19" t="inlineStr"/>
    </row>
    <row r="20">
      <c r="A20" t="n">
        <v>1133</v>
      </c>
      <c r="B20" t="inlineStr">
        <is>
          <t>MAYFE S.C.</t>
        </is>
      </c>
      <c r="C20" t="n">
        <v>539</v>
      </c>
      <c r="D20" t="inlineStr">
        <is>
          <t>CITRICOS</t>
        </is>
      </c>
      <c r="E20" t="n">
        <v>2026</v>
      </c>
      <c r="F20" t="n">
        <v>1</v>
      </c>
      <c r="G20" t="n">
        <v>1</v>
      </c>
      <c r="H20" t="inlineStr">
        <is>
          <t>Sí</t>
        </is>
      </c>
      <c r="J20" t="n">
        <v>539</v>
      </c>
      <c r="K20" t="n">
        <v>2026</v>
      </c>
      <c r="L20" t="inlineStr">
        <is>
          <t>1</t>
        </is>
      </c>
      <c r="M20" t="inlineStr">
        <is>
          <t>CITRICOS</t>
        </is>
      </c>
      <c r="N20" t="inlineStr">
        <is>
          <t>41055</t>
        </is>
      </c>
      <c r="O20" t="inlineStr">
        <is>
          <t>34</t>
        </is>
      </c>
      <c r="P20" t="inlineStr">
        <is>
          <t>30</t>
        </is>
      </c>
      <c r="Q20" t="inlineStr">
        <is>
          <t>1</t>
        </is>
      </c>
      <c r="R20" t="n">
        <v>1.42</v>
      </c>
      <c r="S20" t="n">
        <v>0</v>
      </c>
      <c r="T20" t="n">
        <v>1.42</v>
      </c>
      <c r="V20" t="inlineStr">
        <is>
          <t>Sí</t>
        </is>
      </c>
      <c r="W20" t="inlineStr"/>
    </row>
    <row r="21">
      <c r="A21" t="n">
        <v>1133</v>
      </c>
      <c r="B21" t="inlineStr">
        <is>
          <t>MAYFE S.C.</t>
        </is>
      </c>
      <c r="C21" t="n">
        <v>568</v>
      </c>
      <c r="D21" t="inlineStr">
        <is>
          <t>CITRICOS</t>
        </is>
      </c>
      <c r="E21" t="n">
        <v>2026</v>
      </c>
      <c r="F21" t="n">
        <v>1</v>
      </c>
      <c r="G21" t="n">
        <v>1</v>
      </c>
      <c r="H21" t="inlineStr">
        <is>
          <t>Sí</t>
        </is>
      </c>
      <c r="J21" t="n">
        <v>568</v>
      </c>
      <c r="K21" t="n">
        <v>2026</v>
      </c>
      <c r="L21" t="inlineStr">
        <is>
          <t>1</t>
        </is>
      </c>
      <c r="M21" t="inlineStr">
        <is>
          <t>CITRICOS</t>
        </is>
      </c>
      <c r="N21" t="inlineStr">
        <is>
          <t>41055</t>
        </is>
      </c>
      <c r="O21" t="inlineStr">
        <is>
          <t>34</t>
        </is>
      </c>
      <c r="P21" t="inlineStr">
        <is>
          <t>27</t>
        </is>
      </c>
      <c r="Q21" t="inlineStr">
        <is>
          <t>1</t>
        </is>
      </c>
      <c r="R21" t="n">
        <v>0.97</v>
      </c>
      <c r="S21" t="n">
        <v>0</v>
      </c>
      <c r="T21" t="n">
        <v>0.89</v>
      </c>
      <c r="V21" t="inlineStr">
        <is>
          <t>Sí</t>
        </is>
      </c>
      <c r="W21" t="inlineStr"/>
    </row>
    <row r="22">
      <c r="A22" t="n">
        <v>1133</v>
      </c>
      <c r="B22" t="inlineStr">
        <is>
          <t>MAYFE S.C.</t>
        </is>
      </c>
      <c r="C22" t="n">
        <v>568</v>
      </c>
      <c r="D22" t="inlineStr">
        <is>
          <t>CITRICOS</t>
        </is>
      </c>
      <c r="E22" t="n">
        <v>2026</v>
      </c>
      <c r="F22" t="n">
        <v>1</v>
      </c>
      <c r="G22" t="n">
        <v>1</v>
      </c>
      <c r="H22" t="inlineStr">
        <is>
          <t>Sí</t>
        </is>
      </c>
      <c r="J22" t="n">
        <v>568</v>
      </c>
      <c r="K22" t="n">
        <v>2026</v>
      </c>
      <c r="L22" t="inlineStr">
        <is>
          <t>1</t>
        </is>
      </c>
      <c r="M22" t="inlineStr">
        <is>
          <t>CITRICOS</t>
        </is>
      </c>
      <c r="N22" t="inlineStr">
        <is>
          <t>41055</t>
        </is>
      </c>
      <c r="O22" t="inlineStr">
        <is>
          <t>34</t>
        </is>
      </c>
      <c r="P22" t="inlineStr">
        <is>
          <t>28</t>
        </is>
      </c>
      <c r="Q22" t="inlineStr">
        <is>
          <t>3</t>
        </is>
      </c>
      <c r="R22" t="n">
        <v>0.91</v>
      </c>
      <c r="S22" t="n">
        <v>0</v>
      </c>
      <c r="T22" t="n">
        <v>1.02</v>
      </c>
      <c r="V22" t="inlineStr">
        <is>
          <t>Sí</t>
        </is>
      </c>
      <c r="W22" t="inlineStr"/>
    </row>
    <row r="23">
      <c r="A23" t="n">
        <v>1133</v>
      </c>
      <c r="B23" t="inlineStr">
        <is>
          <t>MAYFE S.C.</t>
        </is>
      </c>
      <c r="C23" t="n">
        <v>524</v>
      </c>
      <c r="D23" t="inlineStr">
        <is>
          <t>MANDARINA</t>
        </is>
      </c>
      <c r="E23" t="n">
        <v>2026</v>
      </c>
      <c r="F23" t="n">
        <v>1</v>
      </c>
      <c r="G23" t="n">
        <v>1</v>
      </c>
      <c r="H23" t="inlineStr">
        <is>
          <t>Sí</t>
        </is>
      </c>
      <c r="J23" t="n">
        <v>524</v>
      </c>
      <c r="K23" t="n">
        <v>2026</v>
      </c>
      <c r="L23" t="inlineStr">
        <is>
          <t>1</t>
        </is>
      </c>
      <c r="M23" t="inlineStr">
        <is>
          <t>MANDARINA</t>
        </is>
      </c>
      <c r="N23" t="inlineStr">
        <is>
          <t>41055</t>
        </is>
      </c>
      <c r="O23" t="inlineStr">
        <is>
          <t>34</t>
        </is>
      </c>
      <c r="P23" t="inlineStr">
        <is>
          <t>28</t>
        </is>
      </c>
      <c r="Q23" t="inlineStr">
        <is>
          <t>3</t>
        </is>
      </c>
      <c r="R23" t="n">
        <v>1.25</v>
      </c>
      <c r="S23" t="n">
        <v>0</v>
      </c>
      <c r="T23" t="n">
        <v>1.2</v>
      </c>
      <c r="V23" t="inlineStr">
        <is>
          <t>Sí</t>
        </is>
      </c>
      <c r="W23" t="inlineStr"/>
    </row>
    <row r="24">
      <c r="A24" t="n">
        <v>1133</v>
      </c>
      <c r="B24" t="inlineStr">
        <is>
          <t>MAYFE S.C.</t>
        </is>
      </c>
      <c r="C24" t="n">
        <v>524</v>
      </c>
      <c r="D24" t="inlineStr">
        <is>
          <t>MANDARINA</t>
        </is>
      </c>
      <c r="E24" t="n">
        <v>2026</v>
      </c>
      <c r="F24" t="n">
        <v>1</v>
      </c>
      <c r="G24" t="n">
        <v>1</v>
      </c>
      <c r="H24" t="inlineStr">
        <is>
          <t>Sí</t>
        </is>
      </c>
      <c r="J24" t="n">
        <v>524</v>
      </c>
      <c r="K24" t="n">
        <v>2026</v>
      </c>
      <c r="L24" t="inlineStr">
        <is>
          <t>1</t>
        </is>
      </c>
      <c r="M24" t="inlineStr">
        <is>
          <t>MANDARINA</t>
        </is>
      </c>
      <c r="N24" t="inlineStr">
        <is>
          <t>41055</t>
        </is>
      </c>
      <c r="O24" t="inlineStr">
        <is>
          <t>34</t>
        </is>
      </c>
      <c r="P24" t="inlineStr">
        <is>
          <t>27</t>
        </is>
      </c>
      <c r="Q24" t="inlineStr">
        <is>
          <t>1</t>
        </is>
      </c>
      <c r="R24" t="n">
        <v>1.45</v>
      </c>
      <c r="S24" t="n">
        <v>0</v>
      </c>
      <c r="T24" t="n">
        <v>1.5</v>
      </c>
      <c r="V24" t="inlineStr">
        <is>
          <t>Sí</t>
        </is>
      </c>
      <c r="W24" t="inlineStr"/>
    </row>
    <row r="25">
      <c r="A25" t="n">
        <v>1178</v>
      </c>
      <c r="B25" t="inlineStr">
        <is>
          <t>CALZADO GARCIA,FRANCISCO JAVIER</t>
        </is>
      </c>
      <c r="C25" t="n">
        <v>171</v>
      </c>
      <c r="D25" t="inlineStr">
        <is>
          <t>CITRICOS</t>
        </is>
      </c>
      <c r="E25" t="n">
        <v>2026</v>
      </c>
      <c r="F25" t="n">
        <v>1</v>
      </c>
      <c r="G25" t="n">
        <v>1</v>
      </c>
      <c r="H25" t="inlineStr">
        <is>
          <t>Sí</t>
        </is>
      </c>
      <c r="J25" t="n">
        <v>171</v>
      </c>
      <c r="K25" t="n">
        <v>2026</v>
      </c>
      <c r="L25" t="inlineStr">
        <is>
          <t>1</t>
        </is>
      </c>
      <c r="M25" t="inlineStr">
        <is>
          <t>CITRICOS</t>
        </is>
      </c>
      <c r="N25" t="inlineStr">
        <is>
          <t>41055</t>
        </is>
      </c>
      <c r="O25" t="inlineStr">
        <is>
          <t>11</t>
        </is>
      </c>
      <c r="P25" t="inlineStr">
        <is>
          <t>82</t>
        </is>
      </c>
      <c r="Q25" t="inlineStr">
        <is>
          <t>2</t>
        </is>
      </c>
      <c r="R25" t="n">
        <v>3.84</v>
      </c>
      <c r="S25" t="n">
        <v>6.849765</v>
      </c>
      <c r="T25" t="n">
        <v>3.84</v>
      </c>
      <c r="V25" t="inlineStr">
        <is>
          <t>Sí</t>
        </is>
      </c>
      <c r="W25" t="inlineStr"/>
    </row>
    <row r="26">
      <c r="A26" t="n">
        <v>1178</v>
      </c>
      <c r="B26" t="inlineStr">
        <is>
          <t>CALZADO GARCIA,FRANCISCO JAVIER</t>
        </is>
      </c>
      <c r="C26" t="n">
        <v>528</v>
      </c>
      <c r="D26" t="inlineStr">
        <is>
          <t>CITRICOS</t>
        </is>
      </c>
      <c r="E26" t="n">
        <v>2026</v>
      </c>
      <c r="F26" t="n">
        <v>1</v>
      </c>
      <c r="G26" t="n">
        <v>1</v>
      </c>
      <c r="H26" t="inlineStr">
        <is>
          <t>Sí</t>
        </is>
      </c>
      <c r="J26" t="n">
        <v>528</v>
      </c>
      <c r="K26" t="n">
        <v>2026</v>
      </c>
      <c r="L26" t="inlineStr">
        <is>
          <t>1</t>
        </is>
      </c>
      <c r="M26" t="inlineStr">
        <is>
          <t>CITRICOS</t>
        </is>
      </c>
      <c r="N26" t="inlineStr">
        <is>
          <t>41055</t>
        </is>
      </c>
      <c r="O26" t="inlineStr">
        <is>
          <t>11</t>
        </is>
      </c>
      <c r="P26" t="inlineStr">
        <is>
          <t>92</t>
        </is>
      </c>
      <c r="Q26" t="inlineStr">
        <is>
          <t>1</t>
        </is>
      </c>
      <c r="R26" t="n">
        <v>2.69</v>
      </c>
      <c r="S26" t="n">
        <v>5.654934</v>
      </c>
      <c r="T26" t="n">
        <v>2.69</v>
      </c>
      <c r="V26" t="inlineStr">
        <is>
          <t>Sí</t>
        </is>
      </c>
      <c r="W26" t="inlineStr"/>
    </row>
    <row r="27">
      <c r="A27" t="n">
        <v>1178</v>
      </c>
      <c r="B27" t="inlineStr">
        <is>
          <t>CALZADO GARCIA,FRANCISCO JAVIER</t>
        </is>
      </c>
      <c r="C27" t="n">
        <v>548</v>
      </c>
      <c r="D27" t="inlineStr">
        <is>
          <t>CITRICOS</t>
        </is>
      </c>
      <c r="E27" t="n">
        <v>2026</v>
      </c>
      <c r="F27" t="n">
        <v>1</v>
      </c>
      <c r="G27" t="n">
        <v>1</v>
      </c>
      <c r="H27" t="inlineStr">
        <is>
          <t>Sí</t>
        </is>
      </c>
      <c r="J27" t="n">
        <v>548</v>
      </c>
      <c r="K27" t="n">
        <v>2026</v>
      </c>
      <c r="L27" t="inlineStr">
        <is>
          <t>1</t>
        </is>
      </c>
      <c r="M27" t="inlineStr">
        <is>
          <t>CITRICOS</t>
        </is>
      </c>
      <c r="N27" t="inlineStr">
        <is>
          <t>41055</t>
        </is>
      </c>
      <c r="O27" t="inlineStr">
        <is>
          <t>11</t>
        </is>
      </c>
      <c r="P27" t="inlineStr">
        <is>
          <t>92</t>
        </is>
      </c>
      <c r="Q27" t="inlineStr">
        <is>
          <t>1</t>
        </is>
      </c>
      <c r="R27" t="n">
        <v>0.1</v>
      </c>
      <c r="S27" t="n">
        <v>5.654934</v>
      </c>
      <c r="T27" t="n">
        <v>0.1</v>
      </c>
      <c r="V27" t="inlineStr">
        <is>
          <t>Sí</t>
        </is>
      </c>
      <c r="W27" t="inlineStr"/>
    </row>
    <row r="28">
      <c r="A28" t="n">
        <v>1178</v>
      </c>
      <c r="B28" t="inlineStr">
        <is>
          <t>CALZADO GARCIA,FRANCISCO JAVIER</t>
        </is>
      </c>
      <c r="C28" t="n">
        <v>641</v>
      </c>
      <c r="D28" t="inlineStr">
        <is>
          <t>MANDARINA</t>
        </is>
      </c>
      <c r="E28" t="n">
        <v>2026</v>
      </c>
      <c r="F28" t="n">
        <v>1</v>
      </c>
      <c r="G28" t="n">
        <v>1</v>
      </c>
      <c r="H28" t="inlineStr">
        <is>
          <t>Sí</t>
        </is>
      </c>
      <c r="J28" t="n">
        <v>641</v>
      </c>
      <c r="K28" t="n">
        <v>2026</v>
      </c>
      <c r="L28" t="inlineStr">
        <is>
          <t>1</t>
        </is>
      </c>
      <c r="M28" t="inlineStr">
        <is>
          <t>MANDARINA</t>
        </is>
      </c>
      <c r="N28" t="inlineStr">
        <is>
          <t>41055</t>
        </is>
      </c>
      <c r="O28" t="inlineStr">
        <is>
          <t>11</t>
        </is>
      </c>
      <c r="P28" t="inlineStr">
        <is>
          <t>82</t>
        </is>
      </c>
      <c r="Q28" t="inlineStr">
        <is>
          <t>2</t>
        </is>
      </c>
      <c r="R28" t="n">
        <v>3</v>
      </c>
      <c r="S28" t="n">
        <v>0</v>
      </c>
      <c r="T28" t="n">
        <v>3</v>
      </c>
      <c r="V28" t="inlineStr">
        <is>
          <t>Sí</t>
        </is>
      </c>
      <c r="W28" t="inlineStr"/>
    </row>
    <row r="29">
      <c r="A29" t="n">
        <v>1202</v>
      </c>
      <c r="B29" t="inlineStr">
        <is>
          <t>FUENTES HINOJOSA,MANUEL</t>
        </is>
      </c>
      <c r="C29" t="n">
        <v>162</v>
      </c>
      <c r="D29" t="inlineStr">
        <is>
          <t>CITRICOS</t>
        </is>
      </c>
      <c r="E29" t="n">
        <v>2026</v>
      </c>
      <c r="F29" t="n">
        <v>1</v>
      </c>
      <c r="G29" t="n">
        <v>1</v>
      </c>
      <c r="H29" t="inlineStr">
        <is>
          <t>Sí</t>
        </is>
      </c>
      <c r="J29" t="n">
        <v>162</v>
      </c>
      <c r="K29" t="n">
        <v>2026</v>
      </c>
      <c r="L29" t="inlineStr">
        <is>
          <t>1</t>
        </is>
      </c>
      <c r="M29" t="inlineStr">
        <is>
          <t>CITRICOS</t>
        </is>
      </c>
      <c r="N29" t="inlineStr">
        <is>
          <t>41055</t>
        </is>
      </c>
      <c r="O29" t="inlineStr">
        <is>
          <t>11</t>
        </is>
      </c>
      <c r="P29" t="inlineStr">
        <is>
          <t>126</t>
        </is>
      </c>
      <c r="Q29" t="inlineStr">
        <is>
          <t>2</t>
        </is>
      </c>
      <c r="R29" t="n">
        <v>2.36</v>
      </c>
      <c r="S29" t="n">
        <v>2.388858</v>
      </c>
      <c r="T29" t="n">
        <v>2.36</v>
      </c>
      <c r="V29" t="inlineStr">
        <is>
          <t>Sí</t>
        </is>
      </c>
      <c r="W29" t="inlineStr"/>
    </row>
    <row r="30">
      <c r="A30" t="n">
        <v>1219</v>
      </c>
      <c r="B30" t="inlineStr">
        <is>
          <t>LORA BUIZA,GREGORIO</t>
        </is>
      </c>
      <c r="C30" t="n">
        <v>165</v>
      </c>
      <c r="D30" t="inlineStr">
        <is>
          <t>CITRICOS</t>
        </is>
      </c>
      <c r="E30" t="n">
        <v>2026</v>
      </c>
      <c r="F30" t="n">
        <v>1</v>
      </c>
      <c r="G30" t="n">
        <v>1</v>
      </c>
      <c r="H30" t="inlineStr">
        <is>
          <t>Sí</t>
        </is>
      </c>
      <c r="J30" t="n">
        <v>165</v>
      </c>
      <c r="K30" t="n">
        <v>2026</v>
      </c>
      <c r="L30" t="inlineStr">
        <is>
          <t>1</t>
        </is>
      </c>
      <c r="M30" t="inlineStr">
        <is>
          <t>CITRICOS</t>
        </is>
      </c>
      <c r="N30" t="inlineStr">
        <is>
          <t>41055</t>
        </is>
      </c>
      <c r="O30" t="inlineStr">
        <is>
          <t>13</t>
        </is>
      </c>
      <c r="P30" t="inlineStr">
        <is>
          <t>80026</t>
        </is>
      </c>
      <c r="Q30" t="inlineStr">
        <is>
          <t>16</t>
        </is>
      </c>
      <c r="R30" t="n">
        <v>0.09</v>
      </c>
      <c r="S30" t="n">
        <v>0.099733</v>
      </c>
      <c r="T30" t="n">
        <v>0.09</v>
      </c>
      <c r="V30" t="inlineStr">
        <is>
          <t>Sí</t>
        </is>
      </c>
      <c r="W30" t="inlineStr"/>
    </row>
    <row r="31">
      <c r="A31" t="n">
        <v>1219</v>
      </c>
      <c r="B31" t="inlineStr">
        <is>
          <t>LORA BUIZA,GREGORIO</t>
        </is>
      </c>
      <c r="C31" t="n">
        <v>165</v>
      </c>
      <c r="D31" t="inlineStr">
        <is>
          <t>CITRICOS</t>
        </is>
      </c>
      <c r="E31" t="n">
        <v>2026</v>
      </c>
      <c r="F31" t="n">
        <v>1</v>
      </c>
      <c r="G31" t="n">
        <v>1</v>
      </c>
      <c r="H31" t="inlineStr">
        <is>
          <t>Sí</t>
        </is>
      </c>
      <c r="J31" t="n">
        <v>165</v>
      </c>
      <c r="K31" t="n">
        <v>2026</v>
      </c>
      <c r="L31" t="inlineStr">
        <is>
          <t>1</t>
        </is>
      </c>
      <c r="M31" t="inlineStr">
        <is>
          <t>CITRICOS</t>
        </is>
      </c>
      <c r="N31" t="inlineStr">
        <is>
          <t>41055</t>
        </is>
      </c>
      <c r="O31" t="inlineStr">
        <is>
          <t>13</t>
        </is>
      </c>
      <c r="P31" t="inlineStr">
        <is>
          <t>80026</t>
        </is>
      </c>
      <c r="Q31" t="inlineStr">
        <is>
          <t>8</t>
        </is>
      </c>
      <c r="R31" t="n">
        <v>0.19</v>
      </c>
      <c r="S31" t="n">
        <v>0.289102</v>
      </c>
      <c r="T31" t="n">
        <v>0.19</v>
      </c>
      <c r="V31" t="inlineStr">
        <is>
          <t>Sí</t>
        </is>
      </c>
      <c r="W31" t="inlineStr"/>
    </row>
    <row r="32">
      <c r="A32" t="n">
        <v>1251</v>
      </c>
      <c r="B32" t="inlineStr">
        <is>
          <t>DURAN ALMENARA,ANGELES</t>
        </is>
      </c>
      <c r="C32" t="n">
        <v>181</v>
      </c>
      <c r="D32" t="inlineStr">
        <is>
          <t>CITRICOS</t>
        </is>
      </c>
      <c r="E32" t="n">
        <v>2026</v>
      </c>
      <c r="F32" t="n">
        <v>1</v>
      </c>
      <c r="G32" t="n">
        <v>1</v>
      </c>
      <c r="H32" t="inlineStr">
        <is>
          <t>Sí</t>
        </is>
      </c>
      <c r="J32" t="n">
        <v>181</v>
      </c>
      <c r="K32" t="n">
        <v>2026</v>
      </c>
      <c r="L32" t="inlineStr">
        <is>
          <t>1</t>
        </is>
      </c>
      <c r="M32" t="inlineStr">
        <is>
          <t>CITRICOS</t>
        </is>
      </c>
      <c r="N32" t="inlineStr">
        <is>
          <t>41074</t>
        </is>
      </c>
      <c r="O32" t="inlineStr">
        <is>
          <t>1</t>
        </is>
      </c>
      <c r="P32" t="inlineStr">
        <is>
          <t>70</t>
        </is>
      </c>
      <c r="Q32" t="inlineStr">
        <is>
          <t>10</t>
        </is>
      </c>
      <c r="R32" t="n">
        <v>0.52</v>
      </c>
      <c r="S32" t="n">
        <v>0.553377</v>
      </c>
      <c r="T32" t="n">
        <v>0.55</v>
      </c>
      <c r="V32" t="inlineStr">
        <is>
          <t>Sí</t>
        </is>
      </c>
      <c r="W32" t="inlineStr"/>
    </row>
    <row r="33">
      <c r="A33" t="n">
        <v>1251</v>
      </c>
      <c r="B33" t="inlineStr">
        <is>
          <t>DURAN ALMENARA,ANGELES</t>
        </is>
      </c>
      <c r="C33" t="n">
        <v>181</v>
      </c>
      <c r="D33" t="inlineStr">
        <is>
          <t>CITRICOS</t>
        </is>
      </c>
      <c r="E33" t="n">
        <v>2026</v>
      </c>
      <c r="F33" t="n">
        <v>1</v>
      </c>
      <c r="G33" t="n">
        <v>1</v>
      </c>
      <c r="H33" t="inlineStr">
        <is>
          <t>Sí</t>
        </is>
      </c>
      <c r="J33" t="n">
        <v>181</v>
      </c>
      <c r="K33" t="n">
        <v>2026</v>
      </c>
      <c r="L33" t="inlineStr">
        <is>
          <t>1</t>
        </is>
      </c>
      <c r="M33" t="inlineStr">
        <is>
          <t>CITRICOS</t>
        </is>
      </c>
      <c r="N33" t="inlineStr">
        <is>
          <t>41074</t>
        </is>
      </c>
      <c r="O33" t="inlineStr">
        <is>
          <t>1</t>
        </is>
      </c>
      <c r="P33" t="inlineStr">
        <is>
          <t>70</t>
        </is>
      </c>
      <c r="Q33" t="inlineStr">
        <is>
          <t>7</t>
        </is>
      </c>
      <c r="R33" t="n">
        <v>0.92</v>
      </c>
      <c r="S33" t="n">
        <v>1.081398</v>
      </c>
      <c r="T33" t="n">
        <v>1.08</v>
      </c>
      <c r="V33" t="inlineStr">
        <is>
          <t>Sí</t>
        </is>
      </c>
      <c r="W33" t="inlineStr"/>
    </row>
    <row r="34">
      <c r="A34" t="n">
        <v>1251</v>
      </c>
      <c r="B34" t="inlineStr">
        <is>
          <t>DURAN ALMENARA,ANGELES</t>
        </is>
      </c>
      <c r="C34" t="n">
        <v>182</v>
      </c>
      <c r="D34" t="inlineStr">
        <is>
          <t>CITRICOS</t>
        </is>
      </c>
      <c r="E34" t="n">
        <v>2026</v>
      </c>
      <c r="F34" t="n">
        <v>1</v>
      </c>
      <c r="G34" t="n">
        <v>1</v>
      </c>
      <c r="H34" t="inlineStr">
        <is>
          <t>Sí</t>
        </is>
      </c>
      <c r="J34" t="n">
        <v>182</v>
      </c>
      <c r="K34" t="n">
        <v>2026</v>
      </c>
      <c r="L34" t="inlineStr">
        <is>
          <t>1</t>
        </is>
      </c>
      <c r="M34" t="inlineStr">
        <is>
          <t>CITRICOS</t>
        </is>
      </c>
      <c r="N34" t="inlineStr">
        <is>
          <t>41055</t>
        </is>
      </c>
      <c r="O34" t="inlineStr">
        <is>
          <t>12</t>
        </is>
      </c>
      <c r="P34" t="inlineStr">
        <is>
          <t>163</t>
        </is>
      </c>
      <c r="Q34" t="inlineStr">
        <is>
          <t>3</t>
        </is>
      </c>
      <c r="R34" t="n">
        <v>0.68</v>
      </c>
      <c r="S34" t="n">
        <v>0.675786</v>
      </c>
      <c r="T34" t="n">
        <v>0.67</v>
      </c>
      <c r="V34" t="inlineStr">
        <is>
          <t>Sí</t>
        </is>
      </c>
      <c r="W34" t="inlineStr"/>
    </row>
    <row r="35">
      <c r="A35" t="n">
        <v>1272</v>
      </c>
      <c r="B35" t="inlineStr">
        <is>
          <t>HERMANOS GONZALEZ ROLDAN,S.C.</t>
        </is>
      </c>
      <c r="C35" t="n">
        <v>196</v>
      </c>
      <c r="D35" t="inlineStr">
        <is>
          <t>CITRICOS</t>
        </is>
      </c>
      <c r="E35" t="n">
        <v>2026</v>
      </c>
      <c r="F35" t="n">
        <v>1</v>
      </c>
      <c r="G35" t="n">
        <v>1</v>
      </c>
      <c r="H35" t="inlineStr">
        <is>
          <t>Sí</t>
        </is>
      </c>
      <c r="J35" t="n">
        <v>196</v>
      </c>
      <c r="K35" t="n">
        <v>2026</v>
      </c>
      <c r="L35" t="inlineStr">
        <is>
          <t>1</t>
        </is>
      </c>
      <c r="M35" t="inlineStr">
        <is>
          <t>CITRICOS</t>
        </is>
      </c>
      <c r="N35" t="inlineStr">
        <is>
          <t>41055</t>
        </is>
      </c>
      <c r="O35" t="inlineStr">
        <is>
          <t>22</t>
        </is>
      </c>
      <c r="P35" t="inlineStr">
        <is>
          <t>17</t>
        </is>
      </c>
      <c r="Q35" t="inlineStr">
        <is>
          <t>3</t>
        </is>
      </c>
      <c r="R35" t="n">
        <v>4.94</v>
      </c>
      <c r="S35" t="n">
        <v>4.937842</v>
      </c>
      <c r="T35" t="n">
        <v>4.85</v>
      </c>
      <c r="V35" t="inlineStr">
        <is>
          <t>Sí</t>
        </is>
      </c>
      <c r="W35" t="inlineStr"/>
    </row>
    <row r="36">
      <c r="A36" t="n">
        <v>1272</v>
      </c>
      <c r="B36" t="inlineStr">
        <is>
          <t>HERMANOS GONZALEZ ROLDAN,S.C.</t>
        </is>
      </c>
      <c r="C36" t="n">
        <v>232</v>
      </c>
      <c r="D36" t="inlineStr">
        <is>
          <t>CITRICOS</t>
        </is>
      </c>
      <c r="E36" t="n">
        <v>2026</v>
      </c>
      <c r="F36" t="n">
        <v>1</v>
      </c>
      <c r="G36" t="n">
        <v>1</v>
      </c>
      <c r="H36" t="inlineStr">
        <is>
          <t>Sí</t>
        </is>
      </c>
      <c r="J36" t="n">
        <v>232</v>
      </c>
      <c r="K36" t="n">
        <v>2026</v>
      </c>
      <c r="L36" t="inlineStr">
        <is>
          <t>1</t>
        </is>
      </c>
      <c r="M36" t="inlineStr">
        <is>
          <t>CITRICOS</t>
        </is>
      </c>
      <c r="N36" t="inlineStr">
        <is>
          <t>41055</t>
        </is>
      </c>
      <c r="O36" t="inlineStr">
        <is>
          <t>13</t>
        </is>
      </c>
      <c r="P36" t="inlineStr">
        <is>
          <t>192</t>
        </is>
      </c>
      <c r="Q36" t="inlineStr">
        <is>
          <t>2</t>
        </is>
      </c>
      <c r="R36" t="n">
        <v>1.86</v>
      </c>
      <c r="S36" t="n">
        <v>2.537359</v>
      </c>
      <c r="T36" t="n">
        <v>2.1</v>
      </c>
      <c r="V36" t="inlineStr">
        <is>
          <t>Sí</t>
        </is>
      </c>
      <c r="W36" t="inlineStr"/>
    </row>
    <row r="37">
      <c r="A37" t="n">
        <v>1272</v>
      </c>
      <c r="B37" t="inlineStr">
        <is>
          <t>HERMANOS GONZALEZ ROLDAN,S.C.</t>
        </is>
      </c>
      <c r="C37" t="n">
        <v>232</v>
      </c>
      <c r="D37" t="inlineStr">
        <is>
          <t>CITRICOS</t>
        </is>
      </c>
      <c r="E37" t="n">
        <v>2026</v>
      </c>
      <c r="F37" t="n">
        <v>1</v>
      </c>
      <c r="G37" t="n">
        <v>1</v>
      </c>
      <c r="H37" t="inlineStr">
        <is>
          <t>Sí</t>
        </is>
      </c>
      <c r="J37" t="n">
        <v>232</v>
      </c>
      <c r="K37" t="n">
        <v>2026</v>
      </c>
      <c r="L37" t="inlineStr">
        <is>
          <t>1</t>
        </is>
      </c>
      <c r="M37" t="inlineStr">
        <is>
          <t>CITRICOS</t>
        </is>
      </c>
      <c r="N37" t="inlineStr">
        <is>
          <t>41055</t>
        </is>
      </c>
      <c r="O37" t="inlineStr">
        <is>
          <t>13</t>
        </is>
      </c>
      <c r="P37" t="inlineStr">
        <is>
          <t>394</t>
        </is>
      </c>
      <c r="Q37" t="inlineStr">
        <is>
          <t>2</t>
        </is>
      </c>
      <c r="R37" t="n">
        <v>1.3</v>
      </c>
      <c r="S37" t="n">
        <v>2.774635</v>
      </c>
      <c r="T37" t="n">
        <v>1.35</v>
      </c>
      <c r="V37" t="inlineStr">
        <is>
          <t>Sí</t>
        </is>
      </c>
      <c r="W37" t="inlineStr"/>
    </row>
    <row r="38">
      <c r="A38" t="n">
        <v>1272</v>
      </c>
      <c r="B38" t="inlineStr">
        <is>
          <t>HERMANOS GONZALEZ ROLDAN,S.C.</t>
        </is>
      </c>
      <c r="C38" t="n">
        <v>234</v>
      </c>
      <c r="D38" t="inlineStr">
        <is>
          <t>CITRICOS</t>
        </is>
      </c>
      <c r="E38" t="n">
        <v>2026</v>
      </c>
      <c r="F38" t="n">
        <v>1</v>
      </c>
      <c r="G38" t="n">
        <v>1</v>
      </c>
      <c r="H38" t="inlineStr">
        <is>
          <t>Sí</t>
        </is>
      </c>
      <c r="J38" t="n">
        <v>234</v>
      </c>
      <c r="K38" t="n">
        <v>2026</v>
      </c>
      <c r="L38" t="inlineStr">
        <is>
          <t>1</t>
        </is>
      </c>
      <c r="M38" t="inlineStr">
        <is>
          <t>CITRICOS</t>
        </is>
      </c>
      <c r="N38" t="inlineStr">
        <is>
          <t>41055</t>
        </is>
      </c>
      <c r="O38" t="inlineStr">
        <is>
          <t>13</t>
        </is>
      </c>
      <c r="P38" t="inlineStr">
        <is>
          <t>190</t>
        </is>
      </c>
      <c r="Q38" t="inlineStr">
        <is>
          <t>1</t>
        </is>
      </c>
      <c r="R38" t="n">
        <v>1.05</v>
      </c>
      <c r="S38" t="n">
        <v>1.048222</v>
      </c>
      <c r="T38" t="n">
        <v>1</v>
      </c>
      <c r="V38" t="inlineStr">
        <is>
          <t>Sí</t>
        </is>
      </c>
      <c r="W38" t="inlineStr"/>
    </row>
    <row r="39">
      <c r="A39" t="n">
        <v>1272</v>
      </c>
      <c r="B39" t="inlineStr">
        <is>
          <t>HERMANOS GONZALEZ ROLDAN,S.C.</t>
        </is>
      </c>
      <c r="C39" t="n">
        <v>236</v>
      </c>
      <c r="D39" t="inlineStr">
        <is>
          <t>CITRICOS</t>
        </is>
      </c>
      <c r="E39" t="n">
        <v>2026</v>
      </c>
      <c r="F39" t="n">
        <v>1</v>
      </c>
      <c r="G39" t="n">
        <v>1</v>
      </c>
      <c r="H39" t="inlineStr">
        <is>
          <t>Sí</t>
        </is>
      </c>
      <c r="J39" t="n">
        <v>236</v>
      </c>
      <c r="K39" t="n">
        <v>2026</v>
      </c>
      <c r="L39" t="inlineStr">
        <is>
          <t>1</t>
        </is>
      </c>
      <c r="M39" t="inlineStr">
        <is>
          <t>CITRICOS</t>
        </is>
      </c>
      <c r="N39" t="inlineStr">
        <is>
          <t>41055</t>
        </is>
      </c>
      <c r="O39" t="inlineStr">
        <is>
          <t>13</t>
        </is>
      </c>
      <c r="P39" t="inlineStr">
        <is>
          <t>191</t>
        </is>
      </c>
      <c r="Q39" t="inlineStr">
        <is>
          <t>2</t>
        </is>
      </c>
      <c r="R39" t="n">
        <v>1.05</v>
      </c>
      <c r="S39" t="n">
        <v>1.835704</v>
      </c>
      <c r="T39" t="n">
        <v>1.8</v>
      </c>
      <c r="V39" t="inlineStr">
        <is>
          <t>Sí</t>
        </is>
      </c>
      <c r="W39" t="inlineStr"/>
    </row>
    <row r="40">
      <c r="A40" t="n">
        <v>1272</v>
      </c>
      <c r="B40" t="inlineStr">
        <is>
          <t>HERMANOS GONZALEZ ROLDAN,S.C.</t>
        </is>
      </c>
      <c r="C40" t="n">
        <v>251</v>
      </c>
      <c r="D40" t="inlineStr">
        <is>
          <t>CITRICOS</t>
        </is>
      </c>
      <c r="E40" t="n">
        <v>2026</v>
      </c>
      <c r="F40" t="n">
        <v>1</v>
      </c>
      <c r="G40" t="n">
        <v>1</v>
      </c>
      <c r="H40" t="inlineStr">
        <is>
          <t>Sí</t>
        </is>
      </c>
      <c r="J40" t="n">
        <v>251</v>
      </c>
      <c r="K40" t="n">
        <v>2026</v>
      </c>
      <c r="L40" t="inlineStr">
        <is>
          <t>1</t>
        </is>
      </c>
      <c r="M40" t="inlineStr">
        <is>
          <t>CITRICOS</t>
        </is>
      </c>
      <c r="N40" t="inlineStr">
        <is>
          <t>41055</t>
        </is>
      </c>
      <c r="O40" t="inlineStr">
        <is>
          <t>13</t>
        </is>
      </c>
      <c r="P40" t="inlineStr">
        <is>
          <t>192</t>
        </is>
      </c>
      <c r="Q40" t="inlineStr">
        <is>
          <t>2</t>
        </is>
      </c>
      <c r="R40" t="n">
        <v>0.62</v>
      </c>
      <c r="S40" t="n">
        <v>2.537359</v>
      </c>
      <c r="T40" t="n">
        <v>0.39</v>
      </c>
      <c r="V40" t="inlineStr">
        <is>
          <t>Sí</t>
        </is>
      </c>
      <c r="W40" t="inlineStr"/>
    </row>
    <row r="41">
      <c r="A41" t="n">
        <v>1272</v>
      </c>
      <c r="B41" t="inlineStr">
        <is>
          <t>HERMANOS GONZALEZ ROLDAN,S.C.</t>
        </is>
      </c>
      <c r="C41" t="n">
        <v>251</v>
      </c>
      <c r="D41" t="inlineStr">
        <is>
          <t>CITRICOS</t>
        </is>
      </c>
      <c r="E41" t="n">
        <v>2026</v>
      </c>
      <c r="F41" t="n">
        <v>1</v>
      </c>
      <c r="G41" t="n">
        <v>1</v>
      </c>
      <c r="H41" t="inlineStr">
        <is>
          <t>Sí</t>
        </is>
      </c>
      <c r="J41" t="n">
        <v>251</v>
      </c>
      <c r="K41" t="n">
        <v>2026</v>
      </c>
      <c r="L41" t="inlineStr">
        <is>
          <t>1</t>
        </is>
      </c>
      <c r="M41" t="inlineStr">
        <is>
          <t>CITRICOS</t>
        </is>
      </c>
      <c r="N41" t="inlineStr">
        <is>
          <t>41055</t>
        </is>
      </c>
      <c r="O41" t="inlineStr">
        <is>
          <t>13</t>
        </is>
      </c>
      <c r="P41" t="inlineStr">
        <is>
          <t>192</t>
        </is>
      </c>
      <c r="Q41" t="inlineStr">
        <is>
          <t>4</t>
        </is>
      </c>
      <c r="R41" t="n">
        <v>0.12</v>
      </c>
      <c r="S41" t="n">
        <v>0.118872</v>
      </c>
      <c r="T41" t="n">
        <v>0.11</v>
      </c>
      <c r="V41" t="inlineStr">
        <is>
          <t>Sí</t>
        </is>
      </c>
      <c r="W41" t="inlineStr"/>
    </row>
    <row r="42">
      <c r="A42" t="n">
        <v>1272</v>
      </c>
      <c r="B42" t="inlineStr">
        <is>
          <t>HERMANOS GONZALEZ ROLDAN,S.C.</t>
        </is>
      </c>
      <c r="C42" t="n">
        <v>251</v>
      </c>
      <c r="D42" t="inlineStr">
        <is>
          <t>CITRICOS</t>
        </is>
      </c>
      <c r="E42" t="n">
        <v>2026</v>
      </c>
      <c r="F42" t="n">
        <v>1</v>
      </c>
      <c r="G42" t="n">
        <v>1</v>
      </c>
      <c r="H42" t="inlineStr">
        <is>
          <t>Sí</t>
        </is>
      </c>
      <c r="J42" t="n">
        <v>251</v>
      </c>
      <c r="K42" t="n">
        <v>2026</v>
      </c>
      <c r="L42" t="inlineStr">
        <is>
          <t>1</t>
        </is>
      </c>
      <c r="M42" t="inlineStr">
        <is>
          <t>CITRICOS</t>
        </is>
      </c>
      <c r="N42" t="inlineStr">
        <is>
          <t>41055</t>
        </is>
      </c>
      <c r="O42" t="inlineStr">
        <is>
          <t>13</t>
        </is>
      </c>
      <c r="P42" t="inlineStr">
        <is>
          <t>394</t>
        </is>
      </c>
      <c r="Q42" t="inlineStr">
        <is>
          <t>2</t>
        </is>
      </c>
      <c r="R42" t="n">
        <v>1.42</v>
      </c>
      <c r="S42" t="n">
        <v>2.774635</v>
      </c>
      <c r="T42" t="n">
        <v>1.38</v>
      </c>
      <c r="V42" t="inlineStr">
        <is>
          <t>Sí</t>
        </is>
      </c>
      <c r="W42" t="inlineStr"/>
    </row>
    <row r="43">
      <c r="A43" t="n">
        <v>1272</v>
      </c>
      <c r="B43" t="inlineStr">
        <is>
          <t>HERMANOS GONZALEZ ROLDAN,S.C.</t>
        </is>
      </c>
      <c r="C43" t="n">
        <v>359</v>
      </c>
      <c r="D43" t="inlineStr">
        <is>
          <t>CITRICOS</t>
        </is>
      </c>
      <c r="E43" t="n">
        <v>2026</v>
      </c>
      <c r="F43" t="n">
        <v>1</v>
      </c>
      <c r="G43" t="n">
        <v>1</v>
      </c>
      <c r="H43" t="inlineStr">
        <is>
          <t>Sí</t>
        </is>
      </c>
      <c r="J43" t="n">
        <v>359</v>
      </c>
      <c r="K43" t="n">
        <v>2026</v>
      </c>
      <c r="L43" t="inlineStr">
        <is>
          <t>1</t>
        </is>
      </c>
      <c r="M43" t="inlineStr">
        <is>
          <t>CITRICOS</t>
        </is>
      </c>
      <c r="N43" t="inlineStr">
        <is>
          <t>41055</t>
        </is>
      </c>
      <c r="O43" t="inlineStr">
        <is>
          <t>13</t>
        </is>
      </c>
      <c r="P43" t="inlineStr">
        <is>
          <t>186</t>
        </is>
      </c>
      <c r="Q43" t="inlineStr">
        <is>
          <t>1</t>
        </is>
      </c>
      <c r="R43" t="n">
        <v>3.4</v>
      </c>
      <c r="S43" t="n">
        <v>0</v>
      </c>
      <c r="T43" t="n">
        <v>3.4</v>
      </c>
      <c r="V43" t="inlineStr">
        <is>
          <t>Sí</t>
        </is>
      </c>
      <c r="W43" t="inlineStr"/>
    </row>
    <row r="44">
      <c r="A44" t="n">
        <v>1272</v>
      </c>
      <c r="B44" t="inlineStr">
        <is>
          <t>HERMANOS GONZALEZ ROLDAN,S.C.</t>
        </is>
      </c>
      <c r="C44" t="n">
        <v>359</v>
      </c>
      <c r="D44" t="inlineStr">
        <is>
          <t>CITRICOS</t>
        </is>
      </c>
      <c r="E44" t="n">
        <v>2026</v>
      </c>
      <c r="F44" t="n">
        <v>1</v>
      </c>
      <c r="G44" t="n">
        <v>1</v>
      </c>
      <c r="H44" t="inlineStr">
        <is>
          <t>Sí</t>
        </is>
      </c>
      <c r="J44" t="n">
        <v>359</v>
      </c>
      <c r="K44" t="n">
        <v>2026</v>
      </c>
      <c r="L44" t="inlineStr">
        <is>
          <t>1</t>
        </is>
      </c>
      <c r="M44" t="inlineStr">
        <is>
          <t>CITRICOS</t>
        </is>
      </c>
      <c r="N44" t="inlineStr">
        <is>
          <t>41055</t>
        </is>
      </c>
      <c r="O44" t="inlineStr">
        <is>
          <t>13</t>
        </is>
      </c>
      <c r="P44" t="inlineStr">
        <is>
          <t>187</t>
        </is>
      </c>
      <c r="Q44" t="inlineStr">
        <is>
          <t>1</t>
        </is>
      </c>
      <c r="R44" t="n">
        <v>1.78</v>
      </c>
      <c r="S44" t="n">
        <v>0</v>
      </c>
      <c r="T44" t="n">
        <v>1.78</v>
      </c>
      <c r="V44" t="inlineStr">
        <is>
          <t>Sí</t>
        </is>
      </c>
      <c r="W44" t="inlineStr"/>
    </row>
    <row r="45">
      <c r="A45" t="n">
        <v>1272</v>
      </c>
      <c r="B45" t="inlineStr">
        <is>
          <t>HERMANOS GONZALEZ ROLDAN,S.C.</t>
        </is>
      </c>
      <c r="C45" t="n">
        <v>359</v>
      </c>
      <c r="D45" t="inlineStr">
        <is>
          <t>CITRICOS</t>
        </is>
      </c>
      <c r="E45" t="n">
        <v>2026</v>
      </c>
      <c r="F45" t="n">
        <v>1</v>
      </c>
      <c r="G45" t="n">
        <v>1</v>
      </c>
      <c r="H45" t="inlineStr">
        <is>
          <t>Sí</t>
        </is>
      </c>
      <c r="J45" t="n">
        <v>359</v>
      </c>
      <c r="K45" t="n">
        <v>2026</v>
      </c>
      <c r="L45" t="inlineStr">
        <is>
          <t>1</t>
        </is>
      </c>
      <c r="M45" t="inlineStr">
        <is>
          <t>CITRICOS</t>
        </is>
      </c>
      <c r="N45" t="inlineStr">
        <is>
          <t>41055</t>
        </is>
      </c>
      <c r="O45" t="inlineStr">
        <is>
          <t>13</t>
        </is>
      </c>
      <c r="P45" t="inlineStr">
        <is>
          <t>188</t>
        </is>
      </c>
      <c r="Q45" t="inlineStr">
        <is>
          <t>1</t>
        </is>
      </c>
      <c r="R45" t="n">
        <v>1.6</v>
      </c>
      <c r="S45" t="n">
        <v>0</v>
      </c>
      <c r="T45" t="n">
        <v>1.61</v>
      </c>
      <c r="V45" t="inlineStr">
        <is>
          <t>Sí</t>
        </is>
      </c>
      <c r="W45" t="inlineStr"/>
    </row>
    <row r="46">
      <c r="A46" t="n">
        <v>1272</v>
      </c>
      <c r="B46" t="inlineStr">
        <is>
          <t>HERMANOS GONZALEZ ROLDAN,S.C.</t>
        </is>
      </c>
      <c r="C46" t="n">
        <v>360</v>
      </c>
      <c r="D46" t="inlineStr">
        <is>
          <t>CITRICOS</t>
        </is>
      </c>
      <c r="E46" t="n">
        <v>2026</v>
      </c>
      <c r="F46" t="n">
        <v>1</v>
      </c>
      <c r="G46" t="n">
        <v>1</v>
      </c>
      <c r="H46" t="inlineStr">
        <is>
          <t>Sí</t>
        </is>
      </c>
      <c r="J46" t="n">
        <v>360</v>
      </c>
      <c r="K46" t="n">
        <v>2026</v>
      </c>
      <c r="L46" t="inlineStr">
        <is>
          <t>1</t>
        </is>
      </c>
      <c r="M46" t="inlineStr">
        <is>
          <t>CITRICOS</t>
        </is>
      </c>
      <c r="N46" t="inlineStr">
        <is>
          <t>41055</t>
        </is>
      </c>
      <c r="O46" t="inlineStr">
        <is>
          <t>22</t>
        </is>
      </c>
      <c r="P46" t="inlineStr">
        <is>
          <t>23</t>
        </is>
      </c>
      <c r="Q46" t="inlineStr">
        <is>
          <t>1</t>
        </is>
      </c>
      <c r="R46" t="n">
        <v>3.38</v>
      </c>
      <c r="S46" t="n">
        <v>0</v>
      </c>
      <c r="T46" t="n">
        <v>3.53</v>
      </c>
      <c r="V46" t="inlineStr">
        <is>
          <t>Sí</t>
        </is>
      </c>
      <c r="W46" t="inlineStr"/>
    </row>
    <row r="47">
      <c r="A47" t="n">
        <v>1272</v>
      </c>
      <c r="B47" t="inlineStr">
        <is>
          <t>HERMANOS GONZALEZ ROLDAN,S.C.</t>
        </is>
      </c>
      <c r="C47" t="n">
        <v>360</v>
      </c>
      <c r="D47" t="inlineStr">
        <is>
          <t>CITRICOS</t>
        </is>
      </c>
      <c r="E47" t="n">
        <v>2026</v>
      </c>
      <c r="F47" t="n">
        <v>1</v>
      </c>
      <c r="G47" t="n">
        <v>1</v>
      </c>
      <c r="H47" t="inlineStr">
        <is>
          <t>Sí</t>
        </is>
      </c>
      <c r="J47" t="n">
        <v>360</v>
      </c>
      <c r="K47" t="n">
        <v>2026</v>
      </c>
      <c r="L47" t="inlineStr">
        <is>
          <t>1</t>
        </is>
      </c>
      <c r="M47" t="inlineStr">
        <is>
          <t>CITRICOS</t>
        </is>
      </c>
      <c r="N47" t="inlineStr">
        <is>
          <t>41055</t>
        </is>
      </c>
      <c r="O47" t="inlineStr">
        <is>
          <t>22</t>
        </is>
      </c>
      <c r="P47" t="inlineStr">
        <is>
          <t>41</t>
        </is>
      </c>
      <c r="Q47" t="inlineStr">
        <is>
          <t>4</t>
        </is>
      </c>
      <c r="R47" t="n">
        <v>5.9</v>
      </c>
      <c r="S47" t="n">
        <v>0</v>
      </c>
      <c r="T47" t="n">
        <v>5.9</v>
      </c>
      <c r="V47" t="inlineStr">
        <is>
          <t>Sí</t>
        </is>
      </c>
      <c r="W47" t="inlineStr"/>
    </row>
    <row r="48">
      <c r="A48" t="n">
        <v>1272</v>
      </c>
      <c r="B48" t="inlineStr">
        <is>
          <t>HERMANOS GONZALEZ ROLDAN,S.C.</t>
        </is>
      </c>
      <c r="C48" t="n">
        <v>360</v>
      </c>
      <c r="D48" t="inlineStr">
        <is>
          <t>CITRICOS</t>
        </is>
      </c>
      <c r="E48" t="n">
        <v>2026</v>
      </c>
      <c r="F48" t="n">
        <v>1</v>
      </c>
      <c r="G48" t="n">
        <v>1</v>
      </c>
      <c r="H48" t="inlineStr">
        <is>
          <t>Sí</t>
        </is>
      </c>
      <c r="J48" t="n">
        <v>360</v>
      </c>
      <c r="K48" t="n">
        <v>2026</v>
      </c>
      <c r="L48" t="inlineStr">
        <is>
          <t>1</t>
        </is>
      </c>
      <c r="M48" t="inlineStr">
        <is>
          <t>CITRICOS</t>
        </is>
      </c>
      <c r="N48" t="inlineStr">
        <is>
          <t>41055</t>
        </is>
      </c>
      <c r="O48" t="inlineStr">
        <is>
          <t>22</t>
        </is>
      </c>
      <c r="P48" t="inlineStr">
        <is>
          <t>9020</t>
        </is>
      </c>
      <c r="Q48" t="inlineStr">
        <is>
          <t>4</t>
        </is>
      </c>
      <c r="R48" t="n">
        <v>0.15</v>
      </c>
      <c r="S48" t="n">
        <v>0</v>
      </c>
      <c r="T48" t="n">
        <v>0.14</v>
      </c>
      <c r="V48" t="inlineStr">
        <is>
          <t>Sí</t>
        </is>
      </c>
      <c r="W48" t="inlineStr"/>
    </row>
    <row r="49">
      <c r="A49" t="n">
        <v>1272</v>
      </c>
      <c r="B49" t="inlineStr">
        <is>
          <t>HERMANOS GONZALEZ ROLDAN,S.C.</t>
        </is>
      </c>
      <c r="C49" t="n">
        <v>360</v>
      </c>
      <c r="D49" t="inlineStr">
        <is>
          <t>CITRICOS</t>
        </is>
      </c>
      <c r="E49" t="n">
        <v>2026</v>
      </c>
      <c r="F49" t="n">
        <v>1</v>
      </c>
      <c r="G49" t="n">
        <v>1</v>
      </c>
      <c r="H49" t="inlineStr">
        <is>
          <t>Sí</t>
        </is>
      </c>
      <c r="J49" t="n">
        <v>360</v>
      </c>
      <c r="K49" t="n">
        <v>2026</v>
      </c>
      <c r="L49" t="inlineStr">
        <is>
          <t>1</t>
        </is>
      </c>
      <c r="M49" t="inlineStr">
        <is>
          <t>CITRICOS</t>
        </is>
      </c>
      <c r="N49" t="inlineStr">
        <is>
          <t>41055</t>
        </is>
      </c>
      <c r="O49" t="inlineStr">
        <is>
          <t>24</t>
        </is>
      </c>
      <c r="P49" t="inlineStr">
        <is>
          <t>1</t>
        </is>
      </c>
      <c r="Q49" t="inlineStr">
        <is>
          <t>2</t>
        </is>
      </c>
      <c r="R49" t="n">
        <v>5</v>
      </c>
      <c r="S49" t="n">
        <v>0</v>
      </c>
      <c r="T49" t="n">
        <v>5</v>
      </c>
      <c r="V49" t="inlineStr">
        <is>
          <t>Sí</t>
        </is>
      </c>
      <c r="W49" t="inlineStr"/>
    </row>
    <row r="50">
      <c r="A50" t="n">
        <v>1272</v>
      </c>
      <c r="B50" t="inlineStr">
        <is>
          <t>HERMANOS GONZALEZ ROLDAN,S.C.</t>
        </is>
      </c>
      <c r="C50" t="n">
        <v>367</v>
      </c>
      <c r="D50" t="inlineStr">
        <is>
          <t>CITRICOS</t>
        </is>
      </c>
      <c r="E50" t="n">
        <v>2026</v>
      </c>
      <c r="F50" t="n">
        <v>1</v>
      </c>
      <c r="G50" t="n">
        <v>1</v>
      </c>
      <c r="H50" t="inlineStr">
        <is>
          <t>Sí</t>
        </is>
      </c>
      <c r="J50" t="n">
        <v>367</v>
      </c>
      <c r="K50" t="n">
        <v>2026</v>
      </c>
      <c r="L50" t="inlineStr">
        <is>
          <t>1</t>
        </is>
      </c>
      <c r="M50" t="inlineStr">
        <is>
          <t>CITRICOS</t>
        </is>
      </c>
      <c r="N50" t="inlineStr">
        <is>
          <t>41055</t>
        </is>
      </c>
      <c r="O50" t="inlineStr">
        <is>
          <t>2</t>
        </is>
      </c>
      <c r="P50" t="inlineStr">
        <is>
          <t>309</t>
        </is>
      </c>
      <c r="Q50" t="inlineStr">
        <is>
          <t>1</t>
        </is>
      </c>
      <c r="R50" t="n">
        <v>0.71</v>
      </c>
      <c r="S50" t="n">
        <v>0</v>
      </c>
      <c r="T50" t="n">
        <v>0.71</v>
      </c>
      <c r="V50" t="inlineStr">
        <is>
          <t>Sí</t>
        </is>
      </c>
      <c r="W50" t="inlineStr"/>
    </row>
    <row r="51">
      <c r="A51" t="n">
        <v>1272</v>
      </c>
      <c r="B51" t="inlineStr">
        <is>
          <t>HERMANOS GONZALEZ ROLDAN,S.C.</t>
        </is>
      </c>
      <c r="C51" t="n">
        <v>367</v>
      </c>
      <c r="D51" t="inlineStr">
        <is>
          <t>CITRICOS</t>
        </is>
      </c>
      <c r="E51" t="n">
        <v>2026</v>
      </c>
      <c r="F51" t="n">
        <v>1</v>
      </c>
      <c r="G51" t="n">
        <v>1</v>
      </c>
      <c r="H51" t="inlineStr">
        <is>
          <t>Sí</t>
        </is>
      </c>
      <c r="J51" t="n">
        <v>367</v>
      </c>
      <c r="K51" t="n">
        <v>2026</v>
      </c>
      <c r="L51" t="inlineStr">
        <is>
          <t>1</t>
        </is>
      </c>
      <c r="M51" t="inlineStr">
        <is>
          <t>CITRICOS</t>
        </is>
      </c>
      <c r="N51" t="inlineStr">
        <is>
          <t>41055</t>
        </is>
      </c>
      <c r="O51" t="inlineStr">
        <is>
          <t>2</t>
        </is>
      </c>
      <c r="P51" t="inlineStr">
        <is>
          <t>310</t>
        </is>
      </c>
      <c r="Q51" t="inlineStr">
        <is>
          <t>1</t>
        </is>
      </c>
      <c r="R51" t="n">
        <v>0.62</v>
      </c>
      <c r="S51" t="n">
        <v>0</v>
      </c>
      <c r="T51" t="n">
        <v>0.62</v>
      </c>
      <c r="V51" t="inlineStr">
        <is>
          <t>Sí</t>
        </is>
      </c>
      <c r="W51" t="inlineStr"/>
    </row>
    <row r="52">
      <c r="A52" t="n">
        <v>1272</v>
      </c>
      <c r="B52" t="inlineStr">
        <is>
          <t>HERMANOS GONZALEZ ROLDAN,S.C.</t>
        </is>
      </c>
      <c r="C52" t="n">
        <v>367</v>
      </c>
      <c r="D52" t="inlineStr">
        <is>
          <t>CITRICOS</t>
        </is>
      </c>
      <c r="E52" t="n">
        <v>2026</v>
      </c>
      <c r="F52" t="n">
        <v>1</v>
      </c>
      <c r="G52" t="n">
        <v>1</v>
      </c>
      <c r="H52" t="inlineStr">
        <is>
          <t>Sí</t>
        </is>
      </c>
      <c r="J52" t="n">
        <v>367</v>
      </c>
      <c r="K52" t="n">
        <v>2026</v>
      </c>
      <c r="L52" t="inlineStr">
        <is>
          <t>1</t>
        </is>
      </c>
      <c r="M52" t="inlineStr">
        <is>
          <t>CITRICOS</t>
        </is>
      </c>
      <c r="N52" t="inlineStr">
        <is>
          <t>41055</t>
        </is>
      </c>
      <c r="O52" t="inlineStr">
        <is>
          <t>2</t>
        </is>
      </c>
      <c r="P52" t="inlineStr">
        <is>
          <t>311</t>
        </is>
      </c>
      <c r="Q52" t="inlineStr">
        <is>
          <t>1</t>
        </is>
      </c>
      <c r="R52" t="n">
        <v>0.46</v>
      </c>
      <c r="S52" t="n">
        <v>0</v>
      </c>
      <c r="T52" t="n">
        <v>0.46</v>
      </c>
      <c r="V52" t="inlineStr">
        <is>
          <t>Sí</t>
        </is>
      </c>
      <c r="W52" t="inlineStr"/>
    </row>
    <row r="53">
      <c r="A53" t="n">
        <v>1272</v>
      </c>
      <c r="B53" t="inlineStr">
        <is>
          <t>HERMANOS GONZALEZ ROLDAN,S.C.</t>
        </is>
      </c>
      <c r="C53" t="n">
        <v>367</v>
      </c>
      <c r="D53" t="inlineStr">
        <is>
          <t>CITRICOS</t>
        </is>
      </c>
      <c r="E53" t="n">
        <v>2026</v>
      </c>
      <c r="F53" t="n">
        <v>1</v>
      </c>
      <c r="G53" t="n">
        <v>1</v>
      </c>
      <c r="H53" t="inlineStr">
        <is>
          <t>Sí</t>
        </is>
      </c>
      <c r="J53" t="n">
        <v>367</v>
      </c>
      <c r="K53" t="n">
        <v>2026</v>
      </c>
      <c r="L53" t="inlineStr">
        <is>
          <t>1</t>
        </is>
      </c>
      <c r="M53" t="inlineStr">
        <is>
          <t>CITRICOS</t>
        </is>
      </c>
      <c r="N53" t="inlineStr">
        <is>
          <t>41055</t>
        </is>
      </c>
      <c r="O53" t="inlineStr">
        <is>
          <t>2</t>
        </is>
      </c>
      <c r="P53" t="inlineStr">
        <is>
          <t>187</t>
        </is>
      </c>
      <c r="Q53" t="inlineStr">
        <is>
          <t>1</t>
        </is>
      </c>
      <c r="R53" t="n">
        <v>0.3</v>
      </c>
      <c r="S53" t="n">
        <v>0</v>
      </c>
      <c r="T53" t="n">
        <v>0.3</v>
      </c>
      <c r="V53" t="inlineStr">
        <is>
          <t>Sí</t>
        </is>
      </c>
      <c r="W53" t="inlineStr"/>
    </row>
    <row r="54">
      <c r="A54" t="n">
        <v>1272</v>
      </c>
      <c r="B54" t="inlineStr">
        <is>
          <t>HERMANOS GONZALEZ ROLDAN,S.C.</t>
        </is>
      </c>
      <c r="C54" t="n">
        <v>369</v>
      </c>
      <c r="D54" t="inlineStr">
        <is>
          <t>CITRICOS</t>
        </is>
      </c>
      <c r="E54" t="n">
        <v>2026</v>
      </c>
      <c r="F54" t="n">
        <v>1</v>
      </c>
      <c r="G54" t="n">
        <v>1</v>
      </c>
      <c r="H54" t="inlineStr">
        <is>
          <t>Sí</t>
        </is>
      </c>
      <c r="J54" t="n">
        <v>369</v>
      </c>
      <c r="K54" t="n">
        <v>2026</v>
      </c>
      <c r="L54" t="inlineStr">
        <is>
          <t>1</t>
        </is>
      </c>
      <c r="M54" t="inlineStr">
        <is>
          <t>CITRICOS</t>
        </is>
      </c>
      <c r="N54" t="inlineStr">
        <is>
          <t>41055</t>
        </is>
      </c>
      <c r="O54" t="inlineStr">
        <is>
          <t>14</t>
        </is>
      </c>
      <c r="P54" t="inlineStr">
        <is>
          <t>20</t>
        </is>
      </c>
      <c r="Q54" t="inlineStr">
        <is>
          <t>8</t>
        </is>
      </c>
      <c r="R54" t="n">
        <v>0.09</v>
      </c>
      <c r="S54" t="n">
        <v>0</v>
      </c>
      <c r="T54" t="n">
        <v>0.09</v>
      </c>
      <c r="V54" t="inlineStr">
        <is>
          <t>Sí</t>
        </is>
      </c>
      <c r="W54" t="inlineStr"/>
    </row>
    <row r="55">
      <c r="A55" t="n">
        <v>1272</v>
      </c>
      <c r="B55" t="inlineStr">
        <is>
          <t>HERMANOS GONZALEZ ROLDAN,S.C.</t>
        </is>
      </c>
      <c r="C55" t="n">
        <v>369</v>
      </c>
      <c r="D55" t="inlineStr">
        <is>
          <t>CITRICOS</t>
        </is>
      </c>
      <c r="E55" t="n">
        <v>2026</v>
      </c>
      <c r="F55" t="n">
        <v>1</v>
      </c>
      <c r="G55" t="n">
        <v>1</v>
      </c>
      <c r="H55" t="inlineStr">
        <is>
          <t>Sí</t>
        </is>
      </c>
      <c r="J55" t="n">
        <v>369</v>
      </c>
      <c r="K55" t="n">
        <v>2026</v>
      </c>
      <c r="L55" t="inlineStr">
        <is>
          <t>1</t>
        </is>
      </c>
      <c r="M55" t="inlineStr">
        <is>
          <t>CITRICOS</t>
        </is>
      </c>
      <c r="N55" t="inlineStr">
        <is>
          <t>41055</t>
        </is>
      </c>
      <c r="O55" t="inlineStr">
        <is>
          <t>14</t>
        </is>
      </c>
      <c r="P55" t="inlineStr">
        <is>
          <t>21</t>
        </is>
      </c>
      <c r="Q55" t="inlineStr">
        <is>
          <t>1</t>
        </is>
      </c>
      <c r="R55" t="n">
        <v>0.5</v>
      </c>
      <c r="S55" t="n">
        <v>0</v>
      </c>
      <c r="T55" t="n">
        <v>0.53</v>
      </c>
      <c r="V55" t="inlineStr">
        <is>
          <t>Sí</t>
        </is>
      </c>
      <c r="W55" t="inlineStr"/>
    </row>
    <row r="56">
      <c r="A56" t="n">
        <v>1272</v>
      </c>
      <c r="B56" t="inlineStr">
        <is>
          <t>HERMANOS GONZALEZ ROLDAN,S.C.</t>
        </is>
      </c>
      <c r="C56" t="n">
        <v>646</v>
      </c>
      <c r="D56" t="inlineStr">
        <is>
          <t>CITRICOS</t>
        </is>
      </c>
      <c r="E56" t="n">
        <v>2026</v>
      </c>
      <c r="F56" t="n">
        <v>1</v>
      </c>
      <c r="G56" t="n">
        <v>1</v>
      </c>
      <c r="H56" t="inlineStr">
        <is>
          <t>Sí</t>
        </is>
      </c>
      <c r="J56" t="n">
        <v>646</v>
      </c>
      <c r="K56" t="n">
        <v>2026</v>
      </c>
      <c r="L56" t="inlineStr">
        <is>
          <t>1</t>
        </is>
      </c>
      <c r="M56" t="inlineStr">
        <is>
          <t>CITRICOS</t>
        </is>
      </c>
      <c r="N56" t="inlineStr">
        <is>
          <t>41055</t>
        </is>
      </c>
      <c r="O56" t="inlineStr">
        <is>
          <t>7</t>
        </is>
      </c>
      <c r="P56" t="inlineStr">
        <is>
          <t>125</t>
        </is>
      </c>
      <c r="Q56" t="inlineStr">
        <is>
          <t>5</t>
        </is>
      </c>
      <c r="R56" t="n">
        <v>0.07000000000000001</v>
      </c>
      <c r="S56" t="n">
        <v>0</v>
      </c>
      <c r="T56" t="n">
        <v>0.07000000000000001</v>
      </c>
      <c r="V56" t="inlineStr">
        <is>
          <t>Sí</t>
        </is>
      </c>
      <c r="W56" t="inlineStr"/>
    </row>
    <row r="57">
      <c r="A57" t="n">
        <v>1272</v>
      </c>
      <c r="B57" t="inlineStr">
        <is>
          <t>HERMANOS GONZALEZ ROLDAN,S.C.</t>
        </is>
      </c>
      <c r="C57" t="n">
        <v>646</v>
      </c>
      <c r="D57" t="inlineStr">
        <is>
          <t>CITRICOS</t>
        </is>
      </c>
      <c r="E57" t="n">
        <v>2026</v>
      </c>
      <c r="F57" t="n">
        <v>1</v>
      </c>
      <c r="G57" t="n">
        <v>1</v>
      </c>
      <c r="H57" t="inlineStr">
        <is>
          <t>Sí</t>
        </is>
      </c>
      <c r="J57" t="n">
        <v>646</v>
      </c>
      <c r="K57" t="n">
        <v>2026</v>
      </c>
      <c r="L57" t="inlineStr">
        <is>
          <t>1</t>
        </is>
      </c>
      <c r="M57" t="inlineStr">
        <is>
          <t>CITRICOS</t>
        </is>
      </c>
      <c r="N57" t="inlineStr">
        <is>
          <t>41055</t>
        </is>
      </c>
      <c r="O57" t="inlineStr">
        <is>
          <t>7</t>
        </is>
      </c>
      <c r="P57" t="inlineStr">
        <is>
          <t>126</t>
        </is>
      </c>
      <c r="Q57" t="inlineStr">
        <is>
          <t>1</t>
        </is>
      </c>
      <c r="R57" t="n">
        <v>1.17</v>
      </c>
      <c r="S57" t="n">
        <v>0</v>
      </c>
      <c r="T57" t="n">
        <v>1.17</v>
      </c>
      <c r="V57" t="inlineStr">
        <is>
          <t>Sí</t>
        </is>
      </c>
      <c r="W57" t="inlineStr"/>
    </row>
    <row r="58">
      <c r="A58" t="n">
        <v>1272</v>
      </c>
      <c r="B58" t="inlineStr">
        <is>
          <t>HERMANOS GONZALEZ ROLDAN,S.C.</t>
        </is>
      </c>
      <c r="C58" t="n">
        <v>646</v>
      </c>
      <c r="D58" t="inlineStr">
        <is>
          <t>CITRICOS</t>
        </is>
      </c>
      <c r="E58" t="n">
        <v>2026</v>
      </c>
      <c r="F58" t="n">
        <v>1</v>
      </c>
      <c r="G58" t="n">
        <v>1</v>
      </c>
      <c r="H58" t="inlineStr">
        <is>
          <t>Sí</t>
        </is>
      </c>
      <c r="J58" t="n">
        <v>646</v>
      </c>
      <c r="K58" t="n">
        <v>2026</v>
      </c>
      <c r="L58" t="inlineStr">
        <is>
          <t>1</t>
        </is>
      </c>
      <c r="M58" t="inlineStr">
        <is>
          <t>CITRICOS</t>
        </is>
      </c>
      <c r="N58" t="inlineStr">
        <is>
          <t>41055</t>
        </is>
      </c>
      <c r="O58" t="inlineStr">
        <is>
          <t>7</t>
        </is>
      </c>
      <c r="P58" t="inlineStr">
        <is>
          <t>126</t>
        </is>
      </c>
      <c r="Q58" t="inlineStr">
        <is>
          <t>2</t>
        </is>
      </c>
      <c r="R58" t="n">
        <v>0.29</v>
      </c>
      <c r="S58" t="n">
        <v>0</v>
      </c>
      <c r="T58" t="n">
        <v>0.29</v>
      </c>
      <c r="V58" t="inlineStr">
        <is>
          <t>Sí</t>
        </is>
      </c>
      <c r="W58" t="inlineStr"/>
    </row>
    <row r="59">
      <c r="A59" t="n">
        <v>1272</v>
      </c>
      <c r="B59" t="inlineStr">
        <is>
          <t>HERMANOS GONZALEZ ROLDAN,S.C.</t>
        </is>
      </c>
      <c r="C59" t="n">
        <v>646</v>
      </c>
      <c r="D59" t="inlineStr">
        <is>
          <t>CITRICOS</t>
        </is>
      </c>
      <c r="E59" t="n">
        <v>2026</v>
      </c>
      <c r="F59" t="n">
        <v>1</v>
      </c>
      <c r="G59" t="n">
        <v>1</v>
      </c>
      <c r="H59" t="inlineStr">
        <is>
          <t>Sí</t>
        </is>
      </c>
      <c r="J59" t="n">
        <v>646</v>
      </c>
      <c r="K59" t="n">
        <v>2026</v>
      </c>
      <c r="L59" t="inlineStr">
        <is>
          <t>1</t>
        </is>
      </c>
      <c r="M59" t="inlineStr">
        <is>
          <t>CITRICOS</t>
        </is>
      </c>
      <c r="N59" t="inlineStr">
        <is>
          <t>41055</t>
        </is>
      </c>
      <c r="O59" t="inlineStr">
        <is>
          <t>7</t>
        </is>
      </c>
      <c r="P59" t="inlineStr">
        <is>
          <t>127</t>
        </is>
      </c>
      <c r="Q59" t="inlineStr">
        <is>
          <t>1</t>
        </is>
      </c>
      <c r="R59" t="n">
        <v>3.78</v>
      </c>
      <c r="S59" t="n">
        <v>0</v>
      </c>
      <c r="T59" t="n">
        <v>3.78</v>
      </c>
      <c r="V59" t="inlineStr">
        <is>
          <t>Sí</t>
        </is>
      </c>
      <c r="W59" t="inlineStr"/>
    </row>
    <row r="60">
      <c r="A60" t="n">
        <v>1272</v>
      </c>
      <c r="B60" t="inlineStr">
        <is>
          <t>HERMANOS GONZALEZ ROLDAN,S.C.</t>
        </is>
      </c>
      <c r="C60" t="n">
        <v>646</v>
      </c>
      <c r="D60" t="inlineStr">
        <is>
          <t>CITRICOS</t>
        </is>
      </c>
      <c r="E60" t="n">
        <v>2026</v>
      </c>
      <c r="F60" t="n">
        <v>1</v>
      </c>
      <c r="G60" t="n">
        <v>1</v>
      </c>
      <c r="H60" t="inlineStr">
        <is>
          <t>Sí</t>
        </is>
      </c>
      <c r="J60" t="n">
        <v>646</v>
      </c>
      <c r="K60" t="n">
        <v>2026</v>
      </c>
      <c r="L60" t="inlineStr">
        <is>
          <t>1</t>
        </is>
      </c>
      <c r="M60" t="inlineStr">
        <is>
          <t>CITRICOS</t>
        </is>
      </c>
      <c r="N60" t="inlineStr">
        <is>
          <t>41055</t>
        </is>
      </c>
      <c r="O60" t="inlineStr">
        <is>
          <t>8</t>
        </is>
      </c>
      <c r="P60" t="inlineStr">
        <is>
          <t>39</t>
        </is>
      </c>
      <c r="Q60" t="inlineStr">
        <is>
          <t>10</t>
        </is>
      </c>
      <c r="R60" t="n">
        <v>13.31</v>
      </c>
      <c r="S60" t="n">
        <v>0</v>
      </c>
      <c r="T60" t="n">
        <v>13.31</v>
      </c>
      <c r="V60" t="inlineStr">
        <is>
          <t>Sí</t>
        </is>
      </c>
      <c r="W60" t="inlineStr"/>
    </row>
    <row r="61">
      <c r="A61" t="n">
        <v>1272</v>
      </c>
      <c r="B61" t="inlineStr">
        <is>
          <t>HERMANOS GONZALEZ ROLDAN,S.C.</t>
        </is>
      </c>
      <c r="C61" t="n">
        <v>646</v>
      </c>
      <c r="D61" t="inlineStr">
        <is>
          <t>CITRICOS</t>
        </is>
      </c>
      <c r="E61" t="n">
        <v>2026</v>
      </c>
      <c r="F61" t="n">
        <v>1</v>
      </c>
      <c r="G61" t="n">
        <v>1</v>
      </c>
      <c r="H61" t="inlineStr">
        <is>
          <t>Sí</t>
        </is>
      </c>
      <c r="J61" t="n">
        <v>646</v>
      </c>
      <c r="K61" t="n">
        <v>2026</v>
      </c>
      <c r="L61" t="inlineStr">
        <is>
          <t>1</t>
        </is>
      </c>
      <c r="M61" t="inlineStr">
        <is>
          <t>CITRICOS</t>
        </is>
      </c>
      <c r="N61" t="inlineStr">
        <is>
          <t>41055</t>
        </is>
      </c>
      <c r="O61" t="inlineStr">
        <is>
          <t>8</t>
        </is>
      </c>
      <c r="P61" t="inlineStr">
        <is>
          <t>63</t>
        </is>
      </c>
      <c r="Q61" t="inlineStr">
        <is>
          <t>5</t>
        </is>
      </c>
      <c r="R61" t="n">
        <v>4.42</v>
      </c>
      <c r="S61" t="n">
        <v>0</v>
      </c>
      <c r="T61" t="n">
        <v>4.48</v>
      </c>
      <c r="V61" t="inlineStr">
        <is>
          <t>Sí</t>
        </is>
      </c>
      <c r="W61" t="inlineStr"/>
    </row>
    <row r="62">
      <c r="A62" t="n">
        <v>1272</v>
      </c>
      <c r="B62" t="inlineStr">
        <is>
          <t>HERMANOS GONZALEZ ROLDAN,S.C.</t>
        </is>
      </c>
      <c r="C62" t="n">
        <v>646</v>
      </c>
      <c r="D62" t="inlineStr">
        <is>
          <t>CITRICOS</t>
        </is>
      </c>
      <c r="E62" t="n">
        <v>2026</v>
      </c>
      <c r="F62" t="n">
        <v>1</v>
      </c>
      <c r="G62" t="n">
        <v>1</v>
      </c>
      <c r="H62" t="inlineStr">
        <is>
          <t>Sí</t>
        </is>
      </c>
      <c r="J62" t="n">
        <v>646</v>
      </c>
      <c r="K62" t="n">
        <v>2026</v>
      </c>
      <c r="L62" t="inlineStr">
        <is>
          <t>1</t>
        </is>
      </c>
      <c r="M62" t="inlineStr">
        <is>
          <t>CITRICOS</t>
        </is>
      </c>
      <c r="N62" t="inlineStr">
        <is>
          <t>41055</t>
        </is>
      </c>
      <c r="O62" t="inlineStr">
        <is>
          <t>8</t>
        </is>
      </c>
      <c r="P62" t="inlineStr">
        <is>
          <t>9028</t>
        </is>
      </c>
      <c r="Q62" t="inlineStr">
        <is>
          <t>1</t>
        </is>
      </c>
      <c r="R62" t="n">
        <v>0.53</v>
      </c>
      <c r="S62" t="n">
        <v>0</v>
      </c>
      <c r="T62" t="n">
        <v>0.53</v>
      </c>
      <c r="V62" t="inlineStr">
        <is>
          <t>Sí</t>
        </is>
      </c>
      <c r="W62" t="inlineStr"/>
    </row>
    <row r="63">
      <c r="A63" t="n">
        <v>1272</v>
      </c>
      <c r="B63" t="inlineStr">
        <is>
          <t>HERMANOS GONZALEZ ROLDAN,S.C.</t>
        </is>
      </c>
      <c r="C63" t="n">
        <v>646</v>
      </c>
      <c r="D63" t="inlineStr">
        <is>
          <t>CITRICOS</t>
        </is>
      </c>
      <c r="E63" t="n">
        <v>2026</v>
      </c>
      <c r="F63" t="n">
        <v>1</v>
      </c>
      <c r="G63" t="n">
        <v>1</v>
      </c>
      <c r="H63" t="inlineStr">
        <is>
          <t>Sí</t>
        </is>
      </c>
      <c r="J63" t="n">
        <v>646</v>
      </c>
      <c r="K63" t="n">
        <v>2026</v>
      </c>
      <c r="L63" t="inlineStr">
        <is>
          <t>1</t>
        </is>
      </c>
      <c r="M63" t="inlineStr">
        <is>
          <t>CITRICOS</t>
        </is>
      </c>
      <c r="N63" t="inlineStr">
        <is>
          <t>41055</t>
        </is>
      </c>
      <c r="O63" t="inlineStr">
        <is>
          <t>8</t>
        </is>
      </c>
      <c r="P63" t="inlineStr">
        <is>
          <t>9028</t>
        </is>
      </c>
      <c r="Q63" t="inlineStr">
        <is>
          <t>7</t>
        </is>
      </c>
      <c r="R63" t="n">
        <v>0.19</v>
      </c>
      <c r="S63" t="n">
        <v>0</v>
      </c>
      <c r="T63" t="n">
        <v>0.19</v>
      </c>
      <c r="V63" t="inlineStr">
        <is>
          <t>Sí</t>
        </is>
      </c>
      <c r="W63" t="inlineStr"/>
    </row>
    <row r="64">
      <c r="A64" t="n">
        <v>1316</v>
      </c>
      <c r="B64" t="inlineStr">
        <is>
          <t>JIMENA GARCIA,JUAN MANUEL</t>
        </is>
      </c>
      <c r="C64" t="n">
        <v>217</v>
      </c>
      <c r="D64" t="inlineStr">
        <is>
          <t>CITRICOS</t>
        </is>
      </c>
      <c r="E64" t="n">
        <v>2026</v>
      </c>
      <c r="F64" t="n">
        <v>1</v>
      </c>
      <c r="G64" t="n">
        <v>1</v>
      </c>
      <c r="H64" t="inlineStr">
        <is>
          <t>Sí</t>
        </is>
      </c>
      <c r="J64" t="n">
        <v>217</v>
      </c>
      <c r="K64" t="n">
        <v>2026</v>
      </c>
      <c r="L64" t="inlineStr">
        <is>
          <t>1</t>
        </is>
      </c>
      <c r="M64" t="inlineStr">
        <is>
          <t>CITRICOS</t>
        </is>
      </c>
      <c r="N64" t="inlineStr">
        <is>
          <t>41055</t>
        </is>
      </c>
      <c r="O64" t="inlineStr">
        <is>
          <t>14</t>
        </is>
      </c>
      <c r="P64" t="inlineStr">
        <is>
          <t>59</t>
        </is>
      </c>
      <c r="Q64" t="inlineStr">
        <is>
          <t>3</t>
        </is>
      </c>
      <c r="R64" t="n">
        <v>1.99</v>
      </c>
      <c r="S64" t="n">
        <v>1.986021</v>
      </c>
      <c r="T64" t="n">
        <v>1.95</v>
      </c>
      <c r="V64" t="inlineStr">
        <is>
          <t>Sí</t>
        </is>
      </c>
      <c r="W64" t="inlineStr"/>
    </row>
    <row r="65">
      <c r="A65" t="n">
        <v>1316</v>
      </c>
      <c r="B65" t="inlineStr">
        <is>
          <t>JIMENA GARCIA,JUAN MANUEL</t>
        </is>
      </c>
      <c r="C65" t="n">
        <v>217</v>
      </c>
      <c r="D65" t="inlineStr">
        <is>
          <t>CITRICOS</t>
        </is>
      </c>
      <c r="E65" t="n">
        <v>2026</v>
      </c>
      <c r="F65" t="n">
        <v>1</v>
      </c>
      <c r="G65" t="n">
        <v>1</v>
      </c>
      <c r="H65" t="inlineStr">
        <is>
          <t>Sí</t>
        </is>
      </c>
      <c r="J65" t="n">
        <v>217</v>
      </c>
      <c r="K65" t="n">
        <v>2026</v>
      </c>
      <c r="L65" t="inlineStr">
        <is>
          <t>1</t>
        </is>
      </c>
      <c r="M65" t="inlineStr">
        <is>
          <t>CITRICOS</t>
        </is>
      </c>
      <c r="N65" t="inlineStr">
        <is>
          <t>41055</t>
        </is>
      </c>
      <c r="O65" t="inlineStr">
        <is>
          <t>14</t>
        </is>
      </c>
      <c r="P65" t="inlineStr">
        <is>
          <t>107</t>
        </is>
      </c>
      <c r="Q65" t="inlineStr">
        <is>
          <t>3</t>
        </is>
      </c>
      <c r="R65" t="n">
        <v>0.11</v>
      </c>
      <c r="S65" t="n">
        <v>0.114557</v>
      </c>
      <c r="T65" t="n">
        <v>0.11</v>
      </c>
      <c r="V65" t="inlineStr">
        <is>
          <t>Sí</t>
        </is>
      </c>
      <c r="W65" t="inlineStr"/>
    </row>
    <row r="66">
      <c r="A66" t="n">
        <v>1316</v>
      </c>
      <c r="B66" t="inlineStr">
        <is>
          <t>JIMENA GARCIA,JUAN MANUEL</t>
        </is>
      </c>
      <c r="C66" t="n">
        <v>261</v>
      </c>
      <c r="D66" t="inlineStr">
        <is>
          <t>CITRICOS</t>
        </is>
      </c>
      <c r="E66" t="n">
        <v>2026</v>
      </c>
      <c r="F66" t="n">
        <v>1</v>
      </c>
      <c r="G66" t="n">
        <v>1</v>
      </c>
      <c r="H66" t="inlineStr">
        <is>
          <t>Sí</t>
        </is>
      </c>
      <c r="J66" t="n">
        <v>261</v>
      </c>
      <c r="K66" t="n">
        <v>2026</v>
      </c>
      <c r="L66" t="inlineStr">
        <is>
          <t>1</t>
        </is>
      </c>
      <c r="M66" t="inlineStr">
        <is>
          <t>CITRICOS</t>
        </is>
      </c>
      <c r="N66" t="inlineStr">
        <is>
          <t>41004</t>
        </is>
      </c>
      <c r="O66" t="inlineStr">
        <is>
          <t>37</t>
        </is>
      </c>
      <c r="P66" t="inlineStr">
        <is>
          <t>32</t>
        </is>
      </c>
      <c r="Q66" t="inlineStr">
        <is>
          <t>2</t>
        </is>
      </c>
      <c r="R66" t="n">
        <v>1.13</v>
      </c>
      <c r="S66" t="n">
        <v>1.1275</v>
      </c>
      <c r="T66" t="n">
        <v>1.22</v>
      </c>
      <c r="V66" t="inlineStr">
        <is>
          <t>Sí</t>
        </is>
      </c>
      <c r="W66" t="inlineStr"/>
    </row>
    <row r="67">
      <c r="A67" t="n">
        <v>1350</v>
      </c>
      <c r="B67" t="inlineStr">
        <is>
          <t>FAMILIA GONZALEZ LACAL S.C.</t>
        </is>
      </c>
      <c r="C67" t="n">
        <v>79</v>
      </c>
      <c r="D67" t="inlineStr">
        <is>
          <t>CITRICOS</t>
        </is>
      </c>
      <c r="E67" t="n">
        <v>2026</v>
      </c>
      <c r="F67" t="n">
        <v>1</v>
      </c>
      <c r="G67" t="n">
        <v>1</v>
      </c>
      <c r="H67" t="inlineStr">
        <is>
          <t>Sí</t>
        </is>
      </c>
      <c r="J67" t="n">
        <v>79</v>
      </c>
      <c r="K67" t="n">
        <v>2026</v>
      </c>
      <c r="L67" t="inlineStr">
        <is>
          <t>1</t>
        </is>
      </c>
      <c r="M67" t="inlineStr">
        <is>
          <t>CITRICOS</t>
        </is>
      </c>
      <c r="N67" t="inlineStr">
        <is>
          <t>41055</t>
        </is>
      </c>
      <c r="O67" t="inlineStr">
        <is>
          <t>23</t>
        </is>
      </c>
      <c r="P67" t="inlineStr">
        <is>
          <t>153</t>
        </is>
      </c>
      <c r="Q67" t="inlineStr">
        <is>
          <t>1</t>
        </is>
      </c>
      <c r="R67" t="n">
        <v>0.75</v>
      </c>
      <c r="S67" t="n">
        <v>1.212803</v>
      </c>
      <c r="T67" t="n">
        <v>0.75</v>
      </c>
      <c r="V67" t="inlineStr">
        <is>
          <t>Sí</t>
        </is>
      </c>
      <c r="W67" t="inlineStr"/>
    </row>
    <row r="68">
      <c r="A68" t="n">
        <v>1350</v>
      </c>
      <c r="B68" t="inlineStr">
        <is>
          <t>FAMILIA GONZALEZ LACAL S.C.</t>
        </is>
      </c>
      <c r="C68" t="n">
        <v>80</v>
      </c>
      <c r="D68" t="inlineStr">
        <is>
          <t>CITRICOS</t>
        </is>
      </c>
      <c r="E68" t="n">
        <v>2026</v>
      </c>
      <c r="F68" t="n">
        <v>1</v>
      </c>
      <c r="G68" t="n">
        <v>1</v>
      </c>
      <c r="H68" t="inlineStr">
        <is>
          <t>Sí</t>
        </is>
      </c>
      <c r="J68" t="n">
        <v>80</v>
      </c>
      <c r="K68" t="n">
        <v>2026</v>
      </c>
      <c r="L68" t="inlineStr">
        <is>
          <t>1</t>
        </is>
      </c>
      <c r="M68" t="inlineStr">
        <is>
          <t>CITRICOS</t>
        </is>
      </c>
      <c r="N68" t="inlineStr">
        <is>
          <t>41055</t>
        </is>
      </c>
      <c r="O68" t="inlineStr">
        <is>
          <t>23</t>
        </is>
      </c>
      <c r="P68" t="inlineStr">
        <is>
          <t>153</t>
        </is>
      </c>
      <c r="Q68" t="inlineStr">
        <is>
          <t>1</t>
        </is>
      </c>
      <c r="R68" t="n">
        <v>1.13</v>
      </c>
      <c r="S68" t="n">
        <v>1.212803</v>
      </c>
      <c r="T68" t="n">
        <v>0.41</v>
      </c>
      <c r="V68" t="inlineStr">
        <is>
          <t>Sí</t>
        </is>
      </c>
      <c r="W68" t="inlineStr"/>
    </row>
    <row r="69">
      <c r="A69" t="n">
        <v>1350</v>
      </c>
      <c r="B69" t="inlineStr">
        <is>
          <t>FAMILIA GONZALEZ LACAL S.C.</t>
        </is>
      </c>
      <c r="C69" t="n">
        <v>231</v>
      </c>
      <c r="D69" t="inlineStr">
        <is>
          <t>CITRICOS</t>
        </is>
      </c>
      <c r="E69" t="n">
        <v>2026</v>
      </c>
      <c r="F69" t="n">
        <v>1</v>
      </c>
      <c r="G69" t="n">
        <v>1</v>
      </c>
      <c r="H69" t="inlineStr">
        <is>
          <t>Sí</t>
        </is>
      </c>
      <c r="J69" t="n">
        <v>231</v>
      </c>
      <c r="K69" t="n">
        <v>2026</v>
      </c>
      <c r="L69" t="inlineStr">
        <is>
          <t>1</t>
        </is>
      </c>
      <c r="M69" t="inlineStr">
        <is>
          <t>CITRICOS</t>
        </is>
      </c>
      <c r="N69" t="inlineStr">
        <is>
          <t>41055</t>
        </is>
      </c>
      <c r="O69" t="inlineStr">
        <is>
          <t>24</t>
        </is>
      </c>
      <c r="P69" t="inlineStr">
        <is>
          <t>2</t>
        </is>
      </c>
      <c r="Q69" t="inlineStr">
        <is>
          <t>1</t>
        </is>
      </c>
      <c r="R69" t="n">
        <v>3.55</v>
      </c>
      <c r="S69" t="n">
        <v>3.64327</v>
      </c>
      <c r="T69" t="n">
        <v>3.6</v>
      </c>
      <c r="V69" t="inlineStr">
        <is>
          <t>Sí</t>
        </is>
      </c>
      <c r="W69" t="inlineStr"/>
    </row>
    <row r="70">
      <c r="A70" t="n">
        <v>1350</v>
      </c>
      <c r="B70" t="inlineStr">
        <is>
          <t>FAMILIA GONZALEZ LACAL S.C.</t>
        </is>
      </c>
      <c r="C70" t="n">
        <v>241</v>
      </c>
      <c r="D70" t="inlineStr">
        <is>
          <t>CITRICOS</t>
        </is>
      </c>
      <c r="E70" t="n">
        <v>2026</v>
      </c>
      <c r="F70" t="n">
        <v>1</v>
      </c>
      <c r="G70" t="n">
        <v>1</v>
      </c>
      <c r="H70" t="inlineStr">
        <is>
          <t>Sí</t>
        </is>
      </c>
      <c r="J70" t="n">
        <v>241</v>
      </c>
      <c r="K70" t="n">
        <v>2026</v>
      </c>
      <c r="L70" t="inlineStr">
        <is>
          <t>1</t>
        </is>
      </c>
      <c r="M70" t="inlineStr">
        <is>
          <t>CITRICOS</t>
        </is>
      </c>
      <c r="N70" t="inlineStr">
        <is>
          <t>41055</t>
        </is>
      </c>
      <c r="O70" t="inlineStr">
        <is>
          <t>24</t>
        </is>
      </c>
      <c r="P70" t="inlineStr">
        <is>
          <t>2</t>
        </is>
      </c>
      <c r="Q70" t="inlineStr">
        <is>
          <t>5</t>
        </is>
      </c>
      <c r="R70" t="n">
        <v>3.73</v>
      </c>
      <c r="S70" t="n">
        <v>3.72582</v>
      </c>
      <c r="T70" t="n">
        <v>3.69</v>
      </c>
      <c r="V70" t="inlineStr">
        <is>
          <t>Sí</t>
        </is>
      </c>
      <c r="W70" t="inlineStr"/>
    </row>
    <row r="71">
      <c r="A71" t="n">
        <v>1354</v>
      </c>
      <c r="B71" t="inlineStr">
        <is>
          <t>MARTIN PORTALES,ALFREDO</t>
        </is>
      </c>
      <c r="C71" t="n">
        <v>88</v>
      </c>
      <c r="D71" t="inlineStr">
        <is>
          <t>CITRICOS</t>
        </is>
      </c>
      <c r="E71" t="n">
        <v>2026</v>
      </c>
      <c r="F71" t="n">
        <v>1</v>
      </c>
      <c r="G71" t="n">
        <v>1</v>
      </c>
      <c r="H71" t="inlineStr">
        <is>
          <t>Sí</t>
        </is>
      </c>
      <c r="J71" t="n">
        <v>88</v>
      </c>
      <c r="K71" t="n">
        <v>2026</v>
      </c>
      <c r="L71" t="inlineStr">
        <is>
          <t>1</t>
        </is>
      </c>
      <c r="M71" t="inlineStr">
        <is>
          <t>CITRICOS</t>
        </is>
      </c>
      <c r="N71" t="inlineStr">
        <is>
          <t>41055</t>
        </is>
      </c>
      <c r="O71" t="inlineStr">
        <is>
          <t>12</t>
        </is>
      </c>
      <c r="P71" t="inlineStr">
        <is>
          <t>30</t>
        </is>
      </c>
      <c r="Q71" t="inlineStr">
        <is>
          <t>1</t>
        </is>
      </c>
      <c r="R71" t="n">
        <v>2.83</v>
      </c>
      <c r="S71" t="n">
        <v>5.309093</v>
      </c>
      <c r="T71" t="n">
        <v>2.83</v>
      </c>
      <c r="V71" t="inlineStr">
        <is>
          <t>Sí</t>
        </is>
      </c>
      <c r="W71" t="inlineStr"/>
    </row>
    <row r="72">
      <c r="A72" t="n">
        <v>1354</v>
      </c>
      <c r="B72" t="inlineStr">
        <is>
          <t>MARTIN PORTALES,ALFREDO</t>
        </is>
      </c>
      <c r="C72" t="n">
        <v>88</v>
      </c>
      <c r="D72" t="inlineStr">
        <is>
          <t>CITRICOS</t>
        </is>
      </c>
      <c r="E72" t="n">
        <v>2026</v>
      </c>
      <c r="F72" t="n">
        <v>1</v>
      </c>
      <c r="G72" t="n">
        <v>1</v>
      </c>
      <c r="H72" t="inlineStr">
        <is>
          <t>Sí</t>
        </is>
      </c>
      <c r="J72" t="n">
        <v>88</v>
      </c>
      <c r="K72" t="n">
        <v>2026</v>
      </c>
      <c r="L72" t="inlineStr">
        <is>
          <t>1</t>
        </is>
      </c>
      <c r="M72" t="inlineStr">
        <is>
          <t>CITRICOS</t>
        </is>
      </c>
      <c r="N72" t="inlineStr">
        <is>
          <t>41055</t>
        </is>
      </c>
      <c r="O72" t="inlineStr">
        <is>
          <t>12</t>
        </is>
      </c>
      <c r="P72" t="inlineStr">
        <is>
          <t>30</t>
        </is>
      </c>
      <c r="Q72" t="inlineStr">
        <is>
          <t>1</t>
        </is>
      </c>
      <c r="R72" t="n">
        <v>2.41</v>
      </c>
      <c r="S72" t="n">
        <v>5.309093</v>
      </c>
      <c r="T72" t="n">
        <v>2.41</v>
      </c>
      <c r="V72" t="inlineStr">
        <is>
          <t>Sí</t>
        </is>
      </c>
      <c r="W72" t="inlineStr"/>
    </row>
    <row r="73">
      <c r="A73" t="n">
        <v>1355</v>
      </c>
      <c r="B73" t="inlineStr">
        <is>
          <t>CANO MANZANARES,JUAN ANTONIO</t>
        </is>
      </c>
      <c r="C73" t="n">
        <v>555</v>
      </c>
      <c r="D73" t="inlineStr">
        <is>
          <t>CITRICOS</t>
        </is>
      </c>
      <c r="E73" t="n">
        <v>2026</v>
      </c>
      <c r="F73" t="n">
        <v>1</v>
      </c>
      <c r="G73" t="n">
        <v>1</v>
      </c>
      <c r="H73" t="inlineStr">
        <is>
          <t>Sí</t>
        </is>
      </c>
      <c r="J73" t="n">
        <v>555</v>
      </c>
      <c r="K73" t="n">
        <v>2026</v>
      </c>
      <c r="L73" t="inlineStr">
        <is>
          <t>1</t>
        </is>
      </c>
      <c r="M73" t="inlineStr">
        <is>
          <t>CITRICOS</t>
        </is>
      </c>
      <c r="N73" t="inlineStr">
        <is>
          <t>41055</t>
        </is>
      </c>
      <c r="O73" t="inlineStr">
        <is>
          <t>13</t>
        </is>
      </c>
      <c r="P73" t="inlineStr">
        <is>
          <t>45</t>
        </is>
      </c>
      <c r="Q73" t="inlineStr">
        <is>
          <t>3</t>
        </is>
      </c>
      <c r="R73" t="n">
        <v>0.51</v>
      </c>
      <c r="S73" t="n">
        <v>0</v>
      </c>
      <c r="T73" t="n">
        <v>0.51</v>
      </c>
      <c r="V73" t="inlineStr">
        <is>
          <t>Sí</t>
        </is>
      </c>
      <c r="W73" t="inlineStr"/>
    </row>
    <row r="74">
      <c r="A74" t="n">
        <v>1355</v>
      </c>
      <c r="B74" t="inlineStr">
        <is>
          <t>CANO MANZANARES,JUAN ANTONIO</t>
        </is>
      </c>
      <c r="C74" t="n">
        <v>555</v>
      </c>
      <c r="D74" t="inlineStr">
        <is>
          <t>CITRICOS</t>
        </is>
      </c>
      <c r="E74" t="n">
        <v>2026</v>
      </c>
      <c r="F74" t="n">
        <v>1</v>
      </c>
      <c r="G74" t="n">
        <v>1</v>
      </c>
      <c r="H74" t="inlineStr">
        <is>
          <t>Sí</t>
        </is>
      </c>
      <c r="J74" t="n">
        <v>555</v>
      </c>
      <c r="K74" t="n">
        <v>2026</v>
      </c>
      <c r="L74" t="inlineStr">
        <is>
          <t>1</t>
        </is>
      </c>
      <c r="M74" t="inlineStr">
        <is>
          <t>CITRICOS</t>
        </is>
      </c>
      <c r="N74" t="inlineStr">
        <is>
          <t>41055</t>
        </is>
      </c>
      <c r="O74" t="inlineStr">
        <is>
          <t>13</t>
        </is>
      </c>
      <c r="P74" t="inlineStr">
        <is>
          <t>49</t>
        </is>
      </c>
      <c r="Q74" t="inlineStr">
        <is>
          <t>1</t>
        </is>
      </c>
      <c r="R74" t="n">
        <v>2.37</v>
      </c>
      <c r="S74" t="n">
        <v>0</v>
      </c>
      <c r="T74" t="n">
        <v>2.35</v>
      </c>
      <c r="V74" t="inlineStr">
        <is>
          <t>Sí</t>
        </is>
      </c>
      <c r="W74" t="inlineStr"/>
    </row>
    <row r="75">
      <c r="A75" t="n">
        <v>1355</v>
      </c>
      <c r="B75" t="inlineStr">
        <is>
          <t>CANO MANZANARES,JUAN ANTONIO</t>
        </is>
      </c>
      <c r="C75" t="n">
        <v>555</v>
      </c>
      <c r="D75" t="inlineStr">
        <is>
          <t>CITRICOS</t>
        </is>
      </c>
      <c r="E75" t="n">
        <v>2026</v>
      </c>
      <c r="F75" t="n">
        <v>1</v>
      </c>
      <c r="G75" t="n">
        <v>1</v>
      </c>
      <c r="H75" t="inlineStr">
        <is>
          <t>Sí</t>
        </is>
      </c>
      <c r="J75" t="n">
        <v>555</v>
      </c>
      <c r="K75" t="n">
        <v>2026</v>
      </c>
      <c r="L75" t="inlineStr">
        <is>
          <t>1</t>
        </is>
      </c>
      <c r="M75" t="inlineStr">
        <is>
          <t>CITRICOS</t>
        </is>
      </c>
      <c r="N75" t="inlineStr">
        <is>
          <t>41055</t>
        </is>
      </c>
      <c r="O75" t="inlineStr">
        <is>
          <t>13</t>
        </is>
      </c>
      <c r="P75" t="inlineStr">
        <is>
          <t>50</t>
        </is>
      </c>
      <c r="Q75" t="inlineStr">
        <is>
          <t>2</t>
        </is>
      </c>
      <c r="R75" t="n">
        <v>1.94</v>
      </c>
      <c r="S75" t="n">
        <v>0</v>
      </c>
      <c r="T75" t="n">
        <v>1.93</v>
      </c>
      <c r="V75" t="inlineStr">
        <is>
          <t>Sí</t>
        </is>
      </c>
      <c r="W75" t="inlineStr"/>
    </row>
    <row r="76">
      <c r="A76" t="n">
        <v>1355</v>
      </c>
      <c r="B76" t="inlineStr">
        <is>
          <t>CANO MANZANARES,JUAN ANTONIO</t>
        </is>
      </c>
      <c r="C76" t="n">
        <v>606</v>
      </c>
      <c r="D76" t="inlineStr">
        <is>
          <t>MANDARINA</t>
        </is>
      </c>
      <c r="E76" t="n">
        <v>2026</v>
      </c>
      <c r="F76" t="n">
        <v>1</v>
      </c>
      <c r="G76" t="n">
        <v>1</v>
      </c>
      <c r="H76" t="inlineStr">
        <is>
          <t>Sí</t>
        </is>
      </c>
      <c r="J76" t="n">
        <v>606</v>
      </c>
      <c r="K76" t="n">
        <v>2026</v>
      </c>
      <c r="L76" t="inlineStr">
        <is>
          <t>1</t>
        </is>
      </c>
      <c r="M76" t="inlineStr">
        <is>
          <t>MANDARINA</t>
        </is>
      </c>
      <c r="N76" t="inlineStr">
        <is>
          <t>41055</t>
        </is>
      </c>
      <c r="O76" t="inlineStr">
        <is>
          <t>29</t>
        </is>
      </c>
      <c r="P76" t="inlineStr">
        <is>
          <t>71</t>
        </is>
      </c>
      <c r="Q76" t="inlineStr">
        <is>
          <t>1</t>
        </is>
      </c>
      <c r="R76" t="n">
        <v>0.06</v>
      </c>
      <c r="S76" t="n">
        <v>0</v>
      </c>
      <c r="T76" t="n">
        <v>0.06</v>
      </c>
      <c r="V76" t="inlineStr">
        <is>
          <t>Sí</t>
        </is>
      </c>
      <c r="W76" t="inlineStr"/>
    </row>
    <row r="77">
      <c r="A77" t="n">
        <v>1355</v>
      </c>
      <c r="B77" t="inlineStr">
        <is>
          <t>CANO MANZANARES,JUAN ANTONIO</t>
        </is>
      </c>
      <c r="C77" t="n">
        <v>606</v>
      </c>
      <c r="D77" t="inlineStr">
        <is>
          <t>MANDARINA</t>
        </is>
      </c>
      <c r="E77" t="n">
        <v>2026</v>
      </c>
      <c r="F77" t="n">
        <v>1</v>
      </c>
      <c r="G77" t="n">
        <v>1</v>
      </c>
      <c r="H77" t="inlineStr">
        <is>
          <t>Sí</t>
        </is>
      </c>
      <c r="J77" t="n">
        <v>606</v>
      </c>
      <c r="K77" t="n">
        <v>2026</v>
      </c>
      <c r="L77" t="inlineStr">
        <is>
          <t>1</t>
        </is>
      </c>
      <c r="M77" t="inlineStr">
        <is>
          <t>MANDARINA</t>
        </is>
      </c>
      <c r="N77" t="inlineStr">
        <is>
          <t>41055</t>
        </is>
      </c>
      <c r="O77" t="inlineStr">
        <is>
          <t>29</t>
        </is>
      </c>
      <c r="P77" t="inlineStr">
        <is>
          <t>71</t>
        </is>
      </c>
      <c r="Q77" t="inlineStr">
        <is>
          <t>2</t>
        </is>
      </c>
      <c r="R77" t="n">
        <v>1.21</v>
      </c>
      <c r="S77" t="n">
        <v>0</v>
      </c>
      <c r="T77" t="n">
        <v>1.21</v>
      </c>
      <c r="V77" t="inlineStr">
        <is>
          <t>Sí</t>
        </is>
      </c>
      <c r="W77" t="inlineStr"/>
    </row>
    <row r="78">
      <c r="A78" t="n">
        <v>1355</v>
      </c>
      <c r="B78" t="inlineStr">
        <is>
          <t>CANO MANZANARES,JUAN ANTONIO</t>
        </is>
      </c>
      <c r="C78" t="n">
        <v>606</v>
      </c>
      <c r="D78" t="inlineStr">
        <is>
          <t>MANDARINA</t>
        </is>
      </c>
      <c r="E78" t="n">
        <v>2026</v>
      </c>
      <c r="F78" t="n">
        <v>1</v>
      </c>
      <c r="G78" t="n">
        <v>1</v>
      </c>
      <c r="H78" t="inlineStr">
        <is>
          <t>Sí</t>
        </is>
      </c>
      <c r="J78" t="n">
        <v>606</v>
      </c>
      <c r="K78" t="n">
        <v>2026</v>
      </c>
      <c r="L78" t="inlineStr">
        <is>
          <t>1</t>
        </is>
      </c>
      <c r="M78" t="inlineStr">
        <is>
          <t>MANDARINA</t>
        </is>
      </c>
      <c r="N78" t="inlineStr">
        <is>
          <t>41055</t>
        </is>
      </c>
      <c r="O78" t="inlineStr">
        <is>
          <t>29</t>
        </is>
      </c>
      <c r="P78" t="inlineStr">
        <is>
          <t>69</t>
        </is>
      </c>
      <c r="Q78" t="inlineStr">
        <is>
          <t>3</t>
        </is>
      </c>
      <c r="R78" t="n">
        <v>0.98</v>
      </c>
      <c r="S78" t="n">
        <v>0</v>
      </c>
      <c r="T78" t="n">
        <v>0.98</v>
      </c>
      <c r="V78" t="inlineStr">
        <is>
          <t>Sí</t>
        </is>
      </c>
      <c r="W78" t="inlineStr"/>
    </row>
    <row r="79">
      <c r="A79" t="n">
        <v>1355</v>
      </c>
      <c r="B79" t="inlineStr">
        <is>
          <t>CANO MANZANARES,JUAN ANTONIO</t>
        </is>
      </c>
      <c r="C79" t="n">
        <v>606</v>
      </c>
      <c r="D79" t="inlineStr">
        <is>
          <t>MANDARINA</t>
        </is>
      </c>
      <c r="E79" t="n">
        <v>2026</v>
      </c>
      <c r="F79" t="n">
        <v>1</v>
      </c>
      <c r="G79" t="n">
        <v>1</v>
      </c>
      <c r="H79" t="inlineStr">
        <is>
          <t>Sí</t>
        </is>
      </c>
      <c r="J79" t="n">
        <v>606</v>
      </c>
      <c r="K79" t="n">
        <v>2026</v>
      </c>
      <c r="L79" t="inlineStr">
        <is>
          <t>1</t>
        </is>
      </c>
      <c r="M79" t="inlineStr">
        <is>
          <t>MANDARINA</t>
        </is>
      </c>
      <c r="N79" t="inlineStr">
        <is>
          <t>41055</t>
        </is>
      </c>
      <c r="O79" t="inlineStr">
        <is>
          <t>29</t>
        </is>
      </c>
      <c r="P79" t="inlineStr">
        <is>
          <t>69</t>
        </is>
      </c>
      <c r="Q79" t="inlineStr">
        <is>
          <t>4</t>
        </is>
      </c>
      <c r="R79" t="n">
        <v>0.14</v>
      </c>
      <c r="S79" t="n">
        <v>0</v>
      </c>
      <c r="T79" t="n">
        <v>0.14</v>
      </c>
      <c r="V79" t="inlineStr">
        <is>
          <t>Sí</t>
        </is>
      </c>
      <c r="W79" t="inlineStr"/>
    </row>
    <row r="80">
      <c r="A80" t="n">
        <v>1374</v>
      </c>
      <c r="B80" t="inlineStr">
        <is>
          <t>MORENO SANCHEZ,JOSE ANTONIO</t>
        </is>
      </c>
      <c r="C80" t="n">
        <v>526</v>
      </c>
      <c r="D80" t="inlineStr">
        <is>
          <t>CITRICOS</t>
        </is>
      </c>
      <c r="E80" t="n">
        <v>2026</v>
      </c>
      <c r="F80" t="n">
        <v>1</v>
      </c>
      <c r="G80" t="n">
        <v>1</v>
      </c>
      <c r="H80" t="inlineStr">
        <is>
          <t>Sí</t>
        </is>
      </c>
      <c r="J80" t="n">
        <v>526</v>
      </c>
      <c r="K80" t="n">
        <v>2026</v>
      </c>
      <c r="L80" t="inlineStr">
        <is>
          <t>1</t>
        </is>
      </c>
      <c r="M80" t="inlineStr">
        <is>
          <t>CITRICOS</t>
        </is>
      </c>
      <c r="N80" t="inlineStr">
        <is>
          <t>41055</t>
        </is>
      </c>
      <c r="O80" t="inlineStr">
        <is>
          <t>13</t>
        </is>
      </c>
      <c r="P80" t="inlineStr">
        <is>
          <t>178</t>
        </is>
      </c>
      <c r="Q80" t="inlineStr">
        <is>
          <t>1</t>
        </is>
      </c>
      <c r="R80" t="n">
        <v>1.8</v>
      </c>
      <c r="S80" t="n">
        <v>1.897573</v>
      </c>
      <c r="T80" t="n">
        <v>1.8</v>
      </c>
      <c r="V80" t="inlineStr">
        <is>
          <t>Sí</t>
        </is>
      </c>
      <c r="W80" t="inlineStr"/>
    </row>
    <row r="81">
      <c r="A81" t="n">
        <v>1389</v>
      </c>
      <c r="B81" t="inlineStr">
        <is>
          <t>AGRICOLA HUERTA LA MEJORA S.C.</t>
        </is>
      </c>
      <c r="C81" t="n">
        <v>559</v>
      </c>
      <c r="D81" t="inlineStr">
        <is>
          <t>CITRICOS</t>
        </is>
      </c>
      <c r="E81" t="n">
        <v>2026</v>
      </c>
      <c r="F81" t="n">
        <v>1</v>
      </c>
      <c r="G81" t="n">
        <v>1</v>
      </c>
      <c r="H81" t="inlineStr">
        <is>
          <t>Sí</t>
        </is>
      </c>
      <c r="J81" t="n">
        <v>559</v>
      </c>
      <c r="K81" t="n">
        <v>2026</v>
      </c>
      <c r="L81" t="inlineStr">
        <is>
          <t>1</t>
        </is>
      </c>
      <c r="M81" t="inlineStr">
        <is>
          <t>CITRICOS</t>
        </is>
      </c>
      <c r="N81" t="inlineStr">
        <is>
          <t>41006</t>
        </is>
      </c>
      <c r="O81" t="inlineStr">
        <is>
          <t>9</t>
        </is>
      </c>
      <c r="P81" t="inlineStr">
        <is>
          <t>28</t>
        </is>
      </c>
      <c r="Q81" t="inlineStr">
        <is>
          <t>1</t>
        </is>
      </c>
      <c r="R81" t="n">
        <v>0.99</v>
      </c>
      <c r="S81" t="n">
        <v>0</v>
      </c>
      <c r="T81" t="n">
        <v>0.99</v>
      </c>
      <c r="V81" t="inlineStr">
        <is>
          <t>Sí</t>
        </is>
      </c>
      <c r="W81" t="inlineStr"/>
    </row>
    <row r="82">
      <c r="A82" t="n">
        <v>1389</v>
      </c>
      <c r="B82" t="inlineStr">
        <is>
          <t>AGRICOLA HUERTA LA MEJORA S.C.</t>
        </is>
      </c>
      <c r="C82" t="n">
        <v>559</v>
      </c>
      <c r="D82" t="inlineStr">
        <is>
          <t>CITRICOS</t>
        </is>
      </c>
      <c r="E82" t="n">
        <v>2026</v>
      </c>
      <c r="F82" t="n">
        <v>1</v>
      </c>
      <c r="G82" t="n">
        <v>1</v>
      </c>
      <c r="H82" t="inlineStr">
        <is>
          <t>Sí</t>
        </is>
      </c>
      <c r="J82" t="n">
        <v>559</v>
      </c>
      <c r="K82" t="n">
        <v>2026</v>
      </c>
      <c r="L82" t="inlineStr">
        <is>
          <t>1</t>
        </is>
      </c>
      <c r="M82" t="inlineStr">
        <is>
          <t>CITRICOS</t>
        </is>
      </c>
      <c r="N82" t="inlineStr">
        <is>
          <t>41006</t>
        </is>
      </c>
      <c r="O82" t="inlineStr">
        <is>
          <t>6</t>
        </is>
      </c>
      <c r="P82" t="inlineStr">
        <is>
          <t>74</t>
        </is>
      </c>
      <c r="Q82" t="inlineStr">
        <is>
          <t>1</t>
        </is>
      </c>
      <c r="R82" t="n">
        <v>0.96</v>
      </c>
      <c r="S82" t="n">
        <v>0</v>
      </c>
      <c r="T82" t="n">
        <v>0.96</v>
      </c>
      <c r="V82" t="inlineStr">
        <is>
          <t>Sí</t>
        </is>
      </c>
      <c r="W82" t="inlineStr"/>
    </row>
    <row r="83">
      <c r="A83" t="n">
        <v>1389</v>
      </c>
      <c r="B83" t="inlineStr">
        <is>
          <t>AGRICOLA HUERTA LA MEJORA S.C.</t>
        </is>
      </c>
      <c r="C83" t="n">
        <v>561</v>
      </c>
      <c r="D83" t="inlineStr">
        <is>
          <t>CITRICOS</t>
        </is>
      </c>
      <c r="E83" t="n">
        <v>2026</v>
      </c>
      <c r="F83" t="n">
        <v>1</v>
      </c>
      <c r="G83" t="n">
        <v>1</v>
      </c>
      <c r="H83" t="inlineStr">
        <is>
          <t>Sí</t>
        </is>
      </c>
      <c r="J83" t="n">
        <v>561</v>
      </c>
      <c r="K83" t="n">
        <v>2026</v>
      </c>
      <c r="L83" t="inlineStr">
        <is>
          <t>1</t>
        </is>
      </c>
      <c r="M83" t="inlineStr">
        <is>
          <t>CITRICOS</t>
        </is>
      </c>
      <c r="N83" t="inlineStr">
        <is>
          <t>41006</t>
        </is>
      </c>
      <c r="O83" t="inlineStr">
        <is>
          <t>1</t>
        </is>
      </c>
      <c r="P83" t="inlineStr">
        <is>
          <t>115</t>
        </is>
      </c>
      <c r="Q83" t="inlineStr">
        <is>
          <t>1</t>
        </is>
      </c>
      <c r="R83" t="n">
        <v>2.37</v>
      </c>
      <c r="S83" t="n">
        <v>0</v>
      </c>
      <c r="T83" t="n">
        <v>2.37</v>
      </c>
      <c r="V83" t="inlineStr">
        <is>
          <t>Sí</t>
        </is>
      </c>
      <c r="W83" t="inlineStr"/>
    </row>
    <row r="84">
      <c r="A84" t="n">
        <v>1389</v>
      </c>
      <c r="B84" t="inlineStr">
        <is>
          <t>AGRICOLA HUERTA LA MEJORA S.C.</t>
        </is>
      </c>
      <c r="C84" t="n">
        <v>673</v>
      </c>
      <c r="D84" t="inlineStr">
        <is>
          <t>CITRICOS</t>
        </is>
      </c>
      <c r="E84" t="n">
        <v>2026</v>
      </c>
      <c r="F84" t="n">
        <v>1</v>
      </c>
      <c r="G84" t="n">
        <v>1</v>
      </c>
      <c r="H84" t="inlineStr">
        <is>
          <t>Sí</t>
        </is>
      </c>
      <c r="J84" t="n">
        <v>673</v>
      </c>
      <c r="K84" t="n">
        <v>2026</v>
      </c>
      <c r="L84" t="inlineStr">
        <is>
          <t>1</t>
        </is>
      </c>
      <c r="M84" t="inlineStr">
        <is>
          <t>CITRICOS</t>
        </is>
      </c>
      <c r="N84" t="inlineStr">
        <is>
          <t>4106</t>
        </is>
      </c>
      <c r="O84" t="inlineStr">
        <is>
          <t>6</t>
        </is>
      </c>
      <c r="P84" t="inlineStr">
        <is>
          <t>22</t>
        </is>
      </c>
      <c r="Q84" t="inlineStr">
        <is>
          <t>1</t>
        </is>
      </c>
      <c r="R84" t="n">
        <v>2.67</v>
      </c>
      <c r="S84" t="n">
        <v>0</v>
      </c>
      <c r="T84" t="n">
        <v>0</v>
      </c>
      <c r="V84" t="inlineStr">
        <is>
          <t>No</t>
        </is>
      </c>
      <c r="W84" t="inlineStr">
        <is>
          <t>PLANTACION_MENOR_CINCO_ANOS</t>
        </is>
      </c>
    </row>
    <row r="85">
      <c r="A85" t="n">
        <v>1395</v>
      </c>
      <c r="B85" t="inlineStr">
        <is>
          <t>AGRICOLA HERMANOS BUIZA S.C.</t>
        </is>
      </c>
      <c r="C85" t="n">
        <v>542</v>
      </c>
      <c r="D85" t="inlineStr">
        <is>
          <t>CITRICOS</t>
        </is>
      </c>
      <c r="E85" t="n">
        <v>2026</v>
      </c>
      <c r="F85" t="n">
        <v>1</v>
      </c>
      <c r="G85" t="n">
        <v>0</v>
      </c>
      <c r="H85" t="inlineStr">
        <is>
          <t>No</t>
        </is>
      </c>
      <c r="V85" t="inlineStr">
        <is>
          <t>No</t>
        </is>
      </c>
      <c r="W85" t="inlineStr">
        <is>
          <t>CHA_NO_SELECCIONADO; CHA_NO_ACTIVO</t>
        </is>
      </c>
    </row>
    <row r="86">
      <c r="A86" t="n">
        <v>1395</v>
      </c>
      <c r="B86" t="inlineStr">
        <is>
          <t>AGRICOLA HERMANOS BUIZA S.C.</t>
        </is>
      </c>
      <c r="C86" t="n">
        <v>653</v>
      </c>
      <c r="D86" t="inlineStr">
        <is>
          <t>CITRICOS</t>
        </is>
      </c>
      <c r="E86" t="n">
        <v>2026</v>
      </c>
      <c r="F86" t="n">
        <v>1</v>
      </c>
      <c r="G86" t="n">
        <v>1</v>
      </c>
      <c r="H86" t="inlineStr">
        <is>
          <t>Sí</t>
        </is>
      </c>
      <c r="J86" t="n">
        <v>653</v>
      </c>
      <c r="K86" t="n">
        <v>2026</v>
      </c>
      <c r="L86" t="inlineStr">
        <is>
          <t>1</t>
        </is>
      </c>
      <c r="M86" t="inlineStr">
        <is>
          <t>CITRICOS</t>
        </is>
      </c>
      <c r="N86" t="inlineStr">
        <is>
          <t>41055</t>
        </is>
      </c>
      <c r="O86" t="inlineStr">
        <is>
          <t>20</t>
        </is>
      </c>
      <c r="P86" t="inlineStr">
        <is>
          <t>34</t>
        </is>
      </c>
      <c r="Q86" t="inlineStr">
        <is>
          <t>1</t>
        </is>
      </c>
      <c r="R86" t="n">
        <v>5.68</v>
      </c>
      <c r="S86" t="n">
        <v>0</v>
      </c>
      <c r="T86" t="n">
        <v>5.66</v>
      </c>
      <c r="V86" t="inlineStr">
        <is>
          <t>Sí</t>
        </is>
      </c>
      <c r="W86" t="inlineStr"/>
    </row>
    <row r="87">
      <c r="A87" t="n">
        <v>1395</v>
      </c>
      <c r="B87" t="inlineStr">
        <is>
          <t>AGRICOLA HERMANOS BUIZA S.C.</t>
        </is>
      </c>
      <c r="C87" t="n">
        <v>654</v>
      </c>
      <c r="D87" t="inlineStr">
        <is>
          <t>CITRICOS</t>
        </is>
      </c>
      <c r="E87" t="n">
        <v>2026</v>
      </c>
      <c r="F87" t="n">
        <v>1</v>
      </c>
      <c r="G87" t="n">
        <v>1</v>
      </c>
      <c r="H87" t="inlineStr">
        <is>
          <t>Sí</t>
        </is>
      </c>
      <c r="J87" t="n">
        <v>654</v>
      </c>
      <c r="K87" t="n">
        <v>2026</v>
      </c>
      <c r="L87" t="inlineStr">
        <is>
          <t>1</t>
        </is>
      </c>
      <c r="M87" t="inlineStr">
        <is>
          <t>CITRICOS</t>
        </is>
      </c>
      <c r="N87" t="inlineStr">
        <is>
          <t>41055</t>
        </is>
      </c>
      <c r="O87" t="inlineStr">
        <is>
          <t>30</t>
        </is>
      </c>
      <c r="P87" t="inlineStr">
        <is>
          <t>49</t>
        </is>
      </c>
      <c r="Q87" t="inlineStr">
        <is>
          <t>2</t>
        </is>
      </c>
      <c r="R87" t="n">
        <v>0.78</v>
      </c>
      <c r="S87" t="n">
        <v>0</v>
      </c>
      <c r="T87" t="n">
        <v>0.78</v>
      </c>
      <c r="V87" t="inlineStr">
        <is>
          <t>Sí</t>
        </is>
      </c>
      <c r="W87" t="inlineStr"/>
    </row>
    <row r="88">
      <c r="A88" t="n">
        <v>1395</v>
      </c>
      <c r="B88" t="inlineStr">
        <is>
          <t>AGRICOLA HERMANOS BUIZA S.C.</t>
        </is>
      </c>
      <c r="C88" t="n">
        <v>654</v>
      </c>
      <c r="D88" t="inlineStr">
        <is>
          <t>CITRICOS</t>
        </is>
      </c>
      <c r="E88" t="n">
        <v>2026</v>
      </c>
      <c r="F88" t="n">
        <v>1</v>
      </c>
      <c r="G88" t="n">
        <v>1</v>
      </c>
      <c r="H88" t="inlineStr">
        <is>
          <t>Sí</t>
        </is>
      </c>
      <c r="J88" t="n">
        <v>654</v>
      </c>
      <c r="K88" t="n">
        <v>2026</v>
      </c>
      <c r="L88" t="inlineStr">
        <is>
          <t>1</t>
        </is>
      </c>
      <c r="M88" t="inlineStr">
        <is>
          <t>CITRICOS</t>
        </is>
      </c>
      <c r="N88" t="inlineStr">
        <is>
          <t>41055</t>
        </is>
      </c>
      <c r="O88" t="inlineStr">
        <is>
          <t>30</t>
        </is>
      </c>
      <c r="P88" t="inlineStr">
        <is>
          <t>96</t>
        </is>
      </c>
      <c r="Q88" t="inlineStr">
        <is>
          <t>2</t>
        </is>
      </c>
      <c r="R88" t="n">
        <v>1.81</v>
      </c>
      <c r="S88" t="n">
        <v>0</v>
      </c>
      <c r="T88" t="n">
        <v>1.81</v>
      </c>
      <c r="V88" t="inlineStr">
        <is>
          <t>Sí</t>
        </is>
      </c>
      <c r="W88" t="inlineStr"/>
    </row>
    <row r="89">
      <c r="A89" t="n">
        <v>1411</v>
      </c>
      <c r="B89" t="inlineStr">
        <is>
          <t>HERMANOS PEÑA GRIÑAN S.C.</t>
        </is>
      </c>
      <c r="C89" t="n">
        <v>1008</v>
      </c>
      <c r="D89" t="inlineStr">
        <is>
          <t>CITRICOS</t>
        </is>
      </c>
      <c r="E89" t="n">
        <v>2026</v>
      </c>
      <c r="F89" t="n">
        <v>1</v>
      </c>
      <c r="G89" t="n">
        <v>1</v>
      </c>
      <c r="H89" t="inlineStr">
        <is>
          <t>Sí</t>
        </is>
      </c>
      <c r="J89" t="n">
        <v>1008</v>
      </c>
      <c r="K89" t="n">
        <v>2026</v>
      </c>
      <c r="L89" t="inlineStr">
        <is>
          <t>1</t>
        </is>
      </c>
      <c r="M89" t="inlineStr">
        <is>
          <t>CITRICOS</t>
        </is>
      </c>
      <c r="N89" t="inlineStr">
        <is>
          <t>41034</t>
        </is>
      </c>
      <c r="O89" t="inlineStr">
        <is>
          <t>1</t>
        </is>
      </c>
      <c r="P89" t="inlineStr">
        <is>
          <t>37</t>
        </is>
      </c>
      <c r="Q89" t="inlineStr">
        <is>
          <t>1</t>
        </is>
      </c>
      <c r="R89" t="n">
        <v>1.01</v>
      </c>
      <c r="S89" t="n">
        <v>7.634371</v>
      </c>
      <c r="T89" t="n">
        <v>1.01</v>
      </c>
      <c r="V89" t="inlineStr">
        <is>
          <t>Sí</t>
        </is>
      </c>
      <c r="W89" t="inlineStr"/>
    </row>
    <row r="90">
      <c r="A90" t="n">
        <v>1411</v>
      </c>
      <c r="B90" t="inlineStr">
        <is>
          <t>HERMANOS PEÑA GRIÑAN S.C.</t>
        </is>
      </c>
      <c r="C90" t="n">
        <v>1008</v>
      </c>
      <c r="D90" t="inlineStr">
        <is>
          <t>CITRICOS</t>
        </is>
      </c>
      <c r="E90" t="n">
        <v>2026</v>
      </c>
      <c r="F90" t="n">
        <v>1</v>
      </c>
      <c r="G90" t="n">
        <v>1</v>
      </c>
      <c r="H90" t="inlineStr">
        <is>
          <t>Sí</t>
        </is>
      </c>
      <c r="J90" t="n">
        <v>1008</v>
      </c>
      <c r="K90" t="n">
        <v>2026</v>
      </c>
      <c r="L90" t="inlineStr">
        <is>
          <t>1</t>
        </is>
      </c>
      <c r="M90" t="inlineStr">
        <is>
          <t>CITRICOS</t>
        </is>
      </c>
      <c r="N90" t="inlineStr">
        <is>
          <t>41034</t>
        </is>
      </c>
      <c r="O90" t="inlineStr">
        <is>
          <t>1</t>
        </is>
      </c>
      <c r="P90" t="inlineStr">
        <is>
          <t>37</t>
        </is>
      </c>
      <c r="Q90" t="inlineStr">
        <is>
          <t>1</t>
        </is>
      </c>
      <c r="R90" t="n">
        <v>2.2</v>
      </c>
      <c r="S90" t="n">
        <v>7.634371</v>
      </c>
      <c r="T90" t="n">
        <v>3.62</v>
      </c>
      <c r="V90" t="inlineStr">
        <is>
          <t>Sí</t>
        </is>
      </c>
      <c r="W90" t="inlineStr"/>
    </row>
    <row r="91">
      <c r="A91" t="n">
        <v>1411</v>
      </c>
      <c r="B91" t="inlineStr">
        <is>
          <t>HERMANOS PEÑA GRIÑAN S.C.</t>
        </is>
      </c>
      <c r="C91" t="n">
        <v>1008</v>
      </c>
      <c r="D91" t="inlineStr">
        <is>
          <t>CITRICOS</t>
        </is>
      </c>
      <c r="E91" t="n">
        <v>2026</v>
      </c>
      <c r="F91" t="n">
        <v>1</v>
      </c>
      <c r="G91" t="n">
        <v>1</v>
      </c>
      <c r="H91" t="inlineStr">
        <is>
          <t>Sí</t>
        </is>
      </c>
      <c r="J91" t="n">
        <v>1008</v>
      </c>
      <c r="K91" t="n">
        <v>2026</v>
      </c>
      <c r="L91" t="inlineStr">
        <is>
          <t>1</t>
        </is>
      </c>
      <c r="M91" t="inlineStr">
        <is>
          <t>CITRICOS</t>
        </is>
      </c>
      <c r="N91" t="inlineStr">
        <is>
          <t>41034</t>
        </is>
      </c>
      <c r="O91" t="inlineStr">
        <is>
          <t>1</t>
        </is>
      </c>
      <c r="P91" t="inlineStr">
        <is>
          <t>1</t>
        </is>
      </c>
      <c r="Q91" t="inlineStr">
        <is>
          <t>1</t>
        </is>
      </c>
      <c r="R91" t="n">
        <v>3.7</v>
      </c>
      <c r="S91" t="n">
        <v>3.767533</v>
      </c>
      <c r="T91" t="n">
        <v>3.7</v>
      </c>
      <c r="V91" t="inlineStr">
        <is>
          <t>Sí</t>
        </is>
      </c>
      <c r="W91" t="inlineStr"/>
    </row>
    <row r="92">
      <c r="A92" t="n">
        <v>1411</v>
      </c>
      <c r="B92" t="inlineStr">
        <is>
          <t>HERMANOS PEÑA GRIÑAN S.C.</t>
        </is>
      </c>
      <c r="C92" t="n">
        <v>1009</v>
      </c>
      <c r="D92" t="inlineStr">
        <is>
          <t>CITRICOS</t>
        </is>
      </c>
      <c r="E92" t="n">
        <v>2026</v>
      </c>
      <c r="F92" t="n">
        <v>1</v>
      </c>
      <c r="G92" t="n">
        <v>1</v>
      </c>
      <c r="H92" t="inlineStr">
        <is>
          <t>Sí</t>
        </is>
      </c>
      <c r="J92" t="n">
        <v>1009</v>
      </c>
      <c r="K92" t="n">
        <v>2026</v>
      </c>
      <c r="L92" t="inlineStr">
        <is>
          <t>1</t>
        </is>
      </c>
      <c r="M92" t="inlineStr">
        <is>
          <t>CITRICOS</t>
        </is>
      </c>
      <c r="N92" t="inlineStr">
        <is>
          <t>41034</t>
        </is>
      </c>
      <c r="O92" t="inlineStr">
        <is>
          <t>1</t>
        </is>
      </c>
      <c r="P92" t="inlineStr">
        <is>
          <t>34</t>
        </is>
      </c>
      <c r="Q92" t="inlineStr">
        <is>
          <t>1</t>
        </is>
      </c>
      <c r="R92" t="n">
        <v>2.83</v>
      </c>
      <c r="S92" t="n">
        <v>2.879049</v>
      </c>
      <c r="T92" t="n">
        <v>2.83</v>
      </c>
      <c r="V92" t="inlineStr">
        <is>
          <t>Sí</t>
        </is>
      </c>
      <c r="W92" t="inlineStr"/>
    </row>
    <row r="93">
      <c r="A93" t="n">
        <v>1411</v>
      </c>
      <c r="B93" t="inlineStr">
        <is>
          <t>HERMANOS PEÑA GRIÑAN S.C.</t>
        </is>
      </c>
      <c r="C93" t="n">
        <v>1009</v>
      </c>
      <c r="D93" t="inlineStr">
        <is>
          <t>CITRICOS</t>
        </is>
      </c>
      <c r="E93" t="n">
        <v>2026</v>
      </c>
      <c r="F93" t="n">
        <v>1</v>
      </c>
      <c r="G93" t="n">
        <v>1</v>
      </c>
      <c r="H93" t="inlineStr">
        <is>
          <t>Sí</t>
        </is>
      </c>
      <c r="J93" t="n">
        <v>1009</v>
      </c>
      <c r="K93" t="n">
        <v>2026</v>
      </c>
      <c r="L93" t="inlineStr">
        <is>
          <t>1</t>
        </is>
      </c>
      <c r="M93" t="inlineStr">
        <is>
          <t>CITRICOS</t>
        </is>
      </c>
      <c r="N93" t="inlineStr">
        <is>
          <t>41034</t>
        </is>
      </c>
      <c r="O93" t="inlineStr">
        <is>
          <t>1</t>
        </is>
      </c>
      <c r="P93" t="inlineStr">
        <is>
          <t>37</t>
        </is>
      </c>
      <c r="Q93" t="inlineStr">
        <is>
          <t>1</t>
        </is>
      </c>
      <c r="R93" t="n">
        <v>2</v>
      </c>
      <c r="S93" t="n">
        <v>7.634371</v>
      </c>
      <c r="T93" t="n">
        <v>2</v>
      </c>
      <c r="V93" t="inlineStr">
        <is>
          <t>Sí</t>
        </is>
      </c>
      <c r="W93" t="inlineStr"/>
    </row>
    <row r="94">
      <c r="A94" t="n">
        <v>1411</v>
      </c>
      <c r="B94" t="inlineStr">
        <is>
          <t>HERMANOS PEÑA GRIÑAN S.C.</t>
        </is>
      </c>
      <c r="C94" t="n">
        <v>1010</v>
      </c>
      <c r="D94" t="inlineStr">
        <is>
          <t>CITRICOS</t>
        </is>
      </c>
      <c r="E94" t="n">
        <v>2026</v>
      </c>
      <c r="F94" t="n">
        <v>1</v>
      </c>
      <c r="G94" t="n">
        <v>1</v>
      </c>
      <c r="H94" t="inlineStr">
        <is>
          <t>Sí</t>
        </is>
      </c>
      <c r="J94" t="n">
        <v>1010</v>
      </c>
      <c r="K94" t="n">
        <v>2026</v>
      </c>
      <c r="L94" t="inlineStr">
        <is>
          <t>1</t>
        </is>
      </c>
      <c r="M94" t="inlineStr">
        <is>
          <t>CITRICOS</t>
        </is>
      </c>
      <c r="N94" t="inlineStr">
        <is>
          <t>41034</t>
        </is>
      </c>
      <c r="O94" t="inlineStr">
        <is>
          <t>1</t>
        </is>
      </c>
      <c r="P94" t="inlineStr">
        <is>
          <t>37</t>
        </is>
      </c>
      <c r="Q94" t="inlineStr">
        <is>
          <t>1</t>
        </is>
      </c>
      <c r="R94" t="n">
        <v>1</v>
      </c>
      <c r="S94" t="n">
        <v>7.634371</v>
      </c>
      <c r="T94" t="n">
        <v>1</v>
      </c>
      <c r="V94" t="inlineStr">
        <is>
          <t>Sí</t>
        </is>
      </c>
      <c r="W94" t="inlineStr"/>
    </row>
    <row r="95">
      <c r="A95" t="n">
        <v>1419</v>
      </c>
      <c r="B95" t="inlineStr">
        <is>
          <t>MORAL GARCIA,JOSE ANTONIO</t>
        </is>
      </c>
      <c r="C95" t="n">
        <v>688</v>
      </c>
      <c r="D95" t="inlineStr">
        <is>
          <t>CITRICOS</t>
        </is>
      </c>
      <c r="E95" t="n">
        <v>2026</v>
      </c>
      <c r="F95" t="n">
        <v>1</v>
      </c>
      <c r="G95" t="n">
        <v>0</v>
      </c>
      <c r="H95" t="inlineStr">
        <is>
          <t>No</t>
        </is>
      </c>
      <c r="V95" t="inlineStr">
        <is>
          <t>No</t>
        </is>
      </c>
      <c r="W95" t="inlineStr">
        <is>
          <t>CHA_NO_SELECCIONADO; CHA_NO_ACTIVO</t>
        </is>
      </c>
    </row>
    <row r="96">
      <c r="A96" t="n">
        <v>1419</v>
      </c>
      <c r="B96" t="inlineStr">
        <is>
          <t>MORAL GARCIA,JOSE ANTONIO</t>
        </is>
      </c>
      <c r="C96" t="n">
        <v>655</v>
      </c>
      <c r="D96" t="inlineStr">
        <is>
          <t>CITRICOS</t>
        </is>
      </c>
      <c r="E96" t="n">
        <v>2026</v>
      </c>
      <c r="F96" t="n">
        <v>1</v>
      </c>
      <c r="G96" t="n">
        <v>1</v>
      </c>
      <c r="H96" t="inlineStr">
        <is>
          <t>Sí</t>
        </is>
      </c>
      <c r="J96" t="n">
        <v>655</v>
      </c>
      <c r="K96" t="n">
        <v>2026</v>
      </c>
      <c r="L96" t="inlineStr">
        <is>
          <t>1</t>
        </is>
      </c>
      <c r="M96" t="inlineStr">
        <is>
          <t>CITRICOS</t>
        </is>
      </c>
      <c r="N96" t="inlineStr">
        <is>
          <t>41055</t>
        </is>
      </c>
      <c r="O96" t="inlineStr">
        <is>
          <t>30</t>
        </is>
      </c>
      <c r="P96" t="inlineStr">
        <is>
          <t>43</t>
        </is>
      </c>
      <c r="Q96" t="inlineStr">
        <is>
          <t>1</t>
        </is>
      </c>
      <c r="R96" t="n">
        <v>1.5</v>
      </c>
      <c r="S96" t="n">
        <v>0</v>
      </c>
      <c r="T96" t="n">
        <v>1.5</v>
      </c>
      <c r="V96" t="inlineStr">
        <is>
          <t>Sí</t>
        </is>
      </c>
      <c r="W96" t="inlineStr"/>
    </row>
    <row r="97">
      <c r="A97" t="n">
        <v>1419</v>
      </c>
      <c r="B97" t="inlineStr">
        <is>
          <t>MORAL GARCIA,JOSE ANTONIO</t>
        </is>
      </c>
      <c r="C97" t="n">
        <v>655</v>
      </c>
      <c r="D97" t="inlineStr">
        <is>
          <t>CITRICOS</t>
        </is>
      </c>
      <c r="E97" t="n">
        <v>2026</v>
      </c>
      <c r="F97" t="n">
        <v>1</v>
      </c>
      <c r="G97" t="n">
        <v>1</v>
      </c>
      <c r="H97" t="inlineStr">
        <is>
          <t>Sí</t>
        </is>
      </c>
      <c r="J97" t="n">
        <v>655</v>
      </c>
      <c r="K97" t="n">
        <v>2026</v>
      </c>
      <c r="L97" t="inlineStr">
        <is>
          <t>1</t>
        </is>
      </c>
      <c r="M97" t="inlineStr">
        <is>
          <t>CITRICOS</t>
        </is>
      </c>
      <c r="N97" t="inlineStr">
        <is>
          <t>41055</t>
        </is>
      </c>
      <c r="O97" t="inlineStr">
        <is>
          <t>30</t>
        </is>
      </c>
      <c r="P97" t="inlineStr">
        <is>
          <t>44</t>
        </is>
      </c>
      <c r="Q97" t="inlineStr">
        <is>
          <t>5</t>
        </is>
      </c>
      <c r="R97" t="n">
        <v>2.23</v>
      </c>
      <c r="S97" t="n">
        <v>0</v>
      </c>
      <c r="T97" t="n">
        <v>2.23</v>
      </c>
      <c r="V97" t="inlineStr">
        <is>
          <t>Sí</t>
        </is>
      </c>
      <c r="W97" t="inlineStr"/>
    </row>
    <row r="98">
      <c r="A98" t="n">
        <v>1419</v>
      </c>
      <c r="B98" t="inlineStr">
        <is>
          <t>MORAL GARCIA,JOSE ANTONIO</t>
        </is>
      </c>
      <c r="C98" t="n">
        <v>655</v>
      </c>
      <c r="D98" t="inlineStr">
        <is>
          <t>CITRICOS</t>
        </is>
      </c>
      <c r="E98" t="n">
        <v>2026</v>
      </c>
      <c r="F98" t="n">
        <v>1</v>
      </c>
      <c r="G98" t="n">
        <v>1</v>
      </c>
      <c r="H98" t="inlineStr">
        <is>
          <t>Sí</t>
        </is>
      </c>
      <c r="J98" t="n">
        <v>655</v>
      </c>
      <c r="K98" t="n">
        <v>2026</v>
      </c>
      <c r="L98" t="inlineStr">
        <is>
          <t>1</t>
        </is>
      </c>
      <c r="M98" t="inlineStr">
        <is>
          <t>CITRICOS</t>
        </is>
      </c>
      <c r="N98" t="inlineStr">
        <is>
          <t>41055</t>
        </is>
      </c>
      <c r="O98" t="inlineStr">
        <is>
          <t>30</t>
        </is>
      </c>
      <c r="P98" t="inlineStr">
        <is>
          <t>49</t>
        </is>
      </c>
      <c r="Q98" t="inlineStr">
        <is>
          <t>2</t>
        </is>
      </c>
      <c r="R98" t="n">
        <v>0.1</v>
      </c>
      <c r="S98" t="n">
        <v>0</v>
      </c>
      <c r="T98" t="n">
        <v>0.1</v>
      </c>
      <c r="V98" t="inlineStr">
        <is>
          <t>Sí</t>
        </is>
      </c>
      <c r="W98" t="inlineStr"/>
    </row>
    <row r="99">
      <c r="A99" t="n">
        <v>1421</v>
      </c>
      <c r="B99" t="inlineStr">
        <is>
          <t>GARCIA GONZALEZ,ISIDORA</t>
        </is>
      </c>
      <c r="C99" t="n">
        <v>85</v>
      </c>
      <c r="D99" t="inlineStr">
        <is>
          <t>CITRICOS</t>
        </is>
      </c>
      <c r="E99" t="n">
        <v>2026</v>
      </c>
      <c r="F99" t="n">
        <v>1</v>
      </c>
      <c r="G99" t="n">
        <v>1</v>
      </c>
      <c r="H99" t="inlineStr">
        <is>
          <t>Sí</t>
        </is>
      </c>
      <c r="J99" t="n">
        <v>85</v>
      </c>
      <c r="K99" t="n">
        <v>2026</v>
      </c>
      <c r="L99" t="inlineStr">
        <is>
          <t>1</t>
        </is>
      </c>
      <c r="M99" t="inlineStr">
        <is>
          <t>CITRICOS</t>
        </is>
      </c>
      <c r="N99" t="inlineStr">
        <is>
          <t>41055</t>
        </is>
      </c>
      <c r="O99" t="inlineStr">
        <is>
          <t>13</t>
        </is>
      </c>
      <c r="P99" t="inlineStr">
        <is>
          <t>336</t>
        </is>
      </c>
      <c r="Q99" t="inlineStr">
        <is>
          <t>1</t>
        </is>
      </c>
      <c r="R99" t="n">
        <v>1.1</v>
      </c>
      <c r="S99" t="n">
        <v>1.109386</v>
      </c>
      <c r="T99" t="n">
        <v>0.9399999999999999</v>
      </c>
      <c r="V99" t="inlineStr">
        <is>
          <t>Sí</t>
        </is>
      </c>
      <c r="W99" t="inlineStr"/>
    </row>
    <row r="100">
      <c r="A100" t="n">
        <v>1443</v>
      </c>
      <c r="B100" t="inlineStr">
        <is>
          <t>TOMENO SUAREZ,ALBERTO</t>
        </is>
      </c>
      <c r="C100" t="n">
        <v>42</v>
      </c>
      <c r="D100" t="inlineStr">
        <is>
          <t>CITRICOS</t>
        </is>
      </c>
      <c r="E100" t="n">
        <v>2026</v>
      </c>
      <c r="F100" t="n">
        <v>1</v>
      </c>
      <c r="G100" t="n">
        <v>1</v>
      </c>
      <c r="H100" t="inlineStr">
        <is>
          <t>Sí</t>
        </is>
      </c>
      <c r="J100" t="n">
        <v>42</v>
      </c>
      <c r="K100" t="n">
        <v>2026</v>
      </c>
      <c r="L100" t="inlineStr">
        <is>
          <t>1</t>
        </is>
      </c>
      <c r="M100" t="inlineStr">
        <is>
          <t>CITRICOS</t>
        </is>
      </c>
      <c r="N100" t="inlineStr">
        <is>
          <t>41055</t>
        </is>
      </c>
      <c r="O100" t="inlineStr">
        <is>
          <t>21</t>
        </is>
      </c>
      <c r="P100" t="inlineStr">
        <is>
          <t>13</t>
        </is>
      </c>
      <c r="Q100" t="inlineStr">
        <is>
          <t>10</t>
        </is>
      </c>
      <c r="R100" t="n">
        <v>1.35</v>
      </c>
      <c r="S100" t="n">
        <v>2.28223</v>
      </c>
      <c r="T100" t="n">
        <v>1.35</v>
      </c>
      <c r="V100" t="inlineStr">
        <is>
          <t>Sí</t>
        </is>
      </c>
      <c r="W100" t="inlineStr"/>
    </row>
    <row r="101">
      <c r="A101" t="n">
        <v>1443</v>
      </c>
      <c r="B101" t="inlineStr">
        <is>
          <t>TOMENO SUAREZ,ALBERTO</t>
        </is>
      </c>
      <c r="C101" t="n">
        <v>42</v>
      </c>
      <c r="D101" t="inlineStr">
        <is>
          <t>CITRICOS</t>
        </is>
      </c>
      <c r="E101" t="n">
        <v>2026</v>
      </c>
      <c r="F101" t="n">
        <v>1</v>
      </c>
      <c r="G101" t="n">
        <v>1</v>
      </c>
      <c r="H101" t="inlineStr">
        <is>
          <t>Sí</t>
        </is>
      </c>
      <c r="J101" t="n">
        <v>42</v>
      </c>
      <c r="K101" t="n">
        <v>2026</v>
      </c>
      <c r="L101" t="inlineStr">
        <is>
          <t>1</t>
        </is>
      </c>
      <c r="M101" t="inlineStr">
        <is>
          <t>CITRICOS</t>
        </is>
      </c>
      <c r="N101" t="inlineStr">
        <is>
          <t>41055</t>
        </is>
      </c>
      <c r="O101" t="inlineStr">
        <is>
          <t>21</t>
        </is>
      </c>
      <c r="P101" t="inlineStr">
        <is>
          <t>13</t>
        </is>
      </c>
      <c r="Q101" t="inlineStr">
        <is>
          <t>3</t>
        </is>
      </c>
      <c r="R101" t="n">
        <v>1.28</v>
      </c>
      <c r="S101" t="n">
        <v>0</v>
      </c>
      <c r="T101" t="n">
        <v>1.28</v>
      </c>
      <c r="V101" t="inlineStr">
        <is>
          <t>Sí</t>
        </is>
      </c>
      <c r="W101" t="inlineStr"/>
    </row>
    <row r="102">
      <c r="A102" t="n">
        <v>1443</v>
      </c>
      <c r="B102" t="inlineStr">
        <is>
          <t>TOMENO SUAREZ,ALBERTO</t>
        </is>
      </c>
      <c r="C102" t="n">
        <v>46</v>
      </c>
      <c r="D102" t="inlineStr">
        <is>
          <t>CITRICOS</t>
        </is>
      </c>
      <c r="E102" t="n">
        <v>2026</v>
      </c>
      <c r="F102" t="n">
        <v>1</v>
      </c>
      <c r="G102" t="n">
        <v>1</v>
      </c>
      <c r="H102" t="inlineStr">
        <is>
          <t>Sí</t>
        </is>
      </c>
      <c r="J102" t="n">
        <v>46</v>
      </c>
      <c r="K102" t="n">
        <v>2026</v>
      </c>
      <c r="L102" t="inlineStr">
        <is>
          <t>1</t>
        </is>
      </c>
      <c r="M102" t="inlineStr">
        <is>
          <t>CITRICOS</t>
        </is>
      </c>
      <c r="N102" t="inlineStr">
        <is>
          <t>41055</t>
        </is>
      </c>
      <c r="O102" t="inlineStr">
        <is>
          <t>21</t>
        </is>
      </c>
      <c r="P102" t="inlineStr">
        <is>
          <t>13</t>
        </is>
      </c>
      <c r="Q102" t="inlineStr">
        <is>
          <t>1</t>
        </is>
      </c>
      <c r="R102" t="n">
        <v>1.45</v>
      </c>
      <c r="S102" t="n">
        <v>1.449891</v>
      </c>
      <c r="T102" t="n">
        <v>1.45</v>
      </c>
      <c r="V102" t="inlineStr">
        <is>
          <t>Sí</t>
        </is>
      </c>
      <c r="W102" t="inlineStr"/>
    </row>
    <row r="103">
      <c r="A103" t="n">
        <v>1443</v>
      </c>
      <c r="B103" t="inlineStr">
        <is>
          <t>TOMENO SUAREZ,ALBERTO</t>
        </is>
      </c>
      <c r="C103" t="n">
        <v>671</v>
      </c>
      <c r="D103" t="inlineStr">
        <is>
          <t>CITRICOS</t>
        </is>
      </c>
      <c r="E103" t="n">
        <v>2026</v>
      </c>
      <c r="F103" t="n">
        <v>1</v>
      </c>
      <c r="G103" t="n">
        <v>1</v>
      </c>
      <c r="H103" t="inlineStr">
        <is>
          <t>Sí</t>
        </is>
      </c>
      <c r="J103" t="n">
        <v>671</v>
      </c>
      <c r="K103" t="n">
        <v>2026</v>
      </c>
      <c r="L103" t="inlineStr">
        <is>
          <t>1</t>
        </is>
      </c>
      <c r="M103" t="inlineStr">
        <is>
          <t>CITRICOS</t>
        </is>
      </c>
      <c r="N103" t="inlineStr">
        <is>
          <t>41055</t>
        </is>
      </c>
      <c r="O103" t="inlineStr">
        <is>
          <t>21</t>
        </is>
      </c>
      <c r="P103" t="inlineStr">
        <is>
          <t>15</t>
        </is>
      </c>
      <c r="Q103" t="inlineStr">
        <is>
          <t>1</t>
        </is>
      </c>
      <c r="R103" t="n">
        <v>2.6</v>
      </c>
      <c r="S103" t="n">
        <v>0</v>
      </c>
      <c r="T103" t="n">
        <v>2.6</v>
      </c>
      <c r="V103" t="inlineStr">
        <is>
          <t>No</t>
        </is>
      </c>
      <c r="W103" t="inlineStr">
        <is>
          <t>PLANTACION_MENOR_CINCO_ANOS</t>
        </is>
      </c>
    </row>
    <row r="104">
      <c r="A104" t="n">
        <v>1443</v>
      </c>
      <c r="B104" t="inlineStr">
        <is>
          <t>TOMENO SUAREZ,ALBERTO</t>
        </is>
      </c>
      <c r="C104" t="n">
        <v>671</v>
      </c>
      <c r="D104" t="inlineStr">
        <is>
          <t>CITRICOS</t>
        </is>
      </c>
      <c r="E104" t="n">
        <v>2026</v>
      </c>
      <c r="F104" t="n">
        <v>1</v>
      </c>
      <c r="G104" t="n">
        <v>1</v>
      </c>
      <c r="H104" t="inlineStr">
        <is>
          <t>Sí</t>
        </is>
      </c>
      <c r="J104" t="n">
        <v>671</v>
      </c>
      <c r="K104" t="n">
        <v>2026</v>
      </c>
      <c r="L104" t="inlineStr">
        <is>
          <t>1</t>
        </is>
      </c>
      <c r="M104" t="inlineStr">
        <is>
          <t>CITRICOS</t>
        </is>
      </c>
      <c r="N104" t="inlineStr">
        <is>
          <t>41055</t>
        </is>
      </c>
      <c r="O104" t="inlineStr">
        <is>
          <t>21</t>
        </is>
      </c>
      <c r="P104" t="inlineStr">
        <is>
          <t>13</t>
        </is>
      </c>
      <c r="Q104" t="inlineStr">
        <is>
          <t>10</t>
        </is>
      </c>
      <c r="R104" t="n">
        <v>0.93</v>
      </c>
      <c r="S104" t="n">
        <v>0</v>
      </c>
      <c r="T104" t="n">
        <v>0.93</v>
      </c>
      <c r="V104" t="inlineStr">
        <is>
          <t>No</t>
        </is>
      </c>
      <c r="W104" t="inlineStr">
        <is>
          <t>PLANTACION_MENOR_CINCO_ANOS</t>
        </is>
      </c>
    </row>
    <row r="105">
      <c r="A105" t="n">
        <v>1443</v>
      </c>
      <c r="B105" t="inlineStr">
        <is>
          <t>TOMENO SUAREZ,ALBERTO</t>
        </is>
      </c>
      <c r="C105" t="n">
        <v>671</v>
      </c>
      <c r="D105" t="inlineStr">
        <is>
          <t>CITRICOS</t>
        </is>
      </c>
      <c r="E105" t="n">
        <v>2026</v>
      </c>
      <c r="F105" t="n">
        <v>1</v>
      </c>
      <c r="G105" t="n">
        <v>1</v>
      </c>
      <c r="H105" t="inlineStr">
        <is>
          <t>Sí</t>
        </is>
      </c>
      <c r="J105" t="n">
        <v>671</v>
      </c>
      <c r="K105" t="n">
        <v>2026</v>
      </c>
      <c r="L105" t="inlineStr">
        <is>
          <t>1</t>
        </is>
      </c>
      <c r="M105" t="inlineStr">
        <is>
          <t>CITRICOS</t>
        </is>
      </c>
      <c r="N105" t="inlineStr">
        <is>
          <t>41055</t>
        </is>
      </c>
      <c r="O105" t="inlineStr">
        <is>
          <t>21</t>
        </is>
      </c>
      <c r="P105" t="inlineStr">
        <is>
          <t>13</t>
        </is>
      </c>
      <c r="Q105" t="inlineStr">
        <is>
          <t>3</t>
        </is>
      </c>
      <c r="R105" t="n">
        <v>0.88</v>
      </c>
      <c r="S105" t="n">
        <v>0</v>
      </c>
      <c r="T105" t="n">
        <v>0.88</v>
      </c>
      <c r="V105" t="inlineStr">
        <is>
          <t>No</t>
        </is>
      </c>
      <c r="W105" t="inlineStr">
        <is>
          <t>PLANTACION_MENOR_CINCO_ANOS</t>
        </is>
      </c>
    </row>
    <row r="106">
      <c r="A106" t="n">
        <v>1443</v>
      </c>
      <c r="B106" t="inlineStr">
        <is>
          <t>TOMENO SUAREZ,ALBERTO</t>
        </is>
      </c>
      <c r="C106" t="n">
        <v>611</v>
      </c>
      <c r="D106" t="inlineStr">
        <is>
          <t>MANDARINA</t>
        </is>
      </c>
      <c r="E106" t="n">
        <v>2026</v>
      </c>
      <c r="F106" t="n">
        <v>1</v>
      </c>
      <c r="G106" t="n">
        <v>1</v>
      </c>
      <c r="H106" t="inlineStr">
        <is>
          <t>Sí</t>
        </is>
      </c>
      <c r="J106" t="n">
        <v>611</v>
      </c>
      <c r="K106" t="n">
        <v>2026</v>
      </c>
      <c r="L106" t="inlineStr">
        <is>
          <t>1</t>
        </is>
      </c>
      <c r="M106" t="inlineStr">
        <is>
          <t>MANDARINA</t>
        </is>
      </c>
      <c r="N106" t="inlineStr">
        <is>
          <t>41055</t>
        </is>
      </c>
      <c r="O106" t="inlineStr">
        <is>
          <t>15</t>
        </is>
      </c>
      <c r="P106" t="inlineStr">
        <is>
          <t>123</t>
        </is>
      </c>
      <c r="Q106" t="inlineStr">
        <is>
          <t>1</t>
        </is>
      </c>
      <c r="R106" t="n">
        <v>4.4</v>
      </c>
      <c r="S106" t="n">
        <v>0</v>
      </c>
      <c r="T106" t="n">
        <v>4.4</v>
      </c>
      <c r="V106" t="inlineStr">
        <is>
          <t>Sí</t>
        </is>
      </c>
      <c r="W106" t="inlineStr"/>
    </row>
    <row r="107">
      <c r="A107" t="n">
        <v>1443</v>
      </c>
      <c r="B107" t="inlineStr">
        <is>
          <t>TOMENO SUAREZ,ALBERTO</t>
        </is>
      </c>
      <c r="C107" t="n">
        <v>612</v>
      </c>
      <c r="D107" t="inlineStr">
        <is>
          <t>MANDARINA</t>
        </is>
      </c>
      <c r="E107" t="n">
        <v>2026</v>
      </c>
      <c r="F107" t="n">
        <v>1</v>
      </c>
      <c r="G107" t="n">
        <v>1</v>
      </c>
      <c r="H107" t="inlineStr">
        <is>
          <t>Sí</t>
        </is>
      </c>
      <c r="J107" t="n">
        <v>612</v>
      </c>
      <c r="K107" t="n">
        <v>2026</v>
      </c>
      <c r="L107" t="inlineStr">
        <is>
          <t>1</t>
        </is>
      </c>
      <c r="M107" t="inlineStr">
        <is>
          <t>MANDARINA</t>
        </is>
      </c>
      <c r="N107" t="inlineStr">
        <is>
          <t>41055</t>
        </is>
      </c>
      <c r="O107" t="inlineStr">
        <is>
          <t>19</t>
        </is>
      </c>
      <c r="P107" t="inlineStr">
        <is>
          <t>5</t>
        </is>
      </c>
      <c r="Q107" t="inlineStr">
        <is>
          <t>5</t>
        </is>
      </c>
      <c r="R107" t="n">
        <v>0.03</v>
      </c>
      <c r="S107" t="n">
        <v>0</v>
      </c>
      <c r="T107" t="n">
        <v>0.03</v>
      </c>
      <c r="V107" t="inlineStr">
        <is>
          <t>Sí</t>
        </is>
      </c>
      <c r="W107" t="inlineStr"/>
    </row>
    <row r="108">
      <c r="A108" t="n">
        <v>1443</v>
      </c>
      <c r="B108" t="inlineStr">
        <is>
          <t>TOMENO SUAREZ,ALBERTO</t>
        </is>
      </c>
      <c r="C108" t="n">
        <v>612</v>
      </c>
      <c r="D108" t="inlineStr">
        <is>
          <t>MANDARINA</t>
        </is>
      </c>
      <c r="E108" t="n">
        <v>2026</v>
      </c>
      <c r="F108" t="n">
        <v>1</v>
      </c>
      <c r="G108" t="n">
        <v>1</v>
      </c>
      <c r="H108" t="inlineStr">
        <is>
          <t>Sí</t>
        </is>
      </c>
      <c r="J108" t="n">
        <v>612</v>
      </c>
      <c r="K108" t="n">
        <v>2026</v>
      </c>
      <c r="L108" t="inlineStr">
        <is>
          <t>1</t>
        </is>
      </c>
      <c r="M108" t="inlineStr">
        <is>
          <t>MANDARINA</t>
        </is>
      </c>
      <c r="N108" t="inlineStr">
        <is>
          <t>41055</t>
        </is>
      </c>
      <c r="O108" t="inlineStr">
        <is>
          <t>19</t>
        </is>
      </c>
      <c r="P108" t="inlineStr">
        <is>
          <t>7</t>
        </is>
      </c>
      <c r="Q108" t="inlineStr">
        <is>
          <t>4</t>
        </is>
      </c>
      <c r="R108" t="n">
        <v>0.08</v>
      </c>
      <c r="S108" t="n">
        <v>0</v>
      </c>
      <c r="T108" t="n">
        <v>0.08</v>
      </c>
      <c r="V108" t="inlineStr">
        <is>
          <t>Sí</t>
        </is>
      </c>
      <c r="W108" t="inlineStr"/>
    </row>
    <row r="109">
      <c r="A109" t="n">
        <v>1443</v>
      </c>
      <c r="B109" t="inlineStr">
        <is>
          <t>TOMENO SUAREZ,ALBERTO</t>
        </is>
      </c>
      <c r="C109" t="n">
        <v>612</v>
      </c>
      <c r="D109" t="inlineStr">
        <is>
          <t>MANDARINA</t>
        </is>
      </c>
      <c r="E109" t="n">
        <v>2026</v>
      </c>
      <c r="F109" t="n">
        <v>1</v>
      </c>
      <c r="G109" t="n">
        <v>1</v>
      </c>
      <c r="H109" t="inlineStr">
        <is>
          <t>Sí</t>
        </is>
      </c>
      <c r="J109" t="n">
        <v>612</v>
      </c>
      <c r="K109" t="n">
        <v>2026</v>
      </c>
      <c r="L109" t="inlineStr">
        <is>
          <t>1</t>
        </is>
      </c>
      <c r="M109" t="inlineStr">
        <is>
          <t>MANDARINA</t>
        </is>
      </c>
      <c r="N109" t="inlineStr">
        <is>
          <t>41055</t>
        </is>
      </c>
      <c r="O109" t="inlineStr">
        <is>
          <t>19</t>
        </is>
      </c>
      <c r="P109" t="inlineStr">
        <is>
          <t>6</t>
        </is>
      </c>
      <c r="Q109" t="inlineStr">
        <is>
          <t>1</t>
        </is>
      </c>
      <c r="R109" t="n">
        <v>1.92</v>
      </c>
      <c r="S109" t="n">
        <v>0</v>
      </c>
      <c r="T109" t="n">
        <v>1.92</v>
      </c>
      <c r="V109" t="inlineStr">
        <is>
          <t>Sí</t>
        </is>
      </c>
      <c r="W109" t="inlineStr"/>
    </row>
    <row r="110">
      <c r="A110" t="n">
        <v>1443</v>
      </c>
      <c r="B110" t="inlineStr">
        <is>
          <t>TOMENO SUAREZ,ALBERTO</t>
        </is>
      </c>
      <c r="C110" t="n">
        <v>612</v>
      </c>
      <c r="D110" t="inlineStr">
        <is>
          <t>MANDARINA</t>
        </is>
      </c>
      <c r="E110" t="n">
        <v>2026</v>
      </c>
      <c r="F110" t="n">
        <v>1</v>
      </c>
      <c r="G110" t="n">
        <v>1</v>
      </c>
      <c r="H110" t="inlineStr">
        <is>
          <t>Sí</t>
        </is>
      </c>
      <c r="J110" t="n">
        <v>612</v>
      </c>
      <c r="K110" t="n">
        <v>2026</v>
      </c>
      <c r="L110" t="inlineStr">
        <is>
          <t>1</t>
        </is>
      </c>
      <c r="M110" t="inlineStr">
        <is>
          <t>MANDARINA</t>
        </is>
      </c>
      <c r="N110" t="inlineStr">
        <is>
          <t>41055</t>
        </is>
      </c>
      <c r="O110" t="inlineStr">
        <is>
          <t>19</t>
        </is>
      </c>
      <c r="P110" t="inlineStr">
        <is>
          <t>6</t>
        </is>
      </c>
      <c r="Q110" t="inlineStr">
        <is>
          <t>3</t>
        </is>
      </c>
      <c r="R110" t="n">
        <v>1.58</v>
      </c>
      <c r="S110" t="n">
        <v>0</v>
      </c>
      <c r="T110" t="n">
        <v>1.58</v>
      </c>
      <c r="V110" t="inlineStr">
        <is>
          <t>Sí</t>
        </is>
      </c>
      <c r="W110" t="inlineStr"/>
    </row>
    <row r="111">
      <c r="A111" t="n">
        <v>1443</v>
      </c>
      <c r="B111" t="inlineStr">
        <is>
          <t>TOMENO SUAREZ,ALBERTO</t>
        </is>
      </c>
      <c r="C111" t="n">
        <v>612</v>
      </c>
      <c r="D111" t="inlineStr">
        <is>
          <t>MANDARINA</t>
        </is>
      </c>
      <c r="E111" t="n">
        <v>2026</v>
      </c>
      <c r="F111" t="n">
        <v>1</v>
      </c>
      <c r="G111" t="n">
        <v>1</v>
      </c>
      <c r="H111" t="inlineStr">
        <is>
          <t>Sí</t>
        </is>
      </c>
      <c r="J111" t="n">
        <v>612</v>
      </c>
      <c r="K111" t="n">
        <v>2026</v>
      </c>
      <c r="L111" t="inlineStr">
        <is>
          <t>1</t>
        </is>
      </c>
      <c r="M111" t="inlineStr">
        <is>
          <t>MANDARINA</t>
        </is>
      </c>
      <c r="N111" t="inlineStr">
        <is>
          <t>41055</t>
        </is>
      </c>
      <c r="O111" t="inlineStr">
        <is>
          <t>19</t>
        </is>
      </c>
      <c r="P111" t="inlineStr">
        <is>
          <t>7</t>
        </is>
      </c>
      <c r="Q111" t="inlineStr">
        <is>
          <t>1</t>
        </is>
      </c>
      <c r="R111" t="n">
        <v>3.91</v>
      </c>
      <c r="S111" t="n">
        <v>0</v>
      </c>
      <c r="T111" t="n">
        <v>3.91</v>
      </c>
      <c r="V111" t="inlineStr">
        <is>
          <t>Sí</t>
        </is>
      </c>
      <c r="W111" t="inlineStr"/>
    </row>
    <row r="112">
      <c r="A112" t="n">
        <v>1443</v>
      </c>
      <c r="B112" t="inlineStr">
        <is>
          <t>TOMENO SUAREZ,ALBERTO</t>
        </is>
      </c>
      <c r="C112" t="n">
        <v>612</v>
      </c>
      <c r="D112" t="inlineStr">
        <is>
          <t>MANDARINA</t>
        </is>
      </c>
      <c r="E112" t="n">
        <v>2026</v>
      </c>
      <c r="F112" t="n">
        <v>1</v>
      </c>
      <c r="G112" t="n">
        <v>1</v>
      </c>
      <c r="H112" t="inlineStr">
        <is>
          <t>Sí</t>
        </is>
      </c>
      <c r="J112" t="n">
        <v>612</v>
      </c>
      <c r="K112" t="n">
        <v>2026</v>
      </c>
      <c r="L112" t="inlineStr">
        <is>
          <t>1</t>
        </is>
      </c>
      <c r="M112" t="inlineStr">
        <is>
          <t>MANDARINA</t>
        </is>
      </c>
      <c r="N112" t="inlineStr">
        <is>
          <t>41055</t>
        </is>
      </c>
      <c r="O112" t="inlineStr">
        <is>
          <t>19</t>
        </is>
      </c>
      <c r="P112" t="inlineStr">
        <is>
          <t>7</t>
        </is>
      </c>
      <c r="Q112" t="inlineStr">
        <is>
          <t>2</t>
        </is>
      </c>
      <c r="R112" t="n">
        <v>0.5600000000000001</v>
      </c>
      <c r="S112" t="n">
        <v>0</v>
      </c>
      <c r="T112" t="n">
        <v>0.5600000000000001</v>
      </c>
      <c r="V112" t="inlineStr">
        <is>
          <t>Sí</t>
        </is>
      </c>
      <c r="W112" t="inlineStr"/>
    </row>
    <row r="113">
      <c r="A113" t="n">
        <v>1443</v>
      </c>
      <c r="B113" t="inlineStr">
        <is>
          <t>TOMENO SUAREZ,ALBERTO</t>
        </is>
      </c>
      <c r="C113" t="n">
        <v>612</v>
      </c>
      <c r="D113" t="inlineStr">
        <is>
          <t>MANDARINA</t>
        </is>
      </c>
      <c r="E113" t="n">
        <v>2026</v>
      </c>
      <c r="F113" t="n">
        <v>1</v>
      </c>
      <c r="G113" t="n">
        <v>1</v>
      </c>
      <c r="H113" t="inlineStr">
        <is>
          <t>Sí</t>
        </is>
      </c>
      <c r="J113" t="n">
        <v>612</v>
      </c>
      <c r="K113" t="n">
        <v>2026</v>
      </c>
      <c r="L113" t="inlineStr">
        <is>
          <t>1</t>
        </is>
      </c>
      <c r="M113" t="inlineStr">
        <is>
          <t>MANDARINA</t>
        </is>
      </c>
      <c r="N113" t="inlineStr">
        <is>
          <t>41055</t>
        </is>
      </c>
      <c r="O113" t="inlineStr">
        <is>
          <t>19</t>
        </is>
      </c>
      <c r="P113" t="inlineStr">
        <is>
          <t>24</t>
        </is>
      </c>
      <c r="Q113" t="inlineStr">
        <is>
          <t>2</t>
        </is>
      </c>
      <c r="R113" t="n">
        <v>0.29</v>
      </c>
      <c r="S113" t="n">
        <v>0</v>
      </c>
      <c r="T113" t="n">
        <v>0.29</v>
      </c>
      <c r="V113" t="inlineStr">
        <is>
          <t>Sí</t>
        </is>
      </c>
      <c r="W113" t="inlineStr"/>
    </row>
    <row r="114">
      <c r="A114" t="n">
        <v>1443</v>
      </c>
      <c r="B114" t="inlineStr">
        <is>
          <t>TOMENO SUAREZ,ALBERTO</t>
        </is>
      </c>
      <c r="C114" t="n">
        <v>612</v>
      </c>
      <c r="D114" t="inlineStr">
        <is>
          <t>MANDARINA</t>
        </is>
      </c>
      <c r="E114" t="n">
        <v>2026</v>
      </c>
      <c r="F114" t="n">
        <v>1</v>
      </c>
      <c r="G114" t="n">
        <v>1</v>
      </c>
      <c r="H114" t="inlineStr">
        <is>
          <t>Sí</t>
        </is>
      </c>
      <c r="J114" t="n">
        <v>612</v>
      </c>
      <c r="K114" t="n">
        <v>2026</v>
      </c>
      <c r="L114" t="inlineStr">
        <is>
          <t>1</t>
        </is>
      </c>
      <c r="M114" t="inlineStr">
        <is>
          <t>MANDARINA</t>
        </is>
      </c>
      <c r="N114" t="inlineStr">
        <is>
          <t>41055</t>
        </is>
      </c>
      <c r="O114" t="inlineStr">
        <is>
          <t>19</t>
        </is>
      </c>
      <c r="P114" t="inlineStr">
        <is>
          <t>7</t>
        </is>
      </c>
      <c r="Q114" t="inlineStr">
        <is>
          <t>5</t>
        </is>
      </c>
      <c r="R114" t="n">
        <v>0.23</v>
      </c>
      <c r="S114" t="n">
        <v>0</v>
      </c>
      <c r="T114" t="n">
        <v>0.23</v>
      </c>
      <c r="V114" t="inlineStr">
        <is>
          <t>Sí</t>
        </is>
      </c>
      <c r="W114" t="inlineStr"/>
    </row>
    <row r="115">
      <c r="A115" t="n">
        <v>1485</v>
      </c>
      <c r="B115" t="inlineStr">
        <is>
          <t>HNOS. CRESPO RUIZ S.C.</t>
        </is>
      </c>
      <c r="C115" t="n">
        <v>180</v>
      </c>
      <c r="D115" t="inlineStr">
        <is>
          <t>CITRICOS</t>
        </is>
      </c>
      <c r="E115" t="n">
        <v>2026</v>
      </c>
      <c r="F115" t="n">
        <v>1</v>
      </c>
      <c r="G115" t="n">
        <v>1</v>
      </c>
      <c r="H115" t="inlineStr">
        <is>
          <t>Sí</t>
        </is>
      </c>
      <c r="J115" t="n">
        <v>180</v>
      </c>
      <c r="K115" t="n">
        <v>2026</v>
      </c>
      <c r="L115" t="inlineStr">
        <is>
          <t>1</t>
        </is>
      </c>
      <c r="M115" t="inlineStr">
        <is>
          <t>CITRICOS</t>
        </is>
      </c>
      <c r="N115" t="inlineStr">
        <is>
          <t>41055</t>
        </is>
      </c>
      <c r="O115" t="inlineStr">
        <is>
          <t>13</t>
        </is>
      </c>
      <c r="P115" t="inlineStr">
        <is>
          <t>176</t>
        </is>
      </c>
      <c r="Q115" t="inlineStr">
        <is>
          <t>1</t>
        </is>
      </c>
      <c r="R115" t="n">
        <v>2.37</v>
      </c>
      <c r="S115" t="n">
        <v>2.373708</v>
      </c>
      <c r="T115" t="n">
        <v>2.33</v>
      </c>
      <c r="V115" t="inlineStr">
        <is>
          <t>Sí</t>
        </is>
      </c>
      <c r="W115" t="inlineStr"/>
    </row>
    <row r="116">
      <c r="A116" t="n">
        <v>1485</v>
      </c>
      <c r="B116" t="inlineStr">
        <is>
          <t>HNOS. CRESPO RUIZ S.C.</t>
        </is>
      </c>
      <c r="C116" t="n">
        <v>180</v>
      </c>
      <c r="D116" t="inlineStr">
        <is>
          <t>CITRICOS</t>
        </is>
      </c>
      <c r="E116" t="n">
        <v>2026</v>
      </c>
      <c r="F116" t="n">
        <v>1</v>
      </c>
      <c r="G116" t="n">
        <v>1</v>
      </c>
      <c r="H116" t="inlineStr">
        <is>
          <t>Sí</t>
        </is>
      </c>
      <c r="J116" t="n">
        <v>180</v>
      </c>
      <c r="K116" t="n">
        <v>2026</v>
      </c>
      <c r="L116" t="inlineStr">
        <is>
          <t>1</t>
        </is>
      </c>
      <c r="M116" t="inlineStr">
        <is>
          <t>CITRICOS</t>
        </is>
      </c>
      <c r="N116" t="inlineStr">
        <is>
          <t>41055</t>
        </is>
      </c>
      <c r="O116" t="inlineStr">
        <is>
          <t>13</t>
        </is>
      </c>
      <c r="P116" t="inlineStr">
        <is>
          <t>174</t>
        </is>
      </c>
      <c r="Q116" t="inlineStr">
        <is>
          <t>1</t>
        </is>
      </c>
      <c r="R116" t="n">
        <v>0.04</v>
      </c>
      <c r="S116" t="n">
        <v>1.248868</v>
      </c>
      <c r="T116" t="n">
        <v>0.04</v>
      </c>
      <c r="V116" t="inlineStr">
        <is>
          <t>Sí</t>
        </is>
      </c>
      <c r="W116" t="inlineStr"/>
    </row>
    <row r="117">
      <c r="A117" t="n">
        <v>1485</v>
      </c>
      <c r="B117" t="inlineStr">
        <is>
          <t>HNOS. CRESPO RUIZ S.C.</t>
        </is>
      </c>
      <c r="C117" t="n">
        <v>180</v>
      </c>
      <c r="D117" t="inlineStr">
        <is>
          <t>CITRICOS</t>
        </is>
      </c>
      <c r="E117" t="n">
        <v>2026</v>
      </c>
      <c r="F117" t="n">
        <v>1</v>
      </c>
      <c r="G117" t="n">
        <v>1</v>
      </c>
      <c r="H117" t="inlineStr">
        <is>
          <t>Sí</t>
        </is>
      </c>
      <c r="J117" t="n">
        <v>180</v>
      </c>
      <c r="K117" t="n">
        <v>2026</v>
      </c>
      <c r="L117" t="inlineStr">
        <is>
          <t>1</t>
        </is>
      </c>
      <c r="M117" t="inlineStr">
        <is>
          <t>CITRICOS</t>
        </is>
      </c>
      <c r="N117" t="inlineStr">
        <is>
          <t>41055</t>
        </is>
      </c>
      <c r="O117" t="inlineStr">
        <is>
          <t>13</t>
        </is>
      </c>
      <c r="P117" t="inlineStr">
        <is>
          <t>325</t>
        </is>
      </c>
      <c r="Q117" t="inlineStr">
        <is>
          <t>1</t>
        </is>
      </c>
      <c r="R117" t="n">
        <v>0.76</v>
      </c>
      <c r="S117" t="n">
        <v>0</v>
      </c>
      <c r="T117" t="n">
        <v>0.72</v>
      </c>
      <c r="V117" t="inlineStr">
        <is>
          <t>Sí</t>
        </is>
      </c>
      <c r="W117" t="inlineStr"/>
    </row>
    <row r="118">
      <c r="A118" t="n">
        <v>1485</v>
      </c>
      <c r="B118" t="inlineStr">
        <is>
          <t>HNOS. CRESPO RUIZ S.C.</t>
        </is>
      </c>
      <c r="C118" t="n">
        <v>180</v>
      </c>
      <c r="D118" t="inlineStr">
        <is>
          <t>CITRICOS</t>
        </is>
      </c>
      <c r="E118" t="n">
        <v>2026</v>
      </c>
      <c r="F118" t="n">
        <v>1</v>
      </c>
      <c r="G118" t="n">
        <v>1</v>
      </c>
      <c r="H118" t="inlineStr">
        <is>
          <t>Sí</t>
        </is>
      </c>
      <c r="J118" t="n">
        <v>180</v>
      </c>
      <c r="K118" t="n">
        <v>2026</v>
      </c>
      <c r="L118" t="inlineStr">
        <is>
          <t>1</t>
        </is>
      </c>
      <c r="M118" t="inlineStr">
        <is>
          <t>CITRICOS</t>
        </is>
      </c>
      <c r="N118" t="inlineStr">
        <is>
          <t>41055</t>
        </is>
      </c>
      <c r="O118" t="inlineStr">
        <is>
          <t>13</t>
        </is>
      </c>
      <c r="P118" t="inlineStr">
        <is>
          <t>307</t>
        </is>
      </c>
      <c r="Q118" t="inlineStr">
        <is>
          <t>2</t>
        </is>
      </c>
      <c r="R118" t="n">
        <v>0.07000000000000001</v>
      </c>
      <c r="S118" t="n">
        <v>0</v>
      </c>
      <c r="T118" t="n">
        <v>0.07000000000000001</v>
      </c>
      <c r="V118" t="inlineStr">
        <is>
          <t>Sí</t>
        </is>
      </c>
      <c r="W118" t="inlineStr"/>
    </row>
    <row r="119">
      <c r="A119" t="n">
        <v>1512</v>
      </c>
      <c r="B119" t="inlineStr">
        <is>
          <t>HERNANDEZ MOLINA,ANTONIO</t>
        </is>
      </c>
      <c r="C119" t="n">
        <v>65</v>
      </c>
      <c r="D119" t="inlineStr">
        <is>
          <t>CITRICOS</t>
        </is>
      </c>
      <c r="E119" t="n">
        <v>2026</v>
      </c>
      <c r="F119" t="n">
        <v>1</v>
      </c>
      <c r="G119" t="n">
        <v>1</v>
      </c>
      <c r="H119" t="inlineStr">
        <is>
          <t>Sí</t>
        </is>
      </c>
      <c r="J119" t="n">
        <v>65</v>
      </c>
      <c r="K119" t="n">
        <v>2026</v>
      </c>
      <c r="L119" t="inlineStr">
        <is>
          <t>1</t>
        </is>
      </c>
      <c r="M119" t="inlineStr">
        <is>
          <t>CITRICOS</t>
        </is>
      </c>
      <c r="N119" t="inlineStr">
        <is>
          <t>41055</t>
        </is>
      </c>
      <c r="O119" t="inlineStr">
        <is>
          <t>12</t>
        </is>
      </c>
      <c r="P119" t="inlineStr">
        <is>
          <t>63</t>
        </is>
      </c>
      <c r="Q119" t="inlineStr">
        <is>
          <t>1</t>
        </is>
      </c>
      <c r="R119" t="n">
        <v>1.58</v>
      </c>
      <c r="S119" t="n">
        <v>1.628657</v>
      </c>
      <c r="T119" t="n">
        <v>1.47</v>
      </c>
      <c r="V119" t="inlineStr">
        <is>
          <t>Sí</t>
        </is>
      </c>
      <c r="W119" t="inlineStr"/>
    </row>
    <row r="120">
      <c r="A120" t="n">
        <v>1523</v>
      </c>
      <c r="B120" t="inlineStr">
        <is>
          <t>RODRIGUEZ MEJÍAS, JOSE ANTONIO</t>
        </is>
      </c>
      <c r="C120" t="n">
        <v>686</v>
      </c>
      <c r="D120" t="inlineStr">
        <is>
          <t>CITRICOS</t>
        </is>
      </c>
      <c r="E120" t="n">
        <v>2026</v>
      </c>
      <c r="F120" t="n">
        <v>1</v>
      </c>
      <c r="G120" t="n">
        <v>0</v>
      </c>
      <c r="H120" t="inlineStr">
        <is>
          <t>No</t>
        </is>
      </c>
      <c r="V120" t="inlineStr">
        <is>
          <t>No</t>
        </is>
      </c>
      <c r="W120" t="inlineStr">
        <is>
          <t>CHA_NO_SELECCIONADO; CHA_NO_ACTIVO</t>
        </is>
      </c>
    </row>
    <row r="121">
      <c r="A121" t="n">
        <v>1523</v>
      </c>
      <c r="B121" t="inlineStr">
        <is>
          <t>RODRIGUEZ MEJÍAS, JOSE ANTONIO</t>
        </is>
      </c>
      <c r="C121" t="n">
        <v>765</v>
      </c>
      <c r="D121" t="inlineStr">
        <is>
          <t>CITRICOS</t>
        </is>
      </c>
      <c r="E121" t="n">
        <v>2026</v>
      </c>
      <c r="F121" t="n">
        <v>1</v>
      </c>
      <c r="G121" t="n">
        <v>0</v>
      </c>
      <c r="H121" t="inlineStr">
        <is>
          <t>No</t>
        </is>
      </c>
      <c r="V121" t="inlineStr">
        <is>
          <t>No</t>
        </is>
      </c>
      <c r="W121" t="inlineStr">
        <is>
          <t>CHA_NO_SELECCIONADO; CHA_NO_ACTIVO</t>
        </is>
      </c>
    </row>
    <row r="122">
      <c r="A122" t="n">
        <v>1523</v>
      </c>
      <c r="B122" t="inlineStr">
        <is>
          <t>RODRIGUEZ MEJÍAS, JOSE ANTONIO</t>
        </is>
      </c>
      <c r="C122" t="n">
        <v>62</v>
      </c>
      <c r="D122" t="inlineStr">
        <is>
          <t>CITRICOS</t>
        </is>
      </c>
      <c r="E122" t="n">
        <v>2026</v>
      </c>
      <c r="F122" t="n">
        <v>1</v>
      </c>
      <c r="G122" t="n">
        <v>1</v>
      </c>
      <c r="H122" t="inlineStr">
        <is>
          <t>Sí</t>
        </is>
      </c>
      <c r="J122" t="n">
        <v>62</v>
      </c>
      <c r="K122" t="n">
        <v>2026</v>
      </c>
      <c r="L122" t="inlineStr">
        <is>
          <t>1</t>
        </is>
      </c>
      <c r="M122" t="inlineStr">
        <is>
          <t>CITRICOS</t>
        </is>
      </c>
      <c r="N122" t="inlineStr">
        <is>
          <t>41055</t>
        </is>
      </c>
      <c r="O122" t="inlineStr">
        <is>
          <t>3</t>
        </is>
      </c>
      <c r="P122" t="inlineStr">
        <is>
          <t>23</t>
        </is>
      </c>
      <c r="Q122" t="inlineStr">
        <is>
          <t>1</t>
        </is>
      </c>
      <c r="R122" t="n">
        <v>3.1</v>
      </c>
      <c r="S122" t="n">
        <v>3.103226</v>
      </c>
      <c r="T122" t="n">
        <v>3.06</v>
      </c>
      <c r="V122" t="inlineStr">
        <is>
          <t>Sí</t>
        </is>
      </c>
      <c r="W122" t="inlineStr"/>
    </row>
    <row r="123">
      <c r="A123" t="n">
        <v>1523</v>
      </c>
      <c r="B123" t="inlineStr">
        <is>
          <t>RODRIGUEZ MEJÍAS, JOSE ANTONIO</t>
        </is>
      </c>
      <c r="C123" t="n">
        <v>340</v>
      </c>
      <c r="D123" t="inlineStr">
        <is>
          <t>CITRICOS</t>
        </is>
      </c>
      <c r="E123" t="n">
        <v>2026</v>
      </c>
      <c r="F123" t="n">
        <v>1</v>
      </c>
      <c r="G123" t="n">
        <v>1</v>
      </c>
      <c r="H123" t="inlineStr">
        <is>
          <t>Sí</t>
        </is>
      </c>
      <c r="J123" t="n">
        <v>340</v>
      </c>
      <c r="K123" t="n">
        <v>2026</v>
      </c>
      <c r="L123" t="inlineStr">
        <is>
          <t>1</t>
        </is>
      </c>
      <c r="M123" t="inlineStr">
        <is>
          <t>CITRICOS</t>
        </is>
      </c>
      <c r="N123" t="inlineStr">
        <is>
          <t>41055</t>
        </is>
      </c>
      <c r="O123" t="inlineStr">
        <is>
          <t>11</t>
        </is>
      </c>
      <c r="P123" t="inlineStr">
        <is>
          <t>162</t>
        </is>
      </c>
      <c r="Q123" t="inlineStr">
        <is>
          <t>5</t>
        </is>
      </c>
      <c r="R123" t="n">
        <v>2.09</v>
      </c>
      <c r="S123" t="n">
        <v>0</v>
      </c>
      <c r="T123" t="n">
        <v>2.09</v>
      </c>
      <c r="V123" t="inlineStr">
        <is>
          <t>Sí</t>
        </is>
      </c>
      <c r="W123" t="inlineStr"/>
    </row>
    <row r="124">
      <c r="A124" t="n">
        <v>1523</v>
      </c>
      <c r="B124" t="inlineStr">
        <is>
          <t>RODRIGUEZ MEJÍAS, JOSE ANTONIO</t>
        </is>
      </c>
      <c r="C124" t="n">
        <v>356</v>
      </c>
      <c r="D124" t="inlineStr">
        <is>
          <t>CITRICOS</t>
        </is>
      </c>
      <c r="E124" t="n">
        <v>2026</v>
      </c>
      <c r="F124" t="n">
        <v>1</v>
      </c>
      <c r="G124" t="n">
        <v>1</v>
      </c>
      <c r="H124" t="inlineStr">
        <is>
          <t>Sí</t>
        </is>
      </c>
      <c r="J124" t="n">
        <v>356</v>
      </c>
      <c r="K124" t="n">
        <v>2026</v>
      </c>
      <c r="L124" t="inlineStr">
        <is>
          <t>1</t>
        </is>
      </c>
      <c r="M124" t="inlineStr">
        <is>
          <t>CITRICOS</t>
        </is>
      </c>
      <c r="N124" t="inlineStr">
        <is>
          <t>41055</t>
        </is>
      </c>
      <c r="O124" t="inlineStr">
        <is>
          <t>13</t>
        </is>
      </c>
      <c r="P124" t="inlineStr">
        <is>
          <t>303</t>
        </is>
      </c>
      <c r="Q124" t="inlineStr">
        <is>
          <t>1</t>
        </is>
      </c>
      <c r="R124" t="n">
        <v>0.08</v>
      </c>
      <c r="S124" t="n">
        <v>0</v>
      </c>
      <c r="T124" t="n">
        <v>0.08</v>
      </c>
      <c r="V124" t="inlineStr">
        <is>
          <t>Sí</t>
        </is>
      </c>
      <c r="W124" t="inlineStr"/>
    </row>
    <row r="125">
      <c r="A125" t="n">
        <v>1523</v>
      </c>
      <c r="B125" t="inlineStr">
        <is>
          <t>RODRIGUEZ MEJÍAS, JOSE ANTONIO</t>
        </is>
      </c>
      <c r="C125" t="n">
        <v>356</v>
      </c>
      <c r="D125" t="inlineStr">
        <is>
          <t>CITRICOS</t>
        </is>
      </c>
      <c r="E125" t="n">
        <v>2026</v>
      </c>
      <c r="F125" t="n">
        <v>1</v>
      </c>
      <c r="G125" t="n">
        <v>1</v>
      </c>
      <c r="H125" t="inlineStr">
        <is>
          <t>Sí</t>
        </is>
      </c>
      <c r="J125" t="n">
        <v>356</v>
      </c>
      <c r="K125" t="n">
        <v>2026</v>
      </c>
      <c r="L125" t="inlineStr">
        <is>
          <t>1</t>
        </is>
      </c>
      <c r="M125" t="inlineStr">
        <is>
          <t>CITRICOS</t>
        </is>
      </c>
      <c r="N125" t="inlineStr">
        <is>
          <t>41055</t>
        </is>
      </c>
      <c r="O125" t="inlineStr">
        <is>
          <t>13</t>
        </is>
      </c>
      <c r="P125" t="inlineStr">
        <is>
          <t>7</t>
        </is>
      </c>
      <c r="Q125" t="inlineStr">
        <is>
          <t>5</t>
        </is>
      </c>
      <c r="R125" t="n">
        <v>0.6</v>
      </c>
      <c r="S125" t="n">
        <v>0</v>
      </c>
      <c r="T125" t="n">
        <v>0.6</v>
      </c>
      <c r="V125" t="inlineStr">
        <is>
          <t>Sí</t>
        </is>
      </c>
      <c r="W125" t="inlineStr"/>
    </row>
    <row r="126">
      <c r="A126" t="n">
        <v>1523</v>
      </c>
      <c r="B126" t="inlineStr">
        <is>
          <t>RODRIGUEZ MEJÍAS, JOSE ANTONIO</t>
        </is>
      </c>
      <c r="C126" t="n">
        <v>356</v>
      </c>
      <c r="D126" t="inlineStr">
        <is>
          <t>CITRICOS</t>
        </is>
      </c>
      <c r="E126" t="n">
        <v>2026</v>
      </c>
      <c r="F126" t="n">
        <v>1</v>
      </c>
      <c r="G126" t="n">
        <v>1</v>
      </c>
      <c r="H126" t="inlineStr">
        <is>
          <t>Sí</t>
        </is>
      </c>
      <c r="J126" t="n">
        <v>356</v>
      </c>
      <c r="K126" t="n">
        <v>2026</v>
      </c>
      <c r="L126" t="inlineStr">
        <is>
          <t>1</t>
        </is>
      </c>
      <c r="M126" t="inlineStr">
        <is>
          <t>CITRICOS</t>
        </is>
      </c>
      <c r="N126" t="inlineStr">
        <is>
          <t>41055</t>
        </is>
      </c>
      <c r="O126" t="inlineStr">
        <is>
          <t>13</t>
        </is>
      </c>
      <c r="P126" t="inlineStr">
        <is>
          <t>19</t>
        </is>
      </c>
      <c r="Q126" t="inlineStr">
        <is>
          <t>5</t>
        </is>
      </c>
      <c r="R126" t="n">
        <v>1.65</v>
      </c>
      <c r="S126" t="n">
        <v>0</v>
      </c>
      <c r="T126" t="n">
        <v>1.65</v>
      </c>
      <c r="V126" t="inlineStr">
        <is>
          <t>Sí</t>
        </is>
      </c>
      <c r="W126" t="inlineStr"/>
    </row>
    <row r="127">
      <c r="A127" t="n">
        <v>1523</v>
      </c>
      <c r="B127" t="inlineStr">
        <is>
          <t>RODRIGUEZ MEJÍAS, JOSE ANTONIO</t>
        </is>
      </c>
      <c r="C127" t="n">
        <v>580</v>
      </c>
      <c r="D127" t="inlineStr">
        <is>
          <t>CITRICOS</t>
        </is>
      </c>
      <c r="E127" t="n">
        <v>2026</v>
      </c>
      <c r="F127" t="n">
        <v>1</v>
      </c>
      <c r="G127" t="n">
        <v>1</v>
      </c>
      <c r="H127" t="inlineStr">
        <is>
          <t>Sí</t>
        </is>
      </c>
      <c r="J127" t="n">
        <v>580</v>
      </c>
      <c r="K127" t="n">
        <v>2026</v>
      </c>
      <c r="L127" t="inlineStr">
        <is>
          <t>1</t>
        </is>
      </c>
      <c r="M127" t="inlineStr">
        <is>
          <t>CITRICOS</t>
        </is>
      </c>
      <c r="N127" t="inlineStr">
        <is>
          <t>41055</t>
        </is>
      </c>
      <c r="O127" t="inlineStr">
        <is>
          <t>11</t>
        </is>
      </c>
      <c r="P127" t="inlineStr">
        <is>
          <t>162</t>
        </is>
      </c>
      <c r="Q127" t="inlineStr">
        <is>
          <t>7</t>
        </is>
      </c>
      <c r="R127" t="n">
        <v>4.92</v>
      </c>
      <c r="S127" t="n">
        <v>0</v>
      </c>
      <c r="T127" t="n">
        <v>4.79</v>
      </c>
      <c r="V127" t="inlineStr">
        <is>
          <t>Sí</t>
        </is>
      </c>
      <c r="W127" t="inlineStr"/>
    </row>
    <row r="128">
      <c r="A128" t="n">
        <v>1523</v>
      </c>
      <c r="B128" t="inlineStr">
        <is>
          <t>RODRIGUEZ MEJÍAS, JOSE ANTONIO</t>
        </is>
      </c>
      <c r="C128" t="n">
        <v>587</v>
      </c>
      <c r="D128" t="inlineStr">
        <is>
          <t>CITRICOS</t>
        </is>
      </c>
      <c r="E128" t="n">
        <v>2026</v>
      </c>
      <c r="F128" t="n">
        <v>1</v>
      </c>
      <c r="G128" t="n">
        <v>1</v>
      </c>
      <c r="H128" t="inlineStr">
        <is>
          <t>Sí</t>
        </is>
      </c>
      <c r="J128" t="n">
        <v>587</v>
      </c>
      <c r="K128" t="n">
        <v>2026</v>
      </c>
      <c r="L128" t="inlineStr">
        <is>
          <t>1</t>
        </is>
      </c>
      <c r="M128" t="inlineStr">
        <is>
          <t>CITRICOS</t>
        </is>
      </c>
      <c r="N128" t="inlineStr">
        <is>
          <t>41055</t>
        </is>
      </c>
      <c r="O128" t="inlineStr">
        <is>
          <t>11</t>
        </is>
      </c>
      <c r="P128" t="inlineStr">
        <is>
          <t>162</t>
        </is>
      </c>
      <c r="Q128" t="inlineStr">
        <is>
          <t>7</t>
        </is>
      </c>
      <c r="R128" t="n">
        <v>4.97</v>
      </c>
      <c r="S128" t="n">
        <v>0</v>
      </c>
      <c r="T128" t="n">
        <v>4.97</v>
      </c>
      <c r="V128" t="inlineStr">
        <is>
          <t>Sí</t>
        </is>
      </c>
      <c r="W128" t="inlineStr"/>
    </row>
    <row r="129">
      <c r="A129" t="n">
        <v>1523</v>
      </c>
      <c r="B129" t="inlineStr">
        <is>
          <t>RODRIGUEZ MEJÍAS, JOSE ANTONIO</t>
        </is>
      </c>
      <c r="C129" t="n">
        <v>608</v>
      </c>
      <c r="D129" t="inlineStr">
        <is>
          <t>MANDARINA</t>
        </is>
      </c>
      <c r="E129" t="n">
        <v>2026</v>
      </c>
      <c r="F129" t="n">
        <v>1</v>
      </c>
      <c r="G129" t="n">
        <v>1</v>
      </c>
      <c r="H129" t="inlineStr">
        <is>
          <t>Sí</t>
        </is>
      </c>
      <c r="J129" t="n">
        <v>608</v>
      </c>
      <c r="K129" t="n">
        <v>2026</v>
      </c>
      <c r="L129" t="inlineStr">
        <is>
          <t>1</t>
        </is>
      </c>
      <c r="M129" t="inlineStr">
        <is>
          <t>MANDARINA</t>
        </is>
      </c>
      <c r="N129" t="inlineStr">
        <is>
          <t>41055</t>
        </is>
      </c>
      <c r="O129" t="inlineStr">
        <is>
          <t>11</t>
        </is>
      </c>
      <c r="P129" t="inlineStr">
        <is>
          <t>162</t>
        </is>
      </c>
      <c r="Q129" t="inlineStr">
        <is>
          <t>7</t>
        </is>
      </c>
      <c r="R129" t="n">
        <v>2.03</v>
      </c>
      <c r="S129" t="n">
        <v>6.09</v>
      </c>
      <c r="T129" t="n">
        <v>1.94</v>
      </c>
      <c r="V129" t="inlineStr">
        <is>
          <t>Sí</t>
        </is>
      </c>
      <c r="W129" t="inlineStr"/>
    </row>
    <row r="130">
      <c r="A130" t="n">
        <v>1523</v>
      </c>
      <c r="B130" t="inlineStr">
        <is>
          <t>RODRIGUEZ MEJÍAS, JOSE ANTONIO</t>
        </is>
      </c>
      <c r="C130" t="n">
        <v>608</v>
      </c>
      <c r="D130" t="inlineStr">
        <is>
          <t>MANDARINA</t>
        </is>
      </c>
      <c r="E130" t="n">
        <v>2026</v>
      </c>
      <c r="F130" t="n">
        <v>1</v>
      </c>
      <c r="G130" t="n">
        <v>1</v>
      </c>
      <c r="H130" t="inlineStr">
        <is>
          <t>Sí</t>
        </is>
      </c>
      <c r="J130" t="n">
        <v>608</v>
      </c>
      <c r="K130" t="n">
        <v>2026</v>
      </c>
      <c r="L130" t="inlineStr">
        <is>
          <t>1</t>
        </is>
      </c>
      <c r="M130" t="inlineStr">
        <is>
          <t>MANDARINA</t>
        </is>
      </c>
      <c r="N130" t="inlineStr">
        <is>
          <t>41055</t>
        </is>
      </c>
      <c r="O130" t="inlineStr">
        <is>
          <t>11</t>
        </is>
      </c>
      <c r="P130" t="inlineStr">
        <is>
          <t>162</t>
        </is>
      </c>
      <c r="Q130" t="inlineStr">
        <is>
          <t>7</t>
        </is>
      </c>
      <c r="R130" t="n">
        <v>2.19</v>
      </c>
      <c r="S130" t="n">
        <v>6.09</v>
      </c>
      <c r="T130" t="n">
        <v>2.06</v>
      </c>
      <c r="V130" t="inlineStr">
        <is>
          <t>Sí</t>
        </is>
      </c>
      <c r="W130" t="inlineStr"/>
    </row>
    <row r="131">
      <c r="A131" t="n">
        <v>1529</v>
      </c>
      <c r="B131" t="inlineStr">
        <is>
          <t>RAMOS BRUGAROLAS, JOSE</t>
        </is>
      </c>
      <c r="C131" t="n">
        <v>665</v>
      </c>
      <c r="D131" t="inlineStr">
        <is>
          <t>CITRICOS</t>
        </is>
      </c>
      <c r="E131" t="n">
        <v>2026</v>
      </c>
      <c r="F131" t="n">
        <v>1</v>
      </c>
      <c r="G131" t="n">
        <v>0</v>
      </c>
      <c r="H131" t="inlineStr">
        <is>
          <t>No</t>
        </is>
      </c>
      <c r="V131" t="inlineStr">
        <is>
          <t>No</t>
        </is>
      </c>
      <c r="W131" t="inlineStr">
        <is>
          <t>CHA_NO_SELECCIONADO; CHA_NO_ACTIVO</t>
        </is>
      </c>
    </row>
    <row r="132">
      <c r="A132" t="n">
        <v>1529</v>
      </c>
      <c r="B132" t="inlineStr">
        <is>
          <t>RAMOS BRUGAROLAS, JOSE</t>
        </is>
      </c>
      <c r="C132" t="n">
        <v>332</v>
      </c>
      <c r="D132" t="inlineStr">
        <is>
          <t>CITRICOS</t>
        </is>
      </c>
      <c r="E132" t="n">
        <v>2026</v>
      </c>
      <c r="F132" t="n">
        <v>1</v>
      </c>
      <c r="G132" t="n">
        <v>1</v>
      </c>
      <c r="H132" t="inlineStr">
        <is>
          <t>Sí</t>
        </is>
      </c>
      <c r="J132" t="n">
        <v>332</v>
      </c>
      <c r="K132" t="n">
        <v>2026</v>
      </c>
      <c r="L132" t="inlineStr">
        <is>
          <t>1</t>
        </is>
      </c>
      <c r="M132" t="inlineStr">
        <is>
          <t>CITRICOS</t>
        </is>
      </c>
      <c r="N132" t="inlineStr">
        <is>
          <t>41023</t>
        </is>
      </c>
      <c r="O132" t="inlineStr">
        <is>
          <t>21</t>
        </is>
      </c>
      <c r="P132" t="inlineStr">
        <is>
          <t>62</t>
        </is>
      </c>
      <c r="Q132" t="inlineStr">
        <is>
          <t>2</t>
        </is>
      </c>
      <c r="R132" t="n">
        <v>6.82</v>
      </c>
      <c r="S132" t="n">
        <v>6.94993</v>
      </c>
      <c r="T132" t="n">
        <v>6.9</v>
      </c>
      <c r="V132" t="inlineStr">
        <is>
          <t>Sí</t>
        </is>
      </c>
      <c r="W132" t="inlineStr"/>
    </row>
    <row r="133">
      <c r="A133" t="n">
        <v>1529</v>
      </c>
      <c r="B133" t="inlineStr">
        <is>
          <t>RAMOS BRUGAROLAS, JOSE</t>
        </is>
      </c>
      <c r="C133" t="n">
        <v>334</v>
      </c>
      <c r="D133" t="inlineStr">
        <is>
          <t>CITRICOS</t>
        </is>
      </c>
      <c r="E133" t="n">
        <v>2026</v>
      </c>
      <c r="F133" t="n">
        <v>1</v>
      </c>
      <c r="G133" t="n">
        <v>1</v>
      </c>
      <c r="H133" t="inlineStr">
        <is>
          <t>Sí</t>
        </is>
      </c>
      <c r="J133" t="n">
        <v>334</v>
      </c>
      <c r="K133" t="n">
        <v>2026</v>
      </c>
      <c r="L133" t="inlineStr">
        <is>
          <t>1</t>
        </is>
      </c>
      <c r="M133" t="inlineStr">
        <is>
          <t>CITRICOS</t>
        </is>
      </c>
      <c r="N133" t="inlineStr">
        <is>
          <t>41023</t>
        </is>
      </c>
      <c r="O133" t="inlineStr">
        <is>
          <t>21</t>
        </is>
      </c>
      <c r="P133" t="inlineStr">
        <is>
          <t>73</t>
        </is>
      </c>
      <c r="Q133" t="inlineStr">
        <is>
          <t>4</t>
        </is>
      </c>
      <c r="R133" t="n">
        <v>1.74</v>
      </c>
      <c r="S133" t="n">
        <v>1.772925</v>
      </c>
      <c r="T133" t="n">
        <v>1.77</v>
      </c>
      <c r="V133" t="inlineStr">
        <is>
          <t>Sí</t>
        </is>
      </c>
      <c r="W133" t="inlineStr"/>
    </row>
    <row r="134">
      <c r="A134" t="n">
        <v>1529</v>
      </c>
      <c r="B134" t="inlineStr">
        <is>
          <t>RAMOS BRUGAROLAS, JOSE</t>
        </is>
      </c>
      <c r="C134" t="n">
        <v>334</v>
      </c>
      <c r="D134" t="inlineStr">
        <is>
          <t>CITRICOS</t>
        </is>
      </c>
      <c r="E134" t="n">
        <v>2026</v>
      </c>
      <c r="F134" t="n">
        <v>1</v>
      </c>
      <c r="G134" t="n">
        <v>1</v>
      </c>
      <c r="H134" t="inlineStr">
        <is>
          <t>Sí</t>
        </is>
      </c>
      <c r="J134" t="n">
        <v>334</v>
      </c>
      <c r="K134" t="n">
        <v>2026</v>
      </c>
      <c r="L134" t="inlineStr">
        <is>
          <t>1</t>
        </is>
      </c>
      <c r="M134" t="inlineStr">
        <is>
          <t>CITRICOS</t>
        </is>
      </c>
      <c r="N134" t="inlineStr">
        <is>
          <t>41023</t>
        </is>
      </c>
      <c r="O134" t="inlineStr">
        <is>
          <t>21</t>
        </is>
      </c>
      <c r="P134" t="inlineStr">
        <is>
          <t>73</t>
        </is>
      </c>
      <c r="Q134" t="inlineStr">
        <is>
          <t>3</t>
        </is>
      </c>
      <c r="R134" t="n">
        <v>0.84</v>
      </c>
      <c r="S134" t="n">
        <v>0.892713</v>
      </c>
      <c r="T134" t="n">
        <v>0.83</v>
      </c>
      <c r="V134" t="inlineStr">
        <is>
          <t>Sí</t>
        </is>
      </c>
      <c r="W134" t="inlineStr"/>
    </row>
    <row r="135">
      <c r="A135" t="n">
        <v>1529</v>
      </c>
      <c r="B135" t="inlineStr">
        <is>
          <t>RAMOS BRUGAROLAS, JOSE</t>
        </is>
      </c>
      <c r="C135" t="n">
        <v>335</v>
      </c>
      <c r="D135" t="inlineStr">
        <is>
          <t>CITRICOS</t>
        </is>
      </c>
      <c r="E135" t="n">
        <v>2026</v>
      </c>
      <c r="F135" t="n">
        <v>1</v>
      </c>
      <c r="G135" t="n">
        <v>1</v>
      </c>
      <c r="H135" t="inlineStr">
        <is>
          <t>Sí</t>
        </is>
      </c>
      <c r="J135" t="n">
        <v>335</v>
      </c>
      <c r="K135" t="n">
        <v>2026</v>
      </c>
      <c r="L135" t="inlineStr">
        <is>
          <t>1</t>
        </is>
      </c>
      <c r="M135" t="inlineStr">
        <is>
          <t>CITRICOS</t>
        </is>
      </c>
      <c r="N135" t="inlineStr">
        <is>
          <t>41023</t>
        </is>
      </c>
      <c r="O135" t="inlineStr">
        <is>
          <t>21</t>
        </is>
      </c>
      <c r="P135" t="inlineStr">
        <is>
          <t>73</t>
        </is>
      </c>
      <c r="Q135" t="inlineStr">
        <is>
          <t>5</t>
        </is>
      </c>
      <c r="R135" t="n">
        <v>2.72</v>
      </c>
      <c r="S135" t="n">
        <v>12.76009</v>
      </c>
      <c r="T135" t="n">
        <v>2.72</v>
      </c>
      <c r="V135" t="inlineStr">
        <is>
          <t>Sí</t>
        </is>
      </c>
      <c r="W135" t="inlineStr"/>
    </row>
    <row r="136">
      <c r="A136" t="n">
        <v>1529</v>
      </c>
      <c r="B136" t="inlineStr">
        <is>
          <t>RAMOS BRUGAROLAS, JOSE</t>
        </is>
      </c>
      <c r="C136" t="n">
        <v>336</v>
      </c>
      <c r="D136" t="inlineStr">
        <is>
          <t>CITRICOS</t>
        </is>
      </c>
      <c r="E136" t="n">
        <v>2026</v>
      </c>
      <c r="F136" t="n">
        <v>1</v>
      </c>
      <c r="G136" t="n">
        <v>1</v>
      </c>
      <c r="H136" t="inlineStr">
        <is>
          <t>Sí</t>
        </is>
      </c>
      <c r="J136" t="n">
        <v>336</v>
      </c>
      <c r="K136" t="n">
        <v>2026</v>
      </c>
      <c r="L136" t="inlineStr">
        <is>
          <t>1</t>
        </is>
      </c>
      <c r="M136" t="inlineStr">
        <is>
          <t>CITRICOS</t>
        </is>
      </c>
      <c r="N136" t="inlineStr">
        <is>
          <t>41023</t>
        </is>
      </c>
      <c r="O136" t="inlineStr">
        <is>
          <t>21</t>
        </is>
      </c>
      <c r="P136" t="inlineStr">
        <is>
          <t>73</t>
        </is>
      </c>
      <c r="Q136" t="inlineStr">
        <is>
          <t>5</t>
        </is>
      </c>
      <c r="R136" t="n">
        <v>2.33</v>
      </c>
      <c r="S136" t="n">
        <v>12.76009</v>
      </c>
      <c r="T136" t="n">
        <v>2.33</v>
      </c>
      <c r="V136" t="inlineStr">
        <is>
          <t>Sí</t>
        </is>
      </c>
      <c r="W136" t="inlineStr"/>
    </row>
    <row r="137">
      <c r="A137" t="n">
        <v>1529</v>
      </c>
      <c r="B137" t="inlineStr">
        <is>
          <t>RAMOS BRUGAROLAS, JOSE</t>
        </is>
      </c>
      <c r="C137" t="n">
        <v>337</v>
      </c>
      <c r="D137" t="inlineStr">
        <is>
          <t>CITRICOS</t>
        </is>
      </c>
      <c r="E137" t="n">
        <v>2026</v>
      </c>
      <c r="F137" t="n">
        <v>1</v>
      </c>
      <c r="G137" t="n">
        <v>1</v>
      </c>
      <c r="H137" t="inlineStr">
        <is>
          <t>Sí</t>
        </is>
      </c>
      <c r="J137" t="n">
        <v>337</v>
      </c>
      <c r="K137" t="n">
        <v>2026</v>
      </c>
      <c r="L137" t="inlineStr">
        <is>
          <t>1</t>
        </is>
      </c>
      <c r="M137" t="inlineStr">
        <is>
          <t>CITRICOS</t>
        </is>
      </c>
      <c r="N137" t="inlineStr">
        <is>
          <t>41023</t>
        </is>
      </c>
      <c r="O137" t="inlineStr">
        <is>
          <t>21</t>
        </is>
      </c>
      <c r="P137" t="inlineStr">
        <is>
          <t>73</t>
        </is>
      </c>
      <c r="Q137" t="inlineStr">
        <is>
          <t>10</t>
        </is>
      </c>
      <c r="R137" t="n">
        <v>4.37</v>
      </c>
      <c r="S137" t="n">
        <v>12.76009</v>
      </c>
      <c r="T137" t="n">
        <v>4.37</v>
      </c>
      <c r="V137" t="inlineStr">
        <is>
          <t>Sí</t>
        </is>
      </c>
      <c r="W137" t="inlineStr"/>
    </row>
    <row r="138">
      <c r="A138" t="n">
        <v>1529</v>
      </c>
      <c r="B138" t="inlineStr">
        <is>
          <t>RAMOS BRUGAROLAS, JOSE</t>
        </is>
      </c>
      <c r="C138" t="n">
        <v>639</v>
      </c>
      <c r="D138" t="inlineStr">
        <is>
          <t>CITRICOS</t>
        </is>
      </c>
      <c r="E138" t="n">
        <v>2026</v>
      </c>
      <c r="F138" t="n">
        <v>1</v>
      </c>
      <c r="G138" t="n">
        <v>1</v>
      </c>
      <c r="H138" t="inlineStr">
        <is>
          <t>Sí</t>
        </is>
      </c>
      <c r="J138" t="n">
        <v>639</v>
      </c>
      <c r="K138" t="n">
        <v>2026</v>
      </c>
      <c r="L138" t="inlineStr">
        <is>
          <t>1</t>
        </is>
      </c>
      <c r="M138" t="inlineStr">
        <is>
          <t>CITRICOS</t>
        </is>
      </c>
      <c r="N138" t="inlineStr">
        <is>
          <t>41023</t>
        </is>
      </c>
      <c r="O138" t="inlineStr">
        <is>
          <t>20</t>
        </is>
      </c>
      <c r="P138" t="inlineStr">
        <is>
          <t>108</t>
        </is>
      </c>
      <c r="Q138" t="inlineStr">
        <is>
          <t>4</t>
        </is>
      </c>
      <c r="R138" t="n">
        <v>0.75</v>
      </c>
      <c r="S138" t="n">
        <v>0</v>
      </c>
      <c r="T138" t="n">
        <v>0.75</v>
      </c>
      <c r="V138" t="inlineStr">
        <is>
          <t>Sí</t>
        </is>
      </c>
      <c r="W138" t="inlineStr"/>
    </row>
    <row r="139">
      <c r="A139" t="n">
        <v>1529</v>
      </c>
      <c r="B139" t="inlineStr">
        <is>
          <t>RAMOS BRUGAROLAS, JOSE</t>
        </is>
      </c>
      <c r="C139" t="n">
        <v>639</v>
      </c>
      <c r="D139" t="inlineStr">
        <is>
          <t>CITRICOS</t>
        </is>
      </c>
      <c r="E139" t="n">
        <v>2026</v>
      </c>
      <c r="F139" t="n">
        <v>1</v>
      </c>
      <c r="G139" t="n">
        <v>1</v>
      </c>
      <c r="H139" t="inlineStr">
        <is>
          <t>Sí</t>
        </is>
      </c>
      <c r="J139" t="n">
        <v>639</v>
      </c>
      <c r="K139" t="n">
        <v>2026</v>
      </c>
      <c r="L139" t="inlineStr">
        <is>
          <t>1</t>
        </is>
      </c>
      <c r="M139" t="inlineStr">
        <is>
          <t>CITRICOS</t>
        </is>
      </c>
      <c r="N139" t="inlineStr">
        <is>
          <t>41023</t>
        </is>
      </c>
      <c r="O139" t="inlineStr">
        <is>
          <t>20</t>
        </is>
      </c>
      <c r="P139" t="inlineStr">
        <is>
          <t>108</t>
        </is>
      </c>
      <c r="Q139" t="inlineStr">
        <is>
          <t>5</t>
        </is>
      </c>
      <c r="R139" t="n">
        <v>0.15</v>
      </c>
      <c r="S139" t="n">
        <v>0</v>
      </c>
      <c r="T139" t="n">
        <v>0.15</v>
      </c>
      <c r="V139" t="inlineStr">
        <is>
          <t>Sí</t>
        </is>
      </c>
      <c r="W139" t="inlineStr"/>
    </row>
    <row r="140">
      <c r="A140" t="n">
        <v>1529</v>
      </c>
      <c r="B140" t="inlineStr">
        <is>
          <t>RAMOS BRUGAROLAS, JOSE</t>
        </is>
      </c>
      <c r="C140" t="n">
        <v>639</v>
      </c>
      <c r="D140" t="inlineStr">
        <is>
          <t>CITRICOS</t>
        </is>
      </c>
      <c r="E140" t="n">
        <v>2026</v>
      </c>
      <c r="F140" t="n">
        <v>1</v>
      </c>
      <c r="G140" t="n">
        <v>1</v>
      </c>
      <c r="H140" t="inlineStr">
        <is>
          <t>Sí</t>
        </is>
      </c>
      <c r="J140" t="n">
        <v>639</v>
      </c>
      <c r="K140" t="n">
        <v>2026</v>
      </c>
      <c r="L140" t="inlineStr">
        <is>
          <t>1</t>
        </is>
      </c>
      <c r="M140" t="inlineStr">
        <is>
          <t>CITRICOS</t>
        </is>
      </c>
      <c r="N140" t="inlineStr">
        <is>
          <t>41023</t>
        </is>
      </c>
      <c r="O140" t="inlineStr">
        <is>
          <t>20</t>
        </is>
      </c>
      <c r="P140" t="inlineStr">
        <is>
          <t>108</t>
        </is>
      </c>
      <c r="Q140" t="inlineStr">
        <is>
          <t>6</t>
        </is>
      </c>
      <c r="R140" t="n">
        <v>0.08</v>
      </c>
      <c r="S140" t="n">
        <v>0</v>
      </c>
      <c r="T140" t="n">
        <v>0.08</v>
      </c>
      <c r="V140" t="inlineStr">
        <is>
          <t>Sí</t>
        </is>
      </c>
      <c r="W140" t="inlineStr"/>
    </row>
    <row r="141">
      <c r="A141" t="n">
        <v>1540</v>
      </c>
      <c r="B141" t="inlineStr">
        <is>
          <t>AGRICOLA SANCHEZ CUENCA S.C.</t>
        </is>
      </c>
      <c r="C141" t="n">
        <v>570</v>
      </c>
      <c r="D141" t="inlineStr">
        <is>
          <t>CITRICOS</t>
        </is>
      </c>
      <c r="E141" t="n">
        <v>2026</v>
      </c>
      <c r="F141" t="n">
        <v>1</v>
      </c>
      <c r="G141" t="n">
        <v>1</v>
      </c>
      <c r="H141" t="inlineStr">
        <is>
          <t>Sí</t>
        </is>
      </c>
      <c r="J141" t="n">
        <v>570</v>
      </c>
      <c r="K141" t="n">
        <v>2026</v>
      </c>
      <c r="L141" t="inlineStr">
        <is>
          <t>1</t>
        </is>
      </c>
      <c r="M141" t="inlineStr">
        <is>
          <t>CITRICOS</t>
        </is>
      </c>
      <c r="N141" t="inlineStr">
        <is>
          <t>41055</t>
        </is>
      </c>
      <c r="O141" t="inlineStr">
        <is>
          <t>23</t>
        </is>
      </c>
      <c r="P141" t="inlineStr">
        <is>
          <t>85</t>
        </is>
      </c>
      <c r="Q141" t="inlineStr">
        <is>
          <t>4</t>
        </is>
      </c>
      <c r="R141" t="n">
        <v>1.7</v>
      </c>
      <c r="S141" t="n">
        <v>0</v>
      </c>
      <c r="T141" t="n">
        <v>1.7</v>
      </c>
      <c r="V141" t="inlineStr">
        <is>
          <t>Sí</t>
        </is>
      </c>
      <c r="W141" t="inlineStr"/>
    </row>
    <row r="142">
      <c r="A142" t="n">
        <v>1540</v>
      </c>
      <c r="B142" t="inlineStr">
        <is>
          <t>AGRICOLA SANCHEZ CUENCA S.C.</t>
        </is>
      </c>
      <c r="C142" t="n">
        <v>570</v>
      </c>
      <c r="D142" t="inlineStr">
        <is>
          <t>CITRICOS</t>
        </is>
      </c>
      <c r="E142" t="n">
        <v>2026</v>
      </c>
      <c r="F142" t="n">
        <v>1</v>
      </c>
      <c r="G142" t="n">
        <v>1</v>
      </c>
      <c r="H142" t="inlineStr">
        <is>
          <t>Sí</t>
        </is>
      </c>
      <c r="J142" t="n">
        <v>570</v>
      </c>
      <c r="K142" t="n">
        <v>2026</v>
      </c>
      <c r="L142" t="inlineStr">
        <is>
          <t>1</t>
        </is>
      </c>
      <c r="M142" t="inlineStr">
        <is>
          <t>CITRICOS</t>
        </is>
      </c>
      <c r="N142" t="inlineStr">
        <is>
          <t>41055</t>
        </is>
      </c>
      <c r="O142" t="inlineStr">
        <is>
          <t>23</t>
        </is>
      </c>
      <c r="P142" t="inlineStr">
        <is>
          <t>84</t>
        </is>
      </c>
      <c r="Q142" t="inlineStr">
        <is>
          <t>1</t>
        </is>
      </c>
      <c r="R142" t="n">
        <v>2.57</v>
      </c>
      <c r="S142" t="n">
        <v>2.5813</v>
      </c>
      <c r="T142" t="n">
        <v>2.58</v>
      </c>
      <c r="V142" t="inlineStr">
        <is>
          <t>Sí</t>
        </is>
      </c>
      <c r="W142" t="inlineStr"/>
    </row>
    <row r="143">
      <c r="A143" t="n">
        <v>1540</v>
      </c>
      <c r="B143" t="inlineStr">
        <is>
          <t>AGRICOLA SANCHEZ CUENCA S.C.</t>
        </is>
      </c>
      <c r="C143" t="n">
        <v>570</v>
      </c>
      <c r="D143" t="inlineStr">
        <is>
          <t>CITRICOS</t>
        </is>
      </c>
      <c r="E143" t="n">
        <v>2026</v>
      </c>
      <c r="F143" t="n">
        <v>1</v>
      </c>
      <c r="G143" t="n">
        <v>1</v>
      </c>
      <c r="H143" t="inlineStr">
        <is>
          <t>Sí</t>
        </is>
      </c>
      <c r="J143" t="n">
        <v>570</v>
      </c>
      <c r="K143" t="n">
        <v>2026</v>
      </c>
      <c r="L143" t="inlineStr">
        <is>
          <t>1</t>
        </is>
      </c>
      <c r="M143" t="inlineStr">
        <is>
          <t>CITRICOS</t>
        </is>
      </c>
      <c r="N143" t="inlineStr">
        <is>
          <t>41055</t>
        </is>
      </c>
      <c r="O143" t="inlineStr">
        <is>
          <t>23</t>
        </is>
      </c>
      <c r="P143" t="inlineStr">
        <is>
          <t>85</t>
        </is>
      </c>
      <c r="Q143" t="inlineStr">
        <is>
          <t>4</t>
        </is>
      </c>
      <c r="R143" t="n">
        <v>1.69</v>
      </c>
      <c r="S143" t="n">
        <v>0</v>
      </c>
      <c r="T143" t="n">
        <v>1.69</v>
      </c>
      <c r="V143" t="inlineStr">
        <is>
          <t>Sí</t>
        </is>
      </c>
      <c r="W143" t="inlineStr"/>
    </row>
    <row r="144">
      <c r="A144" t="n">
        <v>1544</v>
      </c>
      <c r="B144" t="inlineStr">
        <is>
          <t>HARO ORDOÑO, ALVARO</t>
        </is>
      </c>
      <c r="C144" t="n">
        <v>662</v>
      </c>
      <c r="D144" t="inlineStr">
        <is>
          <t>CITRICOS</t>
        </is>
      </c>
      <c r="E144" t="n">
        <v>2026</v>
      </c>
      <c r="F144" t="n">
        <v>1</v>
      </c>
      <c r="G144" t="n">
        <v>0</v>
      </c>
      <c r="H144" t="inlineStr">
        <is>
          <t>No</t>
        </is>
      </c>
      <c r="V144" t="inlineStr">
        <is>
          <t>No</t>
        </is>
      </c>
      <c r="W144" t="inlineStr">
        <is>
          <t>CHA_NO_SELECCIONADO; CHA_NO_ACTIVO</t>
        </is>
      </c>
    </row>
    <row r="145">
      <c r="A145" t="n">
        <v>1544</v>
      </c>
      <c r="B145" t="inlineStr">
        <is>
          <t>HARO ORDOÑO, ALVARO</t>
        </is>
      </c>
      <c r="C145" t="n">
        <v>575</v>
      </c>
      <c r="D145" t="inlineStr">
        <is>
          <t>CITRICOS</t>
        </is>
      </c>
      <c r="E145" t="n">
        <v>2026</v>
      </c>
      <c r="F145" t="n">
        <v>1</v>
      </c>
      <c r="G145" t="n">
        <v>1</v>
      </c>
      <c r="H145" t="inlineStr">
        <is>
          <t>Sí</t>
        </is>
      </c>
      <c r="J145" t="n">
        <v>575</v>
      </c>
      <c r="K145" t="n">
        <v>2026</v>
      </c>
      <c r="L145" t="inlineStr">
        <is>
          <t>1</t>
        </is>
      </c>
      <c r="M145" t="inlineStr">
        <is>
          <t>CITRICOS</t>
        </is>
      </c>
      <c r="N145" t="inlineStr">
        <is>
          <t>41055</t>
        </is>
      </c>
      <c r="O145" t="inlineStr">
        <is>
          <t>7</t>
        </is>
      </c>
      <c r="P145" t="inlineStr">
        <is>
          <t>158</t>
        </is>
      </c>
      <c r="Q145" t="inlineStr">
        <is>
          <t>3</t>
        </is>
      </c>
      <c r="R145" t="n">
        <v>0.22</v>
      </c>
      <c r="S145" t="n">
        <v>0</v>
      </c>
      <c r="T145" t="n">
        <v>0.22</v>
      </c>
      <c r="V145" t="inlineStr">
        <is>
          <t>Sí</t>
        </is>
      </c>
      <c r="W145" t="inlineStr"/>
    </row>
    <row r="146">
      <c r="A146" t="n">
        <v>1544</v>
      </c>
      <c r="B146" t="inlineStr">
        <is>
          <t>HARO ORDOÑO, ALVARO</t>
        </is>
      </c>
      <c r="C146" t="n">
        <v>575</v>
      </c>
      <c r="D146" t="inlineStr">
        <is>
          <t>CITRICOS</t>
        </is>
      </c>
      <c r="E146" t="n">
        <v>2026</v>
      </c>
      <c r="F146" t="n">
        <v>1</v>
      </c>
      <c r="G146" t="n">
        <v>1</v>
      </c>
      <c r="H146" t="inlineStr">
        <is>
          <t>Sí</t>
        </is>
      </c>
      <c r="J146" t="n">
        <v>575</v>
      </c>
      <c r="K146" t="n">
        <v>2026</v>
      </c>
      <c r="L146" t="inlineStr">
        <is>
          <t>1</t>
        </is>
      </c>
      <c r="M146" t="inlineStr">
        <is>
          <t>CITRICOS</t>
        </is>
      </c>
      <c r="N146" t="inlineStr">
        <is>
          <t>41055</t>
        </is>
      </c>
      <c r="O146" t="inlineStr">
        <is>
          <t>7</t>
        </is>
      </c>
      <c r="P146" t="inlineStr">
        <is>
          <t>158</t>
        </is>
      </c>
      <c r="Q146" t="inlineStr">
        <is>
          <t>3</t>
        </is>
      </c>
      <c r="R146" t="n">
        <v>0.29</v>
      </c>
      <c r="S146" t="n">
        <v>0</v>
      </c>
      <c r="T146" t="n">
        <v>0.29</v>
      </c>
      <c r="V146" t="inlineStr">
        <is>
          <t>Sí</t>
        </is>
      </c>
      <c r="W146" t="inlineStr"/>
    </row>
    <row r="147">
      <c r="A147" t="n">
        <v>1544</v>
      </c>
      <c r="B147" t="inlineStr">
        <is>
          <t>HARO ORDOÑO, ALVARO</t>
        </is>
      </c>
      <c r="C147" t="n">
        <v>576</v>
      </c>
      <c r="D147" t="inlineStr">
        <is>
          <t>CITRICOS</t>
        </is>
      </c>
      <c r="E147" t="n">
        <v>2026</v>
      </c>
      <c r="F147" t="n">
        <v>1</v>
      </c>
      <c r="G147" t="n">
        <v>1</v>
      </c>
      <c r="H147" t="inlineStr">
        <is>
          <t>Sí</t>
        </is>
      </c>
      <c r="J147" t="n">
        <v>576</v>
      </c>
      <c r="K147" t="n">
        <v>2026</v>
      </c>
      <c r="L147" t="inlineStr">
        <is>
          <t>1</t>
        </is>
      </c>
      <c r="M147" t="inlineStr">
        <is>
          <t>CITRICOS</t>
        </is>
      </c>
      <c r="N147" t="inlineStr">
        <is>
          <t>41055</t>
        </is>
      </c>
      <c r="O147" t="inlineStr">
        <is>
          <t>7</t>
        </is>
      </c>
      <c r="P147" t="inlineStr">
        <is>
          <t>158</t>
        </is>
      </c>
      <c r="Q147" t="inlineStr">
        <is>
          <t>3</t>
        </is>
      </c>
      <c r="R147" t="n">
        <v>0.66</v>
      </c>
      <c r="S147" t="n">
        <v>0</v>
      </c>
      <c r="T147" t="n">
        <v>0.63</v>
      </c>
      <c r="V147" t="inlineStr">
        <is>
          <t>Sí</t>
        </is>
      </c>
      <c r="W147" t="inlineStr"/>
    </row>
    <row r="148">
      <c r="A148" t="n">
        <v>1544</v>
      </c>
      <c r="B148" t="inlineStr">
        <is>
          <t>HARO ORDOÑO, ALVARO</t>
        </is>
      </c>
      <c r="C148" t="n">
        <v>578</v>
      </c>
      <c r="D148" t="inlineStr">
        <is>
          <t>CITRICOS</t>
        </is>
      </c>
      <c r="E148" t="n">
        <v>2026</v>
      </c>
      <c r="F148" t="n">
        <v>1</v>
      </c>
      <c r="G148" t="n">
        <v>1</v>
      </c>
      <c r="H148" t="inlineStr">
        <is>
          <t>Sí</t>
        </is>
      </c>
      <c r="J148" t="n">
        <v>578</v>
      </c>
      <c r="K148" t="n">
        <v>2026</v>
      </c>
      <c r="L148" t="inlineStr">
        <is>
          <t>1</t>
        </is>
      </c>
      <c r="M148" t="inlineStr">
        <is>
          <t>CITRICOS</t>
        </is>
      </c>
      <c r="N148" t="inlineStr">
        <is>
          <t>41055</t>
        </is>
      </c>
      <c r="O148" t="inlineStr">
        <is>
          <t>7</t>
        </is>
      </c>
      <c r="P148" t="inlineStr">
        <is>
          <t>98</t>
        </is>
      </c>
      <c r="Q148" t="inlineStr">
        <is>
          <t>1</t>
        </is>
      </c>
      <c r="R148" t="n">
        <v>1.01</v>
      </c>
      <c r="S148" t="n">
        <v>0</v>
      </c>
      <c r="T148" t="n">
        <v>1.01</v>
      </c>
      <c r="V148" t="inlineStr">
        <is>
          <t>Sí</t>
        </is>
      </c>
      <c r="W148" t="inlineStr"/>
    </row>
    <row r="149">
      <c r="A149" t="n">
        <v>1544</v>
      </c>
      <c r="B149" t="inlineStr">
        <is>
          <t>HARO ORDOÑO, ALVARO</t>
        </is>
      </c>
      <c r="C149" t="n">
        <v>578</v>
      </c>
      <c r="D149" t="inlineStr">
        <is>
          <t>CITRICOS</t>
        </is>
      </c>
      <c r="E149" t="n">
        <v>2026</v>
      </c>
      <c r="F149" t="n">
        <v>1</v>
      </c>
      <c r="G149" t="n">
        <v>1</v>
      </c>
      <c r="H149" t="inlineStr">
        <is>
          <t>Sí</t>
        </is>
      </c>
      <c r="J149" t="n">
        <v>578</v>
      </c>
      <c r="K149" t="n">
        <v>2026</v>
      </c>
      <c r="L149" t="inlineStr">
        <is>
          <t>1</t>
        </is>
      </c>
      <c r="M149" t="inlineStr">
        <is>
          <t>CITRICOS</t>
        </is>
      </c>
      <c r="N149" t="inlineStr">
        <is>
          <t>41055</t>
        </is>
      </c>
      <c r="O149" t="inlineStr">
        <is>
          <t>7</t>
        </is>
      </c>
      <c r="P149" t="inlineStr">
        <is>
          <t>98</t>
        </is>
      </c>
      <c r="Q149" t="inlineStr">
        <is>
          <t>1</t>
        </is>
      </c>
      <c r="R149" t="n">
        <v>1.37</v>
      </c>
      <c r="S149" t="n">
        <v>0</v>
      </c>
      <c r="T149" t="n">
        <v>1.37</v>
      </c>
      <c r="V149" t="inlineStr">
        <is>
          <t>Sí</t>
        </is>
      </c>
      <c r="W149" t="inlineStr"/>
    </row>
    <row r="150">
      <c r="A150" t="n">
        <v>1544</v>
      </c>
      <c r="B150" t="inlineStr">
        <is>
          <t>HARO ORDOÑO, ALVARO</t>
        </is>
      </c>
      <c r="C150" t="n">
        <v>596</v>
      </c>
      <c r="D150" t="inlineStr">
        <is>
          <t>CITRICOS</t>
        </is>
      </c>
      <c r="E150" t="n">
        <v>2026</v>
      </c>
      <c r="F150" t="n">
        <v>1</v>
      </c>
      <c r="G150" t="n">
        <v>1</v>
      </c>
      <c r="H150" t="inlineStr">
        <is>
          <t>Sí</t>
        </is>
      </c>
      <c r="J150" t="n">
        <v>596</v>
      </c>
      <c r="K150" t="n">
        <v>2026</v>
      </c>
      <c r="L150" t="inlineStr">
        <is>
          <t>1</t>
        </is>
      </c>
      <c r="M150" t="inlineStr">
        <is>
          <t>CITRICOS</t>
        </is>
      </c>
      <c r="N150" t="inlineStr">
        <is>
          <t>41055</t>
        </is>
      </c>
      <c r="O150" t="inlineStr">
        <is>
          <t>7</t>
        </is>
      </c>
      <c r="P150" t="inlineStr">
        <is>
          <t>158</t>
        </is>
      </c>
      <c r="Q150" t="inlineStr">
        <is>
          <t>3</t>
        </is>
      </c>
      <c r="R150" t="n">
        <v>0.25</v>
      </c>
      <c r="S150" t="n">
        <v>0</v>
      </c>
      <c r="T150" t="n">
        <v>0.24</v>
      </c>
      <c r="V150" t="inlineStr">
        <is>
          <t>Sí</t>
        </is>
      </c>
      <c r="W150" t="inlineStr"/>
    </row>
    <row r="151">
      <c r="A151" t="n">
        <v>1564</v>
      </c>
      <c r="B151" t="inlineStr">
        <is>
          <t>VARELA MUÑOZ, ANTONIO</t>
        </is>
      </c>
      <c r="C151" t="n">
        <v>681</v>
      </c>
      <c r="D151" t="inlineStr">
        <is>
          <t>CITRICOS</t>
        </is>
      </c>
      <c r="E151" t="n">
        <v>2026</v>
      </c>
      <c r="F151" t="n">
        <v>1</v>
      </c>
      <c r="G151" t="n">
        <v>1</v>
      </c>
      <c r="H151" t="inlineStr">
        <is>
          <t>Sí</t>
        </is>
      </c>
      <c r="J151" t="n">
        <v>681</v>
      </c>
      <c r="K151" t="n">
        <v>2026</v>
      </c>
      <c r="L151" t="inlineStr">
        <is>
          <t>1</t>
        </is>
      </c>
      <c r="M151" t="inlineStr">
        <is>
          <t>CITRICOS</t>
        </is>
      </c>
      <c r="N151" t="inlineStr">
        <is>
          <t>41055</t>
        </is>
      </c>
      <c r="O151" t="inlineStr">
        <is>
          <t>7</t>
        </is>
      </c>
      <c r="P151" t="inlineStr">
        <is>
          <t>69</t>
        </is>
      </c>
      <c r="Q151" t="inlineStr">
        <is>
          <t>1</t>
        </is>
      </c>
      <c r="R151" t="n">
        <v>0.89</v>
      </c>
      <c r="S151" t="n">
        <v>0</v>
      </c>
      <c r="T151" t="n">
        <v>0.88</v>
      </c>
      <c r="V151" t="inlineStr">
        <is>
          <t>Sí</t>
        </is>
      </c>
      <c r="W151" t="inlineStr"/>
    </row>
    <row r="152">
      <c r="A152" t="n">
        <v>1577</v>
      </c>
      <c r="B152" t="inlineStr">
        <is>
          <t>GOMEZ GUERRERO, MARIA MERCEDES</t>
        </is>
      </c>
      <c r="C152" t="n">
        <v>141</v>
      </c>
      <c r="D152" t="inlineStr">
        <is>
          <t>CITRICOS</t>
        </is>
      </c>
      <c r="E152" t="n">
        <v>2026</v>
      </c>
      <c r="F152" t="n">
        <v>1</v>
      </c>
      <c r="G152" t="n">
        <v>1</v>
      </c>
      <c r="H152" t="inlineStr">
        <is>
          <t>Sí</t>
        </is>
      </c>
      <c r="J152" t="n">
        <v>141</v>
      </c>
      <c r="K152" t="n">
        <v>2026</v>
      </c>
      <c r="L152" t="inlineStr">
        <is>
          <t>1</t>
        </is>
      </c>
      <c r="M152" t="inlineStr">
        <is>
          <t>CITRICOS</t>
        </is>
      </c>
      <c r="N152" t="inlineStr">
        <is>
          <t>41055</t>
        </is>
      </c>
      <c r="O152" t="inlineStr">
        <is>
          <t>11</t>
        </is>
      </c>
      <c r="P152" t="inlineStr">
        <is>
          <t>77</t>
        </is>
      </c>
      <c r="Q152" t="inlineStr">
        <is>
          <t>4</t>
        </is>
      </c>
      <c r="R152" t="n">
        <v>3.16</v>
      </c>
      <c r="S152" t="n">
        <v>7.389986</v>
      </c>
      <c r="T152" t="n">
        <v>3.76</v>
      </c>
      <c r="V152" t="inlineStr">
        <is>
          <t>Sí</t>
        </is>
      </c>
      <c r="W152" t="inlineStr"/>
    </row>
    <row r="153">
      <c r="A153" t="n">
        <v>1577</v>
      </c>
      <c r="B153" t="inlineStr">
        <is>
          <t>GOMEZ GUERRERO, MARIA MERCEDES</t>
        </is>
      </c>
      <c r="C153" t="n">
        <v>142</v>
      </c>
      <c r="D153" t="inlineStr">
        <is>
          <t>CITRICOS</t>
        </is>
      </c>
      <c r="E153" t="n">
        <v>2026</v>
      </c>
      <c r="F153" t="n">
        <v>1</v>
      </c>
      <c r="G153" t="n">
        <v>1</v>
      </c>
      <c r="H153" t="inlineStr">
        <is>
          <t>Sí</t>
        </is>
      </c>
      <c r="J153" t="n">
        <v>142</v>
      </c>
      <c r="K153" t="n">
        <v>2026</v>
      </c>
      <c r="L153" t="inlineStr">
        <is>
          <t>1</t>
        </is>
      </c>
      <c r="M153" t="inlineStr">
        <is>
          <t>CITRICOS</t>
        </is>
      </c>
      <c r="N153" t="inlineStr">
        <is>
          <t>41055</t>
        </is>
      </c>
      <c r="O153" t="inlineStr">
        <is>
          <t>11</t>
        </is>
      </c>
      <c r="P153" t="inlineStr">
        <is>
          <t>77</t>
        </is>
      </c>
      <c r="Q153" t="inlineStr">
        <is>
          <t>4</t>
        </is>
      </c>
      <c r="R153" t="n">
        <v>4.19</v>
      </c>
      <c r="S153" t="n">
        <v>7.389986</v>
      </c>
      <c r="T153" t="n">
        <v>3.5</v>
      </c>
      <c r="V153" t="inlineStr">
        <is>
          <t>Sí</t>
        </is>
      </c>
      <c r="W153" t="inlineStr"/>
    </row>
    <row r="154">
      <c r="A154" t="n">
        <v>1579</v>
      </c>
      <c r="B154" t="inlineStr">
        <is>
          <t>PEREZ JIMENEZ, ALFONSA</t>
        </is>
      </c>
      <c r="C154" t="n">
        <v>643</v>
      </c>
      <c r="D154" t="inlineStr">
        <is>
          <t>CITRICOS</t>
        </is>
      </c>
      <c r="E154" t="n">
        <v>2026</v>
      </c>
      <c r="F154" t="n">
        <v>1</v>
      </c>
      <c r="G154" t="n">
        <v>0</v>
      </c>
      <c r="H154" t="inlineStr">
        <is>
          <t>No</t>
        </is>
      </c>
      <c r="V154" t="inlineStr">
        <is>
          <t>No</t>
        </is>
      </c>
      <c r="W154" t="inlineStr">
        <is>
          <t>CHA_NO_SELECCIONADO; CHA_NO_ACTIVO</t>
        </is>
      </c>
    </row>
    <row r="155">
      <c r="A155" t="n">
        <v>1582</v>
      </c>
      <c r="B155" t="inlineStr">
        <is>
          <t>IGEÑO SANCHEZ, JOSE CARLOS</t>
        </is>
      </c>
      <c r="C155" t="n">
        <v>61</v>
      </c>
      <c r="D155" t="inlineStr">
        <is>
          <t>CITRICOS</t>
        </is>
      </c>
      <c r="E155" t="n">
        <v>2026</v>
      </c>
      <c r="F155" t="n">
        <v>1</v>
      </c>
      <c r="G155" t="n">
        <v>1</v>
      </c>
      <c r="H155" t="inlineStr">
        <is>
          <t>Sí</t>
        </is>
      </c>
      <c r="J155" t="n">
        <v>61</v>
      </c>
      <c r="K155" t="n">
        <v>2026</v>
      </c>
      <c r="L155" t="inlineStr">
        <is>
          <t>1</t>
        </is>
      </c>
      <c r="M155" t="inlineStr">
        <is>
          <t>CITRICOS</t>
        </is>
      </c>
      <c r="N155" t="inlineStr">
        <is>
          <t>41055</t>
        </is>
      </c>
      <c r="O155" t="inlineStr">
        <is>
          <t>12</t>
        </is>
      </c>
      <c r="P155" t="inlineStr">
        <is>
          <t>86</t>
        </is>
      </c>
      <c r="Q155" t="inlineStr">
        <is>
          <t>1</t>
        </is>
      </c>
      <c r="R155" t="n">
        <v>1.26</v>
      </c>
      <c r="S155" t="n">
        <v>1.264869</v>
      </c>
      <c r="T155" t="n">
        <v>1.26</v>
      </c>
      <c r="V155" t="inlineStr">
        <is>
          <t>Sí</t>
        </is>
      </c>
      <c r="W155" t="inlineStr"/>
    </row>
    <row r="156">
      <c r="A156" t="n">
        <v>1582</v>
      </c>
      <c r="B156" t="inlineStr">
        <is>
          <t>IGEÑO SANCHEZ, JOSE CARLOS</t>
        </is>
      </c>
      <c r="C156" t="n">
        <v>61</v>
      </c>
      <c r="D156" t="inlineStr">
        <is>
          <t>CITRICOS</t>
        </is>
      </c>
      <c r="E156" t="n">
        <v>2026</v>
      </c>
      <c r="F156" t="n">
        <v>1</v>
      </c>
      <c r="G156" t="n">
        <v>1</v>
      </c>
      <c r="H156" t="inlineStr">
        <is>
          <t>Sí</t>
        </is>
      </c>
      <c r="J156" t="n">
        <v>61</v>
      </c>
      <c r="K156" t="n">
        <v>2026</v>
      </c>
      <c r="L156" t="inlineStr">
        <is>
          <t>1</t>
        </is>
      </c>
      <c r="M156" t="inlineStr">
        <is>
          <t>CITRICOS</t>
        </is>
      </c>
      <c r="N156" t="inlineStr">
        <is>
          <t>41055</t>
        </is>
      </c>
      <c r="O156" t="inlineStr">
        <is>
          <t>12</t>
        </is>
      </c>
      <c r="P156" t="inlineStr">
        <is>
          <t>85</t>
        </is>
      </c>
      <c r="Q156" t="inlineStr">
        <is>
          <t>2</t>
        </is>
      </c>
      <c r="R156" t="n">
        <v>2.33</v>
      </c>
      <c r="S156" t="n">
        <v>2.332799</v>
      </c>
      <c r="T156" t="n">
        <v>2.33</v>
      </c>
      <c r="V156" t="inlineStr">
        <is>
          <t>Sí</t>
        </is>
      </c>
      <c r="W156" t="inlineStr"/>
    </row>
    <row r="157">
      <c r="A157" t="n">
        <v>1582</v>
      </c>
      <c r="B157" t="inlineStr">
        <is>
          <t>IGEÑO SANCHEZ, JOSE CARLOS</t>
        </is>
      </c>
      <c r="C157" t="n">
        <v>61</v>
      </c>
      <c r="D157" t="inlineStr">
        <is>
          <t>CITRICOS</t>
        </is>
      </c>
      <c r="E157" t="n">
        <v>2026</v>
      </c>
      <c r="F157" t="n">
        <v>1</v>
      </c>
      <c r="G157" t="n">
        <v>1</v>
      </c>
      <c r="H157" t="inlineStr">
        <is>
          <t>Sí</t>
        </is>
      </c>
      <c r="J157" t="n">
        <v>61</v>
      </c>
      <c r="K157" t="n">
        <v>2026</v>
      </c>
      <c r="L157" t="inlineStr">
        <is>
          <t>1</t>
        </is>
      </c>
      <c r="M157" t="inlineStr">
        <is>
          <t>CITRICOS</t>
        </is>
      </c>
      <c r="N157" t="inlineStr">
        <is>
          <t>41055</t>
        </is>
      </c>
      <c r="O157" t="inlineStr">
        <is>
          <t>12</t>
        </is>
      </c>
      <c r="P157" t="inlineStr">
        <is>
          <t>85</t>
        </is>
      </c>
      <c r="Q157" t="inlineStr">
        <is>
          <t>7</t>
        </is>
      </c>
      <c r="R157" t="n">
        <v>1.52</v>
      </c>
      <c r="S157" t="n">
        <v>1.529125</v>
      </c>
      <c r="T157" t="n">
        <v>1.53</v>
      </c>
      <c r="V157" t="inlineStr">
        <is>
          <t>Sí</t>
        </is>
      </c>
      <c r="W157" t="inlineStr"/>
    </row>
    <row r="158">
      <c r="A158" t="n">
        <v>1585</v>
      </c>
      <c r="B158" t="inlineStr">
        <is>
          <t>CESPEDES AGUILAR, PATRICIA</t>
        </is>
      </c>
      <c r="C158" t="n">
        <v>93</v>
      </c>
      <c r="D158" t="inlineStr">
        <is>
          <t>CITRICOS</t>
        </is>
      </c>
      <c r="E158" t="n">
        <v>2026</v>
      </c>
      <c r="F158" t="n">
        <v>1</v>
      </c>
      <c r="G158" t="n">
        <v>1</v>
      </c>
      <c r="H158" t="inlineStr">
        <is>
          <t>Sí</t>
        </is>
      </c>
      <c r="J158" t="n">
        <v>93</v>
      </c>
      <c r="K158" t="n">
        <v>2026</v>
      </c>
      <c r="L158" t="inlineStr">
        <is>
          <t>1</t>
        </is>
      </c>
      <c r="M158" t="inlineStr">
        <is>
          <t>CITRICOS</t>
        </is>
      </c>
      <c r="N158" t="inlineStr">
        <is>
          <t>41055</t>
        </is>
      </c>
      <c r="O158" t="inlineStr">
        <is>
          <t>12</t>
        </is>
      </c>
      <c r="P158" t="inlineStr">
        <is>
          <t>19</t>
        </is>
      </c>
      <c r="Q158" t="inlineStr">
        <is>
          <t>1</t>
        </is>
      </c>
      <c r="R158" t="n">
        <v>3.15</v>
      </c>
      <c r="S158" t="n">
        <v>3.157055</v>
      </c>
      <c r="T158" t="n">
        <v>3.16</v>
      </c>
      <c r="V158" t="inlineStr">
        <is>
          <t>Sí</t>
        </is>
      </c>
      <c r="W158" t="inlineStr"/>
    </row>
    <row r="159">
      <c r="A159" t="n">
        <v>1585</v>
      </c>
      <c r="B159" t="inlineStr">
        <is>
          <t>CESPEDES AGUILAR, PATRICIA</t>
        </is>
      </c>
      <c r="C159" t="n">
        <v>245</v>
      </c>
      <c r="D159" t="inlineStr">
        <is>
          <t>CITRICOS</t>
        </is>
      </c>
      <c r="E159" t="n">
        <v>2026</v>
      </c>
      <c r="F159" t="n">
        <v>1</v>
      </c>
      <c r="G159" t="n">
        <v>1</v>
      </c>
      <c r="H159" t="inlineStr">
        <is>
          <t>Sí</t>
        </is>
      </c>
      <c r="J159" t="n">
        <v>245</v>
      </c>
      <c r="K159" t="n">
        <v>2026</v>
      </c>
      <c r="L159" t="inlineStr">
        <is>
          <t>1</t>
        </is>
      </c>
      <c r="M159" t="inlineStr">
        <is>
          <t>CITRICOS</t>
        </is>
      </c>
      <c r="N159" t="inlineStr">
        <is>
          <t>41055</t>
        </is>
      </c>
      <c r="O159" t="inlineStr">
        <is>
          <t>11</t>
        </is>
      </c>
      <c r="P159" t="inlineStr">
        <is>
          <t>75</t>
        </is>
      </c>
      <c r="Q159" t="inlineStr">
        <is>
          <t>2</t>
        </is>
      </c>
      <c r="R159" t="n">
        <v>1.29</v>
      </c>
      <c r="S159" t="n">
        <v>1.292592</v>
      </c>
      <c r="T159" t="n">
        <v>1.29</v>
      </c>
      <c r="V159" t="inlineStr">
        <is>
          <t>Sí</t>
        </is>
      </c>
      <c r="W159" t="inlineStr"/>
    </row>
    <row r="160">
      <c r="A160" t="n">
        <v>1585</v>
      </c>
      <c r="B160" t="inlineStr">
        <is>
          <t>CESPEDES AGUILAR, PATRICIA</t>
        </is>
      </c>
      <c r="C160" t="n">
        <v>245</v>
      </c>
      <c r="D160" t="inlineStr">
        <is>
          <t>CITRICOS</t>
        </is>
      </c>
      <c r="E160" t="n">
        <v>2026</v>
      </c>
      <c r="F160" t="n">
        <v>1</v>
      </c>
      <c r="G160" t="n">
        <v>1</v>
      </c>
      <c r="H160" t="inlineStr">
        <is>
          <t>Sí</t>
        </is>
      </c>
      <c r="J160" t="n">
        <v>245</v>
      </c>
      <c r="K160" t="n">
        <v>2026</v>
      </c>
      <c r="L160" t="inlineStr">
        <is>
          <t>1</t>
        </is>
      </c>
      <c r="M160" t="inlineStr">
        <is>
          <t>CITRICOS</t>
        </is>
      </c>
      <c r="N160" t="inlineStr">
        <is>
          <t>41055</t>
        </is>
      </c>
      <c r="O160" t="inlineStr">
        <is>
          <t>11</t>
        </is>
      </c>
      <c r="P160" t="inlineStr">
        <is>
          <t>110</t>
        </is>
      </c>
      <c r="Q160" t="inlineStr">
        <is>
          <t>1</t>
        </is>
      </c>
      <c r="R160" t="n">
        <v>3.9</v>
      </c>
      <c r="S160" t="n">
        <v>3.95776</v>
      </c>
      <c r="T160" t="n">
        <v>3.9577</v>
      </c>
      <c r="V160" t="inlineStr">
        <is>
          <t>Sí</t>
        </is>
      </c>
      <c r="W160" t="inlineStr"/>
    </row>
    <row r="161">
      <c r="A161" t="n">
        <v>1597</v>
      </c>
      <c r="B161" t="inlineStr">
        <is>
          <t>CARBALLO SIRIA, ANTONIO JOSE</t>
        </is>
      </c>
      <c r="C161" t="n">
        <v>678</v>
      </c>
      <c r="D161" t="inlineStr">
        <is>
          <t>CITRICOS</t>
        </is>
      </c>
      <c r="E161" t="n">
        <v>2026</v>
      </c>
      <c r="F161" t="n">
        <v>1</v>
      </c>
      <c r="G161" t="n">
        <v>1</v>
      </c>
      <c r="H161" t="inlineStr">
        <is>
          <t>Sí</t>
        </is>
      </c>
      <c r="J161" t="n">
        <v>678</v>
      </c>
      <c r="K161" t="n">
        <v>2026</v>
      </c>
      <c r="L161" t="inlineStr">
        <is>
          <t>1</t>
        </is>
      </c>
      <c r="M161" t="inlineStr">
        <is>
          <t>CITRICOS</t>
        </is>
      </c>
      <c r="N161" t="inlineStr">
        <is>
          <t>41055</t>
        </is>
      </c>
      <c r="O161" t="inlineStr">
        <is>
          <t>13</t>
        </is>
      </c>
      <c r="P161" t="inlineStr">
        <is>
          <t>160</t>
        </is>
      </c>
      <c r="Q161" t="inlineStr">
        <is>
          <t>1</t>
        </is>
      </c>
      <c r="R161" t="n">
        <v>2.93</v>
      </c>
      <c r="S161" t="n">
        <v>0</v>
      </c>
      <c r="T161" t="n">
        <v>2.93</v>
      </c>
      <c r="V161" t="inlineStr">
        <is>
          <t>Sí</t>
        </is>
      </c>
      <c r="W161" t="inlineStr"/>
    </row>
    <row r="162">
      <c r="A162" t="n">
        <v>1597</v>
      </c>
      <c r="B162" t="inlineStr">
        <is>
          <t>CARBALLO SIRIA, ANTONIO JOSE</t>
        </is>
      </c>
      <c r="C162" t="n">
        <v>679</v>
      </c>
      <c r="D162" t="inlineStr">
        <is>
          <t>CITRICOS</t>
        </is>
      </c>
      <c r="E162" t="n">
        <v>2026</v>
      </c>
      <c r="F162" t="n">
        <v>1</v>
      </c>
      <c r="G162" t="n">
        <v>1</v>
      </c>
      <c r="H162" t="inlineStr">
        <is>
          <t>Sí</t>
        </is>
      </c>
      <c r="J162" t="n">
        <v>679</v>
      </c>
      <c r="K162" t="n">
        <v>2026</v>
      </c>
      <c r="L162" t="inlineStr">
        <is>
          <t>1</t>
        </is>
      </c>
      <c r="M162" t="inlineStr">
        <is>
          <t>CITRICOS</t>
        </is>
      </c>
      <c r="N162" t="inlineStr">
        <is>
          <t>41055</t>
        </is>
      </c>
      <c r="O162" t="inlineStr">
        <is>
          <t>13</t>
        </is>
      </c>
      <c r="P162" t="inlineStr">
        <is>
          <t>30</t>
        </is>
      </c>
      <c r="Q162" t="inlineStr">
        <is>
          <t>1</t>
        </is>
      </c>
      <c r="R162" t="n">
        <v>2.7</v>
      </c>
      <c r="S162" t="n">
        <v>0</v>
      </c>
      <c r="T162" t="n">
        <v>2.7</v>
      </c>
      <c r="V162" t="inlineStr">
        <is>
          <t>Sí</t>
        </is>
      </c>
      <c r="W16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Variedad</t>
        </is>
      </c>
      <c r="D1" t="inlineStr">
        <is>
          <t>Estado</t>
        </is>
      </c>
      <c r="E1" t="inlineStr">
        <is>
          <t>Hectáreas</t>
        </is>
      </c>
      <c r="F1" t="inlineStr">
        <is>
          <t>Cuota anual</t>
        </is>
      </c>
      <c r="G1" t="inlineStr">
        <is>
          <t>Kilos efectivos totales</t>
        </is>
      </c>
      <c r="H1" t="inlineStr">
        <is>
          <t>Proporción €/kg</t>
        </is>
      </c>
      <c r="I1" t="inlineStr">
        <is>
          <t>Neto efectivo línea</t>
        </is>
      </c>
      <c r="J1" t="inlineStr">
        <is>
          <t>Cuota calculada</t>
        </is>
      </c>
      <c r="K1" t="inlineStr">
        <is>
          <t>Advertencias</t>
        </is>
      </c>
    </row>
    <row r="2">
      <c r="A2" t="n">
        <v>869</v>
      </c>
      <c r="B2" t="inlineStr">
        <is>
          <t>IGEÑO LUQUE,JOSE</t>
        </is>
      </c>
      <c r="C2" t="inlineStr">
        <is>
          <t>SALUSTIANA</t>
        </is>
      </c>
      <c r="D2" t="inlineStr">
        <is>
          <t>calculated</t>
        </is>
      </c>
      <c r="E2" t="n">
        <v>0.92</v>
      </c>
      <c r="F2" t="n">
        <v>179.4</v>
      </c>
      <c r="G2" t="n">
        <v>34508</v>
      </c>
      <c r="H2" t="n">
        <v>0.005198794482438855</v>
      </c>
      <c r="I2" t="n">
        <v>34508</v>
      </c>
      <c r="J2" t="n">
        <v>179.4</v>
      </c>
      <c r="K2" t="inlineStr">
        <is>
          <t>312 entregas ya figuran como liquidadas.; No existe tarifa BonCalidad para socio=869 campaña=2026 empresa=1 cultivo=CITRICOS.; No existe fuente acumulada disponible; saldo informativo calculado con cuota ya aplicada = 0.</t>
        </is>
      </c>
    </row>
    <row r="3">
      <c r="A3" t="n">
        <v>883</v>
      </c>
      <c r="B3" t="inlineStr">
        <is>
          <t>TORO SANCHEZ,TERESA</t>
        </is>
      </c>
      <c r="C3" t="inlineStr">
        <is>
          <t>SALUSTIANA</t>
        </is>
      </c>
      <c r="D3" t="inlineStr">
        <is>
          <t>calculated</t>
        </is>
      </c>
      <c r="E3" t="n">
        <v>5.62</v>
      </c>
      <c r="F3" t="n">
        <v>1095.9</v>
      </c>
      <c r="G3" t="n">
        <v>148816</v>
      </c>
      <c r="H3" t="n">
        <v>0.007364127513170626</v>
      </c>
      <c r="I3" t="n">
        <v>140757</v>
      </c>
      <c r="J3" t="n">
        <v>1036.55</v>
      </c>
      <c r="K3" t="inlineStr">
        <is>
          <t>312 entregas ya figuran como liquidadas.; No existe tarifa BonCalidad para socio=883 campaña=2026 empresa=1 cultivo=CITRICOS.; No existe fuente acumulada disponible; saldo informativo calculado con cuota ya aplicada = 0.</t>
        </is>
      </c>
    </row>
    <row r="4">
      <c r="A4" t="n">
        <v>937</v>
      </c>
      <c r="B4" t="inlineStr">
        <is>
          <t>GALVEZ MACIAS,FRANCISCO</t>
        </is>
      </c>
      <c r="C4" t="inlineStr">
        <is>
          <t>SALUSTIANA</t>
        </is>
      </c>
      <c r="D4" t="inlineStr">
        <is>
          <t>calculated</t>
        </is>
      </c>
      <c r="E4" t="n">
        <v>14.73</v>
      </c>
      <c r="F4" t="n">
        <v>2872.35</v>
      </c>
      <c r="G4" t="n">
        <v>351445</v>
      </c>
      <c r="H4" t="n">
        <v>0.008172971588726543</v>
      </c>
      <c r="I4" t="n">
        <v>211701</v>
      </c>
      <c r="J4" t="n">
        <v>1730.23</v>
      </c>
      <c r="K4" t="inlineStr">
        <is>
          <t>312 entregas ya figuran como liquidadas.; No existe tarifa BonCalidad para socio=937 campaña=2026 empresa=1 cultivo=CITRICOS.; No existe fuente acumulada disponible; saldo informativo calculado con cuota ya aplicada = 0.</t>
        </is>
      </c>
    </row>
    <row r="5">
      <c r="A5" t="n">
        <v>1072</v>
      </c>
      <c r="B5" t="inlineStr">
        <is>
          <t>GARCIA DELGADO,JUAN MANUEL</t>
        </is>
      </c>
      <c r="C5" t="inlineStr">
        <is>
          <t>SALUSTIANA</t>
        </is>
      </c>
      <c r="D5" t="inlineStr">
        <is>
          <t>calculated</t>
        </is>
      </c>
      <c r="E5" t="n">
        <v>8.970000000000001</v>
      </c>
      <c r="F5" t="n">
        <v>1749.15</v>
      </c>
      <c r="G5" t="n">
        <v>117422</v>
      </c>
      <c r="H5" t="n">
        <v>0.01489627156750864</v>
      </c>
      <c r="I5" t="n">
        <v>11898</v>
      </c>
      <c r="J5" t="n">
        <v>177.24</v>
      </c>
      <c r="K5" t="inlineStr">
        <is>
          <t>312 entregas ya figuran como liquidadas.; No existe tarifa BonCalidad para socio=1072 campaña=2026 empresa=1 cultivo=CITRICOS.; No existe fuente acumulada disponible; saldo informativo calculado con cuota ya aplicada = 0.</t>
        </is>
      </c>
    </row>
    <row r="6">
      <c r="A6" t="n">
        <v>1128</v>
      </c>
      <c r="B6" t="inlineStr">
        <is>
          <t>CARRILLO PEÑALVER,JOSE</t>
        </is>
      </c>
      <c r="C6" t="inlineStr">
        <is>
          <t>SALUSTIANA</t>
        </is>
      </c>
      <c r="D6" t="inlineStr">
        <is>
          <t>calculated</t>
        </is>
      </c>
      <c r="E6" t="n">
        <v>4.12</v>
      </c>
      <c r="F6" t="n">
        <v>803.4</v>
      </c>
      <c r="G6" t="n">
        <v>45545</v>
      </c>
      <c r="H6" t="n">
        <v>0.0176396970029641</v>
      </c>
      <c r="I6" t="n">
        <v>20913</v>
      </c>
      <c r="J6" t="n">
        <v>368.9</v>
      </c>
      <c r="K6" t="inlineStr">
        <is>
          <t>312 entregas ya figuran como liquidadas.; No existe tarifa BonCalidad para socio=1128 campaña=2026 empresa=1 cultivo=CITRICOS.; No existe fuente acumulada disponible; saldo informativo calculado con cuota ya aplicada = 0.</t>
        </is>
      </c>
    </row>
    <row r="7">
      <c r="A7" t="n">
        <v>1133</v>
      </c>
      <c r="B7" t="inlineStr">
        <is>
          <t>MAYFE S.C.</t>
        </is>
      </c>
      <c r="C7" t="inlineStr">
        <is>
          <t>SALUSTIANA</t>
        </is>
      </c>
      <c r="D7" t="inlineStr">
        <is>
          <t>calculated</t>
        </is>
      </c>
      <c r="E7" t="n">
        <v>14.28</v>
      </c>
      <c r="F7" t="n">
        <v>2784.6</v>
      </c>
      <c r="G7" t="n">
        <v>293106</v>
      </c>
      <c r="H7" t="n">
        <v>0.009500317291355346</v>
      </c>
      <c r="I7" t="n">
        <v>69429</v>
      </c>
      <c r="J7" t="n">
        <v>659.6</v>
      </c>
      <c r="K7" t="inlineStr">
        <is>
          <t>312 entregas ya figuran como liquidadas.; No existe tarifa BonCalidad para socio=1133 campaña=2026 empresa=1 cultivo=CITRICOS.; No existe fuente acumulada disponible; saldo informativo calculado con cuota ya aplicada = 0.</t>
        </is>
      </c>
    </row>
    <row r="8">
      <c r="A8" t="n">
        <v>1178</v>
      </c>
      <c r="B8" t="inlineStr">
        <is>
          <t>CALZADO GARCIA,FRANCISCO JAVIER</t>
        </is>
      </c>
      <c r="C8" t="inlineStr">
        <is>
          <t>SALUSTIANA</t>
        </is>
      </c>
      <c r="D8" t="inlineStr">
        <is>
          <t>calculated</t>
        </is>
      </c>
      <c r="E8" t="n">
        <v>9.630000000000001</v>
      </c>
      <c r="F8" t="n">
        <v>1877.85</v>
      </c>
      <c r="G8" t="n">
        <v>152504</v>
      </c>
      <c r="H8" t="n">
        <v>0.01231344751613072</v>
      </c>
      <c r="I8" t="n">
        <v>73741</v>
      </c>
      <c r="J8" t="n">
        <v>908.01</v>
      </c>
      <c r="K8" t="inlineStr">
        <is>
          <t>312 entregas ya figuran como liquidadas.; No existe tarifa BonCalidad para socio=1178 campaña=2026 empresa=1 cultivo=CITRICOS.; No existe fuente acumulada disponible; saldo informativo calculado con cuota ya aplicada = 0.</t>
        </is>
      </c>
    </row>
    <row r="9">
      <c r="A9" t="n">
        <v>1202</v>
      </c>
      <c r="B9" t="inlineStr">
        <is>
          <t>FUENTES HINOJOSA,MANUEL</t>
        </is>
      </c>
      <c r="C9" t="inlineStr">
        <is>
          <t>SALUSTIANA</t>
        </is>
      </c>
      <c r="D9" t="inlineStr">
        <is>
          <t>calculated</t>
        </is>
      </c>
      <c r="E9" t="n">
        <v>2.36</v>
      </c>
      <c r="F9" t="n">
        <v>460.2</v>
      </c>
      <c r="G9" t="n">
        <v>31005</v>
      </c>
      <c r="H9" t="n">
        <v>0.01484276729559748</v>
      </c>
      <c r="I9" t="n">
        <v>30834</v>
      </c>
      <c r="J9" t="n">
        <v>457.66</v>
      </c>
      <c r="K9" t="inlineStr">
        <is>
          <t>312 entregas ya figuran como liquidadas.; No existe tarifa BonCalidad para socio=1202 campaña=2026 empresa=1 cultivo=CITRICOS.; No existe fuente acumulada disponible; saldo informativo calculado con cuota ya aplicada = 0.</t>
        </is>
      </c>
    </row>
    <row r="10">
      <c r="A10" t="n">
        <v>1219</v>
      </c>
      <c r="B10" t="inlineStr">
        <is>
          <t>LORA BUIZA,GREGORIO</t>
        </is>
      </c>
      <c r="C10" t="inlineStr">
        <is>
          <t>SALUSTIANA</t>
        </is>
      </c>
      <c r="D10" t="inlineStr">
        <is>
          <t>calculated</t>
        </is>
      </c>
      <c r="E10" t="n">
        <v>0.28</v>
      </c>
      <c r="F10" t="n">
        <v>54.6</v>
      </c>
      <c r="G10" t="n">
        <v>7272</v>
      </c>
      <c r="H10" t="n">
        <v>0.007508250825082509</v>
      </c>
      <c r="I10" t="n">
        <v>3679</v>
      </c>
      <c r="J10" t="n">
        <v>27.62</v>
      </c>
      <c r="K10" t="inlineStr">
        <is>
          <t>312 entregas ya figuran como liquidadas.; No existe tarifa BonCalidad para socio=1219 campaña=2026 empresa=1 cultivo=CITRICOS.; No existe fuente acumulada disponible; saldo informativo calculado con cuota ya aplicada = 0.</t>
        </is>
      </c>
    </row>
    <row r="11">
      <c r="A11" t="n">
        <v>1251</v>
      </c>
      <c r="B11" t="inlineStr">
        <is>
          <t>DURAN ALMENARA,ANGELES</t>
        </is>
      </c>
      <c r="C11" t="inlineStr">
        <is>
          <t>SALUSTIANA</t>
        </is>
      </c>
      <c r="D11" t="inlineStr">
        <is>
          <t>calculated</t>
        </is>
      </c>
      <c r="E11" t="n">
        <v>2.12</v>
      </c>
      <c r="F11" t="n">
        <v>413.4</v>
      </c>
      <c r="G11" t="n">
        <v>90674</v>
      </c>
      <c r="H11" t="n">
        <v>0.004559190065509407</v>
      </c>
      <c r="I11" t="n">
        <v>38737</v>
      </c>
      <c r="J11" t="n">
        <v>176.61</v>
      </c>
      <c r="K11" t="inlineStr">
        <is>
          <t>312 entregas ya figuran como liquidadas.; No existe tarifa BonCalidad para socio=1251 campaña=2026 empresa=1 cultivo=CITRICOS.; No existe fuente acumulada disponible; saldo informativo calculado con cuota ya aplicada = 0.</t>
        </is>
      </c>
    </row>
    <row r="12">
      <c r="A12" t="n">
        <v>1272</v>
      </c>
      <c r="B12" t="inlineStr">
        <is>
          <t>HERMANOS GONZALEZ ROLDAN,S.C.</t>
        </is>
      </c>
      <c r="C12" t="inlineStr">
        <is>
          <t>SALUSTIANA</t>
        </is>
      </c>
      <c r="D12" t="inlineStr">
        <is>
          <t>calculated</t>
        </is>
      </c>
      <c r="E12" t="n">
        <v>60.01</v>
      </c>
      <c r="F12" t="n">
        <v>11701.95</v>
      </c>
      <c r="G12" t="n">
        <v>636702</v>
      </c>
      <c r="H12" t="n">
        <v>0.01837900619127944</v>
      </c>
      <c r="I12" t="n">
        <v>74671</v>
      </c>
      <c r="J12" t="n">
        <v>1372.38</v>
      </c>
      <c r="K12" t="inlineStr">
        <is>
          <t>312 entregas ya figuran como liquidadas.; No existe fuente acumulada disponible; saldo informativo calculado con cuota ya aplicada = 0.</t>
        </is>
      </c>
    </row>
    <row r="13">
      <c r="A13" t="n">
        <v>1316</v>
      </c>
      <c r="B13" t="inlineStr">
        <is>
          <t>JIMENA GARCIA,JUAN MANUEL</t>
        </is>
      </c>
      <c r="C13" t="inlineStr">
        <is>
          <t>SALUSTIANA</t>
        </is>
      </c>
      <c r="D13" t="inlineStr">
        <is>
          <t>calculated</t>
        </is>
      </c>
      <c r="E13" t="n">
        <v>3.23</v>
      </c>
      <c r="F13" t="n">
        <v>629.85</v>
      </c>
      <c r="G13" t="n">
        <v>93689</v>
      </c>
      <c r="H13" t="n">
        <v>0.006722774285134861</v>
      </c>
      <c r="I13" t="n">
        <v>57732</v>
      </c>
      <c r="J13" t="n">
        <v>388.12</v>
      </c>
      <c r="K13" t="inlineStr">
        <is>
          <t>312 entregas ya figuran como liquidadas.; No existe tarifa BonCalidad para socio=1316 campaña=2026 empresa=1 cultivo=CITRICOS.; No existe fuente acumulada disponible; saldo informativo calculado con cuota ya aplicada = 0.</t>
        </is>
      </c>
    </row>
    <row r="14">
      <c r="A14" t="n">
        <v>1350</v>
      </c>
      <c r="B14" t="inlineStr">
        <is>
          <t>FAMILIA GONZALEZ LACAL S.C.</t>
        </is>
      </c>
      <c r="C14" t="inlineStr">
        <is>
          <t>SALUSTIANA</t>
        </is>
      </c>
      <c r="D14" t="inlineStr">
        <is>
          <t>calculated</t>
        </is>
      </c>
      <c r="E14" t="n">
        <v>9.16</v>
      </c>
      <c r="F14" t="n">
        <v>1786.2</v>
      </c>
      <c r="G14" t="n">
        <v>127892</v>
      </c>
      <c r="H14" t="n">
        <v>0.01396647171050574</v>
      </c>
      <c r="I14" t="n">
        <v>24320</v>
      </c>
      <c r="J14" t="n">
        <v>339.66</v>
      </c>
      <c r="K14" t="inlineStr">
        <is>
          <t>312 entregas ya figuran como liquidadas.; No existe tarifa BonCalidad para socio=1350 campaña=2026 empresa=1 cultivo=CITRICOS.; El socio 1350 figura certificado GlobalGAP en CITRICOS pero no en CITRICOS. Se ha aplicado la certificación global del socio. Revise DEEPP.; No existe fuente acumulada disponible; saldo informativo calculado con cuota ya aplicada = 0.</t>
        </is>
      </c>
    </row>
    <row r="15">
      <c r="A15" t="n">
        <v>1354</v>
      </c>
      <c r="B15" t="inlineStr">
        <is>
          <t>MARTIN PORTALES,ALFREDO</t>
        </is>
      </c>
      <c r="C15" t="inlineStr">
        <is>
          <t>SALUSTIANA</t>
        </is>
      </c>
      <c r="D15" t="inlineStr">
        <is>
          <t>calculated</t>
        </is>
      </c>
      <c r="E15" t="n">
        <v>5.24</v>
      </c>
      <c r="F15" t="n">
        <v>1021.8</v>
      </c>
      <c r="G15" t="n">
        <v>152989</v>
      </c>
      <c r="H15" t="n">
        <v>0.006678911555732765</v>
      </c>
      <c r="I15" t="n">
        <v>148012</v>
      </c>
      <c r="J15" t="n">
        <v>988.5599999999999</v>
      </c>
      <c r="K15" t="inlineStr">
        <is>
          <t>312 entregas ya figuran como liquidadas.; No existe tarifa BonCalidad para socio=1354 campaña=2026 empresa=1 cultivo=CITRICOS.; No existe fuente acumulada disponible; saldo informativo calculado con cuota ya aplicada = 0.</t>
        </is>
      </c>
    </row>
    <row r="16">
      <c r="A16" t="n">
        <v>1355</v>
      </c>
      <c r="B16" t="inlineStr">
        <is>
          <t>CANO MANZANARES,JUAN ANTONIO</t>
        </is>
      </c>
      <c r="C16" t="inlineStr">
        <is>
          <t>SALUSTIANA</t>
        </is>
      </c>
      <c r="D16" t="inlineStr">
        <is>
          <t>calculated</t>
        </is>
      </c>
      <c r="E16" t="n">
        <v>7.21</v>
      </c>
      <c r="F16" t="n">
        <v>1405.95</v>
      </c>
      <c r="G16" t="n">
        <v>357726</v>
      </c>
      <c r="H16" t="n">
        <v>0.003930242699719897</v>
      </c>
      <c r="I16" t="n">
        <v>212858</v>
      </c>
      <c r="J16" t="n">
        <v>836.58</v>
      </c>
      <c r="K16" t="inlineStr">
        <is>
          <t>312 entregas ya figuran como liquidadas.; No existe tarifa BonCalidad para socio=1355 campaña=2026 empresa=1 cultivo=CITRICOS.; No existe fuente acumulada disponible; saldo informativo calculado con cuota ya aplicada = 0.</t>
        </is>
      </c>
    </row>
    <row r="17">
      <c r="A17" t="n">
        <v>1374</v>
      </c>
      <c r="B17" t="inlineStr">
        <is>
          <t>MORENO SANCHEZ,JOSE ANTONIO</t>
        </is>
      </c>
      <c r="C17" t="inlineStr">
        <is>
          <t>SALUSTIANA</t>
        </is>
      </c>
      <c r="D17" t="inlineStr">
        <is>
          <t>calculated</t>
        </is>
      </c>
      <c r="E17" t="n">
        <v>1.8</v>
      </c>
      <c r="F17" t="n">
        <v>351</v>
      </c>
      <c r="G17" t="n">
        <v>63484</v>
      </c>
      <c r="H17" t="n">
        <v>0.005528952176926469</v>
      </c>
      <c r="I17" t="n">
        <v>51699</v>
      </c>
      <c r="J17" t="n">
        <v>285.84</v>
      </c>
      <c r="K17" t="inlineStr">
        <is>
          <t>312 entregas ya figuran como liquidadas.; No existe tarifa BonCalidad para socio=1374 campaña=2026 empresa=1 cultivo=CITRICOS.; No existe fuente acumulada disponible; saldo informativo calculado con cuota ya aplicada = 0.</t>
        </is>
      </c>
    </row>
    <row r="18">
      <c r="A18" t="n">
        <v>1389</v>
      </c>
      <c r="B18" t="inlineStr">
        <is>
          <t>AGRICOLA HUERTA LA MEJORA S.C.</t>
        </is>
      </c>
      <c r="C18" t="inlineStr">
        <is>
          <t>SALUSTIANA</t>
        </is>
      </c>
      <c r="D18" t="inlineStr">
        <is>
          <t>calculated</t>
        </is>
      </c>
      <c r="E18" t="n">
        <v>4.32</v>
      </c>
      <c r="F18" t="n">
        <v>842.4</v>
      </c>
      <c r="G18" t="n">
        <v>56000</v>
      </c>
      <c r="H18" t="n">
        <v>0.01504285714285714</v>
      </c>
      <c r="I18" t="n">
        <v>47840</v>
      </c>
      <c r="J18" t="n">
        <v>719.65</v>
      </c>
      <c r="K18" t="inlineStr">
        <is>
          <t>312 entregas ya figuran como liquidadas.; No existe tarifa BonCalidad para socio=1389 campaña=2026 empresa=1 cultivo=CITRICOS.; No existe fuente acumulada disponible; saldo informativo calculado con cuota ya aplicada = 0.</t>
        </is>
      </c>
    </row>
    <row r="19">
      <c r="A19" t="n">
        <v>1395</v>
      </c>
      <c r="B19" t="inlineStr">
        <is>
          <t>AGRICOLA HERMANOS BUIZA S.C.</t>
        </is>
      </c>
      <c r="C19" t="inlineStr">
        <is>
          <t>SALUSTIANA</t>
        </is>
      </c>
      <c r="D19" t="inlineStr">
        <is>
          <t>calculated</t>
        </is>
      </c>
      <c r="E19" t="n">
        <v>8.27</v>
      </c>
      <c r="F19" t="n">
        <v>1612.65</v>
      </c>
      <c r="G19" t="n">
        <v>426827</v>
      </c>
      <c r="H19" t="n">
        <v>0.003778228650015111</v>
      </c>
      <c r="I19" t="n">
        <v>22880</v>
      </c>
      <c r="J19" t="n">
        <v>86.45</v>
      </c>
      <c r="K19" t="inlineStr">
        <is>
          <t>312 entregas ya figuran como liquidadas.; No existe tarifa BonCalidad para socio=1395 campaña=2026 empresa=1 cultivo=CITRICOS.; No existe fuente acumulada disponible; saldo informativo calculado con cuota ya aplicada = 0.</t>
        </is>
      </c>
    </row>
    <row r="20">
      <c r="A20" t="n">
        <v>1411</v>
      </c>
      <c r="B20" t="inlineStr">
        <is>
          <t>HERMANOS PEÑA GRIÑAN S.C.</t>
        </is>
      </c>
      <c r="C20" t="inlineStr">
        <is>
          <t>SALUSTIANA</t>
        </is>
      </c>
      <c r="D20" t="inlineStr">
        <is>
          <t>calculated</t>
        </is>
      </c>
      <c r="E20" t="n">
        <v>12.74</v>
      </c>
      <c r="F20" t="n">
        <v>2484.3</v>
      </c>
      <c r="G20" t="n">
        <v>299255</v>
      </c>
      <c r="H20" t="n">
        <v>0.008301615678936024</v>
      </c>
      <c r="I20" t="n">
        <v>66051</v>
      </c>
      <c r="J20" t="n">
        <v>548.33</v>
      </c>
      <c r="K20" t="inlineStr">
        <is>
          <t>312 entregas ya figuran como liquidadas.; No existe tarifa BonCalidad para socio=1411 campaña=2026 empresa=1 cultivo=CITRICOS.; No existe fuente acumulada disponible; saldo informativo calculado con cuota ya aplicada = 0.</t>
        </is>
      </c>
    </row>
    <row r="21">
      <c r="A21" t="n">
        <v>1419</v>
      </c>
      <c r="B21" t="inlineStr">
        <is>
          <t>MORAL GARCIA,JOSE ANTONIO</t>
        </is>
      </c>
      <c r="C21" t="inlineStr">
        <is>
          <t>SALUSTIANA</t>
        </is>
      </c>
      <c r="D21" t="inlineStr">
        <is>
          <t>calculated</t>
        </is>
      </c>
      <c r="E21" t="n">
        <v>3.83</v>
      </c>
      <c r="F21" t="n">
        <v>746.85</v>
      </c>
      <c r="G21" t="n">
        <v>119951</v>
      </c>
      <c r="H21" t="n">
        <v>0.006226292402731115</v>
      </c>
      <c r="I21" t="n">
        <v>22950</v>
      </c>
      <c r="J21" t="n">
        <v>142.89</v>
      </c>
      <c r="K21" t="inlineStr">
        <is>
          <t>312 entregas ya figuran como liquidadas.; No existe tarifa BonCalidad para socio=1419 campaña=2026 empresa=1 cultivo=CITRICOS.; No existe fuente acumulada disponible; saldo informativo calculado con cuota ya aplicada = 0.</t>
        </is>
      </c>
    </row>
    <row r="22">
      <c r="A22" t="n">
        <v>1421</v>
      </c>
      <c r="B22" t="inlineStr">
        <is>
          <t>GARCIA GONZALEZ,ISIDORA</t>
        </is>
      </c>
      <c r="C22" t="inlineStr">
        <is>
          <t>SALUSTIANA</t>
        </is>
      </c>
      <c r="D22" t="inlineStr">
        <is>
          <t>calculated</t>
        </is>
      </c>
      <c r="E22" t="n">
        <v>1.1</v>
      </c>
      <c r="F22" t="n">
        <v>214.5</v>
      </c>
      <c r="G22" t="n">
        <v>36875</v>
      </c>
      <c r="H22" t="n">
        <v>0.005816949152542373</v>
      </c>
      <c r="I22" t="n">
        <v>36875</v>
      </c>
      <c r="J22" t="n">
        <v>214.5</v>
      </c>
      <c r="K22" t="inlineStr">
        <is>
          <t>312 entregas ya figuran como liquidadas.; No existe tarifa BonCalidad para socio=1421 campaña=2026 empresa=1 cultivo=CITRICOS.; No existe fuente acumulada disponible; saldo informativo calculado con cuota ya aplicada = 0.</t>
        </is>
      </c>
    </row>
    <row r="23">
      <c r="A23" t="n">
        <v>1443</v>
      </c>
      <c r="B23" t="inlineStr">
        <is>
          <t>TOMENO SUAREZ,ALBERTO</t>
        </is>
      </c>
      <c r="C23" t="inlineStr">
        <is>
          <t>SALUSTIANA</t>
        </is>
      </c>
      <c r="D23" t="inlineStr">
        <is>
          <t>calculated</t>
        </is>
      </c>
      <c r="E23" t="n">
        <v>17.08</v>
      </c>
      <c r="F23" t="n">
        <v>3330.6</v>
      </c>
      <c r="G23" t="n">
        <v>538619</v>
      </c>
      <c r="H23" t="n">
        <v>0.006183591741100852</v>
      </c>
      <c r="I23" t="n">
        <v>34222</v>
      </c>
      <c r="J23" t="n">
        <v>211.61</v>
      </c>
      <c r="K23" t="inlineStr">
        <is>
          <t>312 entregas ya figuran como liquidadas.; No existe tarifa BonCalidad para socio=1443 campaña=2026 empresa=1 cultivo=CITRICOS.; No existe fuente acumulada disponible; saldo informativo calculado con cuota ya aplicada = 0.</t>
        </is>
      </c>
    </row>
    <row r="24">
      <c r="A24" t="n">
        <v>1485</v>
      </c>
      <c r="B24" t="inlineStr">
        <is>
          <t>HNOS. CRESPO RUIZ S.C.</t>
        </is>
      </c>
      <c r="C24" t="inlineStr">
        <is>
          <t>SALUSTIANA</t>
        </is>
      </c>
      <c r="D24" t="inlineStr">
        <is>
          <t>calculated</t>
        </is>
      </c>
      <c r="E24" t="n">
        <v>3.24</v>
      </c>
      <c r="F24" t="n">
        <v>631.8</v>
      </c>
      <c r="G24" t="n">
        <v>145310</v>
      </c>
      <c r="H24" t="n">
        <v>0.004347945771110041</v>
      </c>
      <c r="I24" t="n">
        <v>143835</v>
      </c>
      <c r="J24" t="n">
        <v>625.39</v>
      </c>
      <c r="K24" t="inlineStr">
        <is>
          <t>312 entregas ya figuran como liquidadas.; No existe tarifa BonCalidad para socio=1485 campaña=2026 empresa=1 cultivo=CITRICOS.; No existe fuente acumulada disponible; saldo informativo calculado con cuota ya aplicada = 0.</t>
        </is>
      </c>
    </row>
    <row r="25">
      <c r="A25" t="n">
        <v>1512</v>
      </c>
      <c r="B25" t="inlineStr">
        <is>
          <t>HERNANDEZ MOLINA,ANTONIO</t>
        </is>
      </c>
      <c r="C25" t="inlineStr">
        <is>
          <t>SALUSTIANA</t>
        </is>
      </c>
      <c r="D25" t="inlineStr">
        <is>
          <t>calculated</t>
        </is>
      </c>
      <c r="E25" t="n">
        <v>1.58</v>
      </c>
      <c r="F25" t="n">
        <v>308.1</v>
      </c>
      <c r="G25" t="n">
        <v>44550</v>
      </c>
      <c r="H25" t="n">
        <v>0.006915824915824916</v>
      </c>
      <c r="I25" t="n">
        <v>41174</v>
      </c>
      <c r="J25" t="n">
        <v>284.75</v>
      </c>
      <c r="K25" t="inlineStr">
        <is>
          <t>312 entregas ya figuran como liquidadas.; No existe tarifa BonCalidad para socio=1512 campaña=2026 empresa=1 cultivo=CITRICOS.; No existe fuente acumulada disponible; saldo informativo calculado con cuota ya aplicada = 0.</t>
        </is>
      </c>
    </row>
    <row r="26">
      <c r="A26" t="n">
        <v>1523</v>
      </c>
      <c r="B26" t="inlineStr">
        <is>
          <t>RODRIGUEZ MEJÍAS, JOSE ANTONIO</t>
        </is>
      </c>
      <c r="C26" t="inlineStr">
        <is>
          <t>SALUSTIANA</t>
        </is>
      </c>
      <c r="D26" t="inlineStr">
        <is>
          <t>calculated</t>
        </is>
      </c>
      <c r="E26" t="n">
        <v>21.63</v>
      </c>
      <c r="F26" t="n">
        <v>4217.85</v>
      </c>
      <c r="G26" t="n">
        <v>580520</v>
      </c>
      <c r="H26" t="n">
        <v>0.007265641149314408</v>
      </c>
      <c r="I26" t="n">
        <v>243865</v>
      </c>
      <c r="J26" t="n">
        <v>1771.84</v>
      </c>
      <c r="K26" t="inlineStr">
        <is>
          <t>312 entregas ya figuran como liquidadas.; No existe tarifa BonCalidad para socio=1523 campaña=2026 empresa=1 cultivo=CITRICOS.; El socio 1523 figura certificado GlobalGAP en CITRICOS, KAKIS, MANDARINA pero no en CITRICOS. Se ha aplicado la certificación global del socio. Revise DEEPP.; No existe fuente acumulada disponible; saldo informativo calculado con cuota ya aplicada = 0.</t>
        </is>
      </c>
    </row>
    <row r="27">
      <c r="A27" t="n">
        <v>1529</v>
      </c>
      <c r="B27" t="inlineStr">
        <is>
          <t>RAMOS BRUGAROLAS, JOSE</t>
        </is>
      </c>
      <c r="C27" t="inlineStr">
        <is>
          <t>SALUSTIANA</t>
        </is>
      </c>
      <c r="D27" t="inlineStr">
        <is>
          <t>calculated</t>
        </is>
      </c>
      <c r="E27" t="n">
        <v>19.8</v>
      </c>
      <c r="F27" t="n">
        <v>3861</v>
      </c>
      <c r="G27" t="n">
        <v>584085</v>
      </c>
      <c r="H27" t="n">
        <v>0.006610339248568273</v>
      </c>
      <c r="I27" t="n">
        <v>40245</v>
      </c>
      <c r="J27" t="n">
        <v>266.03</v>
      </c>
      <c r="K27" t="inlineStr">
        <is>
          <t>312 entregas ya figuran como liquidadas.; No existe tarifa BonCalidad para socio=1529 campaña=2026 empresa=1 cultivo=CITRICOS.; No existe fuente acumulada disponible; saldo informativo calculado con cuota ya aplicada = 0.</t>
        </is>
      </c>
    </row>
    <row r="28">
      <c r="A28" t="n">
        <v>1540</v>
      </c>
      <c r="B28" t="inlineStr">
        <is>
          <t>AGRICOLA SANCHEZ CUENCA S.C.</t>
        </is>
      </c>
      <c r="C28" t="inlineStr">
        <is>
          <t>SALUSTIANA</t>
        </is>
      </c>
      <c r="D28" t="inlineStr">
        <is>
          <t>calculated</t>
        </is>
      </c>
      <c r="E28" t="n">
        <v>5.96</v>
      </c>
      <c r="F28" t="n">
        <v>1162.2</v>
      </c>
      <c r="G28" t="n">
        <v>224459</v>
      </c>
      <c r="H28" t="n">
        <v>0.005177783024962242</v>
      </c>
      <c r="I28" t="n">
        <v>200979</v>
      </c>
      <c r="J28" t="n">
        <v>1040.63</v>
      </c>
      <c r="K28" t="inlineStr">
        <is>
          <t>312 entregas ya figuran como liquidadas.; No existe tarifa BonCalidad para socio=1540 campaña=2026 empresa=1 cultivo=CITRICOS.; No existe fuente acumulada disponible; saldo informativo calculado con cuota ya aplicada = 0.</t>
        </is>
      </c>
    </row>
    <row r="29">
      <c r="A29" t="n">
        <v>1544</v>
      </c>
      <c r="B29" t="inlineStr">
        <is>
          <t>HARO ORDOÑO, ALVARO</t>
        </is>
      </c>
      <c r="C29" t="inlineStr">
        <is>
          <t>SALUSTIANA</t>
        </is>
      </c>
      <c r="D29" t="inlineStr">
        <is>
          <t>calculated</t>
        </is>
      </c>
      <c r="E29" t="n">
        <v>3.8</v>
      </c>
      <c r="F29" t="n">
        <v>741</v>
      </c>
      <c r="G29" t="n">
        <v>131717</v>
      </c>
      <c r="H29" t="n">
        <v>0.005625697518163942</v>
      </c>
      <c r="I29" t="n">
        <v>30040</v>
      </c>
      <c r="J29" t="n">
        <v>169</v>
      </c>
      <c r="K29" t="inlineStr">
        <is>
          <t>312 entregas ya figuran como liquidadas.; No existe tarifa BonCalidad para socio=1544 campaña=2026 empresa=1 cultivo=CITRICOS.; No existe fuente acumulada disponible; saldo informativo calculado con cuota ya aplicada = 0.</t>
        </is>
      </c>
    </row>
    <row r="30">
      <c r="A30" t="n">
        <v>1564</v>
      </c>
      <c r="B30" t="inlineStr">
        <is>
          <t>VARELA MUÑOZ, ANTONIO</t>
        </is>
      </c>
      <c r="C30" t="inlineStr">
        <is>
          <t>SALUSTIANA</t>
        </is>
      </c>
      <c r="D30" t="inlineStr">
        <is>
          <t>calculated</t>
        </is>
      </c>
      <c r="E30" t="n">
        <v>0.89</v>
      </c>
      <c r="F30" t="n">
        <v>173.55</v>
      </c>
      <c r="G30" t="n">
        <v>29668</v>
      </c>
      <c r="H30" t="n">
        <v>0.005849737090467844</v>
      </c>
      <c r="I30" t="n">
        <v>28013</v>
      </c>
      <c r="J30" t="n">
        <v>163.87</v>
      </c>
      <c r="K30" t="inlineStr">
        <is>
          <t>312 entregas ya figuran como liquidadas.; No existe tarifa BonCalidad para socio=1564 campaña=2026 empresa=1 cultivo=CITRICOS.; No existe fuente acumulada disponible; saldo informativo calculado con cuota ya aplicada = 0.</t>
        </is>
      </c>
    </row>
    <row r="31">
      <c r="A31" t="n">
        <v>1577</v>
      </c>
      <c r="B31" t="inlineStr">
        <is>
          <t>GOMEZ GUERRERO, MARIA MERCEDES</t>
        </is>
      </c>
      <c r="C31" t="inlineStr">
        <is>
          <t>SALUSTIANA</t>
        </is>
      </c>
      <c r="D31" t="inlineStr">
        <is>
          <t>calculated</t>
        </is>
      </c>
      <c r="E31" t="n">
        <v>7.35</v>
      </c>
      <c r="F31" t="n">
        <v>1433.25</v>
      </c>
      <c r="G31" t="n">
        <v>224568</v>
      </c>
      <c r="H31" t="n">
        <v>0.006382253927540878</v>
      </c>
      <c r="I31" t="n">
        <v>139693</v>
      </c>
      <c r="J31" t="n">
        <v>891.5599999999999</v>
      </c>
      <c r="K31" t="inlineStr">
        <is>
          <t>312 entregas ya figuran como liquidadas.; No existe tarifa BonCalidad para socio=1577 campaña=2026 empresa=1 cultivo=CITRICOS.; No existe fuente acumulada disponible; saldo informativo calculado con cuota ya aplicada = 0.</t>
        </is>
      </c>
    </row>
    <row r="32">
      <c r="A32" t="n">
        <v>1579</v>
      </c>
      <c r="B32" t="inlineStr">
        <is>
          <t>PEREZ JIMENEZ, ALFONSA</t>
        </is>
      </c>
      <c r="C32" t="inlineStr">
        <is>
          <t>SALUSTIANA</t>
        </is>
      </c>
      <c r="D32" t="inlineStr">
        <is>
          <t>not_applicable</t>
        </is>
      </c>
      <c r="E32" t="n">
        <v>0</v>
      </c>
      <c r="F32" t="n">
        <v>0</v>
      </c>
      <c r="G32" t="n">
        <v>15197</v>
      </c>
      <c r="I32" t="n">
        <v>6077</v>
      </c>
      <c r="J32" t="n">
        <v>0</v>
      </c>
      <c r="K32" t="inlineStr">
        <is>
          <t>312 entregas ya figuran como liquidadas.; No existe tarifa BonCalidad para socio=1579 campaña=2026 empresa=1 cultivo=CITRICOS.; No existe fuente acumulada disponible; saldo informativo calculado con cuota ya aplicada = 0.; Cuota Ha no aplicable: sin superficie sujeta a cuota.</t>
        </is>
      </c>
    </row>
    <row r="33">
      <c r="A33" t="n">
        <v>1582</v>
      </c>
      <c r="B33" t="inlineStr">
        <is>
          <t>IGEÑO SANCHEZ, JOSE CARLOS</t>
        </is>
      </c>
      <c r="C33" t="inlineStr">
        <is>
          <t>SALUSTIANA</t>
        </is>
      </c>
      <c r="D33" t="inlineStr">
        <is>
          <t>calculated</t>
        </is>
      </c>
      <c r="E33" t="n">
        <v>5.11</v>
      </c>
      <c r="F33" t="n">
        <v>996.45</v>
      </c>
      <c r="G33" t="n">
        <v>208412</v>
      </c>
      <c r="H33" t="n">
        <v>0.004781154636009443</v>
      </c>
      <c r="I33" t="n">
        <v>181394</v>
      </c>
      <c r="J33" t="n">
        <v>867.27</v>
      </c>
      <c r="K33" t="inlineStr">
        <is>
          <t>312 entregas ya figuran como liquidadas.; No existe tarifa BonCalidad para socio=1582 campaña=2026 empresa=1 cultivo=CITRICOS.; No existe fuente acumulada disponible; saldo informativo calculado con cuota ya aplicada = 0.</t>
        </is>
      </c>
    </row>
    <row r="34">
      <c r="A34" t="n">
        <v>1585</v>
      </c>
      <c r="B34" t="inlineStr">
        <is>
          <t>CESPEDES AGUILAR, PATRICIA</t>
        </is>
      </c>
      <c r="C34" t="inlineStr">
        <is>
          <t>SALUSTIANA</t>
        </is>
      </c>
      <c r="D34" t="inlineStr">
        <is>
          <t>calculated</t>
        </is>
      </c>
      <c r="E34" t="n">
        <v>8.34</v>
      </c>
      <c r="F34" t="n">
        <v>1626.3</v>
      </c>
      <c r="G34" t="n">
        <v>241627</v>
      </c>
      <c r="H34" t="n">
        <v>0.006730621991747611</v>
      </c>
      <c r="I34" t="n">
        <v>141229</v>
      </c>
      <c r="J34" t="n">
        <v>950.5599999999999</v>
      </c>
      <c r="K34" t="inlineStr">
        <is>
          <t>312 entregas ya figuran como liquidadas.; No existe tarifa BonCalidad para socio=1585 campaña=2026 empresa=1 cultivo=CITRICOS.; No existe fuente acumulada disponible; saldo informativo calculado con cuota ya aplicada = 0.</t>
        </is>
      </c>
    </row>
    <row r="35">
      <c r="A35" t="n">
        <v>1597</v>
      </c>
      <c r="B35" t="inlineStr">
        <is>
          <t>CARBALLO SIRIA, ANTONIO JOSE</t>
        </is>
      </c>
      <c r="C35" t="inlineStr">
        <is>
          <t>SALUSTIANA</t>
        </is>
      </c>
      <c r="D35" t="inlineStr">
        <is>
          <t>calculated</t>
        </is>
      </c>
      <c r="E35" t="n">
        <v>5.63</v>
      </c>
      <c r="F35" t="n">
        <v>1097.85</v>
      </c>
      <c r="G35" t="n">
        <v>119651</v>
      </c>
      <c r="H35" t="n">
        <v>0.00917543522411012</v>
      </c>
      <c r="I35" t="n">
        <v>72085</v>
      </c>
      <c r="J35" t="n">
        <v>661.41</v>
      </c>
      <c r="K35" t="inlineStr">
        <is>
          <t>312 entregas ya figuran como liquidadas.; No existe tarifa BonCalidad para socio=1597 campaña=2026 empresa=1 cultivo=CITRICOS.; No existe fuente acumulada disponible; saldo informativo calculado con cuota ya aplicada = 0.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Variedad</t>
        </is>
      </c>
      <c r="D1" t="inlineStr">
        <is>
          <t>Campaña</t>
        </is>
      </c>
      <c r="E1" t="inlineStr">
        <is>
          <t>Empresa</t>
        </is>
      </c>
      <c r="F1" t="inlineStr">
        <is>
          <t>Cultivo remesa</t>
        </is>
      </c>
      <c r="G1" t="inlineStr">
        <is>
          <t>Checkbox AplGlobal</t>
        </is>
      </c>
      <c r="H1" t="inlineStr">
        <is>
          <t>Certificado</t>
        </is>
      </c>
      <c r="I1" t="inlineStr">
        <is>
          <t>Certificación incoherente</t>
        </is>
      </c>
      <c r="J1" t="inlineStr">
        <is>
          <t>Cultivos certificados</t>
        </is>
      </c>
      <c r="K1" t="inlineStr">
        <is>
          <t>Cultivos no certificados</t>
        </is>
      </c>
      <c r="L1" t="inlineStr">
        <is>
          <t>NivelGlobal</t>
        </is>
      </c>
      <c r="M1" t="inlineStr">
        <is>
          <t>Índice</t>
        </is>
      </c>
      <c r="N1" t="inlineStr">
        <is>
          <t>Bonificación base</t>
        </is>
      </c>
      <c r="O1" t="inlineStr">
        <is>
          <t>Categoría</t>
        </is>
      </c>
      <c r="P1" t="inlineStr">
        <is>
          <t>Base utilizada</t>
        </is>
      </c>
      <c r="Q1" t="inlineStr">
        <is>
          <t>Neto efectivo</t>
        </is>
      </c>
      <c r="R1" t="inlineStr">
        <is>
          <t>Neto comercial</t>
        </is>
      </c>
      <c r="S1" t="inlineStr">
        <is>
          <t>Kilos base</t>
        </is>
      </c>
      <c r="T1" t="inlineStr">
        <is>
          <t>Importe detectado</t>
        </is>
      </c>
      <c r="U1" t="inlineStr">
        <is>
          <t>Importe aplicado</t>
        </is>
      </c>
      <c r="V1" t="inlineStr">
        <is>
          <t>Importe almacenado en modelo</t>
        </is>
      </c>
      <c r="W1" t="inlineStr">
        <is>
          <t>Importe exportado a Resumen</t>
        </is>
      </c>
      <c r="X1" t="inlineStr">
        <is>
          <t>Estado</t>
        </is>
      </c>
      <c r="Y1" t="inlineStr">
        <is>
          <t>Advertencias</t>
        </is>
      </c>
      <c r="Z1" t="inlineStr">
        <is>
          <t>Alineado</t>
        </is>
      </c>
    </row>
    <row r="2">
      <c r="A2" t="n">
        <v>869</v>
      </c>
      <c r="B2" t="inlineStr">
        <is>
          <t>IGEÑO LUQUE,JOSE</t>
        </is>
      </c>
      <c r="C2" t="inlineStr">
        <is>
          <t>SALUSTIANA</t>
        </is>
      </c>
      <c r="D2" t="inlineStr">
        <is>
          <t>2026</t>
        </is>
      </c>
      <c r="E2" t="inlineStr">
        <is>
          <t>1</t>
        </is>
      </c>
      <c r="F2" t="inlineStr">
        <is>
          <t>CITRICOS</t>
        </is>
      </c>
      <c r="G2" t="inlineStr">
        <is>
          <t>SÍ</t>
        </is>
      </c>
      <c r="H2" t="inlineStr">
        <is>
          <t>NO</t>
        </is>
      </c>
      <c r="I2" t="inlineStr">
        <is>
          <t>NO</t>
        </is>
      </c>
      <c r="J2" t="inlineStr"/>
      <c r="K2" t="inlineStr">
        <is>
          <t>CITRICOS, KAKIS</t>
        </is>
      </c>
      <c r="N2" t="n">
        <v>0.01803</v>
      </c>
      <c r="O2" t="n">
        <v>0</v>
      </c>
      <c r="Q2" t="n">
        <v>34508</v>
      </c>
      <c r="R2" t="n">
        <v>29890.518839</v>
      </c>
      <c r="U2" t="n">
        <v>0</v>
      </c>
      <c r="V2" t="n">
        <v>0</v>
      </c>
      <c r="W2" t="n">
        <v>0</v>
      </c>
      <c r="X2" t="inlineStr">
        <is>
          <t>not_applicable</t>
        </is>
      </c>
      <c r="Y2" t="inlineStr"/>
      <c r="Z2" t="inlineStr">
        <is>
          <t>SÍ</t>
        </is>
      </c>
    </row>
    <row r="3">
      <c r="A3" t="n">
        <v>883</v>
      </c>
      <c r="B3" t="inlineStr">
        <is>
          <t>TORO SANCHEZ,TERESA</t>
        </is>
      </c>
      <c r="C3" t="inlineStr">
        <is>
          <t>SALUSTIANA</t>
        </is>
      </c>
      <c r="D3" t="inlineStr">
        <is>
          <t>2026</t>
        </is>
      </c>
      <c r="E3" t="inlineStr">
        <is>
          <t>1</t>
        </is>
      </c>
      <c r="F3" t="inlineStr">
        <is>
          <t>CITRICOS</t>
        </is>
      </c>
      <c r="G3" t="inlineStr">
        <is>
          <t>SÍ</t>
        </is>
      </c>
      <c r="H3" t="inlineStr">
        <is>
          <t>SÍ</t>
        </is>
      </c>
      <c r="I3" t="inlineStr">
        <is>
          <t>NO</t>
        </is>
      </c>
      <c r="J3" t="inlineStr">
        <is>
          <t>CITRICOS</t>
        </is>
      </c>
      <c r="K3" t="inlineStr"/>
      <c r="L3" t="inlineStr">
        <is>
          <t>ORO</t>
        </is>
      </c>
      <c r="M3" t="n">
        <v>1</v>
      </c>
      <c r="N3" t="n">
        <v>0.01803</v>
      </c>
      <c r="O3" t="n">
        <v>0</v>
      </c>
      <c r="P3" t="inlineStr">
        <is>
          <t>neto_comercial</t>
        </is>
      </c>
      <c r="Q3" t="n">
        <v>140757</v>
      </c>
      <c r="R3" t="n">
        <v>117388.194136</v>
      </c>
      <c r="S3" t="n">
        <v>117388.194136</v>
      </c>
      <c r="T3" t="n">
        <v>2116.51</v>
      </c>
      <c r="U3" t="n">
        <v>2116.51</v>
      </c>
      <c r="V3" t="n">
        <v>2116.51</v>
      </c>
      <c r="W3" t="n">
        <v>2116.51</v>
      </c>
      <c r="X3" t="inlineStr">
        <is>
          <t>calculated</t>
        </is>
      </c>
      <c r="Y3" t="inlineStr"/>
      <c r="Z3" t="inlineStr">
        <is>
          <t>SÍ</t>
        </is>
      </c>
    </row>
    <row r="4">
      <c r="A4" t="n">
        <v>937</v>
      </c>
      <c r="B4" t="inlineStr">
        <is>
          <t>GALVEZ MACIAS,FRANCISCO</t>
        </is>
      </c>
      <c r="C4" t="inlineStr">
        <is>
          <t>SALUSTIANA</t>
        </is>
      </c>
      <c r="D4" t="inlineStr">
        <is>
          <t>2026</t>
        </is>
      </c>
      <c r="E4" t="inlineStr">
        <is>
          <t>1</t>
        </is>
      </c>
      <c r="F4" t="inlineStr">
        <is>
          <t>CITRICOS</t>
        </is>
      </c>
      <c r="G4" t="inlineStr">
        <is>
          <t>SÍ</t>
        </is>
      </c>
      <c r="H4" t="inlineStr">
        <is>
          <t>SÍ</t>
        </is>
      </c>
      <c r="I4" t="inlineStr">
        <is>
          <t>NO</t>
        </is>
      </c>
      <c r="J4" t="inlineStr">
        <is>
          <t>CITRICOS</t>
        </is>
      </c>
      <c r="K4" t="inlineStr"/>
      <c r="L4" t="inlineStr">
        <is>
          <t>ORO</t>
        </is>
      </c>
      <c r="M4" t="n">
        <v>1</v>
      </c>
      <c r="N4" t="n">
        <v>0.01803</v>
      </c>
      <c r="O4" t="n">
        <v>0</v>
      </c>
      <c r="P4" t="inlineStr">
        <is>
          <t>neto_comercial</t>
        </is>
      </c>
      <c r="Q4" t="n">
        <v>211701</v>
      </c>
      <c r="R4" t="n">
        <v>157306.3698509</v>
      </c>
      <c r="S4" t="n">
        <v>157306.3698509</v>
      </c>
      <c r="T4" t="n">
        <v>2836.23</v>
      </c>
      <c r="U4" t="n">
        <v>2836.23</v>
      </c>
      <c r="V4" t="n">
        <v>2836.23</v>
      </c>
      <c r="W4" t="n">
        <v>2836.23</v>
      </c>
      <c r="X4" t="inlineStr">
        <is>
          <t>calculated</t>
        </is>
      </c>
      <c r="Y4" t="inlineStr"/>
      <c r="Z4" t="inlineStr">
        <is>
          <t>SÍ</t>
        </is>
      </c>
    </row>
    <row r="5">
      <c r="A5" t="n">
        <v>1072</v>
      </c>
      <c r="B5" t="inlineStr">
        <is>
          <t>GARCIA DELGADO,JUAN MANUEL</t>
        </is>
      </c>
      <c r="C5" t="inlineStr">
        <is>
          <t>SALUSTIANA</t>
        </is>
      </c>
      <c r="D5" t="inlineStr">
        <is>
          <t>2026</t>
        </is>
      </c>
      <c r="E5" t="inlineStr">
        <is>
          <t>1</t>
        </is>
      </c>
      <c r="F5" t="inlineStr">
        <is>
          <t>CITRICOS</t>
        </is>
      </c>
      <c r="G5" t="inlineStr">
        <is>
          <t>SÍ</t>
        </is>
      </c>
      <c r="H5" t="inlineStr">
        <is>
          <t>NO</t>
        </is>
      </c>
      <c r="I5" t="inlineStr">
        <is>
          <t>NO</t>
        </is>
      </c>
      <c r="J5" t="inlineStr"/>
      <c r="K5" t="inlineStr">
        <is>
          <t>CITRICOS</t>
        </is>
      </c>
      <c r="N5" t="n">
        <v>0.01803</v>
      </c>
      <c r="O5" t="n">
        <v>0</v>
      </c>
      <c r="Q5" t="n">
        <v>11898</v>
      </c>
      <c r="R5" t="n">
        <v>9518.40633</v>
      </c>
      <c r="U5" t="n">
        <v>0</v>
      </c>
      <c r="V5" t="n">
        <v>0</v>
      </c>
      <c r="W5" t="n">
        <v>0</v>
      </c>
      <c r="X5" t="inlineStr">
        <is>
          <t>not_applicable</t>
        </is>
      </c>
      <c r="Y5" t="inlineStr"/>
      <c r="Z5" t="inlineStr">
        <is>
          <t>SÍ</t>
        </is>
      </c>
    </row>
    <row r="6">
      <c r="A6" t="n">
        <v>1128</v>
      </c>
      <c r="B6" t="inlineStr">
        <is>
          <t>CARRILLO PEÑALVER,JOSE</t>
        </is>
      </c>
      <c r="C6" t="inlineStr">
        <is>
          <t>SALUSTIANA</t>
        </is>
      </c>
      <c r="D6" t="inlineStr">
        <is>
          <t>2026</t>
        </is>
      </c>
      <c r="E6" t="inlineStr">
        <is>
          <t>1</t>
        </is>
      </c>
      <c r="F6" t="inlineStr">
        <is>
          <t>CITRICOS</t>
        </is>
      </c>
      <c r="G6" t="inlineStr">
        <is>
          <t>SÍ</t>
        </is>
      </c>
      <c r="H6" t="inlineStr">
        <is>
          <t>NO</t>
        </is>
      </c>
      <c r="I6" t="inlineStr">
        <is>
          <t>NO</t>
        </is>
      </c>
      <c r="J6" t="inlineStr"/>
      <c r="K6" t="inlineStr">
        <is>
          <t>CITRICOS</t>
        </is>
      </c>
      <c r="N6" t="n">
        <v>0.01803</v>
      </c>
      <c r="O6" t="n">
        <v>0</v>
      </c>
      <c r="Q6" t="n">
        <v>20913</v>
      </c>
      <c r="R6" t="n">
        <v>18588.359578</v>
      </c>
      <c r="U6" t="n">
        <v>0</v>
      </c>
      <c r="V6" t="n">
        <v>0</v>
      </c>
      <c r="W6" t="n">
        <v>0</v>
      </c>
      <c r="X6" t="inlineStr">
        <is>
          <t>not_applicable</t>
        </is>
      </c>
      <c r="Y6" t="inlineStr"/>
      <c r="Z6" t="inlineStr">
        <is>
          <t>SÍ</t>
        </is>
      </c>
    </row>
    <row r="7">
      <c r="A7" t="n">
        <v>1133</v>
      </c>
      <c r="B7" t="inlineStr">
        <is>
          <t>MAYFE S.C.</t>
        </is>
      </c>
      <c r="C7" t="inlineStr">
        <is>
          <t>SALUSTIANA</t>
        </is>
      </c>
      <c r="D7" t="inlineStr">
        <is>
          <t>2026</t>
        </is>
      </c>
      <c r="E7" t="inlineStr">
        <is>
          <t>1</t>
        </is>
      </c>
      <c r="F7" t="inlineStr">
        <is>
          <t>CITRICOS</t>
        </is>
      </c>
      <c r="G7" t="inlineStr">
        <is>
          <t>SÍ</t>
        </is>
      </c>
      <c r="H7" t="inlineStr">
        <is>
          <t>NO</t>
        </is>
      </c>
      <c r="I7" t="inlineStr">
        <is>
          <t>NO</t>
        </is>
      </c>
      <c r="J7" t="inlineStr"/>
      <c r="K7" t="inlineStr">
        <is>
          <t>CITRICOS, MANDARINA</t>
        </is>
      </c>
      <c r="N7" t="n">
        <v>0.01803</v>
      </c>
      <c r="O7" t="n">
        <v>0</v>
      </c>
      <c r="Q7" t="n">
        <v>69429</v>
      </c>
      <c r="R7" t="n">
        <v>53479.6791</v>
      </c>
      <c r="U7" t="n">
        <v>0</v>
      </c>
      <c r="V7" t="n">
        <v>0</v>
      </c>
      <c r="W7" t="n">
        <v>0</v>
      </c>
      <c r="X7" t="inlineStr">
        <is>
          <t>not_applicable</t>
        </is>
      </c>
      <c r="Y7" t="inlineStr"/>
      <c r="Z7" t="inlineStr">
        <is>
          <t>SÍ</t>
        </is>
      </c>
    </row>
    <row r="8">
      <c r="A8" t="n">
        <v>1178</v>
      </c>
      <c r="B8" t="inlineStr">
        <is>
          <t>CALZADO GARCIA,FRANCISCO JAVIER</t>
        </is>
      </c>
      <c r="C8" t="inlineStr">
        <is>
          <t>SALUSTIANA</t>
        </is>
      </c>
      <c r="D8" t="inlineStr">
        <is>
          <t>2026</t>
        </is>
      </c>
      <c r="E8" t="inlineStr">
        <is>
          <t>1</t>
        </is>
      </c>
      <c r="F8" t="inlineStr">
        <is>
          <t>CITRICOS</t>
        </is>
      </c>
      <c r="G8" t="inlineStr">
        <is>
          <t>SÍ</t>
        </is>
      </c>
      <c r="H8" t="inlineStr">
        <is>
          <t>SÍ</t>
        </is>
      </c>
      <c r="I8" t="inlineStr">
        <is>
          <t>NO</t>
        </is>
      </c>
      <c r="J8" t="inlineStr">
        <is>
          <t>CITRICOS, KAKIS, MANDARINA</t>
        </is>
      </c>
      <c r="K8" t="inlineStr"/>
      <c r="L8" t="inlineStr">
        <is>
          <t>ORO</t>
        </is>
      </c>
      <c r="M8" t="n">
        <v>1</v>
      </c>
      <c r="N8" t="n">
        <v>0.01803</v>
      </c>
      <c r="O8" t="n">
        <v>0</v>
      </c>
      <c r="P8" t="inlineStr">
        <is>
          <t>neto_comercial</t>
        </is>
      </c>
      <c r="Q8" t="n">
        <v>73741</v>
      </c>
      <c r="R8" t="n">
        <v>65212.876807</v>
      </c>
      <c r="S8" t="n">
        <v>65212.876807</v>
      </c>
      <c r="T8" t="n">
        <v>1175.79</v>
      </c>
      <c r="U8" t="n">
        <v>1175.79</v>
      </c>
      <c r="V8" t="n">
        <v>1175.79</v>
      </c>
      <c r="W8" t="n">
        <v>1175.79</v>
      </c>
      <c r="X8" t="inlineStr">
        <is>
          <t>calculated</t>
        </is>
      </c>
      <c r="Y8" t="inlineStr"/>
      <c r="Z8" t="inlineStr">
        <is>
          <t>SÍ</t>
        </is>
      </c>
    </row>
    <row r="9">
      <c r="A9" t="n">
        <v>1202</v>
      </c>
      <c r="B9" t="inlineStr">
        <is>
          <t>FUENTES HINOJOSA,MANUEL</t>
        </is>
      </c>
      <c r="C9" t="inlineStr">
        <is>
          <t>SALUSTIANA</t>
        </is>
      </c>
      <c r="D9" t="inlineStr">
        <is>
          <t>2026</t>
        </is>
      </c>
      <c r="E9" t="inlineStr">
        <is>
          <t>1</t>
        </is>
      </c>
      <c r="F9" t="inlineStr">
        <is>
          <t>CITRICOS</t>
        </is>
      </c>
      <c r="G9" t="inlineStr">
        <is>
          <t>SÍ</t>
        </is>
      </c>
      <c r="H9" t="inlineStr">
        <is>
          <t>NO</t>
        </is>
      </c>
      <c r="I9" t="inlineStr">
        <is>
          <t>NO</t>
        </is>
      </c>
      <c r="J9" t="inlineStr"/>
      <c r="K9" t="inlineStr">
        <is>
          <t>CITRICOS</t>
        </is>
      </c>
      <c r="N9" t="n">
        <v>0.01803</v>
      </c>
      <c r="O9" t="n">
        <v>0</v>
      </c>
      <c r="Q9" t="n">
        <v>30834</v>
      </c>
      <c r="R9" t="n">
        <v>28294.195859</v>
      </c>
      <c r="U9" t="n">
        <v>0</v>
      </c>
      <c r="V9" t="n">
        <v>0</v>
      </c>
      <c r="W9" t="n">
        <v>0</v>
      </c>
      <c r="X9" t="inlineStr">
        <is>
          <t>not_applicable</t>
        </is>
      </c>
      <c r="Y9" t="inlineStr"/>
      <c r="Z9" t="inlineStr">
        <is>
          <t>SÍ</t>
        </is>
      </c>
    </row>
    <row r="10">
      <c r="A10" t="n">
        <v>1219</v>
      </c>
      <c r="B10" t="inlineStr">
        <is>
          <t>LORA BUIZA,GREGORIO</t>
        </is>
      </c>
      <c r="C10" t="inlineStr">
        <is>
          <t>SALUSTIANA</t>
        </is>
      </c>
      <c r="D10" t="inlineStr">
        <is>
          <t>2026</t>
        </is>
      </c>
      <c r="E10" t="inlineStr">
        <is>
          <t>1</t>
        </is>
      </c>
      <c r="F10" t="inlineStr">
        <is>
          <t>CITRICOS</t>
        </is>
      </c>
      <c r="G10" t="inlineStr">
        <is>
          <t>SÍ</t>
        </is>
      </c>
      <c r="H10" t="inlineStr">
        <is>
          <t>NO</t>
        </is>
      </c>
      <c r="I10" t="inlineStr">
        <is>
          <t>NO</t>
        </is>
      </c>
      <c r="J10" t="inlineStr"/>
      <c r="K10" t="inlineStr">
        <is>
          <t>CITRICOS</t>
        </is>
      </c>
      <c r="N10" t="n">
        <v>0.01803</v>
      </c>
      <c r="O10" t="n">
        <v>0</v>
      </c>
      <c r="Q10" t="n">
        <v>3679</v>
      </c>
      <c r="R10" t="n">
        <v>2785.555504</v>
      </c>
      <c r="U10" t="n">
        <v>0</v>
      </c>
      <c r="V10" t="n">
        <v>0</v>
      </c>
      <c r="W10" t="n">
        <v>0</v>
      </c>
      <c r="X10" t="inlineStr">
        <is>
          <t>not_applicable</t>
        </is>
      </c>
      <c r="Y10" t="inlineStr"/>
      <c r="Z10" t="inlineStr">
        <is>
          <t>SÍ</t>
        </is>
      </c>
    </row>
    <row r="11">
      <c r="A11" t="n">
        <v>1251</v>
      </c>
      <c r="B11" t="inlineStr">
        <is>
          <t>DURAN ALMENARA,ANGELES</t>
        </is>
      </c>
      <c r="C11" t="inlineStr">
        <is>
          <t>SALUSTIANA</t>
        </is>
      </c>
      <c r="D11" t="inlineStr">
        <is>
          <t>2026</t>
        </is>
      </c>
      <c r="E11" t="inlineStr">
        <is>
          <t>1</t>
        </is>
      </c>
      <c r="F11" t="inlineStr">
        <is>
          <t>CITRICOS</t>
        </is>
      </c>
      <c r="G11" t="inlineStr">
        <is>
          <t>SÍ</t>
        </is>
      </c>
      <c r="H11" t="inlineStr">
        <is>
          <t>NO</t>
        </is>
      </c>
      <c r="I11" t="inlineStr">
        <is>
          <t>NO</t>
        </is>
      </c>
      <c r="J11" t="inlineStr"/>
      <c r="K11" t="inlineStr">
        <is>
          <t>CITRICOS</t>
        </is>
      </c>
      <c r="N11" t="n">
        <v>0.01803</v>
      </c>
      <c r="O11" t="n">
        <v>0</v>
      </c>
      <c r="Q11" t="n">
        <v>38737</v>
      </c>
      <c r="R11" t="n">
        <v>29969.1044316</v>
      </c>
      <c r="U11" t="n">
        <v>0</v>
      </c>
      <c r="V11" t="n">
        <v>0</v>
      </c>
      <c r="W11" t="n">
        <v>0</v>
      </c>
      <c r="X11" t="inlineStr">
        <is>
          <t>not_applicable</t>
        </is>
      </c>
      <c r="Y11" t="inlineStr"/>
      <c r="Z11" t="inlineStr">
        <is>
          <t>SÍ</t>
        </is>
      </c>
    </row>
    <row r="12">
      <c r="A12" t="n">
        <v>1272</v>
      </c>
      <c r="B12" t="inlineStr">
        <is>
          <t>HERMANOS GONZALEZ ROLDAN,S.C.</t>
        </is>
      </c>
      <c r="C12" t="inlineStr">
        <is>
          <t>SALUSTIANA</t>
        </is>
      </c>
      <c r="D12" t="inlineStr">
        <is>
          <t>2026</t>
        </is>
      </c>
      <c r="E12" t="inlineStr">
        <is>
          <t>1</t>
        </is>
      </c>
      <c r="F12" t="inlineStr">
        <is>
          <t>CITRICOS</t>
        </is>
      </c>
      <c r="G12" t="inlineStr">
        <is>
          <t>SÍ</t>
        </is>
      </c>
      <c r="H12" t="inlineStr">
        <is>
          <t>SÍ</t>
        </is>
      </c>
      <c r="I12" t="inlineStr">
        <is>
          <t>NO</t>
        </is>
      </c>
      <c r="J12" t="inlineStr">
        <is>
          <t>CITRICOS</t>
        </is>
      </c>
      <c r="K12" t="inlineStr"/>
      <c r="L12" t="inlineStr">
        <is>
          <t>ORO</t>
        </is>
      </c>
      <c r="M12" t="n">
        <v>1</v>
      </c>
      <c r="N12" t="n">
        <v>0.01803</v>
      </c>
      <c r="O12" t="n">
        <v>0</v>
      </c>
      <c r="P12" t="inlineStr">
        <is>
          <t>neto_comercial</t>
        </is>
      </c>
      <c r="Q12" t="n">
        <v>74671</v>
      </c>
      <c r="R12" t="n">
        <v>51102.7717056</v>
      </c>
      <c r="S12" t="n">
        <v>51102.7717056</v>
      </c>
      <c r="T12" t="n">
        <v>921.38</v>
      </c>
      <c r="U12" t="n">
        <v>921.38</v>
      </c>
      <c r="V12" t="n">
        <v>921.38</v>
      </c>
      <c r="W12" t="n">
        <v>921.38</v>
      </c>
      <c r="X12" t="inlineStr">
        <is>
          <t>calculated</t>
        </is>
      </c>
      <c r="Y12" t="inlineStr"/>
      <c r="Z12" t="inlineStr">
        <is>
          <t>SÍ</t>
        </is>
      </c>
    </row>
    <row r="13">
      <c r="A13" t="n">
        <v>1316</v>
      </c>
      <c r="B13" t="inlineStr">
        <is>
          <t>JIMENA GARCIA,JUAN MANUEL</t>
        </is>
      </c>
      <c r="C13" t="inlineStr">
        <is>
          <t>SALUSTIANA</t>
        </is>
      </c>
      <c r="D13" t="inlineStr">
        <is>
          <t>2026</t>
        </is>
      </c>
      <c r="E13" t="inlineStr">
        <is>
          <t>1</t>
        </is>
      </c>
      <c r="F13" t="inlineStr">
        <is>
          <t>CITRICOS</t>
        </is>
      </c>
      <c r="G13" t="inlineStr">
        <is>
          <t>SÍ</t>
        </is>
      </c>
      <c r="H13" t="inlineStr">
        <is>
          <t>NO</t>
        </is>
      </c>
      <c r="I13" t="inlineStr">
        <is>
          <t>NO</t>
        </is>
      </c>
      <c r="J13" t="inlineStr"/>
      <c r="K13" t="inlineStr">
        <is>
          <t>CITRICOS</t>
        </is>
      </c>
      <c r="N13" t="n">
        <v>0.01803</v>
      </c>
      <c r="O13" t="n">
        <v>0</v>
      </c>
      <c r="Q13" t="n">
        <v>57732</v>
      </c>
      <c r="R13" t="n">
        <v>40372.3162566</v>
      </c>
      <c r="U13" t="n">
        <v>0</v>
      </c>
      <c r="V13" t="n">
        <v>0</v>
      </c>
      <c r="W13" t="n">
        <v>0</v>
      </c>
      <c r="X13" t="inlineStr">
        <is>
          <t>not_applicable</t>
        </is>
      </c>
      <c r="Y13" t="inlineStr"/>
      <c r="Z13" t="inlineStr">
        <is>
          <t>SÍ</t>
        </is>
      </c>
    </row>
    <row r="14">
      <c r="A14" t="n">
        <v>1350</v>
      </c>
      <c r="B14" t="inlineStr">
        <is>
          <t>FAMILIA GONZALEZ LACAL S.C.</t>
        </is>
      </c>
      <c r="C14" t="inlineStr">
        <is>
          <t>SALUSTIANA</t>
        </is>
      </c>
      <c r="D14" t="inlineStr">
        <is>
          <t>2026</t>
        </is>
      </c>
      <c r="E14" t="inlineStr">
        <is>
          <t>1</t>
        </is>
      </c>
      <c r="F14" t="inlineStr">
        <is>
          <t>CITRICOS</t>
        </is>
      </c>
      <c r="G14" t="inlineStr">
        <is>
          <t>SÍ</t>
        </is>
      </c>
      <c r="H14" t="inlineStr">
        <is>
          <t>SÍ</t>
        </is>
      </c>
      <c r="I14" t="inlineStr">
        <is>
          <t>SÍ</t>
        </is>
      </c>
      <c r="J14" t="inlineStr">
        <is>
          <t>CITRICOS</t>
        </is>
      </c>
      <c r="K14" t="inlineStr">
        <is>
          <t>CITRICOS</t>
        </is>
      </c>
      <c r="L14" t="inlineStr">
        <is>
          <t>ORO</t>
        </is>
      </c>
      <c r="M14" t="n">
        <v>1</v>
      </c>
      <c r="N14" t="n">
        <v>0.01803</v>
      </c>
      <c r="O14" t="n">
        <v>0</v>
      </c>
      <c r="P14" t="inlineStr">
        <is>
          <t>neto_comercial</t>
        </is>
      </c>
      <c r="Q14" t="n">
        <v>24320</v>
      </c>
      <c r="R14" t="n">
        <v>17026.0247443</v>
      </c>
      <c r="S14" t="n">
        <v>17026.0247443</v>
      </c>
      <c r="T14" t="n">
        <v>306.98</v>
      </c>
      <c r="U14" t="n">
        <v>306.98</v>
      </c>
      <c r="V14" t="n">
        <v>306.98</v>
      </c>
      <c r="W14" t="n">
        <v>306.98</v>
      </c>
      <c r="X14" t="inlineStr">
        <is>
          <t>calculated</t>
        </is>
      </c>
      <c r="Y14" t="inlineStr">
        <is>
          <t>El socio 1350 figura certificado GlobalGAP en CITRICOS pero no en CITRICOS. Se ha aplicado la certificación global del socio. Revise DEEPP.</t>
        </is>
      </c>
      <c r="Z14" t="inlineStr">
        <is>
          <t>SÍ</t>
        </is>
      </c>
    </row>
    <row r="15">
      <c r="A15" t="n">
        <v>1354</v>
      </c>
      <c r="B15" t="inlineStr">
        <is>
          <t>MARTIN PORTALES,ALFREDO</t>
        </is>
      </c>
      <c r="C15" t="inlineStr">
        <is>
          <t>SALUSTIANA</t>
        </is>
      </c>
      <c r="D15" t="inlineStr">
        <is>
          <t>2026</t>
        </is>
      </c>
      <c r="E15" t="inlineStr">
        <is>
          <t>1</t>
        </is>
      </c>
      <c r="F15" t="inlineStr">
        <is>
          <t>CITRICOS</t>
        </is>
      </c>
      <c r="G15" t="inlineStr">
        <is>
          <t>SÍ</t>
        </is>
      </c>
      <c r="H15" t="inlineStr">
        <is>
          <t>NO</t>
        </is>
      </c>
      <c r="I15" t="inlineStr">
        <is>
          <t>NO</t>
        </is>
      </c>
      <c r="J15" t="inlineStr"/>
      <c r="K15" t="inlineStr">
        <is>
          <t>CITRICOS</t>
        </is>
      </c>
      <c r="N15" t="n">
        <v>0.01803</v>
      </c>
      <c r="O15" t="n">
        <v>0</v>
      </c>
      <c r="Q15" t="n">
        <v>148012</v>
      </c>
      <c r="R15" t="n">
        <v>120952.5482155</v>
      </c>
      <c r="U15" t="n">
        <v>0</v>
      </c>
      <c r="V15" t="n">
        <v>0</v>
      </c>
      <c r="W15" t="n">
        <v>0</v>
      </c>
      <c r="X15" t="inlineStr">
        <is>
          <t>not_applicable</t>
        </is>
      </c>
      <c r="Y15" t="inlineStr"/>
      <c r="Z15" t="inlineStr">
        <is>
          <t>SÍ</t>
        </is>
      </c>
    </row>
    <row r="16">
      <c r="A16" t="n">
        <v>1355</v>
      </c>
      <c r="B16" t="inlineStr">
        <is>
          <t>CANO MANZANARES,JUAN ANTONIO</t>
        </is>
      </c>
      <c r="C16" t="inlineStr">
        <is>
          <t>SALUSTIANA</t>
        </is>
      </c>
      <c r="D16" t="inlineStr">
        <is>
          <t>2026</t>
        </is>
      </c>
      <c r="E16" t="inlineStr">
        <is>
          <t>1</t>
        </is>
      </c>
      <c r="F16" t="inlineStr">
        <is>
          <t>CITRICOS</t>
        </is>
      </c>
      <c r="G16" t="inlineStr">
        <is>
          <t>SÍ</t>
        </is>
      </c>
      <c r="H16" t="inlineStr">
        <is>
          <t>SÍ</t>
        </is>
      </c>
      <c r="I16" t="inlineStr">
        <is>
          <t>NO</t>
        </is>
      </c>
      <c r="J16" t="inlineStr">
        <is>
          <t>CITRICOS, MANDARINA, SANDIA</t>
        </is>
      </c>
      <c r="K16" t="inlineStr"/>
      <c r="L16" t="inlineStr">
        <is>
          <t>ORO</t>
        </is>
      </c>
      <c r="M16" t="n">
        <v>1</v>
      </c>
      <c r="N16" t="n">
        <v>0.01803</v>
      </c>
      <c r="O16" t="n">
        <v>0</v>
      </c>
      <c r="P16" t="inlineStr">
        <is>
          <t>neto_comercial</t>
        </is>
      </c>
      <c r="Q16" t="n">
        <v>212858</v>
      </c>
      <c r="R16" t="n">
        <v>189132.5221764</v>
      </c>
      <c r="S16" t="n">
        <v>189132.5221764</v>
      </c>
      <c r="T16" t="n">
        <v>3410.06</v>
      </c>
      <c r="U16" t="n">
        <v>3410.06</v>
      </c>
      <c r="V16" t="n">
        <v>3410.06</v>
      </c>
      <c r="W16" t="n">
        <v>3410.06</v>
      </c>
      <c r="X16" t="inlineStr">
        <is>
          <t>calculated</t>
        </is>
      </c>
      <c r="Y16" t="inlineStr"/>
      <c r="Z16" t="inlineStr">
        <is>
          <t>SÍ</t>
        </is>
      </c>
    </row>
    <row r="17">
      <c r="A17" t="n">
        <v>1374</v>
      </c>
      <c r="B17" t="inlineStr">
        <is>
          <t>MORENO SANCHEZ,JOSE ANTONIO</t>
        </is>
      </c>
      <c r="C17" t="inlineStr">
        <is>
          <t>SALUSTIANA</t>
        </is>
      </c>
      <c r="D17" t="inlineStr">
        <is>
          <t>2026</t>
        </is>
      </c>
      <c r="E17" t="inlineStr">
        <is>
          <t>1</t>
        </is>
      </c>
      <c r="F17" t="inlineStr">
        <is>
          <t>CITRICOS</t>
        </is>
      </c>
      <c r="G17" t="inlineStr">
        <is>
          <t>SÍ</t>
        </is>
      </c>
      <c r="H17" t="inlineStr">
        <is>
          <t>NO</t>
        </is>
      </c>
      <c r="I17" t="inlineStr">
        <is>
          <t>NO</t>
        </is>
      </c>
      <c r="J17" t="inlineStr"/>
      <c r="K17" t="inlineStr">
        <is>
          <t>CITRICOS</t>
        </is>
      </c>
      <c r="N17" t="n">
        <v>0.01803</v>
      </c>
      <c r="O17" t="n">
        <v>0</v>
      </c>
      <c r="Q17" t="n">
        <v>51699</v>
      </c>
      <c r="R17" t="n">
        <v>45210.1691457</v>
      </c>
      <c r="U17" t="n">
        <v>0</v>
      </c>
      <c r="V17" t="n">
        <v>0</v>
      </c>
      <c r="W17" t="n">
        <v>0</v>
      </c>
      <c r="X17" t="inlineStr">
        <is>
          <t>not_applicable</t>
        </is>
      </c>
      <c r="Y17" t="inlineStr"/>
      <c r="Z17" t="inlineStr">
        <is>
          <t>SÍ</t>
        </is>
      </c>
    </row>
    <row r="18">
      <c r="A18" t="n">
        <v>1389</v>
      </c>
      <c r="B18" t="inlineStr">
        <is>
          <t>AGRICOLA HUERTA LA MEJORA S.C.</t>
        </is>
      </c>
      <c r="C18" t="inlineStr">
        <is>
          <t>SALUSTIANA</t>
        </is>
      </c>
      <c r="D18" t="inlineStr">
        <is>
          <t>2026</t>
        </is>
      </c>
      <c r="E18" t="inlineStr">
        <is>
          <t>1</t>
        </is>
      </c>
      <c r="F18" t="inlineStr">
        <is>
          <t>CITRICOS</t>
        </is>
      </c>
      <c r="G18" t="inlineStr">
        <is>
          <t>SÍ</t>
        </is>
      </c>
      <c r="H18" t="inlineStr">
        <is>
          <t>SÍ</t>
        </is>
      </c>
      <c r="I18" t="inlineStr">
        <is>
          <t>NO</t>
        </is>
      </c>
      <c r="J18" t="inlineStr">
        <is>
          <t>CITRICOS, KAKIS</t>
        </is>
      </c>
      <c r="K18" t="inlineStr"/>
      <c r="L18" t="inlineStr">
        <is>
          <t>ORO</t>
        </is>
      </c>
      <c r="M18" t="n">
        <v>1</v>
      </c>
      <c r="N18" t="n">
        <v>0.01803</v>
      </c>
      <c r="O18" t="n">
        <v>0</v>
      </c>
      <c r="P18" t="inlineStr">
        <is>
          <t>neto_comercial</t>
        </is>
      </c>
      <c r="Q18" t="n">
        <v>47840</v>
      </c>
      <c r="R18" t="n">
        <v>42036.353669</v>
      </c>
      <c r="S18" t="n">
        <v>42036.353669</v>
      </c>
      <c r="T18" t="n">
        <v>757.92</v>
      </c>
      <c r="U18" t="n">
        <v>757.92</v>
      </c>
      <c r="V18" t="n">
        <v>757.92</v>
      </c>
      <c r="W18" t="n">
        <v>757.92</v>
      </c>
      <c r="X18" t="inlineStr">
        <is>
          <t>calculated</t>
        </is>
      </c>
      <c r="Y18" t="inlineStr"/>
      <c r="Z18" t="inlineStr">
        <is>
          <t>SÍ</t>
        </is>
      </c>
    </row>
    <row r="19">
      <c r="A19" t="n">
        <v>1395</v>
      </c>
      <c r="B19" t="inlineStr">
        <is>
          <t>AGRICOLA HERMANOS BUIZA S.C.</t>
        </is>
      </c>
      <c r="C19" t="inlineStr">
        <is>
          <t>SALUSTIANA</t>
        </is>
      </c>
      <c r="D19" t="inlineStr">
        <is>
          <t>2026</t>
        </is>
      </c>
      <c r="E19" t="inlineStr">
        <is>
          <t>1</t>
        </is>
      </c>
      <c r="F19" t="inlineStr">
        <is>
          <t>CITRICOS</t>
        </is>
      </c>
      <c r="G19" t="inlineStr">
        <is>
          <t>SÍ</t>
        </is>
      </c>
      <c r="H19" t="inlineStr">
        <is>
          <t>SÍ</t>
        </is>
      </c>
      <c r="I19" t="inlineStr">
        <is>
          <t>NO</t>
        </is>
      </c>
      <c r="J19" t="inlineStr">
        <is>
          <t>CITRICOS</t>
        </is>
      </c>
      <c r="K19" t="inlineStr"/>
      <c r="L19" t="inlineStr">
        <is>
          <t>ORO</t>
        </is>
      </c>
      <c r="M19" t="n">
        <v>1</v>
      </c>
      <c r="N19" t="n">
        <v>0.01803</v>
      </c>
      <c r="O19" t="n">
        <v>0</v>
      </c>
      <c r="P19" t="inlineStr">
        <is>
          <t>neto_comercial</t>
        </is>
      </c>
      <c r="Q19" t="n">
        <v>22880</v>
      </c>
      <c r="R19" t="n">
        <v>18204.063737</v>
      </c>
      <c r="S19" t="n">
        <v>18204.063737</v>
      </c>
      <c r="T19" t="n">
        <v>328.22</v>
      </c>
      <c r="U19" t="n">
        <v>328.22</v>
      </c>
      <c r="V19" t="n">
        <v>328.22</v>
      </c>
      <c r="W19" t="n">
        <v>328.22</v>
      </c>
      <c r="X19" t="inlineStr">
        <is>
          <t>calculated</t>
        </is>
      </c>
      <c r="Y19" t="inlineStr"/>
      <c r="Z19" t="inlineStr">
        <is>
          <t>SÍ</t>
        </is>
      </c>
    </row>
    <row r="20">
      <c r="A20" t="n">
        <v>1411</v>
      </c>
      <c r="B20" t="inlineStr">
        <is>
          <t>HERMANOS PEÑA GRIÑAN S.C.</t>
        </is>
      </c>
      <c r="C20" t="inlineStr">
        <is>
          <t>SALUSTIANA</t>
        </is>
      </c>
      <c r="D20" t="inlineStr">
        <is>
          <t>2026</t>
        </is>
      </c>
      <c r="E20" t="inlineStr">
        <is>
          <t>1</t>
        </is>
      </c>
      <c r="F20" t="inlineStr">
        <is>
          <t>CITRICOS</t>
        </is>
      </c>
      <c r="G20" t="inlineStr">
        <is>
          <t>SÍ</t>
        </is>
      </c>
      <c r="H20" t="inlineStr">
        <is>
          <t>NO</t>
        </is>
      </c>
      <c r="I20" t="inlineStr">
        <is>
          <t>NO</t>
        </is>
      </c>
      <c r="J20" t="inlineStr"/>
      <c r="K20" t="inlineStr">
        <is>
          <t>CITRICOS</t>
        </is>
      </c>
      <c r="N20" t="n">
        <v>0.01803</v>
      </c>
      <c r="O20" t="n">
        <v>0</v>
      </c>
      <c r="Q20" t="n">
        <v>66051</v>
      </c>
      <c r="R20" t="n">
        <v>54728.83077912</v>
      </c>
      <c r="U20" t="n">
        <v>0</v>
      </c>
      <c r="V20" t="n">
        <v>0</v>
      </c>
      <c r="W20" t="n">
        <v>0</v>
      </c>
      <c r="X20" t="inlineStr">
        <is>
          <t>not_applicable</t>
        </is>
      </c>
      <c r="Y20" t="inlineStr"/>
      <c r="Z20" t="inlineStr">
        <is>
          <t>SÍ</t>
        </is>
      </c>
    </row>
    <row r="21">
      <c r="A21" t="n">
        <v>1419</v>
      </c>
      <c r="B21" t="inlineStr">
        <is>
          <t>MORAL GARCIA,JOSE ANTONIO</t>
        </is>
      </c>
      <c r="C21" t="inlineStr">
        <is>
          <t>SALUSTIANA</t>
        </is>
      </c>
      <c r="D21" t="inlineStr">
        <is>
          <t>2026</t>
        </is>
      </c>
      <c r="E21" t="inlineStr">
        <is>
          <t>1</t>
        </is>
      </c>
      <c r="F21" t="inlineStr">
        <is>
          <t>CITRICOS</t>
        </is>
      </c>
      <c r="G21" t="inlineStr">
        <is>
          <t>SÍ</t>
        </is>
      </c>
      <c r="H21" t="inlineStr">
        <is>
          <t>NO</t>
        </is>
      </c>
      <c r="I21" t="inlineStr">
        <is>
          <t>NO</t>
        </is>
      </c>
      <c r="J21" t="inlineStr"/>
      <c r="K21" t="inlineStr">
        <is>
          <t>CITRICOS</t>
        </is>
      </c>
      <c r="N21" t="n">
        <v>0.01803</v>
      </c>
      <c r="O21" t="n">
        <v>0</v>
      </c>
      <c r="Q21" t="n">
        <v>22950</v>
      </c>
      <c r="R21" t="n">
        <v>16529.04986</v>
      </c>
      <c r="U21" t="n">
        <v>0</v>
      </c>
      <c r="V21" t="n">
        <v>0</v>
      </c>
      <c r="W21" t="n">
        <v>0</v>
      </c>
      <c r="X21" t="inlineStr">
        <is>
          <t>not_applicable</t>
        </is>
      </c>
      <c r="Y21" t="inlineStr"/>
      <c r="Z21" t="inlineStr">
        <is>
          <t>SÍ</t>
        </is>
      </c>
    </row>
    <row r="22">
      <c r="A22" t="n">
        <v>1421</v>
      </c>
      <c r="B22" t="inlineStr">
        <is>
          <t>GARCIA GONZALEZ,ISIDORA</t>
        </is>
      </c>
      <c r="C22" t="inlineStr">
        <is>
          <t>SALUSTIANA</t>
        </is>
      </c>
      <c r="D22" t="inlineStr">
        <is>
          <t>2026</t>
        </is>
      </c>
      <c r="E22" t="inlineStr">
        <is>
          <t>1</t>
        </is>
      </c>
      <c r="F22" t="inlineStr">
        <is>
          <t>CITRICOS</t>
        </is>
      </c>
      <c r="G22" t="inlineStr">
        <is>
          <t>SÍ</t>
        </is>
      </c>
      <c r="H22" t="inlineStr">
        <is>
          <t>NO</t>
        </is>
      </c>
      <c r="I22" t="inlineStr">
        <is>
          <t>NO</t>
        </is>
      </c>
      <c r="J22" t="inlineStr"/>
      <c r="K22" t="inlineStr">
        <is>
          <t>CITRICOS</t>
        </is>
      </c>
      <c r="N22" t="n">
        <v>0.01803</v>
      </c>
      <c r="O22" t="n">
        <v>0</v>
      </c>
      <c r="Q22" t="n">
        <v>36875</v>
      </c>
      <c r="R22" t="n">
        <v>27527.654844</v>
      </c>
      <c r="U22" t="n">
        <v>0</v>
      </c>
      <c r="V22" t="n">
        <v>0</v>
      </c>
      <c r="W22" t="n">
        <v>0</v>
      </c>
      <c r="X22" t="inlineStr">
        <is>
          <t>not_applicable</t>
        </is>
      </c>
      <c r="Y22" t="inlineStr"/>
      <c r="Z22" t="inlineStr">
        <is>
          <t>SÍ</t>
        </is>
      </c>
    </row>
    <row r="23">
      <c r="A23" t="n">
        <v>1443</v>
      </c>
      <c r="B23" t="inlineStr">
        <is>
          <t>TOMENO SUAREZ,ALBERTO</t>
        </is>
      </c>
      <c r="C23" t="inlineStr">
        <is>
          <t>SALUSTIANA</t>
        </is>
      </c>
      <c r="D23" t="inlineStr">
        <is>
          <t>2026</t>
        </is>
      </c>
      <c r="E23" t="inlineStr">
        <is>
          <t>1</t>
        </is>
      </c>
      <c r="F23" t="inlineStr">
        <is>
          <t>CITRICOS</t>
        </is>
      </c>
      <c r="G23" t="inlineStr">
        <is>
          <t>SÍ</t>
        </is>
      </c>
      <c r="H23" t="inlineStr">
        <is>
          <t>SÍ</t>
        </is>
      </c>
      <c r="I23" t="inlineStr">
        <is>
          <t>NO</t>
        </is>
      </c>
      <c r="J23" t="inlineStr">
        <is>
          <t>CITRICOS, KAKIS, MANDARINA</t>
        </is>
      </c>
      <c r="K23" t="inlineStr"/>
      <c r="L23" t="inlineStr">
        <is>
          <t>ORO</t>
        </is>
      </c>
      <c r="M23" t="n">
        <v>1</v>
      </c>
      <c r="N23" t="n">
        <v>0.01803</v>
      </c>
      <c r="O23" t="n">
        <v>0</v>
      </c>
      <c r="P23" t="inlineStr">
        <is>
          <t>neto_comercial</t>
        </is>
      </c>
      <c r="Q23" t="n">
        <v>34222</v>
      </c>
      <c r="R23" t="n">
        <v>27290.964265</v>
      </c>
      <c r="S23" t="n">
        <v>27290.964265</v>
      </c>
      <c r="T23" t="n">
        <v>492.06</v>
      </c>
      <c r="U23" t="n">
        <v>492.06</v>
      </c>
      <c r="V23" t="n">
        <v>492.06</v>
      </c>
      <c r="W23" t="n">
        <v>492.06</v>
      </c>
      <c r="X23" t="inlineStr">
        <is>
          <t>calculated</t>
        </is>
      </c>
      <c r="Y23" t="inlineStr"/>
      <c r="Z23" t="inlineStr">
        <is>
          <t>SÍ</t>
        </is>
      </c>
    </row>
    <row r="24">
      <c r="A24" t="n">
        <v>1485</v>
      </c>
      <c r="B24" t="inlineStr">
        <is>
          <t>HNOS. CRESPO RUIZ S.C.</t>
        </is>
      </c>
      <c r="C24" t="inlineStr">
        <is>
          <t>SALUSTIANA</t>
        </is>
      </c>
      <c r="D24" t="inlineStr">
        <is>
          <t>2026</t>
        </is>
      </c>
      <c r="E24" t="inlineStr">
        <is>
          <t>1</t>
        </is>
      </c>
      <c r="F24" t="inlineStr">
        <is>
          <t>CITRICOS</t>
        </is>
      </c>
      <c r="G24" t="inlineStr">
        <is>
          <t>SÍ</t>
        </is>
      </c>
      <c r="H24" t="inlineStr">
        <is>
          <t>NO</t>
        </is>
      </c>
      <c r="I24" t="inlineStr">
        <is>
          <t>NO</t>
        </is>
      </c>
      <c r="J24" t="inlineStr"/>
      <c r="K24" t="inlineStr">
        <is>
          <t>CITRICOS</t>
        </is>
      </c>
      <c r="N24" t="n">
        <v>0.01803</v>
      </c>
      <c r="O24" t="n">
        <v>0</v>
      </c>
      <c r="Q24" t="n">
        <v>143835</v>
      </c>
      <c r="R24" t="n">
        <v>127650.87974585</v>
      </c>
      <c r="U24" t="n">
        <v>0</v>
      </c>
      <c r="V24" t="n">
        <v>0</v>
      </c>
      <c r="W24" t="n">
        <v>0</v>
      </c>
      <c r="X24" t="inlineStr">
        <is>
          <t>not_applicable</t>
        </is>
      </c>
      <c r="Y24" t="inlineStr"/>
      <c r="Z24" t="inlineStr">
        <is>
          <t>SÍ</t>
        </is>
      </c>
    </row>
    <row r="25">
      <c r="A25" t="n">
        <v>1512</v>
      </c>
      <c r="B25" t="inlineStr">
        <is>
          <t>HERNANDEZ MOLINA,ANTONIO</t>
        </is>
      </c>
      <c r="C25" t="inlineStr">
        <is>
          <t>SALUSTIANA</t>
        </is>
      </c>
      <c r="D25" t="inlineStr">
        <is>
          <t>2026</t>
        </is>
      </c>
      <c r="E25" t="inlineStr">
        <is>
          <t>1</t>
        </is>
      </c>
      <c r="F25" t="inlineStr">
        <is>
          <t>CITRICOS</t>
        </is>
      </c>
      <c r="G25" t="inlineStr">
        <is>
          <t>SÍ</t>
        </is>
      </c>
      <c r="H25" t="inlineStr">
        <is>
          <t>NO</t>
        </is>
      </c>
      <c r="I25" t="inlineStr">
        <is>
          <t>NO</t>
        </is>
      </c>
      <c r="J25" t="inlineStr"/>
      <c r="K25" t="inlineStr">
        <is>
          <t>CITRICOS</t>
        </is>
      </c>
      <c r="N25" t="n">
        <v>0.01803</v>
      </c>
      <c r="O25" t="n">
        <v>0</v>
      </c>
      <c r="Q25" t="n">
        <v>41174</v>
      </c>
      <c r="R25" t="n">
        <v>29771.717178</v>
      </c>
      <c r="U25" t="n">
        <v>0</v>
      </c>
      <c r="V25" t="n">
        <v>0</v>
      </c>
      <c r="W25" t="n">
        <v>0</v>
      </c>
      <c r="X25" t="inlineStr">
        <is>
          <t>not_applicable</t>
        </is>
      </c>
      <c r="Y25" t="inlineStr"/>
      <c r="Z25" t="inlineStr">
        <is>
          <t>SÍ</t>
        </is>
      </c>
    </row>
    <row r="26">
      <c r="A26" t="n">
        <v>1523</v>
      </c>
      <c r="B26" t="inlineStr">
        <is>
          <t>RODRIGUEZ MEJÍAS, JOSE ANTONIO</t>
        </is>
      </c>
      <c r="C26" t="inlineStr">
        <is>
          <t>SALUSTIANA</t>
        </is>
      </c>
      <c r="D26" t="inlineStr">
        <is>
          <t>2026</t>
        </is>
      </c>
      <c r="E26" t="inlineStr">
        <is>
          <t>1</t>
        </is>
      </c>
      <c r="F26" t="inlineStr">
        <is>
          <t>CITRICOS</t>
        </is>
      </c>
      <c r="G26" t="inlineStr">
        <is>
          <t>SÍ</t>
        </is>
      </c>
      <c r="H26" t="inlineStr">
        <is>
          <t>SÍ</t>
        </is>
      </c>
      <c r="I26" t="inlineStr">
        <is>
          <t>SÍ</t>
        </is>
      </c>
      <c r="J26" t="inlineStr">
        <is>
          <t>CITRICOS, KAKIS, MANDARINA</t>
        </is>
      </c>
      <c r="K26" t="inlineStr">
        <is>
          <t>CITRICOS</t>
        </is>
      </c>
      <c r="L26" t="inlineStr">
        <is>
          <t>ORO</t>
        </is>
      </c>
      <c r="M26" t="n">
        <v>1</v>
      </c>
      <c r="N26" t="n">
        <v>0.01803</v>
      </c>
      <c r="O26" t="n">
        <v>0</v>
      </c>
      <c r="P26" t="inlineStr">
        <is>
          <t>neto_comercial</t>
        </is>
      </c>
      <c r="Q26" t="n">
        <v>243865</v>
      </c>
      <c r="R26" t="n">
        <v>214568.7168627</v>
      </c>
      <c r="S26" t="n">
        <v>214568.7168627</v>
      </c>
      <c r="T26" t="n">
        <v>3868.67</v>
      </c>
      <c r="U26" t="n">
        <v>3868.67</v>
      </c>
      <c r="V26" t="n">
        <v>3868.67</v>
      </c>
      <c r="W26" t="n">
        <v>3868.67</v>
      </c>
      <c r="X26" t="inlineStr">
        <is>
          <t>calculated</t>
        </is>
      </c>
      <c r="Y26" t="inlineStr">
        <is>
          <t>El socio 1523 figura certificado GlobalGAP en CITRICOS, KAKIS, MANDARINA pero no en CITRICOS. Se ha aplicado la certificación global del socio. Revise DEEPP.</t>
        </is>
      </c>
      <c r="Z26" t="inlineStr">
        <is>
          <t>SÍ</t>
        </is>
      </c>
    </row>
    <row r="27">
      <c r="A27" t="n">
        <v>1529</v>
      </c>
      <c r="B27" t="inlineStr">
        <is>
          <t>RAMOS BRUGAROLAS, JOSE</t>
        </is>
      </c>
      <c r="C27" t="inlineStr">
        <is>
          <t>SALUSTIANA</t>
        </is>
      </c>
      <c r="D27" t="inlineStr">
        <is>
          <t>2026</t>
        </is>
      </c>
      <c r="E27" t="inlineStr">
        <is>
          <t>1</t>
        </is>
      </c>
      <c r="F27" t="inlineStr">
        <is>
          <t>CITRICOS</t>
        </is>
      </c>
      <c r="G27" t="inlineStr">
        <is>
          <t>SÍ</t>
        </is>
      </c>
      <c r="H27" t="inlineStr">
        <is>
          <t>NO</t>
        </is>
      </c>
      <c r="I27" t="inlineStr">
        <is>
          <t>NO</t>
        </is>
      </c>
      <c r="J27" t="inlineStr"/>
      <c r="K27" t="inlineStr">
        <is>
          <t>CITRICOS, KAKIS</t>
        </is>
      </c>
      <c r="N27" t="n">
        <v>0.01803</v>
      </c>
      <c r="O27" t="n">
        <v>0</v>
      </c>
      <c r="Q27" t="n">
        <v>40245</v>
      </c>
      <c r="R27" t="n">
        <v>33699.211307</v>
      </c>
      <c r="U27" t="n">
        <v>0</v>
      </c>
      <c r="V27" t="n">
        <v>0</v>
      </c>
      <c r="W27" t="n">
        <v>0</v>
      </c>
      <c r="X27" t="inlineStr">
        <is>
          <t>not_applicable</t>
        </is>
      </c>
      <c r="Y27" t="inlineStr"/>
      <c r="Z27" t="inlineStr">
        <is>
          <t>SÍ</t>
        </is>
      </c>
    </row>
    <row r="28">
      <c r="A28" t="n">
        <v>1540</v>
      </c>
      <c r="B28" t="inlineStr">
        <is>
          <t>AGRICOLA SANCHEZ CUENCA S.C.</t>
        </is>
      </c>
      <c r="C28" t="inlineStr">
        <is>
          <t>SALUSTIANA</t>
        </is>
      </c>
      <c r="D28" t="inlineStr">
        <is>
          <t>2026</t>
        </is>
      </c>
      <c r="E28" t="inlineStr">
        <is>
          <t>1</t>
        </is>
      </c>
      <c r="F28" t="inlineStr">
        <is>
          <t>CITRICOS</t>
        </is>
      </c>
      <c r="G28" t="inlineStr">
        <is>
          <t>SÍ</t>
        </is>
      </c>
      <c r="H28" t="inlineStr">
        <is>
          <t>SÍ</t>
        </is>
      </c>
      <c r="I28" t="inlineStr">
        <is>
          <t>NO</t>
        </is>
      </c>
      <c r="J28" t="inlineStr">
        <is>
          <t>CITRICOS</t>
        </is>
      </c>
      <c r="K28" t="inlineStr"/>
      <c r="L28" t="inlineStr">
        <is>
          <t>ORO</t>
        </is>
      </c>
      <c r="M28" t="n">
        <v>1</v>
      </c>
      <c r="N28" t="n">
        <v>0.01803</v>
      </c>
      <c r="O28" t="n">
        <v>0</v>
      </c>
      <c r="P28" t="inlineStr">
        <is>
          <t>neto_comercial</t>
        </is>
      </c>
      <c r="Q28" t="n">
        <v>200979</v>
      </c>
      <c r="R28" t="n">
        <v>170155.775911</v>
      </c>
      <c r="S28" t="n">
        <v>170155.775911</v>
      </c>
      <c r="T28" t="n">
        <v>3067.91</v>
      </c>
      <c r="U28" t="n">
        <v>3067.91</v>
      </c>
      <c r="V28" t="n">
        <v>3067.91</v>
      </c>
      <c r="W28" t="n">
        <v>3067.91</v>
      </c>
      <c r="X28" t="inlineStr">
        <is>
          <t>calculated</t>
        </is>
      </c>
      <c r="Y28" t="inlineStr"/>
      <c r="Z28" t="inlineStr">
        <is>
          <t>SÍ</t>
        </is>
      </c>
    </row>
    <row r="29">
      <c r="A29" t="n">
        <v>1544</v>
      </c>
      <c r="B29" t="inlineStr">
        <is>
          <t>HARO ORDOÑO, ALVARO</t>
        </is>
      </c>
      <c r="C29" t="inlineStr">
        <is>
          <t>SALUSTIANA</t>
        </is>
      </c>
      <c r="D29" t="inlineStr">
        <is>
          <t>2026</t>
        </is>
      </c>
      <c r="E29" t="inlineStr">
        <is>
          <t>1</t>
        </is>
      </c>
      <c r="F29" t="inlineStr">
        <is>
          <t>CITRICOS</t>
        </is>
      </c>
      <c r="G29" t="inlineStr">
        <is>
          <t>SÍ</t>
        </is>
      </c>
      <c r="H29" t="inlineStr">
        <is>
          <t>NO</t>
        </is>
      </c>
      <c r="I29" t="inlineStr">
        <is>
          <t>NO</t>
        </is>
      </c>
      <c r="J29" t="inlineStr"/>
      <c r="K29" t="inlineStr">
        <is>
          <t>CITRICOS</t>
        </is>
      </c>
      <c r="N29" t="n">
        <v>0.01803</v>
      </c>
      <c r="O29" t="n">
        <v>0</v>
      </c>
      <c r="Q29" t="n">
        <v>30040</v>
      </c>
      <c r="R29" t="n">
        <v>23136.15506</v>
      </c>
      <c r="U29" t="n">
        <v>0</v>
      </c>
      <c r="V29" t="n">
        <v>0</v>
      </c>
      <c r="W29" t="n">
        <v>0</v>
      </c>
      <c r="X29" t="inlineStr">
        <is>
          <t>not_applicable</t>
        </is>
      </c>
      <c r="Y29" t="inlineStr"/>
      <c r="Z29" t="inlineStr">
        <is>
          <t>SÍ</t>
        </is>
      </c>
    </row>
    <row r="30">
      <c r="A30" t="n">
        <v>1564</v>
      </c>
      <c r="B30" t="inlineStr">
        <is>
          <t>VARELA MUÑOZ, ANTONIO</t>
        </is>
      </c>
      <c r="C30" t="inlineStr">
        <is>
          <t>SALUSTIANA</t>
        </is>
      </c>
      <c r="D30" t="inlineStr">
        <is>
          <t>2026</t>
        </is>
      </c>
      <c r="E30" t="inlineStr">
        <is>
          <t>1</t>
        </is>
      </c>
      <c r="F30" t="inlineStr">
        <is>
          <t>CITRICOS</t>
        </is>
      </c>
      <c r="G30" t="inlineStr">
        <is>
          <t>SÍ</t>
        </is>
      </c>
      <c r="H30" t="inlineStr">
        <is>
          <t>NO</t>
        </is>
      </c>
      <c r="I30" t="inlineStr">
        <is>
          <t>NO</t>
        </is>
      </c>
      <c r="J30" t="inlineStr"/>
      <c r="K30" t="inlineStr">
        <is>
          <t>CITRICOS</t>
        </is>
      </c>
      <c r="N30" t="n">
        <v>0.01803</v>
      </c>
      <c r="O30" t="n">
        <v>0</v>
      </c>
      <c r="Q30" t="n">
        <v>28013</v>
      </c>
      <c r="R30" t="n">
        <v>22293.274281</v>
      </c>
      <c r="U30" t="n">
        <v>0</v>
      </c>
      <c r="V30" t="n">
        <v>0</v>
      </c>
      <c r="W30" t="n">
        <v>0</v>
      </c>
      <c r="X30" t="inlineStr">
        <is>
          <t>not_applicable</t>
        </is>
      </c>
      <c r="Y30" t="inlineStr"/>
      <c r="Z30" t="inlineStr">
        <is>
          <t>SÍ</t>
        </is>
      </c>
    </row>
    <row r="31">
      <c r="A31" t="n">
        <v>1577</v>
      </c>
      <c r="B31" t="inlineStr">
        <is>
          <t>GOMEZ GUERRERO, MARIA MERCEDES</t>
        </is>
      </c>
      <c r="C31" t="inlineStr">
        <is>
          <t>SALUSTIANA</t>
        </is>
      </c>
      <c r="D31" t="inlineStr">
        <is>
          <t>2026</t>
        </is>
      </c>
      <c r="E31" t="inlineStr">
        <is>
          <t>1</t>
        </is>
      </c>
      <c r="F31" t="inlineStr">
        <is>
          <t>CITRICOS</t>
        </is>
      </c>
      <c r="G31" t="inlineStr">
        <is>
          <t>SÍ</t>
        </is>
      </c>
      <c r="H31" t="inlineStr">
        <is>
          <t>SÍ</t>
        </is>
      </c>
      <c r="I31" t="inlineStr">
        <is>
          <t>NO</t>
        </is>
      </c>
      <c r="J31" t="inlineStr">
        <is>
          <t>CITRICOS</t>
        </is>
      </c>
      <c r="K31" t="inlineStr"/>
      <c r="L31" t="inlineStr">
        <is>
          <t>ORO</t>
        </is>
      </c>
      <c r="M31" t="n">
        <v>1</v>
      </c>
      <c r="N31" t="n">
        <v>0.01803</v>
      </c>
      <c r="O31" t="n">
        <v>0</v>
      </c>
      <c r="P31" t="inlineStr">
        <is>
          <t>neto_comercial</t>
        </is>
      </c>
      <c r="Q31" t="n">
        <v>139693</v>
      </c>
      <c r="R31" t="n">
        <v>118476.2958411</v>
      </c>
      <c r="S31" t="n">
        <v>118476.2958411</v>
      </c>
      <c r="T31" t="n">
        <v>2136.13</v>
      </c>
      <c r="U31" t="n">
        <v>2136.13</v>
      </c>
      <c r="V31" t="n">
        <v>2136.13</v>
      </c>
      <c r="W31" t="n">
        <v>2136.13</v>
      </c>
      <c r="X31" t="inlineStr">
        <is>
          <t>calculated</t>
        </is>
      </c>
      <c r="Y31" t="inlineStr"/>
      <c r="Z31" t="inlineStr">
        <is>
          <t>SÍ</t>
        </is>
      </c>
    </row>
    <row r="32">
      <c r="A32" t="n">
        <v>1579</v>
      </c>
      <c r="B32" t="inlineStr">
        <is>
          <t>PEREZ JIMENEZ, ALFONSA</t>
        </is>
      </c>
      <c r="C32" t="inlineStr">
        <is>
          <t>SALUSTIANA</t>
        </is>
      </c>
      <c r="D32" t="inlineStr">
        <is>
          <t>2026</t>
        </is>
      </c>
      <c r="E32" t="inlineStr">
        <is>
          <t>1</t>
        </is>
      </c>
      <c r="F32" t="inlineStr">
        <is>
          <t>CITRICOS</t>
        </is>
      </c>
      <c r="G32" t="inlineStr">
        <is>
          <t>SÍ</t>
        </is>
      </c>
      <c r="H32" t="inlineStr">
        <is>
          <t>NO</t>
        </is>
      </c>
      <c r="I32" t="inlineStr">
        <is>
          <t>NO</t>
        </is>
      </c>
      <c r="J32" t="inlineStr"/>
      <c r="K32" t="inlineStr">
        <is>
          <t>CITRICOS</t>
        </is>
      </c>
      <c r="N32" t="n">
        <v>0.01803</v>
      </c>
      <c r="O32" t="n">
        <v>0</v>
      </c>
      <c r="Q32" t="n">
        <v>6077</v>
      </c>
      <c r="R32" t="n">
        <v>4231.38636</v>
      </c>
      <c r="U32" t="n">
        <v>0</v>
      </c>
      <c r="V32" t="n">
        <v>0</v>
      </c>
      <c r="W32" t="n">
        <v>0</v>
      </c>
      <c r="X32" t="inlineStr">
        <is>
          <t>not_applicable</t>
        </is>
      </c>
      <c r="Y32" t="inlineStr"/>
      <c r="Z32" t="inlineStr">
        <is>
          <t>SÍ</t>
        </is>
      </c>
    </row>
    <row r="33">
      <c r="A33" t="n">
        <v>1582</v>
      </c>
      <c r="B33" t="inlineStr">
        <is>
          <t>IGEÑO SANCHEZ, JOSE CARLOS</t>
        </is>
      </c>
      <c r="C33" t="inlineStr">
        <is>
          <t>SALUSTIANA</t>
        </is>
      </c>
      <c r="D33" t="inlineStr">
        <is>
          <t>2026</t>
        </is>
      </c>
      <c r="E33" t="inlineStr">
        <is>
          <t>1</t>
        </is>
      </c>
      <c r="F33" t="inlineStr">
        <is>
          <t>CITRICOS</t>
        </is>
      </c>
      <c r="G33" t="inlineStr">
        <is>
          <t>SÍ</t>
        </is>
      </c>
      <c r="H33" t="inlineStr">
        <is>
          <t>SÍ</t>
        </is>
      </c>
      <c r="I33" t="inlineStr">
        <is>
          <t>NO</t>
        </is>
      </c>
      <c r="J33" t="inlineStr">
        <is>
          <t>CITRICOS, KAKIS</t>
        </is>
      </c>
      <c r="K33" t="inlineStr"/>
      <c r="L33" t="inlineStr">
        <is>
          <t>ORO</t>
        </is>
      </c>
      <c r="M33" t="n">
        <v>1</v>
      </c>
      <c r="N33" t="n">
        <v>0.01803</v>
      </c>
      <c r="O33" t="n">
        <v>0</v>
      </c>
      <c r="P33" t="inlineStr">
        <is>
          <t>neto_comercial</t>
        </is>
      </c>
      <c r="Q33" t="n">
        <v>181394</v>
      </c>
      <c r="R33" t="n">
        <v>154102.0718908</v>
      </c>
      <c r="S33" t="n">
        <v>154102.0718908</v>
      </c>
      <c r="T33" t="n">
        <v>2778.46</v>
      </c>
      <c r="U33" t="n">
        <v>2778.46</v>
      </c>
      <c r="V33" t="n">
        <v>2778.46</v>
      </c>
      <c r="W33" t="n">
        <v>2778.46</v>
      </c>
      <c r="X33" t="inlineStr">
        <is>
          <t>calculated</t>
        </is>
      </c>
      <c r="Y33" t="inlineStr"/>
      <c r="Z33" t="inlineStr">
        <is>
          <t>SÍ</t>
        </is>
      </c>
    </row>
    <row r="34">
      <c r="A34" t="n">
        <v>1585</v>
      </c>
      <c r="B34" t="inlineStr">
        <is>
          <t>CESPEDES AGUILAR, PATRICIA</t>
        </is>
      </c>
      <c r="C34" t="inlineStr">
        <is>
          <t>SALUSTIANA</t>
        </is>
      </c>
      <c r="D34" t="inlineStr">
        <is>
          <t>2026</t>
        </is>
      </c>
      <c r="E34" t="inlineStr">
        <is>
          <t>1</t>
        </is>
      </c>
      <c r="F34" t="inlineStr">
        <is>
          <t>CITRICOS</t>
        </is>
      </c>
      <c r="G34" t="inlineStr">
        <is>
          <t>SÍ</t>
        </is>
      </c>
      <c r="H34" t="inlineStr">
        <is>
          <t>SÍ</t>
        </is>
      </c>
      <c r="I34" t="inlineStr">
        <is>
          <t>NO</t>
        </is>
      </c>
      <c r="J34" t="inlineStr">
        <is>
          <t>CITRICOS</t>
        </is>
      </c>
      <c r="K34" t="inlineStr"/>
      <c r="L34" t="inlineStr">
        <is>
          <t>ORO</t>
        </is>
      </c>
      <c r="M34" t="n">
        <v>1</v>
      </c>
      <c r="N34" t="n">
        <v>0.01803</v>
      </c>
      <c r="O34" t="n">
        <v>0</v>
      </c>
      <c r="P34" t="inlineStr">
        <is>
          <t>neto_comercial</t>
        </is>
      </c>
      <c r="Q34" t="n">
        <v>141229</v>
      </c>
      <c r="R34" t="n">
        <v>120658.8360643</v>
      </c>
      <c r="S34" t="n">
        <v>120658.8360643</v>
      </c>
      <c r="T34" t="n">
        <v>2175.48</v>
      </c>
      <c r="U34" t="n">
        <v>2175.48</v>
      </c>
      <c r="V34" t="n">
        <v>2175.48</v>
      </c>
      <c r="W34" t="n">
        <v>2175.48</v>
      </c>
      <c r="X34" t="inlineStr">
        <is>
          <t>calculated</t>
        </is>
      </c>
      <c r="Y34" t="inlineStr"/>
      <c r="Z34" t="inlineStr">
        <is>
          <t>SÍ</t>
        </is>
      </c>
    </row>
    <row r="35">
      <c r="A35" t="n">
        <v>1597</v>
      </c>
      <c r="B35" t="inlineStr">
        <is>
          <t>CARBALLO SIRIA, ANTONIO JOSE</t>
        </is>
      </c>
      <c r="C35" t="inlineStr">
        <is>
          <t>SALUSTIANA</t>
        </is>
      </c>
      <c r="D35" t="inlineStr">
        <is>
          <t>2026</t>
        </is>
      </c>
      <c r="E35" t="inlineStr">
        <is>
          <t>1</t>
        </is>
      </c>
      <c r="F35" t="inlineStr">
        <is>
          <t>CITRICOS</t>
        </is>
      </c>
      <c r="G35" t="inlineStr">
        <is>
          <t>SÍ</t>
        </is>
      </c>
      <c r="H35" t="inlineStr">
        <is>
          <t>NO</t>
        </is>
      </c>
      <c r="I35" t="inlineStr">
        <is>
          <t>NO</t>
        </is>
      </c>
      <c r="J35" t="inlineStr"/>
      <c r="K35" t="inlineStr">
        <is>
          <t>CITRICOS</t>
        </is>
      </c>
      <c r="N35" t="n">
        <v>0.01803</v>
      </c>
      <c r="O35" t="n">
        <v>0</v>
      </c>
      <c r="Q35" t="n">
        <v>72085</v>
      </c>
      <c r="R35" t="n">
        <v>56311.16345</v>
      </c>
      <c r="U35" t="n">
        <v>0</v>
      </c>
      <c r="V35" t="n">
        <v>0</v>
      </c>
      <c r="W35" t="n">
        <v>0</v>
      </c>
      <c r="X35" t="inlineStr">
        <is>
          <t>not_applicable</t>
        </is>
      </c>
      <c r="Y35" t="inlineStr"/>
      <c r="Z35" t="inlineStr">
        <is>
          <t>SÍ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Campaña</t>
        </is>
      </c>
      <c r="B1" t="inlineStr">
        <is>
          <t>Empresa</t>
        </is>
      </c>
      <c r="C1" t="inlineStr">
        <is>
          <t>Cultivo</t>
        </is>
      </c>
      <c r="D1" t="inlineStr">
        <is>
          <t>Remesa</t>
        </is>
      </c>
      <c r="E1" t="inlineStr">
        <is>
          <t>Valor original</t>
        </is>
      </c>
      <c r="F1" t="inlineStr">
        <is>
          <t>Tipo resuelto</t>
        </is>
      </c>
      <c r="G1" t="inlineStr">
        <is>
          <t>Grupo</t>
        </is>
      </c>
      <c r="H1" t="inlineStr">
        <is>
          <t>Subgrupo</t>
        </is>
      </c>
      <c r="I1" t="inlineStr">
        <is>
          <t>Variedades resueltas</t>
        </is>
      </c>
      <c r="J1" t="inlineStr">
        <is>
          <t>Nº variedades</t>
        </is>
      </c>
      <c r="K1" t="inlineStr">
        <is>
          <t>Estado</t>
        </is>
      </c>
      <c r="L1" t="inlineStr">
        <is>
          <t>Advertencias</t>
        </is>
      </c>
      <c r="M1" t="inlineStr">
        <is>
          <t>Usado en consulta</t>
        </is>
      </c>
      <c r="N1" t="inlineStr">
        <is>
          <t>Alineado</t>
        </is>
      </c>
    </row>
    <row r="2">
      <c r="A2" t="inlineStr">
        <is>
          <t>2026</t>
        </is>
      </c>
      <c r="B2" t="inlineStr">
        <is>
          <t>1</t>
        </is>
      </c>
      <c r="C2" t="inlineStr">
        <is>
          <t>CITRICOS</t>
        </is>
      </c>
      <c r="D2" t="inlineStr">
        <is>
          <t>BLANCA TEMPRANA sem 4 y +</t>
        </is>
      </c>
      <c r="E2" t="inlineStr">
        <is>
          <t>BLANCA TEMPRANA</t>
        </is>
      </c>
      <c r="F2" t="inlineStr">
        <is>
          <t>GROUP</t>
        </is>
      </c>
      <c r="G2" t="inlineStr">
        <is>
          <t>BLANCA</t>
        </is>
      </c>
      <c r="H2" t="inlineStr">
        <is>
          <t>TEMPRANA</t>
        </is>
      </c>
      <c r="I2" t="inlineStr">
        <is>
          <t>SALUSTIANA</t>
        </is>
      </c>
      <c r="J2" t="n">
        <v>1</v>
      </c>
      <c r="K2" t="inlineStr">
        <is>
          <t>GROUP</t>
        </is>
      </c>
      <c r="L2" t="inlineStr"/>
      <c r="M2" t="inlineStr">
        <is>
          <t>BLANCA TEMPRANA</t>
        </is>
      </c>
      <c r="N2" t="inlineStr">
        <is>
          <t>NO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Variedad</t>
        </is>
      </c>
      <c r="D1" t="inlineStr">
        <is>
          <t>Importe bruto mostrado</t>
        </is>
      </c>
      <c r="E1" t="inlineStr">
        <is>
          <t>Importe bruto usado en fórmula</t>
        </is>
      </c>
      <c r="F1" t="inlineStr">
        <is>
          <t>Recolección</t>
        </is>
      </c>
      <c r="G1" t="inlineStr">
        <is>
          <t>Cuota Ha</t>
        </is>
      </c>
      <c r="H1" t="inlineStr">
        <is>
          <t>B/P Calidad</t>
        </is>
      </c>
      <c r="I1" t="inlineStr">
        <is>
          <t>B. Transporte</t>
        </is>
      </c>
      <c r="J1" t="inlineStr">
        <is>
          <t>B. GlobalGAP</t>
        </is>
      </c>
      <c r="K1" t="inlineStr">
        <is>
          <t>Base esperada</t>
        </is>
      </c>
      <c r="L1" t="inlineStr">
        <is>
          <t>Base almacenada en modelo</t>
        </is>
      </c>
      <c r="M1" t="inlineStr">
        <is>
          <t>Base exportada</t>
        </is>
      </c>
      <c r="N1" t="inlineStr">
        <is>
          <t>Diferencia</t>
        </is>
      </c>
      <c r="O1" t="inlineStr">
        <is>
          <t>Precio medio esperado</t>
        </is>
      </c>
      <c r="P1" t="inlineStr">
        <is>
          <t>Precio medio almacenado</t>
        </is>
      </c>
      <c r="Q1" t="inlineStr">
        <is>
          <t>Alineado</t>
        </is>
      </c>
      <c r="R1" t="inlineStr">
        <is>
          <t>Advertencias</t>
        </is>
      </c>
    </row>
    <row r="2">
      <c r="A2" t="n">
        <v>869</v>
      </c>
      <c r="B2" t="inlineStr">
        <is>
          <t>IGEÑO LUQUE,JOSE</t>
        </is>
      </c>
      <c r="C2" t="inlineStr">
        <is>
          <t>SALUSTIANA</t>
        </is>
      </c>
      <c r="D2" t="n">
        <v>13200.56</v>
      </c>
      <c r="E2" t="n">
        <v>13200.56</v>
      </c>
      <c r="F2" t="n">
        <v>2476.51</v>
      </c>
      <c r="G2" t="n">
        <v>179.4</v>
      </c>
      <c r="H2" t="n">
        <v>0</v>
      </c>
      <c r="I2" t="n">
        <v>383.04</v>
      </c>
      <c r="J2" t="n">
        <v>0</v>
      </c>
      <c r="K2" t="n">
        <v>10927.69</v>
      </c>
      <c r="L2" t="n">
        <v>10927.69</v>
      </c>
      <c r="M2" t="n">
        <v>10927.69</v>
      </c>
      <c r="N2" t="n">
        <v>0</v>
      </c>
      <c r="O2" t="n">
        <v>0.31667</v>
      </c>
      <c r="P2" t="n">
        <v>0.34758</v>
      </c>
      <c r="Q2" t="inlineStr">
        <is>
          <t>SÍ</t>
        </is>
      </c>
      <c r="R2" t="inlineStr"/>
    </row>
    <row r="3">
      <c r="A3" t="n">
        <v>883</v>
      </c>
      <c r="B3" t="inlineStr">
        <is>
          <t>TORO SANCHEZ,TERESA</t>
        </is>
      </c>
      <c r="C3" t="inlineStr">
        <is>
          <t>SALUSTIANA</t>
        </is>
      </c>
      <c r="D3" t="n">
        <v>50393.77</v>
      </c>
      <c r="E3" t="n">
        <v>50393.77</v>
      </c>
      <c r="F3" t="n">
        <v>10134.51</v>
      </c>
      <c r="G3" t="n">
        <v>1036.55</v>
      </c>
      <c r="H3" t="n">
        <v>0</v>
      </c>
      <c r="I3" t="n">
        <v>0</v>
      </c>
      <c r="J3" t="n">
        <v>2116.51</v>
      </c>
      <c r="K3" t="n">
        <v>41339.22</v>
      </c>
      <c r="L3" t="n">
        <v>41339.22</v>
      </c>
      <c r="M3" t="n">
        <v>41339.22</v>
      </c>
      <c r="N3" t="n">
        <v>0</v>
      </c>
      <c r="O3" t="n">
        <v>0.29369</v>
      </c>
      <c r="P3" t="n">
        <v>0.32236</v>
      </c>
      <c r="Q3" t="inlineStr">
        <is>
          <t>SÍ</t>
        </is>
      </c>
      <c r="R3" t="inlineStr"/>
    </row>
    <row r="4">
      <c r="A4" t="n">
        <v>937</v>
      </c>
      <c r="B4" t="inlineStr">
        <is>
          <t>GALVEZ MACIAS,FRANCISCO</t>
        </is>
      </c>
      <c r="C4" t="inlineStr">
        <is>
          <t>SALUSTIANA</t>
        </is>
      </c>
      <c r="D4" t="n">
        <v>71010.71000000001</v>
      </c>
      <c r="E4" t="n">
        <v>71010.71000000001</v>
      </c>
      <c r="F4" t="n">
        <v>13504.39</v>
      </c>
      <c r="G4" t="n">
        <v>1730.23</v>
      </c>
      <c r="H4" t="n">
        <v>0</v>
      </c>
      <c r="I4" t="n">
        <v>0</v>
      </c>
      <c r="J4" t="n">
        <v>2836.23</v>
      </c>
      <c r="K4" t="n">
        <v>58612.32</v>
      </c>
      <c r="L4" t="n">
        <v>58612.32</v>
      </c>
      <c r="M4" t="n">
        <v>58612.32</v>
      </c>
      <c r="N4" t="n">
        <v>0</v>
      </c>
      <c r="O4" t="n">
        <v>0.27686</v>
      </c>
      <c r="P4" t="n">
        <v>0.30389</v>
      </c>
      <c r="Q4" t="inlineStr">
        <is>
          <t>SÍ</t>
        </is>
      </c>
      <c r="R4" t="inlineStr"/>
    </row>
    <row r="5">
      <c r="A5" t="n">
        <v>1072</v>
      </c>
      <c r="B5" t="inlineStr">
        <is>
          <t>GARCIA DELGADO,JUAN MANUEL</t>
        </is>
      </c>
      <c r="C5" t="inlineStr">
        <is>
          <t>SALUSTIANA</t>
        </is>
      </c>
      <c r="D5" t="n">
        <v>4208.14</v>
      </c>
      <c r="E5" t="n">
        <v>4208.14</v>
      </c>
      <c r="F5" t="n">
        <v>856.66</v>
      </c>
      <c r="G5" t="n">
        <v>177.24</v>
      </c>
      <c r="H5" t="n">
        <v>0</v>
      </c>
      <c r="I5" t="n">
        <v>0</v>
      </c>
      <c r="J5" t="n">
        <v>0</v>
      </c>
      <c r="K5" t="n">
        <v>3174.24</v>
      </c>
      <c r="L5" t="n">
        <v>3174.24</v>
      </c>
      <c r="M5" t="n">
        <v>3174.24</v>
      </c>
      <c r="N5" t="n">
        <v>0</v>
      </c>
      <c r="O5" t="n">
        <v>0.26679</v>
      </c>
      <c r="P5" t="n">
        <v>0.29283</v>
      </c>
      <c r="Q5" t="inlineStr">
        <is>
          <t>SÍ</t>
        </is>
      </c>
      <c r="R5" t="inlineStr"/>
    </row>
    <row r="6">
      <c r="A6" t="n">
        <v>1128</v>
      </c>
      <c r="B6" t="inlineStr">
        <is>
          <t>CARRILLO PEÑALVER,JOSE</t>
        </is>
      </c>
      <c r="C6" t="inlineStr">
        <is>
          <t>SALUSTIANA</t>
        </is>
      </c>
      <c r="D6" t="n">
        <v>8189</v>
      </c>
      <c r="E6" t="n">
        <v>8189</v>
      </c>
      <c r="F6" t="n">
        <v>0</v>
      </c>
      <c r="G6" t="n">
        <v>368.9</v>
      </c>
      <c r="H6" t="n">
        <v>0</v>
      </c>
      <c r="I6" t="n">
        <v>194.67</v>
      </c>
      <c r="J6" t="n">
        <v>0</v>
      </c>
      <c r="K6" t="n">
        <v>8014.77</v>
      </c>
      <c r="L6" t="n">
        <v>8014.77</v>
      </c>
      <c r="M6" t="n">
        <v>8014.77</v>
      </c>
      <c r="N6" t="n">
        <v>0</v>
      </c>
      <c r="O6" t="n">
        <v>0.38324</v>
      </c>
      <c r="P6" t="n">
        <v>0.42065</v>
      </c>
      <c r="Q6" t="inlineStr">
        <is>
          <t>SÍ</t>
        </is>
      </c>
      <c r="R6" t="inlineStr"/>
    </row>
    <row r="7">
      <c r="A7" t="n">
        <v>1133</v>
      </c>
      <c r="B7" t="inlineStr">
        <is>
          <t>MAYFE S.C.</t>
        </is>
      </c>
      <c r="C7" t="inlineStr">
        <is>
          <t>SALUSTIANA</t>
        </is>
      </c>
      <c r="D7" t="n">
        <v>23375.98</v>
      </c>
      <c r="E7" t="n">
        <v>23375.98</v>
      </c>
      <c r="F7" t="n">
        <v>4998.89</v>
      </c>
      <c r="G7" t="n">
        <v>659.6</v>
      </c>
      <c r="H7" t="n">
        <v>0</v>
      </c>
      <c r="I7" t="n">
        <v>0</v>
      </c>
      <c r="J7" t="n">
        <v>0</v>
      </c>
      <c r="K7" t="n">
        <v>17717.49</v>
      </c>
      <c r="L7" t="n">
        <v>17717.49</v>
      </c>
      <c r="M7" t="n">
        <v>17717.49</v>
      </c>
      <c r="N7" t="n">
        <v>0</v>
      </c>
      <c r="O7" t="n">
        <v>0.25519</v>
      </c>
      <c r="P7" t="n">
        <v>0.2801</v>
      </c>
      <c r="Q7" t="inlineStr">
        <is>
          <t>SÍ</t>
        </is>
      </c>
      <c r="R7" t="inlineStr"/>
    </row>
    <row r="8">
      <c r="A8" t="n">
        <v>1178</v>
      </c>
      <c r="B8" t="inlineStr">
        <is>
          <t>CALZADO GARCIA,FRANCISCO JAVIER</t>
        </is>
      </c>
      <c r="C8" t="inlineStr">
        <is>
          <t>SALUSTIANA</t>
        </is>
      </c>
      <c r="D8" t="n">
        <v>27580.1</v>
      </c>
      <c r="E8" t="n">
        <v>27580.1</v>
      </c>
      <c r="F8" t="n">
        <v>5309.36</v>
      </c>
      <c r="G8" t="n">
        <v>908.01</v>
      </c>
      <c r="H8" t="n">
        <v>0</v>
      </c>
      <c r="I8" t="n">
        <v>0</v>
      </c>
      <c r="J8" t="n">
        <v>1175.79</v>
      </c>
      <c r="K8" t="n">
        <v>22538.52</v>
      </c>
      <c r="L8" t="n">
        <v>22538.52</v>
      </c>
      <c r="M8" t="n">
        <v>22538.52</v>
      </c>
      <c r="N8" t="n">
        <v>0</v>
      </c>
      <c r="O8" t="n">
        <v>0.30564</v>
      </c>
      <c r="P8" t="n">
        <v>0.33548</v>
      </c>
      <c r="Q8" t="inlineStr">
        <is>
          <t>SÍ</t>
        </is>
      </c>
      <c r="R8" t="inlineStr"/>
    </row>
    <row r="9">
      <c r="A9" t="n">
        <v>1202</v>
      </c>
      <c r="B9" t="inlineStr">
        <is>
          <t>FUENTES HINOJOSA,MANUEL</t>
        </is>
      </c>
      <c r="C9" t="inlineStr">
        <is>
          <t>SALUSTIANA</t>
        </is>
      </c>
      <c r="D9" t="n">
        <v>11947.03</v>
      </c>
      <c r="E9" t="n">
        <v>11947.03</v>
      </c>
      <c r="F9" t="n">
        <v>2220.05</v>
      </c>
      <c r="G9" t="n">
        <v>457.66</v>
      </c>
      <c r="H9" t="n">
        <v>0</v>
      </c>
      <c r="I9" t="n">
        <v>0</v>
      </c>
      <c r="J9" t="n">
        <v>0</v>
      </c>
      <c r="K9" t="n">
        <v>9269.32</v>
      </c>
      <c r="L9" t="n">
        <v>9269.32</v>
      </c>
      <c r="M9" t="n">
        <v>9269.32</v>
      </c>
      <c r="N9" t="n">
        <v>0</v>
      </c>
      <c r="O9" t="n">
        <v>0.30062</v>
      </c>
      <c r="P9" t="n">
        <v>0.32996</v>
      </c>
      <c r="Q9" t="inlineStr">
        <is>
          <t>SÍ</t>
        </is>
      </c>
      <c r="R9" t="inlineStr"/>
    </row>
    <row r="10">
      <c r="A10" t="n">
        <v>1219</v>
      </c>
      <c r="B10" t="inlineStr">
        <is>
          <t>LORA BUIZA,GREGORIO</t>
        </is>
      </c>
      <c r="C10" t="inlineStr">
        <is>
          <t>SALUSTIANA</t>
        </is>
      </c>
      <c r="D10" t="n">
        <v>1259.38</v>
      </c>
      <c r="E10" t="n">
        <v>1259.38</v>
      </c>
      <c r="F10" t="n">
        <v>264.89</v>
      </c>
      <c r="G10" t="n">
        <v>27.62</v>
      </c>
      <c r="H10" t="n">
        <v>0</v>
      </c>
      <c r="I10" t="n">
        <v>0</v>
      </c>
      <c r="J10" t="n">
        <v>0</v>
      </c>
      <c r="K10" t="n">
        <v>966.87</v>
      </c>
      <c r="L10" t="n">
        <v>966.87</v>
      </c>
      <c r="M10" t="n">
        <v>966.87</v>
      </c>
      <c r="N10" t="n">
        <v>0</v>
      </c>
      <c r="O10" t="n">
        <v>0.26281</v>
      </c>
      <c r="P10" t="n">
        <v>0.28846</v>
      </c>
      <c r="Q10" t="inlineStr">
        <is>
          <t>SÍ</t>
        </is>
      </c>
      <c r="R10" t="inlineStr"/>
    </row>
    <row r="11">
      <c r="A11" t="n">
        <v>1251</v>
      </c>
      <c r="B11" t="inlineStr">
        <is>
          <t>DURAN ALMENARA,ANGELES</t>
        </is>
      </c>
      <c r="C11" t="inlineStr">
        <is>
          <t>SALUSTIANA</t>
        </is>
      </c>
      <c r="D11" t="n">
        <v>13484.29</v>
      </c>
      <c r="E11" t="n">
        <v>13484.29</v>
      </c>
      <c r="F11" t="n">
        <v>2789.06</v>
      </c>
      <c r="G11" t="n">
        <v>176.61</v>
      </c>
      <c r="H11" t="n">
        <v>0</v>
      </c>
      <c r="I11" t="n">
        <v>0</v>
      </c>
      <c r="J11" t="n">
        <v>0</v>
      </c>
      <c r="K11" t="n">
        <v>10518.62</v>
      </c>
      <c r="L11" t="n">
        <v>10518.62</v>
      </c>
      <c r="M11" t="n">
        <v>10518.62</v>
      </c>
      <c r="N11" t="n">
        <v>0</v>
      </c>
      <c r="O11" t="n">
        <v>0.27154</v>
      </c>
      <c r="P11" t="n">
        <v>0.29804</v>
      </c>
      <c r="Q11" t="inlineStr">
        <is>
          <t>SÍ</t>
        </is>
      </c>
      <c r="R11" t="inlineStr"/>
    </row>
    <row r="12">
      <c r="A12" t="n">
        <v>1272</v>
      </c>
      <c r="B12" t="inlineStr">
        <is>
          <t>HERMANOS GONZALEZ ROLDAN,S.C.</t>
        </is>
      </c>
      <c r="C12" t="inlineStr">
        <is>
          <t>SALUSTIANA</t>
        </is>
      </c>
      <c r="D12" t="n">
        <v>23566.58</v>
      </c>
      <c r="E12" t="n">
        <v>23566.58</v>
      </c>
      <c r="F12" t="n">
        <v>5376.32</v>
      </c>
      <c r="G12" t="n">
        <v>1372.38</v>
      </c>
      <c r="H12" t="n">
        <v>328.139992067</v>
      </c>
      <c r="I12" t="n">
        <v>0</v>
      </c>
      <c r="J12" t="n">
        <v>921.38</v>
      </c>
      <c r="K12" t="n">
        <v>18067.4</v>
      </c>
      <c r="L12" t="n">
        <v>18067.4</v>
      </c>
      <c r="M12" t="n">
        <v>18067.4</v>
      </c>
      <c r="N12" t="n">
        <v>0</v>
      </c>
      <c r="O12" t="n">
        <v>0.24196</v>
      </c>
      <c r="P12" t="n">
        <v>0.26558</v>
      </c>
      <c r="Q12" t="inlineStr">
        <is>
          <t>SÍ</t>
        </is>
      </c>
      <c r="R12" t="inlineStr"/>
    </row>
    <row r="13">
      <c r="A13" t="n">
        <v>1316</v>
      </c>
      <c r="B13" t="inlineStr">
        <is>
          <t>JIMENA GARCIA,JUAN MANUEL</t>
        </is>
      </c>
      <c r="C13" t="inlineStr">
        <is>
          <t>SALUSTIANA</t>
        </is>
      </c>
      <c r="D13" t="n">
        <v>19428.84</v>
      </c>
      <c r="E13" t="n">
        <v>19428.84</v>
      </c>
      <c r="F13" t="n">
        <v>4156.7</v>
      </c>
      <c r="G13" t="n">
        <v>388.12</v>
      </c>
      <c r="H13" t="n">
        <v>0</v>
      </c>
      <c r="I13" t="n">
        <v>0</v>
      </c>
      <c r="J13" t="n">
        <v>0</v>
      </c>
      <c r="K13" t="n">
        <v>14884.02</v>
      </c>
      <c r="L13" t="n">
        <v>14884.02</v>
      </c>
      <c r="M13" t="n">
        <v>14884.02</v>
      </c>
      <c r="N13" t="n">
        <v>0</v>
      </c>
      <c r="O13" t="n">
        <v>0.25781</v>
      </c>
      <c r="P13" t="n">
        <v>0.28297</v>
      </c>
      <c r="Q13" t="inlineStr">
        <is>
          <t>SÍ</t>
        </is>
      </c>
      <c r="R13" t="inlineStr"/>
    </row>
    <row r="14">
      <c r="A14" t="n">
        <v>1350</v>
      </c>
      <c r="B14" t="inlineStr">
        <is>
          <t>FAMILIA GONZALEZ LACAL S.C.</t>
        </is>
      </c>
      <c r="C14" t="inlineStr">
        <is>
          <t>SALUSTIANA</t>
        </is>
      </c>
      <c r="D14" t="n">
        <v>8122.34</v>
      </c>
      <c r="E14" t="n">
        <v>8122.34</v>
      </c>
      <c r="F14" t="n">
        <v>1751.04</v>
      </c>
      <c r="G14" t="n">
        <v>339.66</v>
      </c>
      <c r="H14" t="n">
        <v>0</v>
      </c>
      <c r="I14" t="n">
        <v>0</v>
      </c>
      <c r="J14" t="n">
        <v>306.98</v>
      </c>
      <c r="K14" t="n">
        <v>6338.62</v>
      </c>
      <c r="L14" t="n">
        <v>6338.62</v>
      </c>
      <c r="M14" t="n">
        <v>6338.62</v>
      </c>
      <c r="N14" t="n">
        <v>0</v>
      </c>
      <c r="O14" t="n">
        <v>0.26063</v>
      </c>
      <c r="P14" t="n">
        <v>0.28607</v>
      </c>
      <c r="Q14" t="inlineStr">
        <is>
          <t>SÍ</t>
        </is>
      </c>
      <c r="R14" t="inlineStr"/>
    </row>
    <row r="15">
      <c r="A15" t="n">
        <v>1354</v>
      </c>
      <c r="B15" t="inlineStr">
        <is>
          <t>MARTIN PORTALES,ALFREDO</t>
        </is>
      </c>
      <c r="C15" t="inlineStr">
        <is>
          <t>SALUSTIANA</t>
        </is>
      </c>
      <c r="D15" t="n">
        <v>53301.47</v>
      </c>
      <c r="E15" t="n">
        <v>53301.47</v>
      </c>
      <c r="F15" t="n">
        <v>10656.87</v>
      </c>
      <c r="G15" t="n">
        <v>988.5599999999999</v>
      </c>
      <c r="H15" t="n">
        <v>0</v>
      </c>
      <c r="I15" t="n">
        <v>0</v>
      </c>
      <c r="J15" t="n">
        <v>0</v>
      </c>
      <c r="K15" t="n">
        <v>41656.04</v>
      </c>
      <c r="L15" t="n">
        <v>41656.04</v>
      </c>
      <c r="M15" t="n">
        <v>41656.04</v>
      </c>
      <c r="N15" t="n">
        <v>0</v>
      </c>
      <c r="O15" t="n">
        <v>0.28144</v>
      </c>
      <c r="P15" t="n">
        <v>0.30891</v>
      </c>
      <c r="Q15" t="inlineStr">
        <is>
          <t>SÍ</t>
        </is>
      </c>
      <c r="R15" t="inlineStr"/>
    </row>
    <row r="16">
      <c r="A16" t="n">
        <v>1355</v>
      </c>
      <c r="B16" t="inlineStr">
        <is>
          <t>CANO MANZANARES,JUAN ANTONIO</t>
        </is>
      </c>
      <c r="C16" t="inlineStr">
        <is>
          <t>SALUSTIANA</t>
        </is>
      </c>
      <c r="D16" t="n">
        <v>81403.11</v>
      </c>
      <c r="E16" t="n">
        <v>81403.11</v>
      </c>
      <c r="F16" t="n">
        <v>15356.78</v>
      </c>
      <c r="G16" t="n">
        <v>836.58</v>
      </c>
      <c r="H16" t="n">
        <v>0</v>
      </c>
      <c r="I16" t="n">
        <v>2094.37</v>
      </c>
      <c r="J16" t="n">
        <v>3410.06</v>
      </c>
      <c r="K16" t="n">
        <v>70714.17999999999</v>
      </c>
      <c r="L16" t="n">
        <v>70714.17999999999</v>
      </c>
      <c r="M16" t="n">
        <v>70714.17999999999</v>
      </c>
      <c r="N16" t="n">
        <v>0</v>
      </c>
      <c r="O16" t="n">
        <v>0.33221</v>
      </c>
      <c r="P16" t="n">
        <v>0.36464</v>
      </c>
      <c r="Q16" t="inlineStr">
        <is>
          <t>SÍ</t>
        </is>
      </c>
      <c r="R16" t="inlineStr"/>
    </row>
    <row r="17">
      <c r="A17" t="n">
        <v>1374</v>
      </c>
      <c r="B17" t="inlineStr">
        <is>
          <t>MORENO SANCHEZ,JOSE ANTONIO</t>
        </is>
      </c>
      <c r="C17" t="inlineStr">
        <is>
          <t>SALUSTIANA</t>
        </is>
      </c>
      <c r="D17" t="n">
        <v>19898.38</v>
      </c>
      <c r="E17" t="n">
        <v>19898.38</v>
      </c>
      <c r="F17" t="n">
        <v>3722.33</v>
      </c>
      <c r="G17" t="n">
        <v>285.84</v>
      </c>
      <c r="H17" t="n">
        <v>0</v>
      </c>
      <c r="I17" t="n">
        <v>0</v>
      </c>
      <c r="J17" t="n">
        <v>0</v>
      </c>
      <c r="K17" t="n">
        <v>15890.21</v>
      </c>
      <c r="L17" t="n">
        <v>15890.21</v>
      </c>
      <c r="M17" t="n">
        <v>15890.21</v>
      </c>
      <c r="N17" t="n">
        <v>0</v>
      </c>
      <c r="O17" t="n">
        <v>0.30736</v>
      </c>
      <c r="P17" t="n">
        <v>0.33736</v>
      </c>
      <c r="Q17" t="inlineStr">
        <is>
          <t>SÍ</t>
        </is>
      </c>
      <c r="R17" t="inlineStr"/>
    </row>
    <row r="18">
      <c r="A18" t="n">
        <v>1389</v>
      </c>
      <c r="B18" t="inlineStr">
        <is>
          <t>AGRICOLA HUERTA LA MEJORA S.C.</t>
        </is>
      </c>
      <c r="C18" t="inlineStr">
        <is>
          <t>SALUSTIANA</t>
        </is>
      </c>
      <c r="D18" t="n">
        <v>18031.68</v>
      </c>
      <c r="E18" t="n">
        <v>18031.68</v>
      </c>
      <c r="F18" t="n">
        <v>3444.48</v>
      </c>
      <c r="G18" t="n">
        <v>719.65</v>
      </c>
      <c r="H18" t="n">
        <v>0</v>
      </c>
      <c r="I18" t="n">
        <v>0</v>
      </c>
      <c r="J18" t="n">
        <v>757.92</v>
      </c>
      <c r="K18" t="n">
        <v>14625.47</v>
      </c>
      <c r="L18" t="n">
        <v>14625.47</v>
      </c>
      <c r="M18" t="n">
        <v>14625.47</v>
      </c>
      <c r="N18" t="n">
        <v>0</v>
      </c>
      <c r="O18" t="n">
        <v>0.30572</v>
      </c>
      <c r="P18" t="n">
        <v>0.33555</v>
      </c>
      <c r="Q18" t="inlineStr">
        <is>
          <t>SÍ</t>
        </is>
      </c>
      <c r="R18" t="inlineStr"/>
    </row>
    <row r="19">
      <c r="A19" t="n">
        <v>1395</v>
      </c>
      <c r="B19" t="inlineStr">
        <is>
          <t>AGRICOLA HERMANOS BUIZA S.C.</t>
        </is>
      </c>
      <c r="C19" t="inlineStr">
        <is>
          <t>SALUSTIANA</t>
        </is>
      </c>
      <c r="D19" t="n">
        <v>7948.23</v>
      </c>
      <c r="E19" t="n">
        <v>7948.23</v>
      </c>
      <c r="F19" t="n">
        <v>1647.36</v>
      </c>
      <c r="G19" t="n">
        <v>86.45</v>
      </c>
      <c r="H19" t="n">
        <v>0</v>
      </c>
      <c r="I19" t="n">
        <v>114.55</v>
      </c>
      <c r="J19" t="n">
        <v>328.22</v>
      </c>
      <c r="K19" t="n">
        <v>6657.19</v>
      </c>
      <c r="L19" t="n">
        <v>6657.19</v>
      </c>
      <c r="M19" t="n">
        <v>6657.19</v>
      </c>
      <c r="N19" t="n">
        <v>0</v>
      </c>
      <c r="O19" t="n">
        <v>0.29096</v>
      </c>
      <c r="P19" t="n">
        <v>0.31936</v>
      </c>
      <c r="Q19" t="inlineStr">
        <is>
          <t>SÍ</t>
        </is>
      </c>
      <c r="R19" t="inlineStr"/>
    </row>
    <row r="20">
      <c r="A20" t="n">
        <v>1411</v>
      </c>
      <c r="B20" t="inlineStr">
        <is>
          <t>HERMANOS PEÑA GRIÑAN S.C.</t>
        </is>
      </c>
      <c r="C20" t="inlineStr">
        <is>
          <t>SALUSTIANA</t>
        </is>
      </c>
      <c r="D20" t="n">
        <v>24568.15</v>
      </c>
      <c r="E20" t="n">
        <v>24568.15</v>
      </c>
      <c r="F20" t="n">
        <v>4753.65</v>
      </c>
      <c r="G20" t="n">
        <v>548.33</v>
      </c>
      <c r="H20" t="n">
        <v>0</v>
      </c>
      <c r="I20" t="n">
        <v>0</v>
      </c>
      <c r="J20" t="n">
        <v>0</v>
      </c>
      <c r="K20" t="n">
        <v>19266.17</v>
      </c>
      <c r="L20" t="n">
        <v>19266.17</v>
      </c>
      <c r="M20" t="n">
        <v>19266.17</v>
      </c>
      <c r="N20" t="n">
        <v>0</v>
      </c>
      <c r="O20" t="n">
        <v>0.29169</v>
      </c>
      <c r="P20" t="n">
        <v>0.32015</v>
      </c>
      <c r="Q20" t="inlineStr">
        <is>
          <t>SÍ</t>
        </is>
      </c>
      <c r="R20" t="inlineStr"/>
    </row>
    <row r="21">
      <c r="A21" t="n">
        <v>1419</v>
      </c>
      <c r="B21" t="inlineStr">
        <is>
          <t>MORAL GARCIA,JOSE ANTONIO</t>
        </is>
      </c>
      <c r="C21" t="inlineStr">
        <is>
          <t>SALUSTIANA</t>
        </is>
      </c>
      <c r="D21" t="n">
        <v>7464.66</v>
      </c>
      <c r="E21" t="n">
        <v>7464.66</v>
      </c>
      <c r="F21" t="n">
        <v>1652.4</v>
      </c>
      <c r="G21" t="n">
        <v>142.89</v>
      </c>
      <c r="H21" t="n">
        <v>0</v>
      </c>
      <c r="I21" t="n">
        <v>114.44</v>
      </c>
      <c r="J21" t="n">
        <v>0</v>
      </c>
      <c r="K21" t="n">
        <v>5783.81</v>
      </c>
      <c r="L21" t="n">
        <v>5783.81</v>
      </c>
      <c r="M21" t="n">
        <v>5783.81</v>
      </c>
      <c r="N21" t="n">
        <v>0</v>
      </c>
      <c r="O21" t="n">
        <v>0.25202</v>
      </c>
      <c r="P21" t="n">
        <v>0.27661</v>
      </c>
      <c r="Q21" t="inlineStr">
        <is>
          <t>SÍ</t>
        </is>
      </c>
      <c r="R21" t="inlineStr"/>
    </row>
    <row r="22">
      <c r="A22" t="n">
        <v>1421</v>
      </c>
      <c r="B22" t="inlineStr">
        <is>
          <t>GARCIA GONZALEZ,ISIDORA</t>
        </is>
      </c>
      <c r="C22" t="inlineStr">
        <is>
          <t>SALUSTIANA</t>
        </is>
      </c>
      <c r="D22" t="n">
        <v>12343.35</v>
      </c>
      <c r="E22" t="n">
        <v>12343.35</v>
      </c>
      <c r="F22" t="n">
        <v>2655</v>
      </c>
      <c r="G22" t="n">
        <v>214.5</v>
      </c>
      <c r="H22" t="n">
        <v>0</v>
      </c>
      <c r="I22" t="n">
        <v>0</v>
      </c>
      <c r="J22" t="n">
        <v>0</v>
      </c>
      <c r="K22" t="n">
        <v>9473.85</v>
      </c>
      <c r="L22" t="n">
        <v>9473.85</v>
      </c>
      <c r="M22" t="n">
        <v>9473.85</v>
      </c>
      <c r="N22" t="n">
        <v>0</v>
      </c>
      <c r="O22" t="n">
        <v>0.25692</v>
      </c>
      <c r="P22" t="n">
        <v>0.28199</v>
      </c>
      <c r="Q22" t="inlineStr">
        <is>
          <t>SÍ</t>
        </is>
      </c>
      <c r="R22" t="inlineStr"/>
    </row>
    <row r="23">
      <c r="A23" t="n">
        <v>1443</v>
      </c>
      <c r="B23" t="inlineStr">
        <is>
          <t>TOMENO SUAREZ,ALBERTO</t>
        </is>
      </c>
      <c r="C23" t="inlineStr">
        <is>
          <t>SALUSTIANA</t>
        </is>
      </c>
      <c r="D23" t="n">
        <v>11662.25</v>
      </c>
      <c r="E23" t="n">
        <v>11662.25</v>
      </c>
      <c r="F23" t="n">
        <v>0</v>
      </c>
      <c r="G23" t="n">
        <v>211.61</v>
      </c>
      <c r="H23" t="n">
        <v>0</v>
      </c>
      <c r="I23" t="n">
        <v>124.94</v>
      </c>
      <c r="J23" t="n">
        <v>492.06</v>
      </c>
      <c r="K23" t="n">
        <v>12067.64</v>
      </c>
      <c r="L23" t="n">
        <v>12067.64</v>
      </c>
      <c r="M23" t="n">
        <v>12067.64</v>
      </c>
      <c r="N23" t="n">
        <v>0</v>
      </c>
      <c r="O23" t="n">
        <v>0.35263</v>
      </c>
      <c r="P23" t="n">
        <v>0.38704</v>
      </c>
      <c r="Q23" t="inlineStr">
        <is>
          <t>SÍ</t>
        </is>
      </c>
      <c r="R23" t="inlineStr"/>
    </row>
    <row r="24">
      <c r="A24" t="n">
        <v>1485</v>
      </c>
      <c r="B24" t="inlineStr">
        <is>
          <t>HNOS. CRESPO RUIZ S.C.</t>
        </is>
      </c>
      <c r="C24" t="inlineStr">
        <is>
          <t>SALUSTIANA</t>
        </is>
      </c>
      <c r="D24" t="n">
        <v>55407.6</v>
      </c>
      <c r="E24" t="n">
        <v>55407.6</v>
      </c>
      <c r="F24" t="n">
        <v>10356.12</v>
      </c>
      <c r="G24" t="n">
        <v>625.39</v>
      </c>
      <c r="H24" t="n">
        <v>0</v>
      </c>
      <c r="I24" t="n">
        <v>0</v>
      </c>
      <c r="J24" t="n">
        <v>0</v>
      </c>
      <c r="K24" t="n">
        <v>44426.09</v>
      </c>
      <c r="L24" t="n">
        <v>44426.09</v>
      </c>
      <c r="M24" t="n">
        <v>44426.09</v>
      </c>
      <c r="N24" t="n">
        <v>0</v>
      </c>
      <c r="O24" t="n">
        <v>0.30887</v>
      </c>
      <c r="P24" t="n">
        <v>0.33901</v>
      </c>
      <c r="Q24" t="inlineStr">
        <is>
          <t>SÍ</t>
        </is>
      </c>
      <c r="R24" t="inlineStr"/>
    </row>
    <row r="25">
      <c r="A25" t="n">
        <v>1512</v>
      </c>
      <c r="B25" t="inlineStr">
        <is>
          <t>HERNANDEZ MOLINA,ANTONIO</t>
        </is>
      </c>
      <c r="C25" t="inlineStr">
        <is>
          <t>SALUSTIANA</t>
        </is>
      </c>
      <c r="D25" t="n">
        <v>13467.72</v>
      </c>
      <c r="E25" t="n">
        <v>13467.72</v>
      </c>
      <c r="F25" t="n">
        <v>2964.53</v>
      </c>
      <c r="G25" t="n">
        <v>284.75</v>
      </c>
      <c r="H25" t="n">
        <v>0</v>
      </c>
      <c r="I25" t="n">
        <v>0</v>
      </c>
      <c r="J25" t="n">
        <v>0</v>
      </c>
      <c r="K25" t="n">
        <v>10218.44</v>
      </c>
      <c r="L25" t="n">
        <v>10218.44</v>
      </c>
      <c r="M25" t="n">
        <v>10218.44</v>
      </c>
      <c r="N25" t="n">
        <v>0</v>
      </c>
      <c r="O25" t="n">
        <v>0.24818</v>
      </c>
      <c r="P25" t="n">
        <v>0.2724</v>
      </c>
      <c r="Q25" t="inlineStr">
        <is>
          <t>SÍ</t>
        </is>
      </c>
      <c r="R25" t="inlineStr"/>
    </row>
    <row r="26">
      <c r="A26" t="n">
        <v>1523</v>
      </c>
      <c r="B26" t="inlineStr">
        <is>
          <t>RODRIGUEZ MEJÍAS, JOSE ANTONIO</t>
        </is>
      </c>
      <c r="C26" t="inlineStr">
        <is>
          <t>SALUSTIANA</t>
        </is>
      </c>
      <c r="D26" t="n">
        <v>91744.92</v>
      </c>
      <c r="E26" t="n">
        <v>91744.92</v>
      </c>
      <c r="F26" t="n">
        <v>17693.49</v>
      </c>
      <c r="G26" t="n">
        <v>1771.84</v>
      </c>
      <c r="H26" t="n">
        <v>0</v>
      </c>
      <c r="I26" t="n">
        <v>2247.92</v>
      </c>
      <c r="J26" t="n">
        <v>3868.67</v>
      </c>
      <c r="K26" t="n">
        <v>78396.17999999999</v>
      </c>
      <c r="L26" t="n">
        <v>78396.17999999999</v>
      </c>
      <c r="M26" t="n">
        <v>78396.17999999999</v>
      </c>
      <c r="N26" t="n">
        <v>0</v>
      </c>
      <c r="O26" t="n">
        <v>0.32147</v>
      </c>
      <c r="P26" t="n">
        <v>0.35285</v>
      </c>
      <c r="Q26" t="inlineStr">
        <is>
          <t>SÍ</t>
        </is>
      </c>
      <c r="R26" t="inlineStr"/>
    </row>
    <row r="27">
      <c r="A27" t="n">
        <v>1529</v>
      </c>
      <c r="B27" t="inlineStr">
        <is>
          <t>RAMOS BRUGAROLAS, JOSE</t>
        </is>
      </c>
      <c r="C27" t="inlineStr">
        <is>
          <t>SALUSTIANA</t>
        </is>
      </c>
      <c r="D27" t="n">
        <v>15237.54</v>
      </c>
      <c r="E27" t="n">
        <v>15237.54</v>
      </c>
      <c r="F27" t="n">
        <v>3018.38</v>
      </c>
      <c r="G27" t="n">
        <v>266.03</v>
      </c>
      <c r="H27" t="n">
        <v>0</v>
      </c>
      <c r="I27" t="n">
        <v>0</v>
      </c>
      <c r="J27" t="n">
        <v>0</v>
      </c>
      <c r="K27" t="n">
        <v>11953.13</v>
      </c>
      <c r="L27" t="n">
        <v>11953.13</v>
      </c>
      <c r="M27" t="n">
        <v>11953.13</v>
      </c>
      <c r="N27" t="n">
        <v>0</v>
      </c>
      <c r="O27" t="n">
        <v>0.29701</v>
      </c>
      <c r="P27" t="n">
        <v>0.326</v>
      </c>
      <c r="Q27" t="inlineStr">
        <is>
          <t>SÍ</t>
        </is>
      </c>
      <c r="R27" t="inlineStr"/>
    </row>
    <row r="28">
      <c r="A28" t="n">
        <v>1540</v>
      </c>
      <c r="B28" t="inlineStr">
        <is>
          <t>AGRICOLA SANCHEZ CUENCA S.C.</t>
        </is>
      </c>
      <c r="C28" t="inlineStr">
        <is>
          <t>SALUSTIANA</t>
        </is>
      </c>
      <c r="D28" t="n">
        <v>74145.41</v>
      </c>
      <c r="E28" t="n">
        <v>74145.41</v>
      </c>
      <c r="F28" t="n">
        <v>14470.49</v>
      </c>
      <c r="G28" t="n">
        <v>1040.63</v>
      </c>
      <c r="H28" t="n">
        <v>0</v>
      </c>
      <c r="I28" t="n">
        <v>0</v>
      </c>
      <c r="J28" t="n">
        <v>3067.91</v>
      </c>
      <c r="K28" t="n">
        <v>61702.2</v>
      </c>
      <c r="L28" t="n">
        <v>61702.2</v>
      </c>
      <c r="M28" t="n">
        <v>61702.2</v>
      </c>
      <c r="N28" t="n">
        <v>0</v>
      </c>
      <c r="O28" t="n">
        <v>0.30701</v>
      </c>
      <c r="P28" t="n">
        <v>0.33697</v>
      </c>
      <c r="Q28" t="inlineStr">
        <is>
          <t>SÍ</t>
        </is>
      </c>
      <c r="R28" t="inlineStr"/>
    </row>
    <row r="29">
      <c r="A29" t="n">
        <v>1544</v>
      </c>
      <c r="B29" t="inlineStr">
        <is>
          <t>HARO ORDOÑO, ALVARO</t>
        </is>
      </c>
      <c r="C29" t="inlineStr">
        <is>
          <t>SALUSTIANA</t>
        </is>
      </c>
      <c r="D29" t="n">
        <v>10405.43</v>
      </c>
      <c r="E29" t="n">
        <v>10405.43</v>
      </c>
      <c r="F29" t="n">
        <v>2162.88</v>
      </c>
      <c r="G29" t="n">
        <v>169</v>
      </c>
      <c r="H29" t="n">
        <v>0</v>
      </c>
      <c r="I29" t="n">
        <v>0</v>
      </c>
      <c r="J29" t="n">
        <v>0</v>
      </c>
      <c r="K29" t="n">
        <v>8073.55</v>
      </c>
      <c r="L29" t="n">
        <v>8073.55</v>
      </c>
      <c r="M29" t="n">
        <v>8073.55</v>
      </c>
      <c r="N29" t="n">
        <v>0</v>
      </c>
      <c r="O29" t="n">
        <v>0.26876</v>
      </c>
      <c r="P29" t="n">
        <v>0.29499</v>
      </c>
      <c r="Q29" t="inlineStr">
        <is>
          <t>SÍ</t>
        </is>
      </c>
      <c r="R29" t="inlineStr"/>
    </row>
    <row r="30">
      <c r="A30" t="n">
        <v>1564</v>
      </c>
      <c r="B30" t="inlineStr">
        <is>
          <t>VARELA MUÑOZ, ANTONIO</t>
        </is>
      </c>
      <c r="C30" t="inlineStr">
        <is>
          <t>SALUSTIANA</t>
        </is>
      </c>
      <c r="D30" t="n">
        <v>9831.85</v>
      </c>
      <c r="E30" t="n">
        <v>9831.85</v>
      </c>
      <c r="F30" t="n">
        <v>2016.94</v>
      </c>
      <c r="G30" t="n">
        <v>163.87</v>
      </c>
      <c r="H30" t="n">
        <v>0</v>
      </c>
      <c r="I30" t="n">
        <v>0</v>
      </c>
      <c r="J30" t="n">
        <v>0</v>
      </c>
      <c r="K30" t="n">
        <v>7651.04</v>
      </c>
      <c r="L30" t="n">
        <v>7651.04</v>
      </c>
      <c r="M30" t="n">
        <v>7651.04</v>
      </c>
      <c r="N30" t="n">
        <v>0</v>
      </c>
      <c r="O30" t="n">
        <v>0.27312</v>
      </c>
      <c r="P30" t="n">
        <v>0.29978</v>
      </c>
      <c r="Q30" t="inlineStr">
        <is>
          <t>SÍ</t>
        </is>
      </c>
      <c r="R30" t="inlineStr"/>
    </row>
    <row r="31">
      <c r="A31" t="n">
        <v>1577</v>
      </c>
      <c r="B31" t="inlineStr">
        <is>
          <t>GOMEZ GUERRERO, MARIA MERCEDES</t>
        </is>
      </c>
      <c r="C31" t="inlineStr">
        <is>
          <t>SALUSTIANA</t>
        </is>
      </c>
      <c r="D31" t="n">
        <v>51769.2</v>
      </c>
      <c r="E31" t="n">
        <v>51769.2</v>
      </c>
      <c r="F31" t="n">
        <v>10057.89</v>
      </c>
      <c r="G31" t="n">
        <v>891.5599999999999</v>
      </c>
      <c r="H31" t="n">
        <v>0</v>
      </c>
      <c r="I31" t="n">
        <v>0</v>
      </c>
      <c r="J31" t="n">
        <v>2136.13</v>
      </c>
      <c r="K31" t="n">
        <v>42955.88</v>
      </c>
      <c r="L31" t="n">
        <v>42955.88</v>
      </c>
      <c r="M31" t="n">
        <v>42955.88</v>
      </c>
      <c r="N31" t="n">
        <v>0</v>
      </c>
      <c r="O31" t="n">
        <v>0.3075</v>
      </c>
      <c r="P31" t="n">
        <v>0.33751</v>
      </c>
      <c r="Q31" t="inlineStr">
        <is>
          <t>SÍ</t>
        </is>
      </c>
      <c r="R31" t="inlineStr"/>
    </row>
    <row r="32">
      <c r="A32" t="n">
        <v>1579</v>
      </c>
      <c r="B32" t="inlineStr">
        <is>
          <t>PEREZ JIMENEZ, ALFONSA</t>
        </is>
      </c>
      <c r="C32" t="inlineStr">
        <is>
          <t>SALUSTIANA</t>
        </is>
      </c>
      <c r="D32" t="n">
        <v>2053.81</v>
      </c>
      <c r="E32" t="n">
        <v>2053.81</v>
      </c>
      <c r="F32" t="n">
        <v>437.54</v>
      </c>
      <c r="G32" t="n">
        <v>0</v>
      </c>
      <c r="H32" t="n">
        <v>0</v>
      </c>
      <c r="I32" t="n">
        <v>0</v>
      </c>
      <c r="J32" t="n">
        <v>0</v>
      </c>
      <c r="K32" t="n">
        <v>1616.27</v>
      </c>
      <c r="L32" t="n">
        <v>1616.27</v>
      </c>
      <c r="M32" t="n">
        <v>1616.27</v>
      </c>
      <c r="N32" t="n">
        <v>0</v>
      </c>
      <c r="O32" t="n">
        <v>0.26597</v>
      </c>
      <c r="P32" t="n">
        <v>0.29192</v>
      </c>
      <c r="Q32" t="inlineStr">
        <is>
          <t>SÍ</t>
        </is>
      </c>
      <c r="R32" t="inlineStr"/>
    </row>
    <row r="33">
      <c r="A33" t="n">
        <v>1582</v>
      </c>
      <c r="B33" t="inlineStr">
        <is>
          <t>IGEÑO SANCHEZ, JOSE CARLOS</t>
        </is>
      </c>
      <c r="C33" t="inlineStr">
        <is>
          <t>SALUSTIANA</t>
        </is>
      </c>
      <c r="D33" t="n">
        <v>68624.89</v>
      </c>
      <c r="E33" t="n">
        <v>68624.89</v>
      </c>
      <c r="F33" t="n">
        <v>13018.17</v>
      </c>
      <c r="G33" t="n">
        <v>867.27</v>
      </c>
      <c r="H33" t="n">
        <v>0</v>
      </c>
      <c r="I33" t="n">
        <v>2013.47</v>
      </c>
      <c r="J33" t="n">
        <v>2778.46</v>
      </c>
      <c r="K33" t="n">
        <v>59531.38</v>
      </c>
      <c r="L33" t="n">
        <v>59531.38</v>
      </c>
      <c r="M33" t="n">
        <v>59531.38</v>
      </c>
      <c r="N33" t="n">
        <v>0</v>
      </c>
      <c r="O33" t="n">
        <v>0.32819</v>
      </c>
      <c r="P33" t="n">
        <v>0.36022</v>
      </c>
      <c r="Q33" t="inlineStr">
        <is>
          <t>SÍ</t>
        </is>
      </c>
      <c r="R33" t="inlineStr"/>
    </row>
    <row r="34">
      <c r="A34" t="n">
        <v>1585</v>
      </c>
      <c r="B34" t="inlineStr">
        <is>
          <t>CESPEDES AGUILAR, PATRICIA</t>
        </is>
      </c>
      <c r="C34" t="inlineStr">
        <is>
          <t>SALUSTIANA</t>
        </is>
      </c>
      <c r="D34" t="n">
        <v>52584.63</v>
      </c>
      <c r="E34" t="n">
        <v>52584.63</v>
      </c>
      <c r="F34" t="n">
        <v>10234.55</v>
      </c>
      <c r="G34" t="n">
        <v>950.5599999999999</v>
      </c>
      <c r="H34" t="n">
        <v>0</v>
      </c>
      <c r="I34" t="n">
        <v>0</v>
      </c>
      <c r="J34" t="n">
        <v>2175.48</v>
      </c>
      <c r="K34" t="n">
        <v>43575</v>
      </c>
      <c r="L34" t="n">
        <v>43575</v>
      </c>
      <c r="M34" t="n">
        <v>43575</v>
      </c>
      <c r="N34" t="n">
        <v>0</v>
      </c>
      <c r="O34" t="n">
        <v>0.30854</v>
      </c>
      <c r="P34" t="n">
        <v>0.33866</v>
      </c>
      <c r="Q34" t="inlineStr">
        <is>
          <t>SÍ</t>
        </is>
      </c>
      <c r="R34" t="inlineStr"/>
    </row>
    <row r="35">
      <c r="A35" t="n">
        <v>1597</v>
      </c>
      <c r="B35" t="inlineStr">
        <is>
          <t>CARBALLO SIRIA, ANTONIO JOSE</t>
        </is>
      </c>
      <c r="C35" t="inlineStr">
        <is>
          <t>SALUSTIANA</t>
        </is>
      </c>
      <c r="D35" t="n">
        <v>24202.59</v>
      </c>
      <c r="E35" t="n">
        <v>24202.59</v>
      </c>
      <c r="F35" t="n">
        <v>5190.12</v>
      </c>
      <c r="G35" t="n">
        <v>661.41</v>
      </c>
      <c r="H35" t="n">
        <v>0</v>
      </c>
      <c r="I35" t="n">
        <v>0</v>
      </c>
      <c r="J35" t="n">
        <v>0</v>
      </c>
      <c r="K35" t="n">
        <v>18351.06</v>
      </c>
      <c r="L35" t="n">
        <v>18351.06</v>
      </c>
      <c r="M35" t="n">
        <v>18351.06</v>
      </c>
      <c r="N35" t="n">
        <v>0</v>
      </c>
      <c r="O35" t="n">
        <v>0.25458</v>
      </c>
      <c r="P35" t="n">
        <v>0.27942</v>
      </c>
      <c r="Q35" t="inlineStr">
        <is>
          <t>SÍ</t>
        </is>
      </c>
      <c r="R35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V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Variedad</t>
        </is>
      </c>
      <c r="D1" t="inlineStr">
        <is>
          <t>Base imponible</t>
        </is>
      </c>
      <c r="E1" t="inlineStr">
        <is>
          <t>IVA %</t>
        </is>
      </c>
      <c r="F1" t="inlineStr">
        <is>
          <t>Factor IVA</t>
        </is>
      </c>
      <c r="G1" t="inlineStr">
        <is>
          <t>Importe IVA</t>
        </is>
      </c>
      <c r="H1" t="inlineStr">
        <is>
          <t>Importe después IVA</t>
        </is>
      </c>
      <c r="I1" t="inlineStr">
        <is>
          <t>Retención %</t>
        </is>
      </c>
      <c r="J1" t="inlineStr">
        <is>
          <t>Factor retención</t>
        </is>
      </c>
      <c r="K1" t="inlineStr">
        <is>
          <t>Importe retención</t>
        </is>
      </c>
      <c r="L1" t="inlineStr">
        <is>
          <t>Importe total esperado</t>
        </is>
      </c>
      <c r="M1" t="inlineStr">
        <is>
          <t>Importe total modelo</t>
        </is>
      </c>
      <c r="N1" t="inlineStr">
        <is>
          <t>Importe total Excel</t>
        </is>
      </c>
      <c r="O1" t="inlineStr">
        <is>
          <t>Neto efectivo</t>
        </is>
      </c>
      <c r="P1" t="inlineStr">
        <is>
          <t>P.Medio esperado</t>
        </is>
      </c>
      <c r="Q1" t="inlineStr">
        <is>
          <t>P.Medio modelo</t>
        </is>
      </c>
      <c r="R1" t="inlineStr">
        <is>
          <t>P.Medio Excel</t>
        </is>
      </c>
      <c r="S1" t="inlineStr">
        <is>
          <t>Diferencia total</t>
        </is>
      </c>
      <c r="T1" t="inlineStr">
        <is>
          <t>Diferencia P.Medio</t>
        </is>
      </c>
      <c r="U1" t="inlineStr">
        <is>
          <t>Alineado</t>
        </is>
      </c>
      <c r="V1" t="inlineStr">
        <is>
          <t>Advertencias</t>
        </is>
      </c>
    </row>
    <row r="2">
      <c r="A2" t="n">
        <v>869</v>
      </c>
      <c r="B2" t="inlineStr">
        <is>
          <t>IGEÑO LUQUE,JOSE</t>
        </is>
      </c>
      <c r="C2" t="inlineStr">
        <is>
          <t>SALUSTIANA</t>
        </is>
      </c>
      <c r="D2" t="n">
        <v>10927.69</v>
      </c>
      <c r="E2" t="n">
        <v>12</v>
      </c>
      <c r="F2" t="n">
        <v>1.12</v>
      </c>
      <c r="G2" t="n">
        <v>1311.32</v>
      </c>
      <c r="H2" t="n">
        <v>12239.01</v>
      </c>
      <c r="I2" t="n">
        <v>2</v>
      </c>
      <c r="J2" t="n">
        <v>0.98</v>
      </c>
      <c r="K2" t="n">
        <v>244.78</v>
      </c>
      <c r="L2" t="n">
        <v>11994.23</v>
      </c>
      <c r="M2" t="n">
        <v>11994.23</v>
      </c>
      <c r="N2" t="n">
        <v>11994.23</v>
      </c>
      <c r="O2" t="n">
        <v>34508</v>
      </c>
      <c r="P2" t="n">
        <v>0.34758</v>
      </c>
      <c r="Q2" t="n">
        <v>0.34758</v>
      </c>
      <c r="R2" t="n">
        <v>0.34758</v>
      </c>
      <c r="S2" t="n">
        <v>0</v>
      </c>
      <c r="T2" t="n">
        <v>0</v>
      </c>
      <c r="U2" t="inlineStr">
        <is>
          <t>SÍ</t>
        </is>
      </c>
      <c r="V2" t="inlineStr"/>
    </row>
    <row r="3">
      <c r="A3" t="n">
        <v>883</v>
      </c>
      <c r="B3" t="inlineStr">
        <is>
          <t>TORO SANCHEZ,TERESA</t>
        </is>
      </c>
      <c r="C3" t="inlineStr">
        <is>
          <t>SALUSTIANA</t>
        </is>
      </c>
      <c r="D3" t="n">
        <v>41339.22</v>
      </c>
      <c r="E3" t="n">
        <v>12</v>
      </c>
      <c r="F3" t="n">
        <v>1.12</v>
      </c>
      <c r="G3" t="n">
        <v>4960.71</v>
      </c>
      <c r="H3" t="n">
        <v>46299.93</v>
      </c>
      <c r="I3" t="n">
        <v>2</v>
      </c>
      <c r="J3" t="n">
        <v>0.98</v>
      </c>
      <c r="K3" t="n">
        <v>926</v>
      </c>
      <c r="L3" t="n">
        <v>45373.93</v>
      </c>
      <c r="M3" t="n">
        <v>45373.93</v>
      </c>
      <c r="N3" t="n">
        <v>45373.93</v>
      </c>
      <c r="O3" t="n">
        <v>140757</v>
      </c>
      <c r="P3" t="n">
        <v>0.32236</v>
      </c>
      <c r="Q3" t="n">
        <v>0.32236</v>
      </c>
      <c r="R3" t="n">
        <v>0.32236</v>
      </c>
      <c r="S3" t="n">
        <v>0</v>
      </c>
      <c r="T3" t="n">
        <v>0</v>
      </c>
      <c r="U3" t="inlineStr">
        <is>
          <t>SÍ</t>
        </is>
      </c>
      <c r="V3" t="inlineStr"/>
    </row>
    <row r="4">
      <c r="A4" t="n">
        <v>937</v>
      </c>
      <c r="B4" t="inlineStr">
        <is>
          <t>GALVEZ MACIAS,FRANCISCO</t>
        </is>
      </c>
      <c r="C4" t="inlineStr">
        <is>
          <t>SALUSTIANA</t>
        </is>
      </c>
      <c r="D4" t="n">
        <v>58612.32</v>
      </c>
      <c r="E4" t="n">
        <v>12</v>
      </c>
      <c r="F4" t="n">
        <v>1.12</v>
      </c>
      <c r="G4" t="n">
        <v>7033.48</v>
      </c>
      <c r="H4" t="n">
        <v>65645.8</v>
      </c>
      <c r="I4" t="n">
        <v>2</v>
      </c>
      <c r="J4" t="n">
        <v>0.98</v>
      </c>
      <c r="K4" t="n">
        <v>1312.92</v>
      </c>
      <c r="L4" t="n">
        <v>64332.88</v>
      </c>
      <c r="M4" t="n">
        <v>64332.88</v>
      </c>
      <c r="N4" t="n">
        <v>64332.88</v>
      </c>
      <c r="O4" t="n">
        <v>211701</v>
      </c>
      <c r="P4" t="n">
        <v>0.30389</v>
      </c>
      <c r="Q4" t="n">
        <v>0.30389</v>
      </c>
      <c r="R4" t="n">
        <v>0.30389</v>
      </c>
      <c r="S4" t="n">
        <v>0</v>
      </c>
      <c r="T4" t="n">
        <v>0</v>
      </c>
      <c r="U4" t="inlineStr">
        <is>
          <t>SÍ</t>
        </is>
      </c>
      <c r="V4" t="inlineStr"/>
    </row>
    <row r="5">
      <c r="A5" t="n">
        <v>1072</v>
      </c>
      <c r="B5" t="inlineStr">
        <is>
          <t>GARCIA DELGADO,JUAN MANUEL</t>
        </is>
      </c>
      <c r="C5" t="inlineStr">
        <is>
          <t>SALUSTIANA</t>
        </is>
      </c>
      <c r="D5" t="n">
        <v>3174.24</v>
      </c>
      <c r="E5" t="n">
        <v>12</v>
      </c>
      <c r="F5" t="n">
        <v>1.12</v>
      </c>
      <c r="G5" t="n">
        <v>380.91</v>
      </c>
      <c r="H5" t="n">
        <v>3555.15</v>
      </c>
      <c r="I5" t="n">
        <v>2</v>
      </c>
      <c r="J5" t="n">
        <v>0.98</v>
      </c>
      <c r="K5" t="n">
        <v>71.09999999999999</v>
      </c>
      <c r="L5" t="n">
        <v>3484.05</v>
      </c>
      <c r="M5" t="n">
        <v>3484.05</v>
      </c>
      <c r="N5" t="n">
        <v>3484.05</v>
      </c>
      <c r="O5" t="n">
        <v>11898</v>
      </c>
      <c r="P5" t="n">
        <v>0.29283</v>
      </c>
      <c r="Q5" t="n">
        <v>0.29283</v>
      </c>
      <c r="R5" t="n">
        <v>0.29283</v>
      </c>
      <c r="S5" t="n">
        <v>0</v>
      </c>
      <c r="T5" t="n">
        <v>0</v>
      </c>
      <c r="U5" t="inlineStr">
        <is>
          <t>SÍ</t>
        </is>
      </c>
      <c r="V5" t="inlineStr"/>
    </row>
    <row r="6">
      <c r="A6" t="n">
        <v>1128</v>
      </c>
      <c r="B6" t="inlineStr">
        <is>
          <t>CARRILLO PEÑALVER,JOSE</t>
        </is>
      </c>
      <c r="C6" t="inlineStr">
        <is>
          <t>SALUSTIANA</t>
        </is>
      </c>
      <c r="D6" t="n">
        <v>8014.77</v>
      </c>
      <c r="E6" t="n">
        <v>12</v>
      </c>
      <c r="F6" t="n">
        <v>1.12</v>
      </c>
      <c r="G6" t="n">
        <v>961.77</v>
      </c>
      <c r="H6" t="n">
        <v>8976.540000000001</v>
      </c>
      <c r="I6" t="n">
        <v>2</v>
      </c>
      <c r="J6" t="n">
        <v>0.98</v>
      </c>
      <c r="K6" t="n">
        <v>179.53</v>
      </c>
      <c r="L6" t="n">
        <v>8797.01</v>
      </c>
      <c r="M6" t="n">
        <v>8797.01</v>
      </c>
      <c r="N6" t="n">
        <v>8797.01</v>
      </c>
      <c r="O6" t="n">
        <v>20913</v>
      </c>
      <c r="P6" t="n">
        <v>0.42065</v>
      </c>
      <c r="Q6" t="n">
        <v>0.42065</v>
      </c>
      <c r="R6" t="n">
        <v>0.42065</v>
      </c>
      <c r="S6" t="n">
        <v>0</v>
      </c>
      <c r="T6" t="n">
        <v>0</v>
      </c>
      <c r="U6" t="inlineStr">
        <is>
          <t>SÍ</t>
        </is>
      </c>
      <c r="V6" t="inlineStr"/>
    </row>
    <row r="7">
      <c r="A7" t="n">
        <v>1133</v>
      </c>
      <c r="B7" t="inlineStr">
        <is>
          <t>MAYFE S.C.</t>
        </is>
      </c>
      <c r="C7" t="inlineStr">
        <is>
          <t>SALUSTIANA</t>
        </is>
      </c>
      <c r="D7" t="n">
        <v>17717.49</v>
      </c>
      <c r="E7" t="n">
        <v>12</v>
      </c>
      <c r="F7" t="n">
        <v>1.12</v>
      </c>
      <c r="G7" t="n">
        <v>2126.1</v>
      </c>
      <c r="H7" t="n">
        <v>19843.59</v>
      </c>
      <c r="I7" t="n">
        <v>2</v>
      </c>
      <c r="J7" t="n">
        <v>0.98</v>
      </c>
      <c r="K7" t="n">
        <v>396.87</v>
      </c>
      <c r="L7" t="n">
        <v>19446.72</v>
      </c>
      <c r="M7" t="n">
        <v>19446.72</v>
      </c>
      <c r="N7" t="n">
        <v>19446.72</v>
      </c>
      <c r="O7" t="n">
        <v>69429</v>
      </c>
      <c r="P7" t="n">
        <v>0.2801</v>
      </c>
      <c r="Q7" t="n">
        <v>0.2801</v>
      </c>
      <c r="R7" t="n">
        <v>0.2801</v>
      </c>
      <c r="S7" t="n">
        <v>0</v>
      </c>
      <c r="T7" t="n">
        <v>0</v>
      </c>
      <c r="U7" t="inlineStr">
        <is>
          <t>SÍ</t>
        </is>
      </c>
      <c r="V7" t="inlineStr"/>
    </row>
    <row r="8">
      <c r="A8" t="n">
        <v>1178</v>
      </c>
      <c r="B8" t="inlineStr">
        <is>
          <t>CALZADO GARCIA,FRANCISCO JAVIER</t>
        </is>
      </c>
      <c r="C8" t="inlineStr">
        <is>
          <t>SALUSTIANA</t>
        </is>
      </c>
      <c r="D8" t="n">
        <v>22538.52</v>
      </c>
      <c r="E8" t="n">
        <v>12</v>
      </c>
      <c r="F8" t="n">
        <v>1.12</v>
      </c>
      <c r="G8" t="n">
        <v>2704.62</v>
      </c>
      <c r="H8" t="n">
        <v>25243.14</v>
      </c>
      <c r="I8" t="n">
        <v>2</v>
      </c>
      <c r="J8" t="n">
        <v>0.98</v>
      </c>
      <c r="K8" t="n">
        <v>504.86</v>
      </c>
      <c r="L8" t="n">
        <v>24738.28</v>
      </c>
      <c r="M8" t="n">
        <v>24738.28</v>
      </c>
      <c r="N8" t="n">
        <v>24738.28</v>
      </c>
      <c r="O8" t="n">
        <v>73741</v>
      </c>
      <c r="P8" t="n">
        <v>0.33548</v>
      </c>
      <c r="Q8" t="n">
        <v>0.33548</v>
      </c>
      <c r="R8" t="n">
        <v>0.33548</v>
      </c>
      <c r="S8" t="n">
        <v>0</v>
      </c>
      <c r="T8" t="n">
        <v>0</v>
      </c>
      <c r="U8" t="inlineStr">
        <is>
          <t>SÍ</t>
        </is>
      </c>
      <c r="V8" t="inlineStr"/>
    </row>
    <row r="9">
      <c r="A9" t="n">
        <v>1202</v>
      </c>
      <c r="B9" t="inlineStr">
        <is>
          <t>FUENTES HINOJOSA,MANUEL</t>
        </is>
      </c>
      <c r="C9" t="inlineStr">
        <is>
          <t>SALUSTIANA</t>
        </is>
      </c>
      <c r="D9" t="n">
        <v>9269.32</v>
      </c>
      <c r="E9" t="n">
        <v>12</v>
      </c>
      <c r="F9" t="n">
        <v>1.12</v>
      </c>
      <c r="G9" t="n">
        <v>1112.32</v>
      </c>
      <c r="H9" t="n">
        <v>10381.64</v>
      </c>
      <c r="I9" t="n">
        <v>2</v>
      </c>
      <c r="J9" t="n">
        <v>0.98</v>
      </c>
      <c r="K9" t="n">
        <v>207.63</v>
      </c>
      <c r="L9" t="n">
        <v>10174.01</v>
      </c>
      <c r="M9" t="n">
        <v>10174.01</v>
      </c>
      <c r="N9" t="n">
        <v>10174.01</v>
      </c>
      <c r="O9" t="n">
        <v>30834</v>
      </c>
      <c r="P9" t="n">
        <v>0.32996</v>
      </c>
      <c r="Q9" t="n">
        <v>0.32996</v>
      </c>
      <c r="R9" t="n">
        <v>0.32996</v>
      </c>
      <c r="S9" t="n">
        <v>0</v>
      </c>
      <c r="T9" t="n">
        <v>0</v>
      </c>
      <c r="U9" t="inlineStr">
        <is>
          <t>SÍ</t>
        </is>
      </c>
      <c r="V9" t="inlineStr"/>
    </row>
    <row r="10">
      <c r="A10" t="n">
        <v>1219</v>
      </c>
      <c r="B10" t="inlineStr">
        <is>
          <t>LORA BUIZA,GREGORIO</t>
        </is>
      </c>
      <c r="C10" t="inlineStr">
        <is>
          <t>SALUSTIANA</t>
        </is>
      </c>
      <c r="D10" t="n">
        <v>966.87</v>
      </c>
      <c r="E10" t="n">
        <v>12</v>
      </c>
      <c r="F10" t="n">
        <v>1.12</v>
      </c>
      <c r="G10" t="n">
        <v>116.02</v>
      </c>
      <c r="H10" t="n">
        <v>1082.89</v>
      </c>
      <c r="I10" t="n">
        <v>2</v>
      </c>
      <c r="J10" t="n">
        <v>0.98</v>
      </c>
      <c r="K10" t="n">
        <v>21.66</v>
      </c>
      <c r="L10" t="n">
        <v>1061.24</v>
      </c>
      <c r="M10" t="n">
        <v>1061.24</v>
      </c>
      <c r="N10" t="n">
        <v>1061.24</v>
      </c>
      <c r="O10" t="n">
        <v>3679</v>
      </c>
      <c r="P10" t="n">
        <v>0.28846</v>
      </c>
      <c r="Q10" t="n">
        <v>0.28846</v>
      </c>
      <c r="R10" t="n">
        <v>0.28846</v>
      </c>
      <c r="S10" t="n">
        <v>0</v>
      </c>
      <c r="T10" t="n">
        <v>0</v>
      </c>
      <c r="U10" t="inlineStr">
        <is>
          <t>SÍ</t>
        </is>
      </c>
      <c r="V10" t="inlineStr"/>
    </row>
    <row r="11">
      <c r="A11" t="n">
        <v>1251</v>
      </c>
      <c r="B11" t="inlineStr">
        <is>
          <t>DURAN ALMENARA,ANGELES</t>
        </is>
      </c>
      <c r="C11" t="inlineStr">
        <is>
          <t>SALUSTIANA</t>
        </is>
      </c>
      <c r="D11" t="n">
        <v>10518.62</v>
      </c>
      <c r="E11" t="n">
        <v>12</v>
      </c>
      <c r="F11" t="n">
        <v>1.12</v>
      </c>
      <c r="G11" t="n">
        <v>1262.23</v>
      </c>
      <c r="H11" t="n">
        <v>11780.85</v>
      </c>
      <c r="I11" t="n">
        <v>2</v>
      </c>
      <c r="J11" t="n">
        <v>0.98</v>
      </c>
      <c r="K11" t="n">
        <v>235.62</v>
      </c>
      <c r="L11" t="n">
        <v>11545.24</v>
      </c>
      <c r="M11" t="n">
        <v>11545.24</v>
      </c>
      <c r="N11" t="n">
        <v>11545.24</v>
      </c>
      <c r="O11" t="n">
        <v>38737</v>
      </c>
      <c r="P11" t="n">
        <v>0.29804</v>
      </c>
      <c r="Q11" t="n">
        <v>0.29804</v>
      </c>
      <c r="R11" t="n">
        <v>0.29804</v>
      </c>
      <c r="S11" t="n">
        <v>0</v>
      </c>
      <c r="T11" t="n">
        <v>0</v>
      </c>
      <c r="U11" t="inlineStr">
        <is>
          <t>SÍ</t>
        </is>
      </c>
      <c r="V11" t="inlineStr"/>
    </row>
    <row r="12">
      <c r="A12" t="n">
        <v>1272</v>
      </c>
      <c r="B12" t="inlineStr">
        <is>
          <t>HERMANOS GONZALEZ ROLDAN,S.C.</t>
        </is>
      </c>
      <c r="C12" t="inlineStr">
        <is>
          <t>SALUSTIANA</t>
        </is>
      </c>
      <c r="D12" t="n">
        <v>18067.4</v>
      </c>
      <c r="E12" t="n">
        <v>12</v>
      </c>
      <c r="F12" t="n">
        <v>1.12</v>
      </c>
      <c r="G12" t="n">
        <v>2168.09</v>
      </c>
      <c r="H12" t="n">
        <v>20235.49</v>
      </c>
      <c r="I12" t="n">
        <v>2</v>
      </c>
      <c r="J12" t="n">
        <v>0.98</v>
      </c>
      <c r="K12" t="n">
        <v>404.71</v>
      </c>
      <c r="L12" t="n">
        <v>19830.78</v>
      </c>
      <c r="M12" t="n">
        <v>19830.78</v>
      </c>
      <c r="N12" t="n">
        <v>19830.78</v>
      </c>
      <c r="O12" t="n">
        <v>74671</v>
      </c>
      <c r="P12" t="n">
        <v>0.26558</v>
      </c>
      <c r="Q12" t="n">
        <v>0.26558</v>
      </c>
      <c r="R12" t="n">
        <v>0.26558</v>
      </c>
      <c r="S12" t="n">
        <v>0</v>
      </c>
      <c r="T12" t="n">
        <v>0</v>
      </c>
      <c r="U12" t="inlineStr">
        <is>
          <t>SÍ</t>
        </is>
      </c>
      <c r="V12" t="inlineStr"/>
    </row>
    <row r="13">
      <c r="A13" t="n">
        <v>1316</v>
      </c>
      <c r="B13" t="inlineStr">
        <is>
          <t>JIMENA GARCIA,JUAN MANUEL</t>
        </is>
      </c>
      <c r="C13" t="inlineStr">
        <is>
          <t>SALUSTIANA</t>
        </is>
      </c>
      <c r="D13" t="n">
        <v>14884.02</v>
      </c>
      <c r="E13" t="n">
        <v>12</v>
      </c>
      <c r="F13" t="n">
        <v>1.12</v>
      </c>
      <c r="G13" t="n">
        <v>1786.08</v>
      </c>
      <c r="H13" t="n">
        <v>16670.1</v>
      </c>
      <c r="I13" t="n">
        <v>2</v>
      </c>
      <c r="J13" t="n">
        <v>0.98</v>
      </c>
      <c r="K13" t="n">
        <v>333.4</v>
      </c>
      <c r="L13" t="n">
        <v>16336.7</v>
      </c>
      <c r="M13" t="n">
        <v>16336.7</v>
      </c>
      <c r="N13" t="n">
        <v>16336.7</v>
      </c>
      <c r="O13" t="n">
        <v>57732</v>
      </c>
      <c r="P13" t="n">
        <v>0.28297</v>
      </c>
      <c r="Q13" t="n">
        <v>0.28297</v>
      </c>
      <c r="R13" t="n">
        <v>0.28297</v>
      </c>
      <c r="S13" t="n">
        <v>0</v>
      </c>
      <c r="T13" t="n">
        <v>0</v>
      </c>
      <c r="U13" t="inlineStr">
        <is>
          <t>SÍ</t>
        </is>
      </c>
      <c r="V13" t="inlineStr"/>
    </row>
    <row r="14">
      <c r="A14" t="n">
        <v>1350</v>
      </c>
      <c r="B14" t="inlineStr">
        <is>
          <t>FAMILIA GONZALEZ LACAL S.C.</t>
        </is>
      </c>
      <c r="C14" t="inlineStr">
        <is>
          <t>SALUSTIANA</t>
        </is>
      </c>
      <c r="D14" t="n">
        <v>6338.62</v>
      </c>
      <c r="E14" t="n">
        <v>12</v>
      </c>
      <c r="F14" t="n">
        <v>1.12</v>
      </c>
      <c r="G14" t="n">
        <v>760.63</v>
      </c>
      <c r="H14" t="n">
        <v>7099.25</v>
      </c>
      <c r="I14" t="n">
        <v>2</v>
      </c>
      <c r="J14" t="n">
        <v>0.98</v>
      </c>
      <c r="K14" t="n">
        <v>141.99</v>
      </c>
      <c r="L14" t="n">
        <v>6957.27</v>
      </c>
      <c r="M14" t="n">
        <v>6957.27</v>
      </c>
      <c r="N14" t="n">
        <v>6957.27</v>
      </c>
      <c r="O14" t="n">
        <v>24320</v>
      </c>
      <c r="P14" t="n">
        <v>0.28607</v>
      </c>
      <c r="Q14" t="n">
        <v>0.28607</v>
      </c>
      <c r="R14" t="n">
        <v>0.28607</v>
      </c>
      <c r="S14" t="n">
        <v>0</v>
      </c>
      <c r="T14" t="n">
        <v>0</v>
      </c>
      <c r="U14" t="inlineStr">
        <is>
          <t>SÍ</t>
        </is>
      </c>
      <c r="V14" t="inlineStr"/>
    </row>
    <row r="15">
      <c r="A15" t="n">
        <v>1354</v>
      </c>
      <c r="B15" t="inlineStr">
        <is>
          <t>MARTIN PORTALES,ALFREDO</t>
        </is>
      </c>
      <c r="C15" t="inlineStr">
        <is>
          <t>SALUSTIANA</t>
        </is>
      </c>
      <c r="D15" t="n">
        <v>41656.04</v>
      </c>
      <c r="E15" t="n">
        <v>12</v>
      </c>
      <c r="F15" t="n">
        <v>1.12</v>
      </c>
      <c r="G15" t="n">
        <v>4998.72</v>
      </c>
      <c r="H15" t="n">
        <v>46654.76</v>
      </c>
      <c r="I15" t="n">
        <v>2</v>
      </c>
      <c r="J15" t="n">
        <v>0.98</v>
      </c>
      <c r="K15" t="n">
        <v>933.1</v>
      </c>
      <c r="L15" t="n">
        <v>45721.67</v>
      </c>
      <c r="M15" t="n">
        <v>45721.67</v>
      </c>
      <c r="N15" t="n">
        <v>45721.67</v>
      </c>
      <c r="O15" t="n">
        <v>148012</v>
      </c>
      <c r="P15" t="n">
        <v>0.30891</v>
      </c>
      <c r="Q15" t="n">
        <v>0.30891</v>
      </c>
      <c r="R15" t="n">
        <v>0.30891</v>
      </c>
      <c r="S15" t="n">
        <v>0</v>
      </c>
      <c r="T15" t="n">
        <v>0</v>
      </c>
      <c r="U15" t="inlineStr">
        <is>
          <t>SÍ</t>
        </is>
      </c>
      <c r="V15" t="inlineStr"/>
    </row>
    <row r="16">
      <c r="A16" t="n">
        <v>1355</v>
      </c>
      <c r="B16" t="inlineStr">
        <is>
          <t>CANO MANZANARES,JUAN ANTONIO</t>
        </is>
      </c>
      <c r="C16" t="inlineStr">
        <is>
          <t>SALUSTIANA</t>
        </is>
      </c>
      <c r="D16" t="n">
        <v>70714.17999999999</v>
      </c>
      <c r="E16" t="n">
        <v>12</v>
      </c>
      <c r="F16" t="n">
        <v>1.12</v>
      </c>
      <c r="G16" t="n">
        <v>8485.700000000001</v>
      </c>
      <c r="H16" t="n">
        <v>79199.88</v>
      </c>
      <c r="I16" t="n">
        <v>2</v>
      </c>
      <c r="J16" t="n">
        <v>0.98</v>
      </c>
      <c r="K16" t="n">
        <v>1584</v>
      </c>
      <c r="L16" t="n">
        <v>77615.88</v>
      </c>
      <c r="M16" t="n">
        <v>77615.88</v>
      </c>
      <c r="N16" t="n">
        <v>77615.88</v>
      </c>
      <c r="O16" t="n">
        <v>212858</v>
      </c>
      <c r="P16" t="n">
        <v>0.36464</v>
      </c>
      <c r="Q16" t="n">
        <v>0.36464</v>
      </c>
      <c r="R16" t="n">
        <v>0.36464</v>
      </c>
      <c r="S16" t="n">
        <v>0</v>
      </c>
      <c r="T16" t="n">
        <v>0</v>
      </c>
      <c r="U16" t="inlineStr">
        <is>
          <t>SÍ</t>
        </is>
      </c>
      <c r="V16" t="inlineStr"/>
    </row>
    <row r="17">
      <c r="A17" t="n">
        <v>1374</v>
      </c>
      <c r="B17" t="inlineStr">
        <is>
          <t>MORENO SANCHEZ,JOSE ANTONIO</t>
        </is>
      </c>
      <c r="C17" t="inlineStr">
        <is>
          <t>SALUSTIANA</t>
        </is>
      </c>
      <c r="D17" t="n">
        <v>15890.21</v>
      </c>
      <c r="E17" t="n">
        <v>12</v>
      </c>
      <c r="F17" t="n">
        <v>1.12</v>
      </c>
      <c r="G17" t="n">
        <v>1906.83</v>
      </c>
      <c r="H17" t="n">
        <v>17797.04</v>
      </c>
      <c r="I17" t="n">
        <v>2</v>
      </c>
      <c r="J17" t="n">
        <v>0.98</v>
      </c>
      <c r="K17" t="n">
        <v>355.94</v>
      </c>
      <c r="L17" t="n">
        <v>17441.09</v>
      </c>
      <c r="M17" t="n">
        <v>17441.09</v>
      </c>
      <c r="N17" t="n">
        <v>17441.09</v>
      </c>
      <c r="O17" t="n">
        <v>51699</v>
      </c>
      <c r="P17" t="n">
        <v>0.33736</v>
      </c>
      <c r="Q17" t="n">
        <v>0.33736</v>
      </c>
      <c r="R17" t="n">
        <v>0.33736</v>
      </c>
      <c r="S17" t="n">
        <v>0</v>
      </c>
      <c r="T17" t="n">
        <v>0</v>
      </c>
      <c r="U17" t="inlineStr">
        <is>
          <t>SÍ</t>
        </is>
      </c>
      <c r="V17" t="inlineStr"/>
    </row>
    <row r="18">
      <c r="A18" t="n">
        <v>1389</v>
      </c>
      <c r="B18" t="inlineStr">
        <is>
          <t>AGRICOLA HUERTA LA MEJORA S.C.</t>
        </is>
      </c>
      <c r="C18" t="inlineStr">
        <is>
          <t>SALUSTIANA</t>
        </is>
      </c>
      <c r="D18" t="n">
        <v>14625.47</v>
      </c>
      <c r="E18" t="n">
        <v>12</v>
      </c>
      <c r="F18" t="n">
        <v>1.12</v>
      </c>
      <c r="G18" t="n">
        <v>1755.06</v>
      </c>
      <c r="H18" t="n">
        <v>16380.53</v>
      </c>
      <c r="I18" t="n">
        <v>2</v>
      </c>
      <c r="J18" t="n">
        <v>0.98</v>
      </c>
      <c r="K18" t="n">
        <v>327.61</v>
      </c>
      <c r="L18" t="n">
        <v>16052.92</v>
      </c>
      <c r="M18" t="n">
        <v>16052.92</v>
      </c>
      <c r="N18" t="n">
        <v>16052.92</v>
      </c>
      <c r="O18" t="n">
        <v>47840</v>
      </c>
      <c r="P18" t="n">
        <v>0.33555</v>
      </c>
      <c r="Q18" t="n">
        <v>0.33555</v>
      </c>
      <c r="R18" t="n">
        <v>0.33555</v>
      </c>
      <c r="S18" t="n">
        <v>0</v>
      </c>
      <c r="T18" t="n">
        <v>0</v>
      </c>
      <c r="U18" t="inlineStr">
        <is>
          <t>SÍ</t>
        </is>
      </c>
      <c r="V18" t="inlineStr"/>
    </row>
    <row r="19">
      <c r="A19" t="n">
        <v>1395</v>
      </c>
      <c r="B19" t="inlineStr">
        <is>
          <t>AGRICOLA HERMANOS BUIZA S.C.</t>
        </is>
      </c>
      <c r="C19" t="inlineStr">
        <is>
          <t>SALUSTIANA</t>
        </is>
      </c>
      <c r="D19" t="n">
        <v>6657.19</v>
      </c>
      <c r="E19" t="n">
        <v>12</v>
      </c>
      <c r="F19" t="n">
        <v>1.12</v>
      </c>
      <c r="G19" t="n">
        <v>798.86</v>
      </c>
      <c r="H19" t="n">
        <v>7456.05</v>
      </c>
      <c r="I19" t="n">
        <v>2</v>
      </c>
      <c r="J19" t="n">
        <v>0.98</v>
      </c>
      <c r="K19" t="n">
        <v>149.12</v>
      </c>
      <c r="L19" t="n">
        <v>7306.93</v>
      </c>
      <c r="M19" t="n">
        <v>7306.93</v>
      </c>
      <c r="N19" t="n">
        <v>7306.93</v>
      </c>
      <c r="O19" t="n">
        <v>22880</v>
      </c>
      <c r="P19" t="n">
        <v>0.31936</v>
      </c>
      <c r="Q19" t="n">
        <v>0.31936</v>
      </c>
      <c r="R19" t="n">
        <v>0.31936</v>
      </c>
      <c r="S19" t="n">
        <v>0</v>
      </c>
      <c r="T19" t="n">
        <v>0</v>
      </c>
      <c r="U19" t="inlineStr">
        <is>
          <t>SÍ</t>
        </is>
      </c>
      <c r="V19" t="inlineStr"/>
    </row>
    <row r="20">
      <c r="A20" t="n">
        <v>1411</v>
      </c>
      <c r="B20" t="inlineStr">
        <is>
          <t>HERMANOS PEÑA GRIÑAN S.C.</t>
        </is>
      </c>
      <c r="C20" t="inlineStr">
        <is>
          <t>SALUSTIANA</t>
        </is>
      </c>
      <c r="D20" t="n">
        <v>19266.17</v>
      </c>
      <c r="E20" t="n">
        <v>12</v>
      </c>
      <c r="F20" t="n">
        <v>1.12</v>
      </c>
      <c r="G20" t="n">
        <v>2311.94</v>
      </c>
      <c r="H20" t="n">
        <v>21578.11</v>
      </c>
      <c r="I20" t="n">
        <v>2</v>
      </c>
      <c r="J20" t="n">
        <v>0.98</v>
      </c>
      <c r="K20" t="n">
        <v>431.56</v>
      </c>
      <c r="L20" t="n">
        <v>21146.55</v>
      </c>
      <c r="M20" t="n">
        <v>21146.55</v>
      </c>
      <c r="N20" t="n">
        <v>21146.55</v>
      </c>
      <c r="O20" t="n">
        <v>66051</v>
      </c>
      <c r="P20" t="n">
        <v>0.32015</v>
      </c>
      <c r="Q20" t="n">
        <v>0.32015</v>
      </c>
      <c r="R20" t="n">
        <v>0.32015</v>
      </c>
      <c r="S20" t="n">
        <v>0</v>
      </c>
      <c r="T20" t="n">
        <v>0</v>
      </c>
      <c r="U20" t="inlineStr">
        <is>
          <t>SÍ</t>
        </is>
      </c>
      <c r="V20" t="inlineStr"/>
    </row>
    <row r="21">
      <c r="A21" t="n">
        <v>1419</v>
      </c>
      <c r="B21" t="inlineStr">
        <is>
          <t>MORAL GARCIA,JOSE ANTONIO</t>
        </is>
      </c>
      <c r="C21" t="inlineStr">
        <is>
          <t>SALUSTIANA</t>
        </is>
      </c>
      <c r="D21" t="n">
        <v>5783.81</v>
      </c>
      <c r="E21" t="n">
        <v>12</v>
      </c>
      <c r="F21" t="n">
        <v>1.12</v>
      </c>
      <c r="G21" t="n">
        <v>694.0599999999999</v>
      </c>
      <c r="H21" t="n">
        <v>6477.87</v>
      </c>
      <c r="I21" t="n">
        <v>2</v>
      </c>
      <c r="J21" t="n">
        <v>0.98</v>
      </c>
      <c r="K21" t="n">
        <v>129.56</v>
      </c>
      <c r="L21" t="n">
        <v>6348.31</v>
      </c>
      <c r="M21" t="n">
        <v>6348.31</v>
      </c>
      <c r="N21" t="n">
        <v>6348.31</v>
      </c>
      <c r="O21" t="n">
        <v>22950</v>
      </c>
      <c r="P21" t="n">
        <v>0.27661</v>
      </c>
      <c r="Q21" t="n">
        <v>0.27661</v>
      </c>
      <c r="R21" t="n">
        <v>0.27661</v>
      </c>
      <c r="S21" t="n">
        <v>0</v>
      </c>
      <c r="T21" t="n">
        <v>0</v>
      </c>
      <c r="U21" t="inlineStr">
        <is>
          <t>SÍ</t>
        </is>
      </c>
      <c r="V21" t="inlineStr"/>
    </row>
    <row r="22">
      <c r="A22" t="n">
        <v>1421</v>
      </c>
      <c r="B22" t="inlineStr">
        <is>
          <t>GARCIA GONZALEZ,ISIDORA</t>
        </is>
      </c>
      <c r="C22" t="inlineStr">
        <is>
          <t>SALUSTIANA</t>
        </is>
      </c>
      <c r="D22" t="n">
        <v>9473.85</v>
      </c>
      <c r="E22" t="n">
        <v>12</v>
      </c>
      <c r="F22" t="n">
        <v>1.12</v>
      </c>
      <c r="G22" t="n">
        <v>1136.86</v>
      </c>
      <c r="H22" t="n">
        <v>10610.71</v>
      </c>
      <c r="I22" t="n">
        <v>2</v>
      </c>
      <c r="J22" t="n">
        <v>0.98</v>
      </c>
      <c r="K22" t="n">
        <v>212.21</v>
      </c>
      <c r="L22" t="n">
        <v>10398.5</v>
      </c>
      <c r="M22" t="n">
        <v>10398.5</v>
      </c>
      <c r="N22" t="n">
        <v>10398.5</v>
      </c>
      <c r="O22" t="n">
        <v>36875</v>
      </c>
      <c r="P22" t="n">
        <v>0.28199</v>
      </c>
      <c r="Q22" t="n">
        <v>0.28199</v>
      </c>
      <c r="R22" t="n">
        <v>0.28199</v>
      </c>
      <c r="S22" t="n">
        <v>0</v>
      </c>
      <c r="T22" t="n">
        <v>0</v>
      </c>
      <c r="U22" t="inlineStr">
        <is>
          <t>SÍ</t>
        </is>
      </c>
      <c r="V22" t="inlineStr"/>
    </row>
    <row r="23">
      <c r="A23" t="n">
        <v>1443</v>
      </c>
      <c r="B23" t="inlineStr">
        <is>
          <t>TOMENO SUAREZ,ALBERTO</t>
        </is>
      </c>
      <c r="C23" t="inlineStr">
        <is>
          <t>SALUSTIANA</t>
        </is>
      </c>
      <c r="D23" t="n">
        <v>12067.64</v>
      </c>
      <c r="E23" t="n">
        <v>12</v>
      </c>
      <c r="F23" t="n">
        <v>1.12</v>
      </c>
      <c r="G23" t="n">
        <v>1448.12</v>
      </c>
      <c r="H23" t="n">
        <v>13515.76</v>
      </c>
      <c r="I23" t="n">
        <v>2</v>
      </c>
      <c r="J23" t="n">
        <v>0.98</v>
      </c>
      <c r="K23" t="n">
        <v>270.32</v>
      </c>
      <c r="L23" t="n">
        <v>13245.44</v>
      </c>
      <c r="M23" t="n">
        <v>13245.44</v>
      </c>
      <c r="N23" t="n">
        <v>13245.44</v>
      </c>
      <c r="O23" t="n">
        <v>34222</v>
      </c>
      <c r="P23" t="n">
        <v>0.38704</v>
      </c>
      <c r="Q23" t="n">
        <v>0.38704</v>
      </c>
      <c r="R23" t="n">
        <v>0.38704</v>
      </c>
      <c r="S23" t="n">
        <v>0</v>
      </c>
      <c r="T23" t="n">
        <v>0</v>
      </c>
      <c r="U23" t="inlineStr">
        <is>
          <t>SÍ</t>
        </is>
      </c>
      <c r="V23" t="inlineStr"/>
    </row>
    <row r="24">
      <c r="A24" t="n">
        <v>1485</v>
      </c>
      <c r="B24" t="inlineStr">
        <is>
          <t>HNOS. CRESPO RUIZ S.C.</t>
        </is>
      </c>
      <c r="C24" t="inlineStr">
        <is>
          <t>SALUSTIANA</t>
        </is>
      </c>
      <c r="D24" t="n">
        <v>44426.09</v>
      </c>
      <c r="E24" t="n">
        <v>12</v>
      </c>
      <c r="F24" t="n">
        <v>1.12</v>
      </c>
      <c r="G24" t="n">
        <v>5331.13</v>
      </c>
      <c r="H24" t="n">
        <v>49757.22</v>
      </c>
      <c r="I24" t="n">
        <v>2</v>
      </c>
      <c r="J24" t="n">
        <v>0.98</v>
      </c>
      <c r="K24" t="n">
        <v>995.14</v>
      </c>
      <c r="L24" t="n">
        <v>48762.08</v>
      </c>
      <c r="M24" t="n">
        <v>48762.08</v>
      </c>
      <c r="N24" t="n">
        <v>48762.08</v>
      </c>
      <c r="O24" t="n">
        <v>143835</v>
      </c>
      <c r="P24" t="n">
        <v>0.33901</v>
      </c>
      <c r="Q24" t="n">
        <v>0.33901</v>
      </c>
      <c r="R24" t="n">
        <v>0.33901</v>
      </c>
      <c r="S24" t="n">
        <v>0</v>
      </c>
      <c r="T24" t="n">
        <v>0</v>
      </c>
      <c r="U24" t="inlineStr">
        <is>
          <t>SÍ</t>
        </is>
      </c>
      <c r="V24" t="inlineStr"/>
    </row>
    <row r="25">
      <c r="A25" t="n">
        <v>1512</v>
      </c>
      <c r="B25" t="inlineStr">
        <is>
          <t>HERNANDEZ MOLINA,ANTONIO</t>
        </is>
      </c>
      <c r="C25" t="inlineStr">
        <is>
          <t>SALUSTIANA</t>
        </is>
      </c>
      <c r="D25" t="n">
        <v>10218.44</v>
      </c>
      <c r="E25" t="n">
        <v>12</v>
      </c>
      <c r="F25" t="n">
        <v>1.12</v>
      </c>
      <c r="G25" t="n">
        <v>1226.21</v>
      </c>
      <c r="H25" t="n">
        <v>11444.65</v>
      </c>
      <c r="I25" t="n">
        <v>2</v>
      </c>
      <c r="J25" t="n">
        <v>0.98</v>
      </c>
      <c r="K25" t="n">
        <v>228.89</v>
      </c>
      <c r="L25" t="n">
        <v>11215.76</v>
      </c>
      <c r="M25" t="n">
        <v>11215.76</v>
      </c>
      <c r="N25" t="n">
        <v>11215.76</v>
      </c>
      <c r="O25" t="n">
        <v>41174</v>
      </c>
      <c r="P25" t="n">
        <v>0.2724</v>
      </c>
      <c r="Q25" t="n">
        <v>0.2724</v>
      </c>
      <c r="R25" t="n">
        <v>0.2724</v>
      </c>
      <c r="S25" t="n">
        <v>0</v>
      </c>
      <c r="T25" t="n">
        <v>0</v>
      </c>
      <c r="U25" t="inlineStr">
        <is>
          <t>SÍ</t>
        </is>
      </c>
      <c r="V25" t="inlineStr"/>
    </row>
    <row r="26">
      <c r="A26" t="n">
        <v>1523</v>
      </c>
      <c r="B26" t="inlineStr">
        <is>
          <t>RODRIGUEZ MEJÍAS, JOSE ANTONIO</t>
        </is>
      </c>
      <c r="C26" t="inlineStr">
        <is>
          <t>SALUSTIANA</t>
        </is>
      </c>
      <c r="D26" t="n">
        <v>78396.17999999999</v>
      </c>
      <c r="E26" t="n">
        <v>12</v>
      </c>
      <c r="F26" t="n">
        <v>1.12</v>
      </c>
      <c r="G26" t="n">
        <v>9407.540000000001</v>
      </c>
      <c r="H26" t="n">
        <v>87803.72</v>
      </c>
      <c r="I26" t="n">
        <v>2</v>
      </c>
      <c r="J26" t="n">
        <v>0.98</v>
      </c>
      <c r="K26" t="n">
        <v>1756.07</v>
      </c>
      <c r="L26" t="n">
        <v>86047.64999999999</v>
      </c>
      <c r="M26" t="n">
        <v>86047.64999999999</v>
      </c>
      <c r="N26" t="n">
        <v>86047.64999999999</v>
      </c>
      <c r="O26" t="n">
        <v>243865</v>
      </c>
      <c r="P26" t="n">
        <v>0.35285</v>
      </c>
      <c r="Q26" t="n">
        <v>0.35285</v>
      </c>
      <c r="R26" t="n">
        <v>0.35285</v>
      </c>
      <c r="S26" t="n">
        <v>0</v>
      </c>
      <c r="T26" t="n">
        <v>0</v>
      </c>
      <c r="U26" t="inlineStr">
        <is>
          <t>SÍ</t>
        </is>
      </c>
      <c r="V26" t="inlineStr"/>
    </row>
    <row r="27">
      <c r="A27" t="n">
        <v>1529</v>
      </c>
      <c r="B27" t="inlineStr">
        <is>
          <t>RAMOS BRUGAROLAS, JOSE</t>
        </is>
      </c>
      <c r="C27" t="inlineStr">
        <is>
          <t>SALUSTIANA</t>
        </is>
      </c>
      <c r="D27" t="n">
        <v>11953.13</v>
      </c>
      <c r="E27" t="n">
        <v>12</v>
      </c>
      <c r="F27" t="n">
        <v>1.12</v>
      </c>
      <c r="G27" t="n">
        <v>1434.38</v>
      </c>
      <c r="H27" t="n">
        <v>13387.51</v>
      </c>
      <c r="I27" t="n">
        <v>2</v>
      </c>
      <c r="J27" t="n">
        <v>0.98</v>
      </c>
      <c r="K27" t="n">
        <v>267.75</v>
      </c>
      <c r="L27" t="n">
        <v>13119.76</v>
      </c>
      <c r="M27" t="n">
        <v>13119.76</v>
      </c>
      <c r="N27" t="n">
        <v>13119.76</v>
      </c>
      <c r="O27" t="n">
        <v>40245</v>
      </c>
      <c r="P27" t="n">
        <v>0.326</v>
      </c>
      <c r="Q27" t="n">
        <v>0.326</v>
      </c>
      <c r="R27" t="n">
        <v>0.326</v>
      </c>
      <c r="S27" t="n">
        <v>0</v>
      </c>
      <c r="T27" t="n">
        <v>0</v>
      </c>
      <c r="U27" t="inlineStr">
        <is>
          <t>SÍ</t>
        </is>
      </c>
      <c r="V27" t="inlineStr"/>
    </row>
    <row r="28">
      <c r="A28" t="n">
        <v>1540</v>
      </c>
      <c r="B28" t="inlineStr">
        <is>
          <t>AGRICOLA SANCHEZ CUENCA S.C.</t>
        </is>
      </c>
      <c r="C28" t="inlineStr">
        <is>
          <t>SALUSTIANA</t>
        </is>
      </c>
      <c r="D28" t="n">
        <v>61702.2</v>
      </c>
      <c r="E28" t="n">
        <v>12</v>
      </c>
      <c r="F28" t="n">
        <v>1.12</v>
      </c>
      <c r="G28" t="n">
        <v>7404.26</v>
      </c>
      <c r="H28" t="n">
        <v>69106.46000000001</v>
      </c>
      <c r="I28" t="n">
        <v>2</v>
      </c>
      <c r="J28" t="n">
        <v>0.98</v>
      </c>
      <c r="K28" t="n">
        <v>1382.13</v>
      </c>
      <c r="L28" t="n">
        <v>67724.33</v>
      </c>
      <c r="M28" t="n">
        <v>67724.33</v>
      </c>
      <c r="N28" t="n">
        <v>67724.33</v>
      </c>
      <c r="O28" t="n">
        <v>200979</v>
      </c>
      <c r="P28" t="n">
        <v>0.33697</v>
      </c>
      <c r="Q28" t="n">
        <v>0.33697</v>
      </c>
      <c r="R28" t="n">
        <v>0.33697</v>
      </c>
      <c r="S28" t="n">
        <v>0</v>
      </c>
      <c r="T28" t="n">
        <v>0</v>
      </c>
      <c r="U28" t="inlineStr">
        <is>
          <t>SÍ</t>
        </is>
      </c>
      <c r="V28" t="inlineStr"/>
    </row>
    <row r="29">
      <c r="A29" t="n">
        <v>1544</v>
      </c>
      <c r="B29" t="inlineStr">
        <is>
          <t>HARO ORDOÑO, ALVARO</t>
        </is>
      </c>
      <c r="C29" t="inlineStr">
        <is>
          <t>SALUSTIANA</t>
        </is>
      </c>
      <c r="D29" t="n">
        <v>8073.55</v>
      </c>
      <c r="E29" t="n">
        <v>12</v>
      </c>
      <c r="F29" t="n">
        <v>1.12</v>
      </c>
      <c r="G29" t="n">
        <v>968.83</v>
      </c>
      <c r="H29" t="n">
        <v>9042.379999999999</v>
      </c>
      <c r="I29" t="n">
        <v>2</v>
      </c>
      <c r="J29" t="n">
        <v>0.98</v>
      </c>
      <c r="K29" t="n">
        <v>180.85</v>
      </c>
      <c r="L29" t="n">
        <v>8861.530000000001</v>
      </c>
      <c r="M29" t="n">
        <v>8861.530000000001</v>
      </c>
      <c r="N29" t="n">
        <v>8861.530000000001</v>
      </c>
      <c r="O29" t="n">
        <v>30040</v>
      </c>
      <c r="P29" t="n">
        <v>0.29499</v>
      </c>
      <c r="Q29" t="n">
        <v>0.29499</v>
      </c>
      <c r="R29" t="n">
        <v>0.29499</v>
      </c>
      <c r="S29" t="n">
        <v>0</v>
      </c>
      <c r="T29" t="n">
        <v>0</v>
      </c>
      <c r="U29" t="inlineStr">
        <is>
          <t>SÍ</t>
        </is>
      </c>
      <c r="V29" t="inlineStr"/>
    </row>
    <row r="30">
      <c r="A30" t="n">
        <v>1564</v>
      </c>
      <c r="B30" t="inlineStr">
        <is>
          <t>VARELA MUÑOZ, ANTONIO</t>
        </is>
      </c>
      <c r="C30" t="inlineStr">
        <is>
          <t>SALUSTIANA</t>
        </is>
      </c>
      <c r="D30" t="n">
        <v>7651.04</v>
      </c>
      <c r="E30" t="n">
        <v>12</v>
      </c>
      <c r="F30" t="n">
        <v>1.12</v>
      </c>
      <c r="G30" t="n">
        <v>918.12</v>
      </c>
      <c r="H30" t="n">
        <v>8569.16</v>
      </c>
      <c r="I30" t="n">
        <v>2</v>
      </c>
      <c r="J30" t="n">
        <v>0.98</v>
      </c>
      <c r="K30" t="n">
        <v>171.38</v>
      </c>
      <c r="L30" t="n">
        <v>8397.780000000001</v>
      </c>
      <c r="M30" t="n">
        <v>8397.780000000001</v>
      </c>
      <c r="N30" t="n">
        <v>8397.780000000001</v>
      </c>
      <c r="O30" t="n">
        <v>28013</v>
      </c>
      <c r="P30" t="n">
        <v>0.29978</v>
      </c>
      <c r="Q30" t="n">
        <v>0.29978</v>
      </c>
      <c r="R30" t="n">
        <v>0.29978</v>
      </c>
      <c r="S30" t="n">
        <v>0</v>
      </c>
      <c r="T30" t="n">
        <v>0</v>
      </c>
      <c r="U30" t="inlineStr">
        <is>
          <t>SÍ</t>
        </is>
      </c>
      <c r="V30" t="inlineStr"/>
    </row>
    <row r="31">
      <c r="A31" t="n">
        <v>1577</v>
      </c>
      <c r="B31" t="inlineStr">
        <is>
          <t>GOMEZ GUERRERO, MARIA MERCEDES</t>
        </is>
      </c>
      <c r="C31" t="inlineStr">
        <is>
          <t>SALUSTIANA</t>
        </is>
      </c>
      <c r="D31" t="n">
        <v>42955.88</v>
      </c>
      <c r="E31" t="n">
        <v>12</v>
      </c>
      <c r="F31" t="n">
        <v>1.12</v>
      </c>
      <c r="G31" t="n">
        <v>5154.71</v>
      </c>
      <c r="H31" t="n">
        <v>48110.59</v>
      </c>
      <c r="I31" t="n">
        <v>2</v>
      </c>
      <c r="J31" t="n">
        <v>0.98</v>
      </c>
      <c r="K31" t="n">
        <v>962.21</v>
      </c>
      <c r="L31" t="n">
        <v>47148.37</v>
      </c>
      <c r="M31" t="n">
        <v>47148.37</v>
      </c>
      <c r="N31" t="n">
        <v>47148.37</v>
      </c>
      <c r="O31" t="n">
        <v>139693</v>
      </c>
      <c r="P31" t="n">
        <v>0.33751</v>
      </c>
      <c r="Q31" t="n">
        <v>0.33751</v>
      </c>
      <c r="R31" t="n">
        <v>0.33751</v>
      </c>
      <c r="S31" t="n">
        <v>0</v>
      </c>
      <c r="T31" t="n">
        <v>0</v>
      </c>
      <c r="U31" t="inlineStr">
        <is>
          <t>SÍ</t>
        </is>
      </c>
      <c r="V31" t="inlineStr"/>
    </row>
    <row r="32">
      <c r="A32" t="n">
        <v>1579</v>
      </c>
      <c r="B32" t="inlineStr">
        <is>
          <t>PEREZ JIMENEZ, ALFONSA</t>
        </is>
      </c>
      <c r="C32" t="inlineStr">
        <is>
          <t>SALUSTIANA</t>
        </is>
      </c>
      <c r="D32" t="n">
        <v>1616.27</v>
      </c>
      <c r="E32" t="n">
        <v>12</v>
      </c>
      <c r="F32" t="n">
        <v>1.12</v>
      </c>
      <c r="G32" t="n">
        <v>193.95</v>
      </c>
      <c r="H32" t="n">
        <v>1810.22</v>
      </c>
      <c r="I32" t="n">
        <v>2</v>
      </c>
      <c r="J32" t="n">
        <v>0.98</v>
      </c>
      <c r="K32" t="n">
        <v>36.2</v>
      </c>
      <c r="L32" t="n">
        <v>1774.02</v>
      </c>
      <c r="M32" t="n">
        <v>1774.02</v>
      </c>
      <c r="N32" t="n">
        <v>1774.02</v>
      </c>
      <c r="O32" t="n">
        <v>6077</v>
      </c>
      <c r="P32" t="n">
        <v>0.29192</v>
      </c>
      <c r="Q32" t="n">
        <v>0.29192</v>
      </c>
      <c r="R32" t="n">
        <v>0.29192</v>
      </c>
      <c r="S32" t="n">
        <v>0</v>
      </c>
      <c r="T32" t="n">
        <v>0</v>
      </c>
      <c r="U32" t="inlineStr">
        <is>
          <t>SÍ</t>
        </is>
      </c>
      <c r="V32" t="inlineStr"/>
    </row>
    <row r="33">
      <c r="A33" t="n">
        <v>1582</v>
      </c>
      <c r="B33" t="inlineStr">
        <is>
          <t>IGEÑO SANCHEZ, JOSE CARLOS</t>
        </is>
      </c>
      <c r="C33" t="inlineStr">
        <is>
          <t>SALUSTIANA</t>
        </is>
      </c>
      <c r="D33" t="n">
        <v>59531.38</v>
      </c>
      <c r="E33" t="n">
        <v>12</v>
      </c>
      <c r="F33" t="n">
        <v>1.12</v>
      </c>
      <c r="G33" t="n">
        <v>7143.77</v>
      </c>
      <c r="H33" t="n">
        <v>66675.14999999999</v>
      </c>
      <c r="I33" t="n">
        <v>2</v>
      </c>
      <c r="J33" t="n">
        <v>0.98</v>
      </c>
      <c r="K33" t="n">
        <v>1333.5</v>
      </c>
      <c r="L33" t="n">
        <v>65341.64</v>
      </c>
      <c r="M33" t="n">
        <v>65341.64</v>
      </c>
      <c r="N33" t="n">
        <v>65341.64</v>
      </c>
      <c r="O33" t="n">
        <v>181394</v>
      </c>
      <c r="P33" t="n">
        <v>0.36022</v>
      </c>
      <c r="Q33" t="n">
        <v>0.36022</v>
      </c>
      <c r="R33" t="n">
        <v>0.36022</v>
      </c>
      <c r="S33" t="n">
        <v>0</v>
      </c>
      <c r="T33" t="n">
        <v>0</v>
      </c>
      <c r="U33" t="inlineStr">
        <is>
          <t>SÍ</t>
        </is>
      </c>
      <c r="V33" t="inlineStr"/>
    </row>
    <row r="34">
      <c r="A34" t="n">
        <v>1585</v>
      </c>
      <c r="B34" t="inlineStr">
        <is>
          <t>CESPEDES AGUILAR, PATRICIA</t>
        </is>
      </c>
      <c r="C34" t="inlineStr">
        <is>
          <t>SALUSTIANA</t>
        </is>
      </c>
      <c r="D34" t="n">
        <v>43575</v>
      </c>
      <c r="E34" t="n">
        <v>12</v>
      </c>
      <c r="F34" t="n">
        <v>1.12</v>
      </c>
      <c r="G34" t="n">
        <v>5229</v>
      </c>
      <c r="H34" t="n">
        <v>48804</v>
      </c>
      <c r="I34" t="n">
        <v>2</v>
      </c>
      <c r="J34" t="n">
        <v>0.98</v>
      </c>
      <c r="K34" t="n">
        <v>976.08</v>
      </c>
      <c r="L34" t="n">
        <v>47827.92</v>
      </c>
      <c r="M34" t="n">
        <v>47827.92</v>
      </c>
      <c r="N34" t="n">
        <v>47827.92</v>
      </c>
      <c r="O34" t="n">
        <v>141229</v>
      </c>
      <c r="P34" t="n">
        <v>0.33866</v>
      </c>
      <c r="Q34" t="n">
        <v>0.33866</v>
      </c>
      <c r="R34" t="n">
        <v>0.33866</v>
      </c>
      <c r="S34" t="n">
        <v>0</v>
      </c>
      <c r="T34" t="n">
        <v>0</v>
      </c>
      <c r="U34" t="inlineStr">
        <is>
          <t>SÍ</t>
        </is>
      </c>
      <c r="V34" t="inlineStr"/>
    </row>
    <row r="35">
      <c r="A35" t="n">
        <v>1597</v>
      </c>
      <c r="B35" t="inlineStr">
        <is>
          <t>CARBALLO SIRIA, ANTONIO JOSE</t>
        </is>
      </c>
      <c r="C35" t="inlineStr">
        <is>
          <t>SALUSTIANA</t>
        </is>
      </c>
      <c r="D35" t="n">
        <v>18351.06</v>
      </c>
      <c r="E35" t="n">
        <v>12</v>
      </c>
      <c r="F35" t="n">
        <v>1.12</v>
      </c>
      <c r="G35" t="n">
        <v>2202.13</v>
      </c>
      <c r="H35" t="n">
        <v>20553.19</v>
      </c>
      <c r="I35" t="n">
        <v>2</v>
      </c>
      <c r="J35" t="n">
        <v>0.98</v>
      </c>
      <c r="K35" t="n">
        <v>411.06</v>
      </c>
      <c r="L35" t="n">
        <v>20142.12</v>
      </c>
      <c r="M35" t="n">
        <v>20142.12</v>
      </c>
      <c r="N35" t="n">
        <v>20142.12</v>
      </c>
      <c r="O35" t="n">
        <v>72085</v>
      </c>
      <c r="P35" t="n">
        <v>0.27942</v>
      </c>
      <c r="Q35" t="n">
        <v>0.27942</v>
      </c>
      <c r="R35" t="n">
        <v>0.27942</v>
      </c>
      <c r="S35" t="n">
        <v>0</v>
      </c>
      <c r="T35" t="n">
        <v>0</v>
      </c>
      <c r="U35" t="inlineStr">
        <is>
          <t>SÍ</t>
        </is>
      </c>
      <c r="V35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Variedad</t>
        </is>
      </c>
      <c r="D1" t="inlineStr">
        <is>
          <t>Campaña</t>
        </is>
      </c>
      <c r="E1" t="inlineStr">
        <is>
          <t>Empresa</t>
        </is>
      </c>
      <c r="F1" t="inlineStr">
        <is>
          <t>Cultivos aplicables</t>
        </is>
      </c>
      <c r="G1" t="inlineStr">
        <is>
          <t>Boletas candidatas</t>
        </is>
      </c>
      <c r="H1" t="inlineStr">
        <is>
          <t>Boletas CHA activas</t>
        </is>
      </c>
      <c r="I1" t="inlineStr">
        <is>
          <t>Parcelas incluidas</t>
        </is>
      </c>
      <c r="J1" t="inlineStr">
        <is>
          <t>Parcelas jóvenes</t>
        </is>
      </c>
      <c r="K1" t="inlineStr">
        <is>
          <t>Parcelas dadas de baja</t>
        </is>
      </c>
      <c r="L1" t="inlineStr">
        <is>
          <t>Superficie total</t>
        </is>
      </c>
      <c r="M1" t="inlineStr">
        <is>
          <t>Precio €/ha</t>
        </is>
      </c>
      <c r="N1" t="inlineStr">
        <is>
          <t>Cuota anual</t>
        </is>
      </c>
      <c r="O1" t="inlineStr">
        <is>
          <t>Kg anuales aplicables</t>
        </is>
      </c>
      <c r="P1" t="inlineStr">
        <is>
          <t>Proporción €/kg</t>
        </is>
      </c>
      <c r="Q1" t="inlineStr">
        <is>
          <t>Kg liquidación</t>
        </is>
      </c>
      <c r="R1" t="inlineStr">
        <is>
          <t>Cuota liquidación</t>
        </is>
      </c>
      <c r="S1" t="inlineStr">
        <is>
          <t>Cuota ya aplicada</t>
        </is>
      </c>
      <c r="T1" t="inlineStr">
        <is>
          <t>Cuota proyectada</t>
        </is>
      </c>
      <c r="U1" t="inlineStr">
        <is>
          <t>Saldo pendiente</t>
        </is>
      </c>
      <c r="V1" t="inlineStr">
        <is>
          <t>Estado de cierre</t>
        </is>
      </c>
      <c r="W1" t="inlineStr">
        <is>
          <t>Estado</t>
        </is>
      </c>
      <c r="X1" t="inlineStr">
        <is>
          <t>Advertencias</t>
        </is>
      </c>
      <c r="Y1" t="inlineStr">
        <is>
          <t>Alineado</t>
        </is>
      </c>
    </row>
    <row r="2">
      <c r="A2" t="n">
        <v>869</v>
      </c>
      <c r="B2" t="inlineStr">
        <is>
          <t>IGEÑO LUQUE,JOSE</t>
        </is>
      </c>
      <c r="C2" t="inlineStr">
        <is>
          <t>SALUSTIANA</t>
        </is>
      </c>
      <c r="D2" t="inlineStr">
        <is>
          <t>2026</t>
        </is>
      </c>
      <c r="E2" t="inlineStr">
        <is>
          <t>1</t>
        </is>
      </c>
      <c r="F2" t="inlineStr">
        <is>
          <t>DIRECTOCHF, DIRECTO, MANDARINA, INDUSTRIA, CITRICOS</t>
        </is>
      </c>
      <c r="G2" t="n">
        <v>1</v>
      </c>
      <c r="H2" t="n">
        <v>1</v>
      </c>
      <c r="I2" t="n">
        <v>2</v>
      </c>
      <c r="J2" t="n">
        <v>0</v>
      </c>
      <c r="K2" t="n">
        <v>0</v>
      </c>
      <c r="L2" t="n">
        <v>0.92</v>
      </c>
      <c r="M2" t="n">
        <v>195</v>
      </c>
      <c r="N2" t="n">
        <v>179.4</v>
      </c>
      <c r="O2" t="n">
        <v>34508</v>
      </c>
      <c r="P2" t="n">
        <v>0.005198794482438855</v>
      </c>
      <c r="Q2" t="n">
        <v>34508</v>
      </c>
      <c r="R2" t="n">
        <v>179.4</v>
      </c>
      <c r="S2" t="n">
        <v>0</v>
      </c>
      <c r="T2" t="n">
        <v>179.4</v>
      </c>
      <c r="U2" t="n">
        <v>0</v>
      </c>
      <c r="V2" t="inlineStr">
        <is>
          <t>CLOSED</t>
        </is>
      </c>
      <c r="W2" t="inlineStr">
        <is>
          <t>calculated</t>
        </is>
      </c>
      <c r="X2" t="inlineStr">
        <is>
          <t>312 entregas ya figuran como liquidadas.; No existe tarifa BonCalidad para socio=869 campaña=2026 empresa=1 cultivo=CITRICOS.; No existe fuente acumulada disponible; saldo informativo calculado con cuota ya aplicada = 0.</t>
        </is>
      </c>
      <c r="Y2" t="inlineStr">
        <is>
          <t>SÍ</t>
        </is>
      </c>
    </row>
    <row r="3">
      <c r="A3" t="n">
        <v>883</v>
      </c>
      <c r="B3" t="inlineStr">
        <is>
          <t>TORO SANCHEZ,TERESA</t>
        </is>
      </c>
      <c r="C3" t="inlineStr">
        <is>
          <t>SALUSTIANA</t>
        </is>
      </c>
      <c r="D3" t="inlineStr">
        <is>
          <t>2026</t>
        </is>
      </c>
      <c r="E3" t="inlineStr">
        <is>
          <t>1</t>
        </is>
      </c>
      <c r="F3" t="inlineStr">
        <is>
          <t>DIRECTOCHF, DIRECTO, MANDARINA, INDUSTRIA, CITRICOS</t>
        </is>
      </c>
      <c r="G3" t="n">
        <v>1</v>
      </c>
      <c r="H3" t="n">
        <v>1</v>
      </c>
      <c r="I3" t="n">
        <v>2</v>
      </c>
      <c r="J3" t="n">
        <v>0</v>
      </c>
      <c r="K3" t="n">
        <v>0</v>
      </c>
      <c r="L3" t="n">
        <v>5.62</v>
      </c>
      <c r="M3" t="n">
        <v>195</v>
      </c>
      <c r="N3" t="n">
        <v>1095.9</v>
      </c>
      <c r="O3" t="n">
        <v>148816</v>
      </c>
      <c r="P3" t="n">
        <v>0.007364127513170626</v>
      </c>
      <c r="Q3" t="n">
        <v>140757</v>
      </c>
      <c r="R3" t="n">
        <v>1036.55</v>
      </c>
      <c r="S3" t="n">
        <v>0</v>
      </c>
      <c r="T3" t="n">
        <v>1036.55</v>
      </c>
      <c r="U3" t="n">
        <v>59.35</v>
      </c>
      <c r="V3" t="inlineStr">
        <is>
          <t>OPEN</t>
        </is>
      </c>
      <c r="W3" t="inlineStr">
        <is>
          <t>calculated</t>
        </is>
      </c>
      <c r="X3" t="inlineStr">
        <is>
          <t>312 entregas ya figuran como liquidadas.; No existe tarifa BonCalidad para socio=883 campaña=2026 empresa=1 cultivo=CITRICOS.; No existe fuente acumulada disponible; saldo informativo calculado con cuota ya aplicada = 0.</t>
        </is>
      </c>
      <c r="Y3" t="inlineStr">
        <is>
          <t>SÍ</t>
        </is>
      </c>
    </row>
    <row r="4">
      <c r="A4" t="n">
        <v>937</v>
      </c>
      <c r="B4" t="inlineStr">
        <is>
          <t>GALVEZ MACIAS,FRANCISCO</t>
        </is>
      </c>
      <c r="C4" t="inlineStr">
        <is>
          <t>SALUSTIANA</t>
        </is>
      </c>
      <c r="D4" t="inlineStr">
        <is>
          <t>2026</t>
        </is>
      </c>
      <c r="E4" t="inlineStr">
        <is>
          <t>1</t>
        </is>
      </c>
      <c r="F4" t="inlineStr">
        <is>
          <t>DIRECTOCHF, DIRECTO, MANDARINA, INDUSTRIA, CITRICOS</t>
        </is>
      </c>
      <c r="G4" t="n">
        <v>4</v>
      </c>
      <c r="H4" t="n">
        <v>4</v>
      </c>
      <c r="I4" t="n">
        <v>6</v>
      </c>
      <c r="J4" t="n">
        <v>0</v>
      </c>
      <c r="K4" t="n">
        <v>0</v>
      </c>
      <c r="L4" t="n">
        <v>14.73</v>
      </c>
      <c r="M4" t="n">
        <v>195</v>
      </c>
      <c r="N4" t="n">
        <v>2872.35</v>
      </c>
      <c r="O4" t="n">
        <v>351445</v>
      </c>
      <c r="P4" t="n">
        <v>0.008172971588726543</v>
      </c>
      <c r="Q4" t="n">
        <v>211701</v>
      </c>
      <c r="R4" t="n">
        <v>1730.23</v>
      </c>
      <c r="S4" t="n">
        <v>0</v>
      </c>
      <c r="T4" t="n">
        <v>1730.23</v>
      </c>
      <c r="U4" t="n">
        <v>1142.12</v>
      </c>
      <c r="V4" t="inlineStr">
        <is>
          <t>OPEN</t>
        </is>
      </c>
      <c r="W4" t="inlineStr">
        <is>
          <t>calculated</t>
        </is>
      </c>
      <c r="X4" t="inlineStr">
        <is>
          <t>312 entregas ya figuran como liquidadas.; No existe tarifa BonCalidad para socio=937 campaña=2026 empresa=1 cultivo=CITRICOS.; No existe fuente acumulada disponible; saldo informativo calculado con cuota ya aplicada = 0.</t>
        </is>
      </c>
      <c r="Y4" t="inlineStr">
        <is>
          <t>SÍ</t>
        </is>
      </c>
    </row>
    <row r="5">
      <c r="A5" t="n">
        <v>1072</v>
      </c>
      <c r="B5" t="inlineStr">
        <is>
          <t>GARCIA DELGADO,JUAN MANUEL</t>
        </is>
      </c>
      <c r="C5" t="inlineStr">
        <is>
          <t>SALUSTIANA</t>
        </is>
      </c>
      <c r="D5" t="inlineStr">
        <is>
          <t>2026</t>
        </is>
      </c>
      <c r="E5" t="inlineStr">
        <is>
          <t>1</t>
        </is>
      </c>
      <c r="F5" t="inlineStr">
        <is>
          <t>DIRECTOCHF, DIRECTO, MANDARINA, INDUSTRIA, CITRICOS</t>
        </is>
      </c>
      <c r="G5" t="n">
        <v>2</v>
      </c>
      <c r="H5" t="n">
        <v>2</v>
      </c>
      <c r="I5" t="n">
        <v>3</v>
      </c>
      <c r="J5" t="n">
        <v>0</v>
      </c>
      <c r="K5" t="n">
        <v>0</v>
      </c>
      <c r="L5" t="n">
        <v>8.970000000000001</v>
      </c>
      <c r="M5" t="n">
        <v>195</v>
      </c>
      <c r="N5" t="n">
        <v>1749.15</v>
      </c>
      <c r="O5" t="n">
        <v>117422</v>
      </c>
      <c r="P5" t="n">
        <v>0.01489627156750864</v>
      </c>
      <c r="Q5" t="n">
        <v>11898</v>
      </c>
      <c r="R5" t="n">
        <v>177.24</v>
      </c>
      <c r="S5" t="n">
        <v>0</v>
      </c>
      <c r="T5" t="n">
        <v>177.24</v>
      </c>
      <c r="U5" t="n">
        <v>1571.91</v>
      </c>
      <c r="V5" t="inlineStr">
        <is>
          <t>OPEN</t>
        </is>
      </c>
      <c r="W5" t="inlineStr">
        <is>
          <t>calculated</t>
        </is>
      </c>
      <c r="X5" t="inlineStr">
        <is>
          <t>312 entregas ya figuran como liquidadas.; No existe tarifa BonCalidad para socio=1072 campaña=2026 empresa=1 cultivo=CITRICOS.; No existe fuente acumulada disponible; saldo informativo calculado con cuota ya aplicada = 0.</t>
        </is>
      </c>
      <c r="Y5" t="inlineStr">
        <is>
          <t>SÍ</t>
        </is>
      </c>
    </row>
    <row r="6">
      <c r="A6" t="n">
        <v>1128</v>
      </c>
      <c r="B6" t="inlineStr">
        <is>
          <t>CARRILLO PEÑALVER,JOSE</t>
        </is>
      </c>
      <c r="C6" t="inlineStr">
        <is>
          <t>SALUSTIANA</t>
        </is>
      </c>
      <c r="D6" t="inlineStr">
        <is>
          <t>2026</t>
        </is>
      </c>
      <c r="E6" t="inlineStr">
        <is>
          <t>1</t>
        </is>
      </c>
      <c r="F6" t="inlineStr">
        <is>
          <t>DIRECTOCHF, DIRECTO, MANDARINA, INDUSTRIA, CITRICOS</t>
        </is>
      </c>
      <c r="G6" t="n">
        <v>1</v>
      </c>
      <c r="H6" t="n">
        <v>1</v>
      </c>
      <c r="I6" t="n">
        <v>1</v>
      </c>
      <c r="J6" t="n">
        <v>0</v>
      </c>
      <c r="K6" t="n">
        <v>0</v>
      </c>
      <c r="L6" t="n">
        <v>4.12</v>
      </c>
      <c r="M6" t="n">
        <v>195</v>
      </c>
      <c r="N6" t="n">
        <v>803.4</v>
      </c>
      <c r="O6" t="n">
        <v>45545</v>
      </c>
      <c r="P6" t="n">
        <v>0.0176396970029641</v>
      </c>
      <c r="Q6" t="n">
        <v>20913</v>
      </c>
      <c r="R6" t="n">
        <v>368.9</v>
      </c>
      <c r="S6" t="n">
        <v>0</v>
      </c>
      <c r="T6" t="n">
        <v>368.9</v>
      </c>
      <c r="U6" t="n">
        <v>434.5</v>
      </c>
      <c r="V6" t="inlineStr">
        <is>
          <t>OPEN</t>
        </is>
      </c>
      <c r="W6" t="inlineStr">
        <is>
          <t>calculated</t>
        </is>
      </c>
      <c r="X6" t="inlineStr">
        <is>
          <t>312 entregas ya figuran como liquidadas.; No existe tarifa BonCalidad para socio=1128 campaña=2026 empresa=1 cultivo=CITRICOS.; No existe fuente acumulada disponible; saldo informativo calculado con cuota ya aplicada = 0.</t>
        </is>
      </c>
      <c r="Y6" t="inlineStr">
        <is>
          <t>SÍ</t>
        </is>
      </c>
    </row>
    <row r="7">
      <c r="A7" t="n">
        <v>1133</v>
      </c>
      <c r="B7" t="inlineStr">
        <is>
          <t>MAYFE S.C.</t>
        </is>
      </c>
      <c r="C7" t="inlineStr">
        <is>
          <t>SALUSTIANA</t>
        </is>
      </c>
      <c r="D7" t="inlineStr">
        <is>
          <t>2026</t>
        </is>
      </c>
      <c r="E7" t="inlineStr">
        <is>
          <t>1</t>
        </is>
      </c>
      <c r="F7" t="inlineStr">
        <is>
          <t>DIRECTOCHF, DIRECTO, MANDARINA, INDUSTRIA, CITRICOS</t>
        </is>
      </c>
      <c r="G7" t="n">
        <v>6</v>
      </c>
      <c r="H7" t="n">
        <v>6</v>
      </c>
      <c r="I7" t="n">
        <v>9</v>
      </c>
      <c r="J7" t="n">
        <v>0</v>
      </c>
      <c r="K7" t="n">
        <v>0</v>
      </c>
      <c r="L7" t="n">
        <v>14.28</v>
      </c>
      <c r="M7" t="n">
        <v>195</v>
      </c>
      <c r="N7" t="n">
        <v>2784.6</v>
      </c>
      <c r="O7" t="n">
        <v>293106</v>
      </c>
      <c r="P7" t="n">
        <v>0.009500317291355346</v>
      </c>
      <c r="Q7" t="n">
        <v>69429</v>
      </c>
      <c r="R7" t="n">
        <v>659.6</v>
      </c>
      <c r="S7" t="n">
        <v>0</v>
      </c>
      <c r="T7" t="n">
        <v>659.6</v>
      </c>
      <c r="U7" t="n">
        <v>2125</v>
      </c>
      <c r="V7" t="inlineStr">
        <is>
          <t>OPEN</t>
        </is>
      </c>
      <c r="W7" t="inlineStr">
        <is>
          <t>calculated</t>
        </is>
      </c>
      <c r="X7" t="inlineStr">
        <is>
          <t>312 entregas ya figuran como liquidadas.; No existe tarifa BonCalidad para socio=1133 campaña=2026 empresa=1 cultivo=CITRICOS.; No existe fuente acumulada disponible; saldo informativo calculado con cuota ya aplicada = 0.</t>
        </is>
      </c>
      <c r="Y7" t="inlineStr">
        <is>
          <t>SÍ</t>
        </is>
      </c>
    </row>
    <row r="8">
      <c r="A8" t="n">
        <v>1178</v>
      </c>
      <c r="B8" t="inlineStr">
        <is>
          <t>CALZADO GARCIA,FRANCISCO JAVIER</t>
        </is>
      </c>
      <c r="C8" t="inlineStr">
        <is>
          <t>SALUSTIANA</t>
        </is>
      </c>
      <c r="D8" t="inlineStr">
        <is>
          <t>2026</t>
        </is>
      </c>
      <c r="E8" t="inlineStr">
        <is>
          <t>1</t>
        </is>
      </c>
      <c r="F8" t="inlineStr">
        <is>
          <t>DIRECTOCHF, DIRECTO, MANDARINA, INDUSTRIA, CITRICOS</t>
        </is>
      </c>
      <c r="G8" t="n">
        <v>4</v>
      </c>
      <c r="H8" t="n">
        <v>4</v>
      </c>
      <c r="I8" t="n">
        <v>4</v>
      </c>
      <c r="J8" t="n">
        <v>0</v>
      </c>
      <c r="K8" t="n">
        <v>0</v>
      </c>
      <c r="L8" t="n">
        <v>9.630000000000001</v>
      </c>
      <c r="M8" t="n">
        <v>195</v>
      </c>
      <c r="N8" t="n">
        <v>1877.85</v>
      </c>
      <c r="O8" t="n">
        <v>152504</v>
      </c>
      <c r="P8" t="n">
        <v>0.01231344751613072</v>
      </c>
      <c r="Q8" t="n">
        <v>73741</v>
      </c>
      <c r="R8" t="n">
        <v>908.01</v>
      </c>
      <c r="S8" t="n">
        <v>0</v>
      </c>
      <c r="T8" t="n">
        <v>908.01</v>
      </c>
      <c r="U8" t="n">
        <v>969.84</v>
      </c>
      <c r="V8" t="inlineStr">
        <is>
          <t>OPEN</t>
        </is>
      </c>
      <c r="W8" t="inlineStr">
        <is>
          <t>calculated</t>
        </is>
      </c>
      <c r="X8" t="inlineStr">
        <is>
          <t>312 entregas ya figuran como liquidadas.; No existe tarifa BonCalidad para socio=1178 campaña=2026 empresa=1 cultivo=CITRICOS.; No existe fuente acumulada disponible; saldo informativo calculado con cuota ya aplicada = 0.</t>
        </is>
      </c>
      <c r="Y8" t="inlineStr">
        <is>
          <t>SÍ</t>
        </is>
      </c>
    </row>
    <row r="9">
      <c r="A9" t="n">
        <v>1202</v>
      </c>
      <c r="B9" t="inlineStr">
        <is>
          <t>FUENTES HINOJOSA,MANUEL</t>
        </is>
      </c>
      <c r="C9" t="inlineStr">
        <is>
          <t>SALUSTIANA</t>
        </is>
      </c>
      <c r="D9" t="inlineStr">
        <is>
          <t>2026</t>
        </is>
      </c>
      <c r="E9" t="inlineStr">
        <is>
          <t>1</t>
        </is>
      </c>
      <c r="F9" t="inlineStr">
        <is>
          <t>DIRECTOCHF, DIRECTO, MANDARINA, INDUSTRIA, CITRICOS</t>
        </is>
      </c>
      <c r="G9" t="n">
        <v>1</v>
      </c>
      <c r="H9" t="n">
        <v>1</v>
      </c>
      <c r="I9" t="n">
        <v>1</v>
      </c>
      <c r="J9" t="n">
        <v>0</v>
      </c>
      <c r="K9" t="n">
        <v>0</v>
      </c>
      <c r="L9" t="n">
        <v>2.36</v>
      </c>
      <c r="M9" t="n">
        <v>195</v>
      </c>
      <c r="N9" t="n">
        <v>460.2</v>
      </c>
      <c r="O9" t="n">
        <v>31005</v>
      </c>
      <c r="P9" t="n">
        <v>0.01484276729559748</v>
      </c>
      <c r="Q9" t="n">
        <v>30834</v>
      </c>
      <c r="R9" t="n">
        <v>457.66</v>
      </c>
      <c r="S9" t="n">
        <v>0</v>
      </c>
      <c r="T9" t="n">
        <v>457.66</v>
      </c>
      <c r="U9" t="n">
        <v>2.54</v>
      </c>
      <c r="V9" t="inlineStr">
        <is>
          <t>OPEN</t>
        </is>
      </c>
      <c r="W9" t="inlineStr">
        <is>
          <t>calculated</t>
        </is>
      </c>
      <c r="X9" t="inlineStr">
        <is>
          <t>312 entregas ya figuran como liquidadas.; No existe tarifa BonCalidad para socio=1202 campaña=2026 empresa=1 cultivo=CITRICOS.; No existe fuente acumulada disponible; saldo informativo calculado con cuota ya aplicada = 0.</t>
        </is>
      </c>
      <c r="Y9" t="inlineStr">
        <is>
          <t>SÍ</t>
        </is>
      </c>
    </row>
    <row r="10">
      <c r="A10" t="n">
        <v>1219</v>
      </c>
      <c r="B10" t="inlineStr">
        <is>
          <t>LORA BUIZA,GREGORIO</t>
        </is>
      </c>
      <c r="C10" t="inlineStr">
        <is>
          <t>SALUSTIANA</t>
        </is>
      </c>
      <c r="D10" t="inlineStr">
        <is>
          <t>2026</t>
        </is>
      </c>
      <c r="E10" t="inlineStr">
        <is>
          <t>1</t>
        </is>
      </c>
      <c r="F10" t="inlineStr">
        <is>
          <t>DIRECTOCHF, DIRECTO, MANDARINA, INDUSTRIA, CITRICOS</t>
        </is>
      </c>
      <c r="G10" t="n">
        <v>1</v>
      </c>
      <c r="H10" t="n">
        <v>1</v>
      </c>
      <c r="I10" t="n">
        <v>2</v>
      </c>
      <c r="J10" t="n">
        <v>0</v>
      </c>
      <c r="K10" t="n">
        <v>0</v>
      </c>
      <c r="L10" t="n">
        <v>0.28</v>
      </c>
      <c r="M10" t="n">
        <v>195</v>
      </c>
      <c r="N10" t="n">
        <v>54.6</v>
      </c>
      <c r="O10" t="n">
        <v>7272</v>
      </c>
      <c r="P10" t="n">
        <v>0.007508250825082509</v>
      </c>
      <c r="Q10" t="n">
        <v>3679</v>
      </c>
      <c r="R10" t="n">
        <v>27.62</v>
      </c>
      <c r="S10" t="n">
        <v>0</v>
      </c>
      <c r="T10" t="n">
        <v>27.62</v>
      </c>
      <c r="U10" t="n">
        <v>26.98</v>
      </c>
      <c r="V10" t="inlineStr">
        <is>
          <t>OPEN</t>
        </is>
      </c>
      <c r="W10" t="inlineStr">
        <is>
          <t>calculated</t>
        </is>
      </c>
      <c r="X10" t="inlineStr">
        <is>
          <t>312 entregas ya figuran como liquidadas.; No existe tarifa BonCalidad para socio=1219 campaña=2026 empresa=1 cultivo=CITRICOS.; No existe fuente acumulada disponible; saldo informativo calculado con cuota ya aplicada = 0.</t>
        </is>
      </c>
      <c r="Y10" t="inlineStr">
        <is>
          <t>SÍ</t>
        </is>
      </c>
    </row>
    <row r="11">
      <c r="A11" t="n">
        <v>1251</v>
      </c>
      <c r="B11" t="inlineStr">
        <is>
          <t>DURAN ALMENARA,ANGELES</t>
        </is>
      </c>
      <c r="C11" t="inlineStr">
        <is>
          <t>SALUSTIANA</t>
        </is>
      </c>
      <c r="D11" t="inlineStr">
        <is>
          <t>2026</t>
        </is>
      </c>
      <c r="E11" t="inlineStr">
        <is>
          <t>1</t>
        </is>
      </c>
      <c r="F11" t="inlineStr">
        <is>
          <t>DIRECTOCHF, DIRECTO, MANDARINA, INDUSTRIA, CITRICOS</t>
        </is>
      </c>
      <c r="G11" t="n">
        <v>2</v>
      </c>
      <c r="H11" t="n">
        <v>2</v>
      </c>
      <c r="I11" t="n">
        <v>3</v>
      </c>
      <c r="J11" t="n">
        <v>0</v>
      </c>
      <c r="K11" t="n">
        <v>0</v>
      </c>
      <c r="L11" t="n">
        <v>2.12</v>
      </c>
      <c r="M11" t="n">
        <v>195</v>
      </c>
      <c r="N11" t="n">
        <v>413.4</v>
      </c>
      <c r="O11" t="n">
        <v>90674</v>
      </c>
      <c r="P11" t="n">
        <v>0.004559190065509407</v>
      </c>
      <c r="Q11" t="n">
        <v>38737</v>
      </c>
      <c r="R11" t="n">
        <v>176.61</v>
      </c>
      <c r="S11" t="n">
        <v>0</v>
      </c>
      <c r="T11" t="n">
        <v>176.61</v>
      </c>
      <c r="U11" t="n">
        <v>236.79</v>
      </c>
      <c r="V11" t="inlineStr">
        <is>
          <t>OPEN</t>
        </is>
      </c>
      <c r="W11" t="inlineStr">
        <is>
          <t>calculated</t>
        </is>
      </c>
      <c r="X11" t="inlineStr">
        <is>
          <t>312 entregas ya figuran como liquidadas.; No existe tarifa BonCalidad para socio=1251 campaña=2026 empresa=1 cultivo=CITRICOS.; No existe fuente acumulada disponible; saldo informativo calculado con cuota ya aplicada = 0.</t>
        </is>
      </c>
      <c r="Y11" t="inlineStr">
        <is>
          <t>SÍ</t>
        </is>
      </c>
    </row>
    <row r="12">
      <c r="A12" t="n">
        <v>1272</v>
      </c>
      <c r="B12" t="inlineStr">
        <is>
          <t>HERMANOS GONZALEZ ROLDAN,S.C.</t>
        </is>
      </c>
      <c r="C12" t="inlineStr">
        <is>
          <t>SALUSTIANA</t>
        </is>
      </c>
      <c r="D12" t="inlineStr">
        <is>
          <t>2026</t>
        </is>
      </c>
      <c r="E12" t="inlineStr">
        <is>
          <t>1</t>
        </is>
      </c>
      <c r="F12" t="inlineStr">
        <is>
          <t>DIRECTOCHF, DIRECTO, MANDARINA, INDUSTRIA, CITRICOS</t>
        </is>
      </c>
      <c r="G12" t="n">
        <v>10</v>
      </c>
      <c r="H12" t="n">
        <v>10</v>
      </c>
      <c r="I12" t="n">
        <v>29</v>
      </c>
      <c r="J12" t="n">
        <v>0</v>
      </c>
      <c r="K12" t="n">
        <v>0</v>
      </c>
      <c r="L12" t="n">
        <v>60.01</v>
      </c>
      <c r="M12" t="n">
        <v>195</v>
      </c>
      <c r="N12" t="n">
        <v>11701.95</v>
      </c>
      <c r="O12" t="n">
        <v>636702</v>
      </c>
      <c r="P12" t="n">
        <v>0.01837900619127944</v>
      </c>
      <c r="Q12" t="n">
        <v>74671</v>
      </c>
      <c r="R12" t="n">
        <v>1372.38</v>
      </c>
      <c r="S12" t="n">
        <v>0</v>
      </c>
      <c r="T12" t="n">
        <v>1372.38</v>
      </c>
      <c r="U12" t="n">
        <v>10329.57</v>
      </c>
      <c r="V12" t="inlineStr">
        <is>
          <t>OPEN</t>
        </is>
      </c>
      <c r="W12" t="inlineStr">
        <is>
          <t>calculated</t>
        </is>
      </c>
      <c r="X12" t="inlineStr">
        <is>
          <t>312 entregas ya figuran como liquidadas.; No existe fuente acumulada disponible; saldo informativo calculado con cuota ya aplicada = 0.</t>
        </is>
      </c>
      <c r="Y12" t="inlineStr">
        <is>
          <t>SÍ</t>
        </is>
      </c>
    </row>
    <row r="13">
      <c r="A13" t="n">
        <v>1316</v>
      </c>
      <c r="B13" t="inlineStr">
        <is>
          <t>JIMENA GARCIA,JUAN MANUEL</t>
        </is>
      </c>
      <c r="C13" t="inlineStr">
        <is>
          <t>SALUSTIANA</t>
        </is>
      </c>
      <c r="D13" t="inlineStr">
        <is>
          <t>2026</t>
        </is>
      </c>
      <c r="E13" t="inlineStr">
        <is>
          <t>1</t>
        </is>
      </c>
      <c r="F13" t="inlineStr">
        <is>
          <t>DIRECTOCHF, DIRECTO, MANDARINA, INDUSTRIA, CITRICOS</t>
        </is>
      </c>
      <c r="G13" t="n">
        <v>2</v>
      </c>
      <c r="H13" t="n">
        <v>2</v>
      </c>
      <c r="I13" t="n">
        <v>3</v>
      </c>
      <c r="J13" t="n">
        <v>0</v>
      </c>
      <c r="K13" t="n">
        <v>0</v>
      </c>
      <c r="L13" t="n">
        <v>3.23</v>
      </c>
      <c r="M13" t="n">
        <v>195</v>
      </c>
      <c r="N13" t="n">
        <v>629.85</v>
      </c>
      <c r="O13" t="n">
        <v>93689</v>
      </c>
      <c r="P13" t="n">
        <v>0.006722774285134861</v>
      </c>
      <c r="Q13" t="n">
        <v>57732</v>
      </c>
      <c r="R13" t="n">
        <v>388.12</v>
      </c>
      <c r="S13" t="n">
        <v>0</v>
      </c>
      <c r="T13" t="n">
        <v>388.12</v>
      </c>
      <c r="U13" t="n">
        <v>241.73</v>
      </c>
      <c r="V13" t="inlineStr">
        <is>
          <t>OPEN</t>
        </is>
      </c>
      <c r="W13" t="inlineStr">
        <is>
          <t>calculated</t>
        </is>
      </c>
      <c r="X13" t="inlineStr">
        <is>
          <t>312 entregas ya figuran como liquidadas.; No existe tarifa BonCalidad para socio=1316 campaña=2026 empresa=1 cultivo=CITRICOS.; No existe fuente acumulada disponible; saldo informativo calculado con cuota ya aplicada = 0.</t>
        </is>
      </c>
      <c r="Y13" t="inlineStr">
        <is>
          <t>SÍ</t>
        </is>
      </c>
    </row>
    <row r="14">
      <c r="A14" t="n">
        <v>1350</v>
      </c>
      <c r="B14" t="inlineStr">
        <is>
          <t>FAMILIA GONZALEZ LACAL S.C.</t>
        </is>
      </c>
      <c r="C14" t="inlineStr">
        <is>
          <t>SALUSTIANA</t>
        </is>
      </c>
      <c r="D14" t="inlineStr">
        <is>
          <t>2026</t>
        </is>
      </c>
      <c r="E14" t="inlineStr">
        <is>
          <t>1</t>
        </is>
      </c>
      <c r="F14" t="inlineStr">
        <is>
          <t>DIRECTOCHF, DIRECTO, MANDARINA, INDUSTRIA, CITRICOS</t>
        </is>
      </c>
      <c r="G14" t="n">
        <v>4</v>
      </c>
      <c r="H14" t="n">
        <v>4</v>
      </c>
      <c r="I14" t="n">
        <v>4</v>
      </c>
      <c r="J14" t="n">
        <v>0</v>
      </c>
      <c r="K14" t="n">
        <v>0</v>
      </c>
      <c r="L14" t="n">
        <v>9.16</v>
      </c>
      <c r="M14" t="n">
        <v>195</v>
      </c>
      <c r="N14" t="n">
        <v>1786.2</v>
      </c>
      <c r="O14" t="n">
        <v>127892</v>
      </c>
      <c r="P14" t="n">
        <v>0.01396647171050574</v>
      </c>
      <c r="Q14" t="n">
        <v>24320</v>
      </c>
      <c r="R14" t="n">
        <v>339.66</v>
      </c>
      <c r="S14" t="n">
        <v>0</v>
      </c>
      <c r="T14" t="n">
        <v>339.66</v>
      </c>
      <c r="U14" t="n">
        <v>1446.54</v>
      </c>
      <c r="V14" t="inlineStr">
        <is>
          <t>OPEN</t>
        </is>
      </c>
      <c r="W14" t="inlineStr">
        <is>
          <t>calculated</t>
        </is>
      </c>
      <c r="X14" t="inlineStr">
        <is>
          <t>312 entregas ya figuran como liquidadas.; No existe tarifa BonCalidad para socio=1350 campaña=2026 empresa=1 cultivo=CITRICOS.; El socio 1350 figura certificado GlobalGAP en CITRICOS pero no en CITRICOS. Se ha aplicado la certificación global del socio. Revise DEEPP.; No existe fuente acumulada disponible; saldo informativo calculado con cuota ya aplicada = 0.</t>
        </is>
      </c>
      <c r="Y14" t="inlineStr">
        <is>
          <t>SÍ</t>
        </is>
      </c>
    </row>
    <row r="15">
      <c r="A15" t="n">
        <v>1354</v>
      </c>
      <c r="B15" t="inlineStr">
        <is>
          <t>MARTIN PORTALES,ALFREDO</t>
        </is>
      </c>
      <c r="C15" t="inlineStr">
        <is>
          <t>SALUSTIANA</t>
        </is>
      </c>
      <c r="D15" t="inlineStr">
        <is>
          <t>2026</t>
        </is>
      </c>
      <c r="E15" t="inlineStr">
        <is>
          <t>1</t>
        </is>
      </c>
      <c r="F15" t="inlineStr">
        <is>
          <t>DIRECTOCHF, DIRECTO, MANDARINA, INDUSTRIA, CITRICOS</t>
        </is>
      </c>
      <c r="G15" t="n">
        <v>1</v>
      </c>
      <c r="H15" t="n">
        <v>1</v>
      </c>
      <c r="I15" t="n">
        <v>2</v>
      </c>
      <c r="J15" t="n">
        <v>0</v>
      </c>
      <c r="K15" t="n">
        <v>0</v>
      </c>
      <c r="L15" t="n">
        <v>5.24</v>
      </c>
      <c r="M15" t="n">
        <v>195</v>
      </c>
      <c r="N15" t="n">
        <v>1021.8</v>
      </c>
      <c r="O15" t="n">
        <v>152989</v>
      </c>
      <c r="P15" t="n">
        <v>0.006678911555732765</v>
      </c>
      <c r="Q15" t="n">
        <v>148012</v>
      </c>
      <c r="R15" t="n">
        <v>988.5599999999999</v>
      </c>
      <c r="S15" t="n">
        <v>0</v>
      </c>
      <c r="T15" t="n">
        <v>988.5599999999999</v>
      </c>
      <c r="U15" t="n">
        <v>33.24</v>
      </c>
      <c r="V15" t="inlineStr">
        <is>
          <t>OPEN</t>
        </is>
      </c>
      <c r="W15" t="inlineStr">
        <is>
          <t>calculated</t>
        </is>
      </c>
      <c r="X15" t="inlineStr">
        <is>
          <t>312 entregas ya figuran como liquidadas.; No existe tarifa BonCalidad para socio=1354 campaña=2026 empresa=1 cultivo=CITRICOS.; No existe fuente acumulada disponible; saldo informativo calculado con cuota ya aplicada = 0.</t>
        </is>
      </c>
      <c r="Y15" t="inlineStr">
        <is>
          <t>SÍ</t>
        </is>
      </c>
    </row>
    <row r="16">
      <c r="A16" t="n">
        <v>1355</v>
      </c>
      <c r="B16" t="inlineStr">
        <is>
          <t>CANO MANZANARES,JUAN ANTONIO</t>
        </is>
      </c>
      <c r="C16" t="inlineStr">
        <is>
          <t>SALUSTIANA</t>
        </is>
      </c>
      <c r="D16" t="inlineStr">
        <is>
          <t>2026</t>
        </is>
      </c>
      <c r="E16" t="inlineStr">
        <is>
          <t>1</t>
        </is>
      </c>
      <c r="F16" t="inlineStr">
        <is>
          <t>DIRECTOCHF, DIRECTO, MANDARINA, INDUSTRIA, CITRICOS</t>
        </is>
      </c>
      <c r="G16" t="n">
        <v>2</v>
      </c>
      <c r="H16" t="n">
        <v>2</v>
      </c>
      <c r="I16" t="n">
        <v>7</v>
      </c>
      <c r="J16" t="n">
        <v>0</v>
      </c>
      <c r="K16" t="n">
        <v>0</v>
      </c>
      <c r="L16" t="n">
        <v>7.21</v>
      </c>
      <c r="M16" t="n">
        <v>195</v>
      </c>
      <c r="N16" t="n">
        <v>1405.95</v>
      </c>
      <c r="O16" t="n">
        <v>357726</v>
      </c>
      <c r="P16" t="n">
        <v>0.003930242699719897</v>
      </c>
      <c r="Q16" t="n">
        <v>212858</v>
      </c>
      <c r="R16" t="n">
        <v>836.58</v>
      </c>
      <c r="S16" t="n">
        <v>0</v>
      </c>
      <c r="T16" t="n">
        <v>836.58</v>
      </c>
      <c r="U16" t="n">
        <v>569.37</v>
      </c>
      <c r="V16" t="inlineStr">
        <is>
          <t>OPEN</t>
        </is>
      </c>
      <c r="W16" t="inlineStr">
        <is>
          <t>calculated</t>
        </is>
      </c>
      <c r="X16" t="inlineStr">
        <is>
          <t>312 entregas ya figuran como liquidadas.; No existe tarifa BonCalidad para socio=1355 campaña=2026 empresa=1 cultivo=CITRICOS.; No existe fuente acumulada disponible; saldo informativo calculado con cuota ya aplicada = 0.</t>
        </is>
      </c>
      <c r="Y16" t="inlineStr">
        <is>
          <t>SÍ</t>
        </is>
      </c>
    </row>
    <row r="17">
      <c r="A17" t="n">
        <v>1374</v>
      </c>
      <c r="B17" t="inlineStr">
        <is>
          <t>MORENO SANCHEZ,JOSE ANTONIO</t>
        </is>
      </c>
      <c r="C17" t="inlineStr">
        <is>
          <t>SALUSTIANA</t>
        </is>
      </c>
      <c r="D17" t="inlineStr">
        <is>
          <t>2026</t>
        </is>
      </c>
      <c r="E17" t="inlineStr">
        <is>
          <t>1</t>
        </is>
      </c>
      <c r="F17" t="inlineStr">
        <is>
          <t>DIRECTOCHF, DIRECTO, MANDARINA, INDUSTRIA, CITRICOS</t>
        </is>
      </c>
      <c r="G17" t="n">
        <v>1</v>
      </c>
      <c r="H17" t="n">
        <v>1</v>
      </c>
      <c r="I17" t="n">
        <v>1</v>
      </c>
      <c r="J17" t="n">
        <v>0</v>
      </c>
      <c r="K17" t="n">
        <v>0</v>
      </c>
      <c r="L17" t="n">
        <v>1.8</v>
      </c>
      <c r="M17" t="n">
        <v>195</v>
      </c>
      <c r="N17" t="n">
        <v>351</v>
      </c>
      <c r="O17" t="n">
        <v>63484</v>
      </c>
      <c r="P17" t="n">
        <v>0.005528952176926469</v>
      </c>
      <c r="Q17" t="n">
        <v>51699</v>
      </c>
      <c r="R17" t="n">
        <v>285.84</v>
      </c>
      <c r="S17" t="n">
        <v>0</v>
      </c>
      <c r="T17" t="n">
        <v>285.84</v>
      </c>
      <c r="U17" t="n">
        <v>65.16</v>
      </c>
      <c r="V17" t="inlineStr">
        <is>
          <t>OPEN</t>
        </is>
      </c>
      <c r="W17" t="inlineStr">
        <is>
          <t>calculated</t>
        </is>
      </c>
      <c r="X17" t="inlineStr">
        <is>
          <t>312 entregas ya figuran como liquidadas.; No existe tarifa BonCalidad para socio=1374 campaña=2026 empresa=1 cultivo=CITRICOS.; No existe fuente acumulada disponible; saldo informativo calculado con cuota ya aplicada = 0.</t>
        </is>
      </c>
      <c r="Y17" t="inlineStr">
        <is>
          <t>SÍ</t>
        </is>
      </c>
    </row>
    <row r="18">
      <c r="A18" t="n">
        <v>1389</v>
      </c>
      <c r="B18" t="inlineStr">
        <is>
          <t>AGRICOLA HUERTA LA MEJORA S.C.</t>
        </is>
      </c>
      <c r="C18" t="inlineStr">
        <is>
          <t>SALUSTIANA</t>
        </is>
      </c>
      <c r="D18" t="inlineStr">
        <is>
          <t>2026</t>
        </is>
      </c>
      <c r="E18" t="inlineStr">
        <is>
          <t>1</t>
        </is>
      </c>
      <c r="F18" t="inlineStr">
        <is>
          <t>DIRECTOCHF, DIRECTO, MANDARINA, INDUSTRIA, CITRICOS</t>
        </is>
      </c>
      <c r="G18" t="n">
        <v>3</v>
      </c>
      <c r="H18" t="n">
        <v>3</v>
      </c>
      <c r="I18" t="n">
        <v>3</v>
      </c>
      <c r="J18" t="n">
        <v>1</v>
      </c>
      <c r="K18" t="n">
        <v>0</v>
      </c>
      <c r="L18" t="n">
        <v>4.32</v>
      </c>
      <c r="M18" t="n">
        <v>195</v>
      </c>
      <c r="N18" t="n">
        <v>842.4</v>
      </c>
      <c r="O18" t="n">
        <v>56000</v>
      </c>
      <c r="P18" t="n">
        <v>0.01504285714285714</v>
      </c>
      <c r="Q18" t="n">
        <v>47840</v>
      </c>
      <c r="R18" t="n">
        <v>719.65</v>
      </c>
      <c r="S18" t="n">
        <v>0</v>
      </c>
      <c r="T18" t="n">
        <v>719.65</v>
      </c>
      <c r="U18" t="n">
        <v>122.75</v>
      </c>
      <c r="V18" t="inlineStr">
        <is>
          <t>OPEN</t>
        </is>
      </c>
      <c r="W18" t="inlineStr">
        <is>
          <t>calculated</t>
        </is>
      </c>
      <c r="X18" t="inlineStr">
        <is>
          <t>312 entregas ya figuran como liquidadas.; No existe tarifa BonCalidad para socio=1389 campaña=2026 empresa=1 cultivo=CITRICOS.; No existe fuente acumulada disponible; saldo informativo calculado con cuota ya aplicada = 0.</t>
        </is>
      </c>
      <c r="Y18" t="inlineStr">
        <is>
          <t>SÍ</t>
        </is>
      </c>
    </row>
    <row r="19">
      <c r="A19" t="n">
        <v>1395</v>
      </c>
      <c r="B19" t="inlineStr">
        <is>
          <t>AGRICOLA HERMANOS BUIZA S.C.</t>
        </is>
      </c>
      <c r="C19" t="inlineStr">
        <is>
          <t>SALUSTIANA</t>
        </is>
      </c>
      <c r="D19" t="inlineStr">
        <is>
          <t>2026</t>
        </is>
      </c>
      <c r="E19" t="inlineStr">
        <is>
          <t>1</t>
        </is>
      </c>
      <c r="F19" t="inlineStr">
        <is>
          <t>DIRECTOCHF, DIRECTO, MANDARINA, INDUSTRIA, CITRICOS</t>
        </is>
      </c>
      <c r="G19" t="n">
        <v>3</v>
      </c>
      <c r="H19" t="n">
        <v>2</v>
      </c>
      <c r="I19" t="n">
        <v>3</v>
      </c>
      <c r="J19" t="n">
        <v>0</v>
      </c>
      <c r="K19" t="n">
        <v>0</v>
      </c>
      <c r="L19" t="n">
        <v>8.27</v>
      </c>
      <c r="M19" t="n">
        <v>195</v>
      </c>
      <c r="N19" t="n">
        <v>1612.65</v>
      </c>
      <c r="O19" t="n">
        <v>426827</v>
      </c>
      <c r="P19" t="n">
        <v>0.003778228650015111</v>
      </c>
      <c r="Q19" t="n">
        <v>22880</v>
      </c>
      <c r="R19" t="n">
        <v>86.45</v>
      </c>
      <c r="S19" t="n">
        <v>0</v>
      </c>
      <c r="T19" t="n">
        <v>86.45</v>
      </c>
      <c r="U19" t="n">
        <v>1526.2</v>
      </c>
      <c r="V19" t="inlineStr">
        <is>
          <t>OPEN</t>
        </is>
      </c>
      <c r="W19" t="inlineStr">
        <is>
          <t>calculated</t>
        </is>
      </c>
      <c r="X19" t="inlineStr">
        <is>
          <t>312 entregas ya figuran como liquidadas.; No existe tarifa BonCalidad para socio=1395 campaña=2026 empresa=1 cultivo=CITRICOS.; No existe fuente acumulada disponible; saldo informativo calculado con cuota ya aplicada = 0.</t>
        </is>
      </c>
      <c r="Y19" t="inlineStr">
        <is>
          <t>SÍ</t>
        </is>
      </c>
    </row>
    <row r="20">
      <c r="A20" t="n">
        <v>1411</v>
      </c>
      <c r="B20" t="inlineStr">
        <is>
          <t>HERMANOS PEÑA GRIÑAN S.C.</t>
        </is>
      </c>
      <c r="C20" t="inlineStr">
        <is>
          <t>SALUSTIANA</t>
        </is>
      </c>
      <c r="D20" t="inlineStr">
        <is>
          <t>2026</t>
        </is>
      </c>
      <c r="E20" t="inlineStr">
        <is>
          <t>1</t>
        </is>
      </c>
      <c r="F20" t="inlineStr">
        <is>
          <t>DIRECTOCHF, DIRECTO, MANDARINA, INDUSTRIA, CITRICOS</t>
        </is>
      </c>
      <c r="G20" t="n">
        <v>3</v>
      </c>
      <c r="H20" t="n">
        <v>3</v>
      </c>
      <c r="I20" t="n">
        <v>6</v>
      </c>
      <c r="J20" t="n">
        <v>0</v>
      </c>
      <c r="K20" t="n">
        <v>0</v>
      </c>
      <c r="L20" t="n">
        <v>12.74</v>
      </c>
      <c r="M20" t="n">
        <v>195</v>
      </c>
      <c r="N20" t="n">
        <v>2484.3</v>
      </c>
      <c r="O20" t="n">
        <v>299255</v>
      </c>
      <c r="P20" t="n">
        <v>0.008301615678936024</v>
      </c>
      <c r="Q20" t="n">
        <v>66051</v>
      </c>
      <c r="R20" t="n">
        <v>548.33</v>
      </c>
      <c r="S20" t="n">
        <v>0</v>
      </c>
      <c r="T20" t="n">
        <v>548.33</v>
      </c>
      <c r="U20" t="n">
        <v>1935.97</v>
      </c>
      <c r="V20" t="inlineStr">
        <is>
          <t>OPEN</t>
        </is>
      </c>
      <c r="W20" t="inlineStr">
        <is>
          <t>calculated</t>
        </is>
      </c>
      <c r="X20" t="inlineStr">
        <is>
          <t>312 entregas ya figuran como liquidadas.; No existe tarifa BonCalidad para socio=1411 campaña=2026 empresa=1 cultivo=CITRICOS.; No existe fuente acumulada disponible; saldo informativo calculado con cuota ya aplicada = 0.</t>
        </is>
      </c>
      <c r="Y20" t="inlineStr">
        <is>
          <t>SÍ</t>
        </is>
      </c>
    </row>
    <row r="21">
      <c r="A21" t="n">
        <v>1419</v>
      </c>
      <c r="B21" t="inlineStr">
        <is>
          <t>MORAL GARCIA,JOSE ANTONIO</t>
        </is>
      </c>
      <c r="C21" t="inlineStr">
        <is>
          <t>SALUSTIANA</t>
        </is>
      </c>
      <c r="D21" t="inlineStr">
        <is>
          <t>2026</t>
        </is>
      </c>
      <c r="E21" t="inlineStr">
        <is>
          <t>1</t>
        </is>
      </c>
      <c r="F21" t="inlineStr">
        <is>
          <t>DIRECTOCHF, DIRECTO, MANDARINA, INDUSTRIA, CITRICOS</t>
        </is>
      </c>
      <c r="G21" t="n">
        <v>2</v>
      </c>
      <c r="H21" t="n">
        <v>1</v>
      </c>
      <c r="I21" t="n">
        <v>3</v>
      </c>
      <c r="J21" t="n">
        <v>0</v>
      </c>
      <c r="K21" t="n">
        <v>0</v>
      </c>
      <c r="L21" t="n">
        <v>3.83</v>
      </c>
      <c r="M21" t="n">
        <v>195</v>
      </c>
      <c r="N21" t="n">
        <v>746.85</v>
      </c>
      <c r="O21" t="n">
        <v>119951</v>
      </c>
      <c r="P21" t="n">
        <v>0.006226292402731115</v>
      </c>
      <c r="Q21" t="n">
        <v>22950</v>
      </c>
      <c r="R21" t="n">
        <v>142.89</v>
      </c>
      <c r="S21" t="n">
        <v>0</v>
      </c>
      <c r="T21" t="n">
        <v>142.89</v>
      </c>
      <c r="U21" t="n">
        <v>603.96</v>
      </c>
      <c r="V21" t="inlineStr">
        <is>
          <t>OPEN</t>
        </is>
      </c>
      <c r="W21" t="inlineStr">
        <is>
          <t>calculated</t>
        </is>
      </c>
      <c r="X21" t="inlineStr">
        <is>
          <t>312 entregas ya figuran como liquidadas.; No existe tarifa BonCalidad para socio=1419 campaña=2026 empresa=1 cultivo=CITRICOS.; No existe fuente acumulada disponible; saldo informativo calculado con cuota ya aplicada = 0.</t>
        </is>
      </c>
      <c r="Y21" t="inlineStr">
        <is>
          <t>SÍ</t>
        </is>
      </c>
    </row>
    <row r="22">
      <c r="A22" t="n">
        <v>1421</v>
      </c>
      <c r="B22" t="inlineStr">
        <is>
          <t>GARCIA GONZALEZ,ISIDORA</t>
        </is>
      </c>
      <c r="C22" t="inlineStr">
        <is>
          <t>SALUSTIANA</t>
        </is>
      </c>
      <c r="D22" t="inlineStr">
        <is>
          <t>2026</t>
        </is>
      </c>
      <c r="E22" t="inlineStr">
        <is>
          <t>1</t>
        </is>
      </c>
      <c r="F22" t="inlineStr">
        <is>
          <t>DIRECTOCHF, DIRECTO, MANDARINA, INDUSTRIA, CITRICOS</t>
        </is>
      </c>
      <c r="G22" t="n">
        <v>1</v>
      </c>
      <c r="H22" t="n">
        <v>1</v>
      </c>
      <c r="I22" t="n">
        <v>1</v>
      </c>
      <c r="J22" t="n">
        <v>0</v>
      </c>
      <c r="K22" t="n">
        <v>0</v>
      </c>
      <c r="L22" t="n">
        <v>1.1</v>
      </c>
      <c r="M22" t="n">
        <v>195</v>
      </c>
      <c r="N22" t="n">
        <v>214.5</v>
      </c>
      <c r="O22" t="n">
        <v>36875</v>
      </c>
      <c r="P22" t="n">
        <v>0.005816949152542373</v>
      </c>
      <c r="Q22" t="n">
        <v>36875</v>
      </c>
      <c r="R22" t="n">
        <v>214.5</v>
      </c>
      <c r="S22" t="n">
        <v>0</v>
      </c>
      <c r="T22" t="n">
        <v>214.5</v>
      </c>
      <c r="U22" t="n">
        <v>0</v>
      </c>
      <c r="V22" t="inlineStr">
        <is>
          <t>CLOSED</t>
        </is>
      </c>
      <c r="W22" t="inlineStr">
        <is>
          <t>calculated</t>
        </is>
      </c>
      <c r="X22" t="inlineStr">
        <is>
          <t>312 entregas ya figuran como liquidadas.; No existe tarifa BonCalidad para socio=1421 campaña=2026 empresa=1 cultivo=CITRICOS.; No existe fuente acumulada disponible; saldo informativo calculado con cuota ya aplicada = 0.</t>
        </is>
      </c>
      <c r="Y22" t="inlineStr">
        <is>
          <t>SÍ</t>
        </is>
      </c>
    </row>
    <row r="23">
      <c r="A23" t="n">
        <v>1443</v>
      </c>
      <c r="B23" t="inlineStr">
        <is>
          <t>TOMENO SUAREZ,ALBERTO</t>
        </is>
      </c>
      <c r="C23" t="inlineStr">
        <is>
          <t>SALUSTIANA</t>
        </is>
      </c>
      <c r="D23" t="inlineStr">
        <is>
          <t>2026</t>
        </is>
      </c>
      <c r="E23" t="inlineStr">
        <is>
          <t>1</t>
        </is>
      </c>
      <c r="F23" t="inlineStr">
        <is>
          <t>DIRECTOCHF, DIRECTO, MANDARINA, INDUSTRIA, CITRICOS</t>
        </is>
      </c>
      <c r="G23" t="n">
        <v>5</v>
      </c>
      <c r="H23" t="n">
        <v>5</v>
      </c>
      <c r="I23" t="n">
        <v>12</v>
      </c>
      <c r="J23" t="n">
        <v>3</v>
      </c>
      <c r="K23" t="n">
        <v>0</v>
      </c>
      <c r="L23" t="n">
        <v>17.08</v>
      </c>
      <c r="M23" t="n">
        <v>195</v>
      </c>
      <c r="N23" t="n">
        <v>3330.6</v>
      </c>
      <c r="O23" t="n">
        <v>538619</v>
      </c>
      <c r="P23" t="n">
        <v>0.006183591741100852</v>
      </c>
      <c r="Q23" t="n">
        <v>34222</v>
      </c>
      <c r="R23" t="n">
        <v>211.61</v>
      </c>
      <c r="S23" t="n">
        <v>0</v>
      </c>
      <c r="T23" t="n">
        <v>211.61</v>
      </c>
      <c r="U23" t="n">
        <v>3118.99</v>
      </c>
      <c r="V23" t="inlineStr">
        <is>
          <t>OPEN</t>
        </is>
      </c>
      <c r="W23" t="inlineStr">
        <is>
          <t>calculated</t>
        </is>
      </c>
      <c r="X23" t="inlineStr">
        <is>
          <t>312 entregas ya figuran como liquidadas.; No existe tarifa BonCalidad para socio=1443 campaña=2026 empresa=1 cultivo=CITRICOS.; No existe fuente acumulada disponible; saldo informativo calculado con cuota ya aplicada = 0.</t>
        </is>
      </c>
      <c r="Y23" t="inlineStr">
        <is>
          <t>SÍ</t>
        </is>
      </c>
    </row>
    <row r="24">
      <c r="A24" t="n">
        <v>1485</v>
      </c>
      <c r="B24" t="inlineStr">
        <is>
          <t>HNOS. CRESPO RUIZ S.C.</t>
        </is>
      </c>
      <c r="C24" t="inlineStr">
        <is>
          <t>SALUSTIANA</t>
        </is>
      </c>
      <c r="D24" t="inlineStr">
        <is>
          <t>2026</t>
        </is>
      </c>
      <c r="E24" t="inlineStr">
        <is>
          <t>1</t>
        </is>
      </c>
      <c r="F24" t="inlineStr">
        <is>
          <t>DIRECTOCHF, DIRECTO, MANDARINA, INDUSTRIA, CITRICOS</t>
        </is>
      </c>
      <c r="G24" t="n">
        <v>1</v>
      </c>
      <c r="H24" t="n">
        <v>1</v>
      </c>
      <c r="I24" t="n">
        <v>4</v>
      </c>
      <c r="J24" t="n">
        <v>0</v>
      </c>
      <c r="K24" t="n">
        <v>0</v>
      </c>
      <c r="L24" t="n">
        <v>3.24</v>
      </c>
      <c r="M24" t="n">
        <v>195</v>
      </c>
      <c r="N24" t="n">
        <v>631.8</v>
      </c>
      <c r="O24" t="n">
        <v>145310</v>
      </c>
      <c r="P24" t="n">
        <v>0.004347945771110041</v>
      </c>
      <c r="Q24" t="n">
        <v>143835</v>
      </c>
      <c r="R24" t="n">
        <v>625.39</v>
      </c>
      <c r="S24" t="n">
        <v>0</v>
      </c>
      <c r="T24" t="n">
        <v>625.39</v>
      </c>
      <c r="U24" t="n">
        <v>6.41</v>
      </c>
      <c r="V24" t="inlineStr">
        <is>
          <t>OPEN</t>
        </is>
      </c>
      <c r="W24" t="inlineStr">
        <is>
          <t>calculated</t>
        </is>
      </c>
      <c r="X24" t="inlineStr">
        <is>
          <t>312 entregas ya figuran como liquidadas.; No existe tarifa BonCalidad para socio=1485 campaña=2026 empresa=1 cultivo=CITRICOS.; No existe fuente acumulada disponible; saldo informativo calculado con cuota ya aplicada = 0.</t>
        </is>
      </c>
      <c r="Y24" t="inlineStr">
        <is>
          <t>SÍ</t>
        </is>
      </c>
    </row>
    <row r="25">
      <c r="A25" t="n">
        <v>1512</v>
      </c>
      <c r="B25" t="inlineStr">
        <is>
          <t>HERNANDEZ MOLINA,ANTONIO</t>
        </is>
      </c>
      <c r="C25" t="inlineStr">
        <is>
          <t>SALUSTIANA</t>
        </is>
      </c>
      <c r="D25" t="inlineStr">
        <is>
          <t>2026</t>
        </is>
      </c>
      <c r="E25" t="inlineStr">
        <is>
          <t>1</t>
        </is>
      </c>
      <c r="F25" t="inlineStr">
        <is>
          <t>DIRECTOCHF, DIRECTO, MANDARINA, INDUSTRIA, CITRICOS</t>
        </is>
      </c>
      <c r="G25" t="n">
        <v>1</v>
      </c>
      <c r="H25" t="n">
        <v>1</v>
      </c>
      <c r="I25" t="n">
        <v>1</v>
      </c>
      <c r="J25" t="n">
        <v>0</v>
      </c>
      <c r="K25" t="n">
        <v>0</v>
      </c>
      <c r="L25" t="n">
        <v>1.58</v>
      </c>
      <c r="M25" t="n">
        <v>195</v>
      </c>
      <c r="N25" t="n">
        <v>308.1</v>
      </c>
      <c r="O25" t="n">
        <v>44550</v>
      </c>
      <c r="P25" t="n">
        <v>0.006915824915824916</v>
      </c>
      <c r="Q25" t="n">
        <v>41174</v>
      </c>
      <c r="R25" t="n">
        <v>284.75</v>
      </c>
      <c r="S25" t="n">
        <v>0</v>
      </c>
      <c r="T25" t="n">
        <v>284.75</v>
      </c>
      <c r="U25" t="n">
        <v>23.35</v>
      </c>
      <c r="V25" t="inlineStr">
        <is>
          <t>OPEN</t>
        </is>
      </c>
      <c r="W25" t="inlineStr">
        <is>
          <t>calculated</t>
        </is>
      </c>
      <c r="X25" t="inlineStr">
        <is>
          <t>312 entregas ya figuran como liquidadas.; No existe tarifa BonCalidad para socio=1512 campaña=2026 empresa=1 cultivo=CITRICOS.; No existe fuente acumulada disponible; saldo informativo calculado con cuota ya aplicada = 0.</t>
        </is>
      </c>
      <c r="Y25" t="inlineStr">
        <is>
          <t>SÍ</t>
        </is>
      </c>
    </row>
    <row r="26">
      <c r="A26" t="n">
        <v>1523</v>
      </c>
      <c r="B26" t="inlineStr">
        <is>
          <t>RODRIGUEZ MEJÍAS, JOSE ANTONIO</t>
        </is>
      </c>
      <c r="C26" t="inlineStr">
        <is>
          <t>SALUSTIANA</t>
        </is>
      </c>
      <c r="D26" t="inlineStr">
        <is>
          <t>2026</t>
        </is>
      </c>
      <c r="E26" t="inlineStr">
        <is>
          <t>1</t>
        </is>
      </c>
      <c r="F26" t="inlineStr">
        <is>
          <t>DIRECTOCHF, DIRECTO, MANDARINA, INDUSTRIA, CITRICOS</t>
        </is>
      </c>
      <c r="G26" t="n">
        <v>8</v>
      </c>
      <c r="H26" t="n">
        <v>6</v>
      </c>
      <c r="I26" t="n">
        <v>9</v>
      </c>
      <c r="J26" t="n">
        <v>0</v>
      </c>
      <c r="K26" t="n">
        <v>0</v>
      </c>
      <c r="L26" t="n">
        <v>21.63</v>
      </c>
      <c r="M26" t="n">
        <v>195</v>
      </c>
      <c r="N26" t="n">
        <v>4217.85</v>
      </c>
      <c r="O26" t="n">
        <v>580520</v>
      </c>
      <c r="P26" t="n">
        <v>0.007265641149314408</v>
      </c>
      <c r="Q26" t="n">
        <v>243865</v>
      </c>
      <c r="R26" t="n">
        <v>1771.84</v>
      </c>
      <c r="S26" t="n">
        <v>0</v>
      </c>
      <c r="T26" t="n">
        <v>1771.84</v>
      </c>
      <c r="U26" t="n">
        <v>2446.01</v>
      </c>
      <c r="V26" t="inlineStr">
        <is>
          <t>OPEN</t>
        </is>
      </c>
      <c r="W26" t="inlineStr">
        <is>
          <t>calculated</t>
        </is>
      </c>
      <c r="X26" t="inlineStr">
        <is>
          <t>312 entregas ya figuran como liquidadas.; No existe tarifa BonCalidad para socio=1523 campaña=2026 empresa=1 cultivo=CITRICOS.; El socio 1523 figura certificado GlobalGAP en CITRICOS, KAKIS, MANDARINA pero no en CITRICOS. Se ha aplicado la certificación global del socio. Revise DEEPP.; No existe fuente acumulada disponible; saldo informativo calculado con cuota ya aplicada = 0.</t>
        </is>
      </c>
      <c r="Y26" t="inlineStr">
        <is>
          <t>SÍ</t>
        </is>
      </c>
    </row>
    <row r="27">
      <c r="A27" t="n">
        <v>1529</v>
      </c>
      <c r="B27" t="inlineStr">
        <is>
          <t>RAMOS BRUGAROLAS, JOSE</t>
        </is>
      </c>
      <c r="C27" t="inlineStr">
        <is>
          <t>SALUSTIANA</t>
        </is>
      </c>
      <c r="D27" t="inlineStr">
        <is>
          <t>2026</t>
        </is>
      </c>
      <c r="E27" t="inlineStr">
        <is>
          <t>1</t>
        </is>
      </c>
      <c r="F27" t="inlineStr">
        <is>
          <t>DIRECTOCHF, DIRECTO, MANDARINA, INDUSTRIA, CITRICOS</t>
        </is>
      </c>
      <c r="G27" t="n">
        <v>7</v>
      </c>
      <c r="H27" t="n">
        <v>6</v>
      </c>
      <c r="I27" t="n">
        <v>9</v>
      </c>
      <c r="J27" t="n">
        <v>0</v>
      </c>
      <c r="K27" t="n">
        <v>0</v>
      </c>
      <c r="L27" t="n">
        <v>19.8</v>
      </c>
      <c r="M27" t="n">
        <v>195</v>
      </c>
      <c r="N27" t="n">
        <v>3861</v>
      </c>
      <c r="O27" t="n">
        <v>584085</v>
      </c>
      <c r="P27" t="n">
        <v>0.006610339248568273</v>
      </c>
      <c r="Q27" t="n">
        <v>40245</v>
      </c>
      <c r="R27" t="n">
        <v>266.03</v>
      </c>
      <c r="S27" t="n">
        <v>0</v>
      </c>
      <c r="T27" t="n">
        <v>266.03</v>
      </c>
      <c r="U27" t="n">
        <v>3594.97</v>
      </c>
      <c r="V27" t="inlineStr">
        <is>
          <t>OPEN</t>
        </is>
      </c>
      <c r="W27" t="inlineStr">
        <is>
          <t>calculated</t>
        </is>
      </c>
      <c r="X27" t="inlineStr">
        <is>
          <t>312 entregas ya figuran como liquidadas.; No existe tarifa BonCalidad para socio=1529 campaña=2026 empresa=1 cultivo=CITRICOS.; No existe fuente acumulada disponible; saldo informativo calculado con cuota ya aplicada = 0.</t>
        </is>
      </c>
      <c r="Y27" t="inlineStr">
        <is>
          <t>SÍ</t>
        </is>
      </c>
    </row>
    <row r="28">
      <c r="A28" t="n">
        <v>1540</v>
      </c>
      <c r="B28" t="inlineStr">
        <is>
          <t>AGRICOLA SANCHEZ CUENCA S.C.</t>
        </is>
      </c>
      <c r="C28" t="inlineStr">
        <is>
          <t>SALUSTIANA</t>
        </is>
      </c>
      <c r="D28" t="inlineStr">
        <is>
          <t>2026</t>
        </is>
      </c>
      <c r="E28" t="inlineStr">
        <is>
          <t>1</t>
        </is>
      </c>
      <c r="F28" t="inlineStr">
        <is>
          <t>DIRECTOCHF, DIRECTO, MANDARINA, INDUSTRIA, CITRICOS</t>
        </is>
      </c>
      <c r="G28" t="n">
        <v>1</v>
      </c>
      <c r="H28" t="n">
        <v>1</v>
      </c>
      <c r="I28" t="n">
        <v>3</v>
      </c>
      <c r="J28" t="n">
        <v>0</v>
      </c>
      <c r="K28" t="n">
        <v>0</v>
      </c>
      <c r="L28" t="n">
        <v>5.96</v>
      </c>
      <c r="M28" t="n">
        <v>195</v>
      </c>
      <c r="N28" t="n">
        <v>1162.2</v>
      </c>
      <c r="O28" t="n">
        <v>224459</v>
      </c>
      <c r="P28" t="n">
        <v>0.005177783024962242</v>
      </c>
      <c r="Q28" t="n">
        <v>200979</v>
      </c>
      <c r="R28" t="n">
        <v>1040.63</v>
      </c>
      <c r="S28" t="n">
        <v>0</v>
      </c>
      <c r="T28" t="n">
        <v>1040.63</v>
      </c>
      <c r="U28" t="n">
        <v>121.57</v>
      </c>
      <c r="V28" t="inlineStr">
        <is>
          <t>OPEN</t>
        </is>
      </c>
      <c r="W28" t="inlineStr">
        <is>
          <t>calculated</t>
        </is>
      </c>
      <c r="X28" t="inlineStr">
        <is>
          <t>312 entregas ya figuran como liquidadas.; No existe tarifa BonCalidad para socio=1540 campaña=2026 empresa=1 cultivo=CITRICOS.; No existe fuente acumulada disponible; saldo informativo calculado con cuota ya aplicada = 0.</t>
        </is>
      </c>
      <c r="Y28" t="inlineStr">
        <is>
          <t>SÍ</t>
        </is>
      </c>
    </row>
    <row r="29">
      <c r="A29" t="n">
        <v>1544</v>
      </c>
      <c r="B29" t="inlineStr">
        <is>
          <t>HARO ORDOÑO, ALVARO</t>
        </is>
      </c>
      <c r="C29" t="inlineStr">
        <is>
          <t>SALUSTIANA</t>
        </is>
      </c>
      <c r="D29" t="inlineStr">
        <is>
          <t>2026</t>
        </is>
      </c>
      <c r="E29" t="inlineStr">
        <is>
          <t>1</t>
        </is>
      </c>
      <c r="F29" t="inlineStr">
        <is>
          <t>DIRECTOCHF, DIRECTO, MANDARINA, INDUSTRIA, CITRICOS</t>
        </is>
      </c>
      <c r="G29" t="n">
        <v>5</v>
      </c>
      <c r="H29" t="n">
        <v>4</v>
      </c>
      <c r="I29" t="n">
        <v>6</v>
      </c>
      <c r="J29" t="n">
        <v>0</v>
      </c>
      <c r="K29" t="n">
        <v>0</v>
      </c>
      <c r="L29" t="n">
        <v>3.8</v>
      </c>
      <c r="M29" t="n">
        <v>195</v>
      </c>
      <c r="N29" t="n">
        <v>741</v>
      </c>
      <c r="O29" t="n">
        <v>131717</v>
      </c>
      <c r="P29" t="n">
        <v>0.005625697518163942</v>
      </c>
      <c r="Q29" t="n">
        <v>30040</v>
      </c>
      <c r="R29" t="n">
        <v>169</v>
      </c>
      <c r="S29" t="n">
        <v>0</v>
      </c>
      <c r="T29" t="n">
        <v>169</v>
      </c>
      <c r="U29" t="n">
        <v>572</v>
      </c>
      <c r="V29" t="inlineStr">
        <is>
          <t>OPEN</t>
        </is>
      </c>
      <c r="W29" t="inlineStr">
        <is>
          <t>calculated</t>
        </is>
      </c>
      <c r="X29" t="inlineStr">
        <is>
          <t>312 entregas ya figuran como liquidadas.; No existe tarifa BonCalidad para socio=1544 campaña=2026 empresa=1 cultivo=CITRICOS.; No existe fuente acumulada disponible; saldo informativo calculado con cuota ya aplicada = 0.</t>
        </is>
      </c>
      <c r="Y29" t="inlineStr">
        <is>
          <t>SÍ</t>
        </is>
      </c>
    </row>
    <row r="30">
      <c r="A30" t="n">
        <v>1564</v>
      </c>
      <c r="B30" t="inlineStr">
        <is>
          <t>VARELA MUÑOZ, ANTONIO</t>
        </is>
      </c>
      <c r="C30" t="inlineStr">
        <is>
          <t>SALUSTIANA</t>
        </is>
      </c>
      <c r="D30" t="inlineStr">
        <is>
          <t>2026</t>
        </is>
      </c>
      <c r="E30" t="inlineStr">
        <is>
          <t>1</t>
        </is>
      </c>
      <c r="F30" t="inlineStr">
        <is>
          <t>DIRECTOCHF, DIRECTO, MANDARINA, INDUSTRIA, CITRICOS</t>
        </is>
      </c>
      <c r="G30" t="n">
        <v>1</v>
      </c>
      <c r="H30" t="n">
        <v>1</v>
      </c>
      <c r="I30" t="n">
        <v>1</v>
      </c>
      <c r="J30" t="n">
        <v>0</v>
      </c>
      <c r="K30" t="n">
        <v>0</v>
      </c>
      <c r="L30" t="n">
        <v>0.89</v>
      </c>
      <c r="M30" t="n">
        <v>195</v>
      </c>
      <c r="N30" t="n">
        <v>173.55</v>
      </c>
      <c r="O30" t="n">
        <v>29668</v>
      </c>
      <c r="P30" t="n">
        <v>0.005849737090467844</v>
      </c>
      <c r="Q30" t="n">
        <v>28013</v>
      </c>
      <c r="R30" t="n">
        <v>163.87</v>
      </c>
      <c r="S30" t="n">
        <v>0</v>
      </c>
      <c r="T30" t="n">
        <v>163.87</v>
      </c>
      <c r="U30" t="n">
        <v>9.68</v>
      </c>
      <c r="V30" t="inlineStr">
        <is>
          <t>OPEN</t>
        </is>
      </c>
      <c r="W30" t="inlineStr">
        <is>
          <t>calculated</t>
        </is>
      </c>
      <c r="X30" t="inlineStr">
        <is>
          <t>312 entregas ya figuran como liquidadas.; No existe tarifa BonCalidad para socio=1564 campaña=2026 empresa=1 cultivo=CITRICOS.; No existe fuente acumulada disponible; saldo informativo calculado con cuota ya aplicada = 0.</t>
        </is>
      </c>
      <c r="Y30" t="inlineStr">
        <is>
          <t>SÍ</t>
        </is>
      </c>
    </row>
    <row r="31">
      <c r="A31" t="n">
        <v>1577</v>
      </c>
      <c r="B31" t="inlineStr">
        <is>
          <t>GOMEZ GUERRERO, MARIA MERCEDES</t>
        </is>
      </c>
      <c r="C31" t="inlineStr">
        <is>
          <t>SALUSTIANA</t>
        </is>
      </c>
      <c r="D31" t="inlineStr">
        <is>
          <t>2026</t>
        </is>
      </c>
      <c r="E31" t="inlineStr">
        <is>
          <t>1</t>
        </is>
      </c>
      <c r="F31" t="inlineStr">
        <is>
          <t>DIRECTOCHF, DIRECTO, MANDARINA, INDUSTRIA, CITRICOS</t>
        </is>
      </c>
      <c r="G31" t="n">
        <v>2</v>
      </c>
      <c r="H31" t="n">
        <v>2</v>
      </c>
      <c r="I31" t="n">
        <v>2</v>
      </c>
      <c r="J31" t="n">
        <v>0</v>
      </c>
      <c r="K31" t="n">
        <v>0</v>
      </c>
      <c r="L31" t="n">
        <v>7.35</v>
      </c>
      <c r="M31" t="n">
        <v>195</v>
      </c>
      <c r="N31" t="n">
        <v>1433.25</v>
      </c>
      <c r="O31" t="n">
        <v>224568</v>
      </c>
      <c r="P31" t="n">
        <v>0.006382253927540878</v>
      </c>
      <c r="Q31" t="n">
        <v>139693</v>
      </c>
      <c r="R31" t="n">
        <v>891.5599999999999</v>
      </c>
      <c r="S31" t="n">
        <v>0</v>
      </c>
      <c r="T31" t="n">
        <v>891.5599999999999</v>
      </c>
      <c r="U31" t="n">
        <v>541.6900000000001</v>
      </c>
      <c r="V31" t="inlineStr">
        <is>
          <t>OPEN</t>
        </is>
      </c>
      <c r="W31" t="inlineStr">
        <is>
          <t>calculated</t>
        </is>
      </c>
      <c r="X31" t="inlineStr">
        <is>
          <t>312 entregas ya figuran como liquidadas.; No existe tarifa BonCalidad para socio=1577 campaña=2026 empresa=1 cultivo=CITRICOS.; No existe fuente acumulada disponible; saldo informativo calculado con cuota ya aplicada = 0.</t>
        </is>
      </c>
      <c r="Y31" t="inlineStr">
        <is>
          <t>SÍ</t>
        </is>
      </c>
    </row>
    <row r="32">
      <c r="A32" t="n">
        <v>1579</v>
      </c>
      <c r="B32" t="inlineStr">
        <is>
          <t>PEREZ JIMENEZ, ALFONSA</t>
        </is>
      </c>
      <c r="C32" t="inlineStr">
        <is>
          <t>SALUSTIANA</t>
        </is>
      </c>
      <c r="D32" t="inlineStr">
        <is>
          <t>2026</t>
        </is>
      </c>
      <c r="E32" t="inlineStr">
        <is>
          <t>1</t>
        </is>
      </c>
      <c r="F32" t="inlineStr">
        <is>
          <t>DIRECTOCHF, DIRECTO, MANDARINA, INDUSTRIA, CITRICOS</t>
        </is>
      </c>
      <c r="G32" t="n">
        <v>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195</v>
      </c>
      <c r="N32" t="n">
        <v>0</v>
      </c>
      <c r="O32" t="n">
        <v>15197</v>
      </c>
      <c r="Q32" t="n">
        <v>6077</v>
      </c>
      <c r="R32" t="n">
        <v>0</v>
      </c>
      <c r="S32" t="n">
        <v>0</v>
      </c>
      <c r="T32" t="n">
        <v>0</v>
      </c>
      <c r="U32" t="n">
        <v>0</v>
      </c>
      <c r="V32" t="inlineStr">
        <is>
          <t>CLOSED</t>
        </is>
      </c>
      <c r="W32" t="inlineStr">
        <is>
          <t>not_applicable</t>
        </is>
      </c>
      <c r="X32" t="inlineStr">
        <is>
          <t>312 entregas ya figuran como liquidadas.; No existe tarifa BonCalidad para socio=1579 campaña=2026 empresa=1 cultivo=CITRICOS.; No existe fuente acumulada disponible; saldo informativo calculado con cuota ya aplicada = 0.; Cuota Ha no aplicable: sin superficie sujeta a cuota.</t>
        </is>
      </c>
      <c r="Y32" t="inlineStr">
        <is>
          <t>SÍ</t>
        </is>
      </c>
    </row>
    <row r="33">
      <c r="A33" t="n">
        <v>1582</v>
      </c>
      <c r="B33" t="inlineStr">
        <is>
          <t>IGEÑO SANCHEZ, JOSE CARLOS</t>
        </is>
      </c>
      <c r="C33" t="inlineStr">
        <is>
          <t>SALUSTIANA</t>
        </is>
      </c>
      <c r="D33" t="inlineStr">
        <is>
          <t>2026</t>
        </is>
      </c>
      <c r="E33" t="inlineStr">
        <is>
          <t>1</t>
        </is>
      </c>
      <c r="F33" t="inlineStr">
        <is>
          <t>DIRECTOCHF, DIRECTO, MANDARINA, INDUSTRIA, CITRICOS</t>
        </is>
      </c>
      <c r="G33" t="n">
        <v>1</v>
      </c>
      <c r="H33" t="n">
        <v>1</v>
      </c>
      <c r="I33" t="n">
        <v>3</v>
      </c>
      <c r="J33" t="n">
        <v>0</v>
      </c>
      <c r="K33" t="n">
        <v>0</v>
      </c>
      <c r="L33" t="n">
        <v>5.11</v>
      </c>
      <c r="M33" t="n">
        <v>195</v>
      </c>
      <c r="N33" t="n">
        <v>996.45</v>
      </c>
      <c r="O33" t="n">
        <v>208412</v>
      </c>
      <c r="P33" t="n">
        <v>0.004781154636009443</v>
      </c>
      <c r="Q33" t="n">
        <v>181394</v>
      </c>
      <c r="R33" t="n">
        <v>867.27</v>
      </c>
      <c r="S33" t="n">
        <v>0</v>
      </c>
      <c r="T33" t="n">
        <v>867.27</v>
      </c>
      <c r="U33" t="n">
        <v>129.18</v>
      </c>
      <c r="V33" t="inlineStr">
        <is>
          <t>OPEN</t>
        </is>
      </c>
      <c r="W33" t="inlineStr">
        <is>
          <t>calculated</t>
        </is>
      </c>
      <c r="X33" t="inlineStr">
        <is>
          <t>312 entregas ya figuran como liquidadas.; No existe tarifa BonCalidad para socio=1582 campaña=2026 empresa=1 cultivo=CITRICOS.; No existe fuente acumulada disponible; saldo informativo calculado con cuota ya aplicada = 0.</t>
        </is>
      </c>
      <c r="Y33" t="inlineStr">
        <is>
          <t>SÍ</t>
        </is>
      </c>
    </row>
    <row r="34">
      <c r="A34" t="n">
        <v>1585</v>
      </c>
      <c r="B34" t="inlineStr">
        <is>
          <t>CESPEDES AGUILAR, PATRICIA</t>
        </is>
      </c>
      <c r="C34" t="inlineStr">
        <is>
          <t>SALUSTIANA</t>
        </is>
      </c>
      <c r="D34" t="inlineStr">
        <is>
          <t>2026</t>
        </is>
      </c>
      <c r="E34" t="inlineStr">
        <is>
          <t>1</t>
        </is>
      </c>
      <c r="F34" t="inlineStr">
        <is>
          <t>DIRECTOCHF, DIRECTO, MANDARINA, INDUSTRIA, CITRICOS</t>
        </is>
      </c>
      <c r="G34" t="n">
        <v>2</v>
      </c>
      <c r="H34" t="n">
        <v>2</v>
      </c>
      <c r="I34" t="n">
        <v>3</v>
      </c>
      <c r="J34" t="n">
        <v>0</v>
      </c>
      <c r="K34" t="n">
        <v>0</v>
      </c>
      <c r="L34" t="n">
        <v>8.34</v>
      </c>
      <c r="M34" t="n">
        <v>195</v>
      </c>
      <c r="N34" t="n">
        <v>1626.3</v>
      </c>
      <c r="O34" t="n">
        <v>241627</v>
      </c>
      <c r="P34" t="n">
        <v>0.006730621991747611</v>
      </c>
      <c r="Q34" t="n">
        <v>141229</v>
      </c>
      <c r="R34" t="n">
        <v>950.5599999999999</v>
      </c>
      <c r="S34" t="n">
        <v>0</v>
      </c>
      <c r="T34" t="n">
        <v>950.5599999999999</v>
      </c>
      <c r="U34" t="n">
        <v>675.74</v>
      </c>
      <c r="V34" t="inlineStr">
        <is>
          <t>OPEN</t>
        </is>
      </c>
      <c r="W34" t="inlineStr">
        <is>
          <t>calculated</t>
        </is>
      </c>
      <c r="X34" t="inlineStr">
        <is>
          <t>312 entregas ya figuran como liquidadas.; No existe tarifa BonCalidad para socio=1585 campaña=2026 empresa=1 cultivo=CITRICOS.; No existe fuente acumulada disponible; saldo informativo calculado con cuota ya aplicada = 0.</t>
        </is>
      </c>
      <c r="Y34" t="inlineStr">
        <is>
          <t>SÍ</t>
        </is>
      </c>
    </row>
    <row r="35">
      <c r="A35" t="n">
        <v>1597</v>
      </c>
      <c r="B35" t="inlineStr">
        <is>
          <t>CARBALLO SIRIA, ANTONIO JOSE</t>
        </is>
      </c>
      <c r="C35" t="inlineStr">
        <is>
          <t>SALUSTIANA</t>
        </is>
      </c>
      <c r="D35" t="inlineStr">
        <is>
          <t>2026</t>
        </is>
      </c>
      <c r="E35" t="inlineStr">
        <is>
          <t>1</t>
        </is>
      </c>
      <c r="F35" t="inlineStr">
        <is>
          <t>DIRECTOCHF, DIRECTO, MANDARINA, INDUSTRIA, CITRICOS</t>
        </is>
      </c>
      <c r="G35" t="n">
        <v>2</v>
      </c>
      <c r="H35" t="n">
        <v>2</v>
      </c>
      <c r="I35" t="n">
        <v>2</v>
      </c>
      <c r="J35" t="n">
        <v>0</v>
      </c>
      <c r="K35" t="n">
        <v>0</v>
      </c>
      <c r="L35" t="n">
        <v>5.63</v>
      </c>
      <c r="M35" t="n">
        <v>195</v>
      </c>
      <c r="N35" t="n">
        <v>1097.85</v>
      </c>
      <c r="O35" t="n">
        <v>119651</v>
      </c>
      <c r="P35" t="n">
        <v>0.00917543522411012</v>
      </c>
      <c r="Q35" t="n">
        <v>72085</v>
      </c>
      <c r="R35" t="n">
        <v>661.41</v>
      </c>
      <c r="S35" t="n">
        <v>0</v>
      </c>
      <c r="T35" t="n">
        <v>661.41</v>
      </c>
      <c r="U35" t="n">
        <v>436.44</v>
      </c>
      <c r="V35" t="inlineStr">
        <is>
          <t>OPEN</t>
        </is>
      </c>
      <c r="W35" t="inlineStr">
        <is>
          <t>calculated</t>
        </is>
      </c>
      <c r="X35" t="inlineStr">
        <is>
          <t>312 entregas ya figuran como liquidadas.; No existe tarifa BonCalidad para socio=1597 campaña=2026 empresa=1 cultivo=CITRICOS.; No existe fuente acumulada disponible; saldo informativo calculado con cuota ya aplicada = 0.</t>
        </is>
      </c>
      <c r="Y35" t="inlineStr">
        <is>
          <t>SÍ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T1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Boleta</t>
        </is>
      </c>
      <c r="D1" t="inlineStr">
        <is>
          <t>RowId parcela</t>
        </is>
      </c>
      <c r="E1" t="inlineStr">
        <is>
          <t>Polígono</t>
        </is>
      </c>
      <c r="F1" t="inlineStr">
        <is>
          <t>Parcela</t>
        </is>
      </c>
      <c r="G1" t="inlineStr">
        <is>
          <t>Recinto</t>
        </is>
      </c>
      <c r="H1" t="inlineStr">
        <is>
          <t>Año</t>
        </is>
      </c>
      <c r="I1" t="inlineStr">
        <is>
          <t>SupCul</t>
        </is>
      </c>
      <c r="J1" t="inlineStr">
        <is>
          <t>CHA</t>
        </is>
      </c>
      <c r="K1" t="inlineStr">
        <is>
          <t>Baja</t>
        </is>
      </c>
      <c r="L1" t="inlineStr">
        <is>
          <t>Cumple antigüedad</t>
        </is>
      </c>
      <c r="M1" t="inlineStr">
        <is>
          <t>Incluida</t>
        </is>
      </c>
      <c r="N1" t="inlineStr">
        <is>
          <t>Motivo</t>
        </is>
      </c>
      <c r="O1" t="inlineStr">
        <is>
          <t>Superficie acumulada socio</t>
        </is>
      </c>
      <c r="P1" t="inlineStr">
        <is>
          <t>Cuota total anual</t>
        </is>
      </c>
      <c r="Q1" t="inlineStr">
        <is>
          <t>Kilos elegibles</t>
        </is>
      </c>
      <c r="R1" t="inlineStr">
        <is>
          <t>Proporción</t>
        </is>
      </c>
      <c r="S1" t="inlineStr">
        <is>
          <t>Kilos remesa</t>
        </is>
      </c>
      <c r="T1" t="inlineStr">
        <is>
          <t>Cuota remesa</t>
        </is>
      </c>
    </row>
    <row r="2">
      <c r="A2" t="n">
        <v>869</v>
      </c>
      <c r="B2" t="inlineStr">
        <is>
          <t>IGEÑO LUQUE,JOSE</t>
        </is>
      </c>
      <c r="C2" t="n">
        <v>51</v>
      </c>
      <c r="D2" t="inlineStr">
        <is>
          <t>8094</t>
        </is>
      </c>
      <c r="E2" t="inlineStr">
        <is>
          <t>12</t>
        </is>
      </c>
      <c r="F2" t="inlineStr">
        <is>
          <t>112</t>
        </is>
      </c>
      <c r="G2" t="inlineStr">
        <is>
          <t>2</t>
        </is>
      </c>
      <c r="H2" t="n">
        <v>1991</v>
      </c>
      <c r="I2" t="n">
        <v>0.58</v>
      </c>
      <c r="J2" t="n">
        <v>1</v>
      </c>
      <c r="L2" t="inlineStr">
        <is>
          <t>Sí</t>
        </is>
      </c>
      <c r="M2" t="inlineStr">
        <is>
          <t>Sí</t>
        </is>
      </c>
      <c r="N2" t="inlineStr">
        <is>
          <t>VALIDA</t>
        </is>
      </c>
      <c r="O2" t="n">
        <v>0.92</v>
      </c>
      <c r="P2" t="n">
        <v>179.4</v>
      </c>
      <c r="Q2" t="n">
        <v>34508</v>
      </c>
      <c r="R2" t="n">
        <v>0.005198794482438855</v>
      </c>
      <c r="S2" t="n">
        <v>34508</v>
      </c>
      <c r="T2" t="n">
        <v>179.4</v>
      </c>
    </row>
    <row r="3">
      <c r="A3" t="n">
        <v>869</v>
      </c>
      <c r="B3" t="inlineStr">
        <is>
          <t>IGEÑO LUQUE,JOSE</t>
        </is>
      </c>
      <c r="C3" t="n">
        <v>51</v>
      </c>
      <c r="D3" t="inlineStr">
        <is>
          <t>8095</t>
        </is>
      </c>
      <c r="E3" t="inlineStr">
        <is>
          <t>12</t>
        </is>
      </c>
      <c r="F3" t="inlineStr">
        <is>
          <t>119</t>
        </is>
      </c>
      <c r="G3" t="inlineStr">
        <is>
          <t>1</t>
        </is>
      </c>
      <c r="H3" t="n">
        <v>1991</v>
      </c>
      <c r="I3" t="n">
        <v>0.34</v>
      </c>
      <c r="J3" t="n">
        <v>1</v>
      </c>
      <c r="L3" t="inlineStr">
        <is>
          <t>Sí</t>
        </is>
      </c>
      <c r="M3" t="inlineStr">
        <is>
          <t>Sí</t>
        </is>
      </c>
      <c r="N3" t="inlineStr">
        <is>
          <t>VALIDA</t>
        </is>
      </c>
      <c r="O3" t="n">
        <v>0.92</v>
      </c>
      <c r="P3" t="n">
        <v>179.4</v>
      </c>
      <c r="Q3" t="n">
        <v>34508</v>
      </c>
      <c r="R3" t="n">
        <v>0.005198794482438855</v>
      </c>
      <c r="S3" t="n">
        <v>34508</v>
      </c>
      <c r="T3" t="n">
        <v>179.4</v>
      </c>
    </row>
    <row r="4">
      <c r="A4" t="n">
        <v>883</v>
      </c>
      <c r="B4" t="inlineStr">
        <is>
          <t>TORO SANCHEZ,TERESA</t>
        </is>
      </c>
      <c r="C4" t="n">
        <v>512</v>
      </c>
      <c r="D4" t="inlineStr">
        <is>
          <t>8098</t>
        </is>
      </c>
      <c r="E4" t="inlineStr">
        <is>
          <t>12</t>
        </is>
      </c>
      <c r="F4" t="inlineStr">
        <is>
          <t>62</t>
        </is>
      </c>
      <c r="G4" t="inlineStr">
        <is>
          <t>1</t>
        </is>
      </c>
      <c r="H4" t="n">
        <v>2002</v>
      </c>
      <c r="I4" t="n">
        <v>3.24</v>
      </c>
      <c r="J4" t="n">
        <v>1</v>
      </c>
      <c r="L4" t="inlineStr">
        <is>
          <t>Sí</t>
        </is>
      </c>
      <c r="M4" t="inlineStr">
        <is>
          <t>Sí</t>
        </is>
      </c>
      <c r="N4" t="inlineStr">
        <is>
          <t>VALIDA</t>
        </is>
      </c>
      <c r="O4" t="n">
        <v>5.62</v>
      </c>
      <c r="P4" t="n">
        <v>1095.9</v>
      </c>
      <c r="Q4" t="n">
        <v>148816</v>
      </c>
      <c r="R4" t="n">
        <v>0.007364127513170626</v>
      </c>
      <c r="S4" t="n">
        <v>140757</v>
      </c>
      <c r="T4" t="n">
        <v>1036.55</v>
      </c>
    </row>
    <row r="5">
      <c r="A5" t="n">
        <v>883</v>
      </c>
      <c r="B5" t="inlineStr">
        <is>
          <t>TORO SANCHEZ,TERESA</t>
        </is>
      </c>
      <c r="C5" t="n">
        <v>512</v>
      </c>
      <c r="D5" t="inlineStr">
        <is>
          <t>8145</t>
        </is>
      </c>
      <c r="E5" t="inlineStr">
        <is>
          <t>12</t>
        </is>
      </c>
      <c r="F5" t="inlineStr">
        <is>
          <t>62</t>
        </is>
      </c>
      <c r="G5" t="inlineStr">
        <is>
          <t>1</t>
        </is>
      </c>
      <c r="H5" t="n">
        <v>1990</v>
      </c>
      <c r="I5" t="n">
        <v>2.38</v>
      </c>
      <c r="J5" t="n">
        <v>1</v>
      </c>
      <c r="L5" t="inlineStr">
        <is>
          <t>Sí</t>
        </is>
      </c>
      <c r="M5" t="inlineStr">
        <is>
          <t>Sí</t>
        </is>
      </c>
      <c r="N5" t="inlineStr">
        <is>
          <t>VALIDA</t>
        </is>
      </c>
      <c r="O5" t="n">
        <v>5.62</v>
      </c>
      <c r="P5" t="n">
        <v>1095.9</v>
      </c>
      <c r="Q5" t="n">
        <v>148816</v>
      </c>
      <c r="R5" t="n">
        <v>0.007364127513170626</v>
      </c>
      <c r="S5" t="n">
        <v>140757</v>
      </c>
      <c r="T5" t="n">
        <v>1036.55</v>
      </c>
    </row>
    <row r="6">
      <c r="A6" t="n">
        <v>937</v>
      </c>
      <c r="B6" t="inlineStr">
        <is>
          <t>GALVEZ MACIAS,FRANCISCO</t>
        </is>
      </c>
      <c r="C6" t="n">
        <v>152</v>
      </c>
      <c r="D6" t="inlineStr">
        <is>
          <t>8159</t>
        </is>
      </c>
      <c r="E6" t="inlineStr">
        <is>
          <t>12</t>
        </is>
      </c>
      <c r="F6" t="inlineStr">
        <is>
          <t>66</t>
        </is>
      </c>
      <c r="G6" t="inlineStr">
        <is>
          <t>3</t>
        </is>
      </c>
      <c r="H6" t="n">
        <v>1991</v>
      </c>
      <c r="I6" t="n">
        <v>0.35</v>
      </c>
      <c r="J6" t="n">
        <v>1</v>
      </c>
      <c r="L6" t="inlineStr">
        <is>
          <t>Sí</t>
        </is>
      </c>
      <c r="M6" t="inlineStr">
        <is>
          <t>Sí</t>
        </is>
      </c>
      <c r="N6" t="inlineStr">
        <is>
          <t>VALIDA</t>
        </is>
      </c>
      <c r="O6" t="n">
        <v>14.73</v>
      </c>
      <c r="P6" t="n">
        <v>2872.35</v>
      </c>
      <c r="Q6" t="n">
        <v>351445</v>
      </c>
      <c r="R6" t="n">
        <v>0.008172971588726543</v>
      </c>
      <c r="S6" t="n">
        <v>211701</v>
      </c>
      <c r="T6" t="n">
        <v>1730.23</v>
      </c>
    </row>
    <row r="7">
      <c r="A7" t="n">
        <v>937</v>
      </c>
      <c r="B7" t="inlineStr">
        <is>
          <t>GALVEZ MACIAS,FRANCISCO</t>
        </is>
      </c>
      <c r="C7" t="n">
        <v>152</v>
      </c>
      <c r="D7" t="inlineStr">
        <is>
          <t>8160</t>
        </is>
      </c>
      <c r="E7" t="inlineStr">
        <is>
          <t>12</t>
        </is>
      </c>
      <c r="F7" t="inlineStr">
        <is>
          <t>65</t>
        </is>
      </c>
      <c r="G7" t="inlineStr">
        <is>
          <t>3</t>
        </is>
      </c>
      <c r="H7" t="n">
        <v>1991</v>
      </c>
      <c r="I7" t="n">
        <v>4.39</v>
      </c>
      <c r="J7" t="n">
        <v>1</v>
      </c>
      <c r="L7" t="inlineStr">
        <is>
          <t>Sí</t>
        </is>
      </c>
      <c r="M7" t="inlineStr">
        <is>
          <t>Sí</t>
        </is>
      </c>
      <c r="N7" t="inlineStr">
        <is>
          <t>VALIDA</t>
        </is>
      </c>
      <c r="O7" t="n">
        <v>14.73</v>
      </c>
      <c r="P7" t="n">
        <v>2872.35</v>
      </c>
      <c r="Q7" t="n">
        <v>351445</v>
      </c>
      <c r="R7" t="n">
        <v>0.008172971588726543</v>
      </c>
      <c r="S7" t="n">
        <v>211701</v>
      </c>
      <c r="T7" t="n">
        <v>1730.23</v>
      </c>
    </row>
    <row r="8">
      <c r="A8" t="n">
        <v>937</v>
      </c>
      <c r="B8" t="inlineStr">
        <is>
          <t>GALVEZ MACIAS,FRANCISCO</t>
        </is>
      </c>
      <c r="C8" t="n">
        <v>152</v>
      </c>
      <c r="D8" t="inlineStr">
        <is>
          <t>8161</t>
        </is>
      </c>
      <c r="E8" t="inlineStr">
        <is>
          <t>12</t>
        </is>
      </c>
      <c r="F8" t="inlineStr">
        <is>
          <t>66</t>
        </is>
      </c>
      <c r="G8" t="inlineStr">
        <is>
          <t>4</t>
        </is>
      </c>
      <c r="H8" t="n">
        <v>1995</v>
      </c>
      <c r="I8" t="n">
        <v>1.15</v>
      </c>
      <c r="J8" t="n">
        <v>1</v>
      </c>
      <c r="L8" t="inlineStr">
        <is>
          <t>Sí</t>
        </is>
      </c>
      <c r="M8" t="inlineStr">
        <is>
          <t>Sí</t>
        </is>
      </c>
      <c r="N8" t="inlineStr">
        <is>
          <t>VALIDA</t>
        </is>
      </c>
      <c r="O8" t="n">
        <v>14.73</v>
      </c>
      <c r="P8" t="n">
        <v>2872.35</v>
      </c>
      <c r="Q8" t="n">
        <v>351445</v>
      </c>
      <c r="R8" t="n">
        <v>0.008172971588726543</v>
      </c>
      <c r="S8" t="n">
        <v>211701</v>
      </c>
      <c r="T8" t="n">
        <v>1730.23</v>
      </c>
    </row>
    <row r="9">
      <c r="A9" t="n">
        <v>937</v>
      </c>
      <c r="B9" t="inlineStr">
        <is>
          <t>GALVEZ MACIAS,FRANCISCO</t>
        </is>
      </c>
      <c r="C9" t="n">
        <v>153</v>
      </c>
      <c r="D9" t="inlineStr">
        <is>
          <t>8162</t>
        </is>
      </c>
      <c r="E9" t="inlineStr">
        <is>
          <t>34</t>
        </is>
      </c>
      <c r="F9" t="inlineStr">
        <is>
          <t>23</t>
        </is>
      </c>
      <c r="G9" t="inlineStr">
        <is>
          <t>1</t>
        </is>
      </c>
      <c r="H9" t="n">
        <v>2010</v>
      </c>
      <c r="I9" t="n">
        <v>2.55</v>
      </c>
      <c r="J9" t="n">
        <v>1</v>
      </c>
      <c r="L9" t="inlineStr">
        <is>
          <t>Sí</t>
        </is>
      </c>
      <c r="M9" t="inlineStr">
        <is>
          <t>Sí</t>
        </is>
      </c>
      <c r="N9" t="inlineStr">
        <is>
          <t>VALIDA</t>
        </is>
      </c>
      <c r="O9" t="n">
        <v>14.73</v>
      </c>
      <c r="P9" t="n">
        <v>2872.35</v>
      </c>
      <c r="Q9" t="n">
        <v>351445</v>
      </c>
      <c r="R9" t="n">
        <v>0.008172971588726543</v>
      </c>
      <c r="S9" t="n">
        <v>211701</v>
      </c>
      <c r="T9" t="n">
        <v>1730.23</v>
      </c>
    </row>
    <row r="10">
      <c r="A10" t="n">
        <v>937</v>
      </c>
      <c r="B10" t="inlineStr">
        <is>
          <t>GALVEZ MACIAS,FRANCISCO</t>
        </is>
      </c>
      <c r="C10" t="n">
        <v>440</v>
      </c>
      <c r="D10" t="inlineStr">
        <is>
          <t>8164</t>
        </is>
      </c>
      <c r="E10" t="inlineStr">
        <is>
          <t>12</t>
        </is>
      </c>
      <c r="F10" t="inlineStr">
        <is>
          <t>42</t>
        </is>
      </c>
      <c r="G10" t="inlineStr">
        <is>
          <t>1</t>
        </is>
      </c>
      <c r="H10" t="n">
        <v>2000</v>
      </c>
      <c r="I10" t="n">
        <v>3.5</v>
      </c>
      <c r="J10" t="n">
        <v>1</v>
      </c>
      <c r="L10" t="inlineStr">
        <is>
          <t>Sí</t>
        </is>
      </c>
      <c r="M10" t="inlineStr">
        <is>
          <t>Sí</t>
        </is>
      </c>
      <c r="N10" t="inlineStr">
        <is>
          <t>VALIDA</t>
        </is>
      </c>
      <c r="O10" t="n">
        <v>14.73</v>
      </c>
      <c r="P10" t="n">
        <v>2872.35</v>
      </c>
      <c r="Q10" t="n">
        <v>351445</v>
      </c>
      <c r="R10" t="n">
        <v>0.008172971588726543</v>
      </c>
      <c r="S10" t="n">
        <v>211701</v>
      </c>
      <c r="T10" t="n">
        <v>1730.23</v>
      </c>
    </row>
    <row r="11">
      <c r="A11" t="n">
        <v>937</v>
      </c>
      <c r="B11" t="inlineStr">
        <is>
          <t>GALVEZ MACIAS,FRANCISCO</t>
        </is>
      </c>
      <c r="C11" t="n">
        <v>588</v>
      </c>
      <c r="D11" t="inlineStr">
        <is>
          <t>8163</t>
        </is>
      </c>
      <c r="E11" t="inlineStr">
        <is>
          <t>28</t>
        </is>
      </c>
      <c r="F11" t="inlineStr">
        <is>
          <t>29</t>
        </is>
      </c>
      <c r="G11" t="inlineStr">
        <is>
          <t>1</t>
        </is>
      </c>
      <c r="H11" t="n">
        <v>2021</v>
      </c>
      <c r="I11" t="n">
        <v>2.79</v>
      </c>
      <c r="J11" t="n">
        <v>1</v>
      </c>
      <c r="L11" t="inlineStr">
        <is>
          <t>Sí</t>
        </is>
      </c>
      <c r="M11" t="inlineStr">
        <is>
          <t>Sí</t>
        </is>
      </c>
      <c r="N11" t="inlineStr">
        <is>
          <t>VALIDA</t>
        </is>
      </c>
      <c r="O11" t="n">
        <v>14.73</v>
      </c>
      <c r="P11" t="n">
        <v>2872.35</v>
      </c>
      <c r="Q11" t="n">
        <v>351445</v>
      </c>
      <c r="R11" t="n">
        <v>0.008172971588726543</v>
      </c>
      <c r="S11" t="n">
        <v>211701</v>
      </c>
      <c r="T11" t="n">
        <v>1730.23</v>
      </c>
    </row>
    <row r="12">
      <c r="A12" t="n">
        <v>1072</v>
      </c>
      <c r="B12" t="inlineStr">
        <is>
          <t>GARCIA DELGADO,JUAN MANUEL</t>
        </is>
      </c>
      <c r="C12" t="n">
        <v>164</v>
      </c>
      <c r="D12" t="inlineStr">
        <is>
          <t>8234</t>
        </is>
      </c>
      <c r="E12" t="inlineStr">
        <is>
          <t>11</t>
        </is>
      </c>
      <c r="F12" t="inlineStr">
        <is>
          <t>90</t>
        </is>
      </c>
      <c r="G12" t="inlineStr">
        <is>
          <t>8</t>
        </is>
      </c>
      <c r="H12" t="n">
        <v>2005</v>
      </c>
      <c r="I12" t="n">
        <v>1.38</v>
      </c>
      <c r="J12" t="n">
        <v>1</v>
      </c>
      <c r="L12" t="inlineStr">
        <is>
          <t>Sí</t>
        </is>
      </c>
      <c r="M12" t="inlineStr">
        <is>
          <t>Sí</t>
        </is>
      </c>
      <c r="N12" t="inlineStr">
        <is>
          <t>VALIDA</t>
        </is>
      </c>
      <c r="O12" t="n">
        <v>8.970000000000001</v>
      </c>
      <c r="P12" t="n">
        <v>1749.15</v>
      </c>
      <c r="Q12" t="n">
        <v>117422</v>
      </c>
      <c r="R12" t="n">
        <v>0.01489627156750864</v>
      </c>
      <c r="S12" t="n">
        <v>11898</v>
      </c>
      <c r="T12" t="n">
        <v>177.24</v>
      </c>
    </row>
    <row r="13">
      <c r="A13" t="n">
        <v>1072</v>
      </c>
      <c r="B13" t="inlineStr">
        <is>
          <t>GARCIA DELGADO,JUAN MANUEL</t>
        </is>
      </c>
      <c r="C13" t="n">
        <v>617</v>
      </c>
      <c r="D13" t="inlineStr">
        <is>
          <t>8232</t>
        </is>
      </c>
      <c r="E13" t="inlineStr">
        <is>
          <t>13</t>
        </is>
      </c>
      <c r="F13" t="inlineStr">
        <is>
          <t>219</t>
        </is>
      </c>
      <c r="G13" t="inlineStr">
        <is>
          <t>2</t>
        </is>
      </c>
      <c r="H13" t="n">
        <v>2017</v>
      </c>
      <c r="I13" t="n">
        <v>4.06</v>
      </c>
      <c r="J13" t="n">
        <v>1</v>
      </c>
      <c r="L13" t="inlineStr">
        <is>
          <t>Sí</t>
        </is>
      </c>
      <c r="M13" t="inlineStr">
        <is>
          <t>Sí</t>
        </is>
      </c>
      <c r="N13" t="inlineStr">
        <is>
          <t>VALIDA</t>
        </is>
      </c>
      <c r="O13" t="n">
        <v>8.970000000000001</v>
      </c>
      <c r="P13" t="n">
        <v>1749.15</v>
      </c>
      <c r="Q13" t="n">
        <v>117422</v>
      </c>
      <c r="R13" t="n">
        <v>0.01489627156750864</v>
      </c>
      <c r="S13" t="n">
        <v>11898</v>
      </c>
      <c r="T13" t="n">
        <v>177.24</v>
      </c>
    </row>
    <row r="14">
      <c r="A14" t="n">
        <v>1072</v>
      </c>
      <c r="B14" t="inlineStr">
        <is>
          <t>GARCIA DELGADO,JUAN MANUEL</t>
        </is>
      </c>
      <c r="C14" t="n">
        <v>617</v>
      </c>
      <c r="D14" t="inlineStr">
        <is>
          <t>8233</t>
        </is>
      </c>
      <c r="E14" t="inlineStr">
        <is>
          <t>13</t>
        </is>
      </c>
      <c r="F14" t="inlineStr">
        <is>
          <t>283</t>
        </is>
      </c>
      <c r="G14" t="inlineStr">
        <is>
          <t>1</t>
        </is>
      </c>
      <c r="H14" t="n">
        <v>2017</v>
      </c>
      <c r="I14" t="n">
        <v>3.53</v>
      </c>
      <c r="J14" t="n">
        <v>1</v>
      </c>
      <c r="L14" t="inlineStr">
        <is>
          <t>Sí</t>
        </is>
      </c>
      <c r="M14" t="inlineStr">
        <is>
          <t>Sí</t>
        </is>
      </c>
      <c r="N14" t="inlineStr">
        <is>
          <t>VALIDA</t>
        </is>
      </c>
      <c r="O14" t="n">
        <v>8.970000000000001</v>
      </c>
      <c r="P14" t="n">
        <v>1749.15</v>
      </c>
      <c r="Q14" t="n">
        <v>117422</v>
      </c>
      <c r="R14" t="n">
        <v>0.01489627156750864</v>
      </c>
      <c r="S14" t="n">
        <v>11898</v>
      </c>
      <c r="T14" t="n">
        <v>177.24</v>
      </c>
    </row>
    <row r="15">
      <c r="A15" t="n">
        <v>1128</v>
      </c>
      <c r="B15" t="inlineStr">
        <is>
          <t>CARRILLO PEÑALVER,JOSE</t>
        </is>
      </c>
      <c r="C15" t="n">
        <v>120</v>
      </c>
      <c r="D15" t="inlineStr">
        <is>
          <t>8293</t>
        </is>
      </c>
      <c r="E15" t="inlineStr">
        <is>
          <t>16</t>
        </is>
      </c>
      <c r="F15" t="inlineStr">
        <is>
          <t>103</t>
        </is>
      </c>
      <c r="G15" t="inlineStr">
        <is>
          <t>1</t>
        </is>
      </c>
      <c r="H15" t="n">
        <v>2001</v>
      </c>
      <c r="I15" t="n">
        <v>4.12</v>
      </c>
      <c r="J15" t="n">
        <v>1</v>
      </c>
      <c r="L15" t="inlineStr">
        <is>
          <t>Sí</t>
        </is>
      </c>
      <c r="M15" t="inlineStr">
        <is>
          <t>Sí</t>
        </is>
      </c>
      <c r="N15" t="inlineStr">
        <is>
          <t>VALIDA</t>
        </is>
      </c>
      <c r="O15" t="n">
        <v>4.12</v>
      </c>
      <c r="P15" t="n">
        <v>803.4</v>
      </c>
      <c r="Q15" t="n">
        <v>45545</v>
      </c>
      <c r="R15" t="n">
        <v>0.0176396970029641</v>
      </c>
      <c r="S15" t="n">
        <v>20913</v>
      </c>
      <c r="T15" t="n">
        <v>368.9</v>
      </c>
    </row>
    <row r="16">
      <c r="A16" t="n">
        <v>1133</v>
      </c>
      <c r="B16" t="inlineStr">
        <is>
          <t>MAYFE S.C.</t>
        </is>
      </c>
      <c r="C16" t="n">
        <v>124</v>
      </c>
      <c r="D16" t="inlineStr">
        <is>
          <t>8300</t>
        </is>
      </c>
      <c r="E16" t="inlineStr">
        <is>
          <t>34</t>
        </is>
      </c>
      <c r="F16" t="inlineStr">
        <is>
          <t>30</t>
        </is>
      </c>
      <c r="G16" t="inlineStr">
        <is>
          <t>1</t>
        </is>
      </c>
      <c r="H16" t="n">
        <v>1995</v>
      </c>
      <c r="I16" t="n">
        <v>1.42</v>
      </c>
      <c r="J16" t="n">
        <v>1</v>
      </c>
      <c r="L16" t="inlineStr">
        <is>
          <t>Sí</t>
        </is>
      </c>
      <c r="M16" t="inlineStr">
        <is>
          <t>Sí</t>
        </is>
      </c>
      <c r="N16" t="inlineStr">
        <is>
          <t>VALIDA</t>
        </is>
      </c>
      <c r="O16" t="n">
        <v>14.28</v>
      </c>
      <c r="P16" t="n">
        <v>2784.6</v>
      </c>
      <c r="Q16" t="n">
        <v>293106</v>
      </c>
      <c r="R16" t="n">
        <v>0.009500317291355346</v>
      </c>
      <c r="S16" t="n">
        <v>69429</v>
      </c>
      <c r="T16" t="n">
        <v>659.6</v>
      </c>
    </row>
    <row r="17">
      <c r="A17" t="n">
        <v>1133</v>
      </c>
      <c r="B17" t="inlineStr">
        <is>
          <t>MAYFE S.C.</t>
        </is>
      </c>
      <c r="C17" t="n">
        <v>125</v>
      </c>
      <c r="D17" t="inlineStr">
        <is>
          <t>8301</t>
        </is>
      </c>
      <c r="E17" t="inlineStr">
        <is>
          <t>34</t>
        </is>
      </c>
      <c r="F17" t="inlineStr">
        <is>
          <t>29</t>
        </is>
      </c>
      <c r="G17" t="inlineStr">
        <is>
          <t>1</t>
        </is>
      </c>
      <c r="H17" t="n">
        <v>1993</v>
      </c>
      <c r="I17" t="n">
        <v>4.37</v>
      </c>
      <c r="J17" t="n">
        <v>1</v>
      </c>
      <c r="L17" t="inlineStr">
        <is>
          <t>Sí</t>
        </is>
      </c>
      <c r="M17" t="inlineStr">
        <is>
          <t>Sí</t>
        </is>
      </c>
      <c r="N17" t="inlineStr">
        <is>
          <t>VALIDA</t>
        </is>
      </c>
      <c r="O17" t="n">
        <v>14.28</v>
      </c>
      <c r="P17" t="n">
        <v>2784.6</v>
      </c>
      <c r="Q17" t="n">
        <v>293106</v>
      </c>
      <c r="R17" t="n">
        <v>0.009500317291355346</v>
      </c>
      <c r="S17" t="n">
        <v>69429</v>
      </c>
      <c r="T17" t="n">
        <v>659.6</v>
      </c>
    </row>
    <row r="18">
      <c r="A18" t="n">
        <v>1133</v>
      </c>
      <c r="B18" t="inlineStr">
        <is>
          <t>MAYFE S.C.</t>
        </is>
      </c>
      <c r="C18" t="n">
        <v>126</v>
      </c>
      <c r="D18" t="inlineStr">
        <is>
          <t>8302</t>
        </is>
      </c>
      <c r="E18" t="inlineStr">
        <is>
          <t>23</t>
        </is>
      </c>
      <c r="F18" t="inlineStr">
        <is>
          <t>163</t>
        </is>
      </c>
      <c r="G18" t="inlineStr">
        <is>
          <t>1</t>
        </is>
      </c>
      <c r="H18" t="n">
        <v>1961</v>
      </c>
      <c r="I18" t="n">
        <v>0.16</v>
      </c>
      <c r="J18" t="n">
        <v>1</v>
      </c>
      <c r="L18" t="inlineStr">
        <is>
          <t>Sí</t>
        </is>
      </c>
      <c r="M18" t="inlineStr">
        <is>
          <t>Sí</t>
        </is>
      </c>
      <c r="N18" t="inlineStr">
        <is>
          <t>VALIDA</t>
        </is>
      </c>
      <c r="O18" t="n">
        <v>14.28</v>
      </c>
      <c r="P18" t="n">
        <v>2784.6</v>
      </c>
      <c r="Q18" t="n">
        <v>293106</v>
      </c>
      <c r="R18" t="n">
        <v>0.009500317291355346</v>
      </c>
      <c r="S18" t="n">
        <v>69429</v>
      </c>
      <c r="T18" t="n">
        <v>659.6</v>
      </c>
    </row>
    <row r="19">
      <c r="A19" t="n">
        <v>1133</v>
      </c>
      <c r="B19" t="inlineStr">
        <is>
          <t>MAYFE S.C.</t>
        </is>
      </c>
      <c r="C19" t="n">
        <v>539</v>
      </c>
      <c r="D19" t="inlineStr">
        <is>
          <t>8296</t>
        </is>
      </c>
      <c r="E19" t="inlineStr">
        <is>
          <t>34</t>
        </is>
      </c>
      <c r="F19" t="inlineStr">
        <is>
          <t>27</t>
        </is>
      </c>
      <c r="G19" t="inlineStr">
        <is>
          <t>3</t>
        </is>
      </c>
      <c r="H19" t="n">
        <v>2017</v>
      </c>
      <c r="I19" t="n">
        <v>2.33</v>
      </c>
      <c r="J19" t="n">
        <v>1</v>
      </c>
      <c r="L19" t="inlineStr">
        <is>
          <t>Sí</t>
        </is>
      </c>
      <c r="M19" t="inlineStr">
        <is>
          <t>Sí</t>
        </is>
      </c>
      <c r="N19" t="inlineStr">
        <is>
          <t>VALIDA</t>
        </is>
      </c>
      <c r="O19" t="n">
        <v>14.28</v>
      </c>
      <c r="P19" t="n">
        <v>2784.6</v>
      </c>
      <c r="Q19" t="n">
        <v>293106</v>
      </c>
      <c r="R19" t="n">
        <v>0.009500317291355346</v>
      </c>
      <c r="S19" t="n">
        <v>69429</v>
      </c>
      <c r="T19" t="n">
        <v>659.6</v>
      </c>
    </row>
    <row r="20">
      <c r="A20" t="n">
        <v>1133</v>
      </c>
      <c r="B20" t="inlineStr">
        <is>
          <t>MAYFE S.C.</t>
        </is>
      </c>
      <c r="C20" t="n">
        <v>539</v>
      </c>
      <c r="D20" t="inlineStr">
        <is>
          <t>8297</t>
        </is>
      </c>
      <c r="E20" t="inlineStr">
        <is>
          <t>34</t>
        </is>
      </c>
      <c r="F20" t="inlineStr">
        <is>
          <t>30</t>
        </is>
      </c>
      <c r="G20" t="inlineStr">
        <is>
          <t>1</t>
        </is>
      </c>
      <c r="H20" t="n">
        <v>2017</v>
      </c>
      <c r="I20" t="n">
        <v>1.42</v>
      </c>
      <c r="J20" t="n">
        <v>1</v>
      </c>
      <c r="L20" t="inlineStr">
        <is>
          <t>Sí</t>
        </is>
      </c>
      <c r="M20" t="inlineStr">
        <is>
          <t>Sí</t>
        </is>
      </c>
      <c r="N20" t="inlineStr">
        <is>
          <t>VALIDA</t>
        </is>
      </c>
      <c r="O20" t="n">
        <v>14.28</v>
      </c>
      <c r="P20" t="n">
        <v>2784.6</v>
      </c>
      <c r="Q20" t="n">
        <v>293106</v>
      </c>
      <c r="R20" t="n">
        <v>0.009500317291355346</v>
      </c>
      <c r="S20" t="n">
        <v>69429</v>
      </c>
      <c r="T20" t="n">
        <v>659.6</v>
      </c>
    </row>
    <row r="21">
      <c r="A21" t="n">
        <v>1133</v>
      </c>
      <c r="B21" t="inlineStr">
        <is>
          <t>MAYFE S.C.</t>
        </is>
      </c>
      <c r="C21" t="n">
        <v>568</v>
      </c>
      <c r="D21" t="inlineStr">
        <is>
          <t>8298</t>
        </is>
      </c>
      <c r="E21" t="inlineStr">
        <is>
          <t>34</t>
        </is>
      </c>
      <c r="F21" t="inlineStr">
        <is>
          <t>27</t>
        </is>
      </c>
      <c r="G21" t="inlineStr">
        <is>
          <t>1</t>
        </is>
      </c>
      <c r="H21" t="n">
        <v>2020</v>
      </c>
      <c r="I21" t="n">
        <v>0.97</v>
      </c>
      <c r="J21" t="n">
        <v>1</v>
      </c>
      <c r="L21" t="inlineStr">
        <is>
          <t>Sí</t>
        </is>
      </c>
      <c r="M21" t="inlineStr">
        <is>
          <t>Sí</t>
        </is>
      </c>
      <c r="N21" t="inlineStr">
        <is>
          <t>VALIDA</t>
        </is>
      </c>
      <c r="O21" t="n">
        <v>14.28</v>
      </c>
      <c r="P21" t="n">
        <v>2784.6</v>
      </c>
      <c r="Q21" t="n">
        <v>293106</v>
      </c>
      <c r="R21" t="n">
        <v>0.009500317291355346</v>
      </c>
      <c r="S21" t="n">
        <v>69429</v>
      </c>
      <c r="T21" t="n">
        <v>659.6</v>
      </c>
    </row>
    <row r="22">
      <c r="A22" t="n">
        <v>1133</v>
      </c>
      <c r="B22" t="inlineStr">
        <is>
          <t>MAYFE S.C.</t>
        </is>
      </c>
      <c r="C22" t="n">
        <v>568</v>
      </c>
      <c r="D22" t="inlineStr">
        <is>
          <t>8299</t>
        </is>
      </c>
      <c r="E22" t="inlineStr">
        <is>
          <t>34</t>
        </is>
      </c>
      <c r="F22" t="inlineStr">
        <is>
          <t>28</t>
        </is>
      </c>
      <c r="G22" t="inlineStr">
        <is>
          <t>3</t>
        </is>
      </c>
      <c r="H22" t="n">
        <v>2020</v>
      </c>
      <c r="I22" t="n">
        <v>0.91</v>
      </c>
      <c r="J22" t="n">
        <v>1</v>
      </c>
      <c r="L22" t="inlineStr">
        <is>
          <t>Sí</t>
        </is>
      </c>
      <c r="M22" t="inlineStr">
        <is>
          <t>Sí</t>
        </is>
      </c>
      <c r="N22" t="inlineStr">
        <is>
          <t>VALIDA</t>
        </is>
      </c>
      <c r="O22" t="n">
        <v>14.28</v>
      </c>
      <c r="P22" t="n">
        <v>2784.6</v>
      </c>
      <c r="Q22" t="n">
        <v>293106</v>
      </c>
      <c r="R22" t="n">
        <v>0.009500317291355346</v>
      </c>
      <c r="S22" t="n">
        <v>69429</v>
      </c>
      <c r="T22" t="n">
        <v>659.6</v>
      </c>
    </row>
    <row r="23">
      <c r="A23" t="n">
        <v>1133</v>
      </c>
      <c r="B23" t="inlineStr">
        <is>
          <t>MAYFE S.C.</t>
        </is>
      </c>
      <c r="C23" t="n">
        <v>524</v>
      </c>
      <c r="D23" t="inlineStr">
        <is>
          <t>6452</t>
        </is>
      </c>
      <c r="E23" t="inlineStr">
        <is>
          <t>34</t>
        </is>
      </c>
      <c r="F23" t="inlineStr">
        <is>
          <t>28</t>
        </is>
      </c>
      <c r="G23" t="inlineStr">
        <is>
          <t>3</t>
        </is>
      </c>
      <c r="H23" t="n">
        <v>2020</v>
      </c>
      <c r="I23" t="n">
        <v>1.25</v>
      </c>
      <c r="J23" t="n">
        <v>1</v>
      </c>
      <c r="L23" t="inlineStr">
        <is>
          <t>Sí</t>
        </is>
      </c>
      <c r="M23" t="inlineStr">
        <is>
          <t>Sí</t>
        </is>
      </c>
      <c r="N23" t="inlineStr">
        <is>
          <t>VALIDA</t>
        </is>
      </c>
      <c r="O23" t="n">
        <v>14.28</v>
      </c>
      <c r="P23" t="n">
        <v>2784.6</v>
      </c>
      <c r="Q23" t="n">
        <v>293106</v>
      </c>
      <c r="R23" t="n">
        <v>0.009500317291355346</v>
      </c>
      <c r="S23" t="n">
        <v>69429</v>
      </c>
      <c r="T23" t="n">
        <v>659.6</v>
      </c>
    </row>
    <row r="24">
      <c r="A24" t="n">
        <v>1133</v>
      </c>
      <c r="B24" t="inlineStr">
        <is>
          <t>MAYFE S.C.</t>
        </is>
      </c>
      <c r="C24" t="n">
        <v>524</v>
      </c>
      <c r="D24" t="inlineStr">
        <is>
          <t>6453</t>
        </is>
      </c>
      <c r="E24" t="inlineStr">
        <is>
          <t>34</t>
        </is>
      </c>
      <c r="F24" t="inlineStr">
        <is>
          <t>27</t>
        </is>
      </c>
      <c r="G24" t="inlineStr">
        <is>
          <t>1</t>
        </is>
      </c>
      <c r="H24" t="n">
        <v>2020</v>
      </c>
      <c r="I24" t="n">
        <v>1.45</v>
      </c>
      <c r="J24" t="n">
        <v>1</v>
      </c>
      <c r="L24" t="inlineStr">
        <is>
          <t>Sí</t>
        </is>
      </c>
      <c r="M24" t="inlineStr">
        <is>
          <t>Sí</t>
        </is>
      </c>
      <c r="N24" t="inlineStr">
        <is>
          <t>VALIDA</t>
        </is>
      </c>
      <c r="O24" t="n">
        <v>14.28</v>
      </c>
      <c r="P24" t="n">
        <v>2784.6</v>
      </c>
      <c r="Q24" t="n">
        <v>293106</v>
      </c>
      <c r="R24" t="n">
        <v>0.009500317291355346</v>
      </c>
      <c r="S24" t="n">
        <v>69429</v>
      </c>
      <c r="T24" t="n">
        <v>659.6</v>
      </c>
    </row>
    <row r="25">
      <c r="A25" t="n">
        <v>1178</v>
      </c>
      <c r="B25" t="inlineStr">
        <is>
          <t>CALZADO GARCIA,FRANCISCO JAVIER</t>
        </is>
      </c>
      <c r="C25" t="n">
        <v>171</v>
      </c>
      <c r="D25" t="inlineStr">
        <is>
          <t>8376</t>
        </is>
      </c>
      <c r="E25" t="inlineStr">
        <is>
          <t>11</t>
        </is>
      </c>
      <c r="F25" t="inlineStr">
        <is>
          <t>82</t>
        </is>
      </c>
      <c r="G25" t="inlineStr">
        <is>
          <t>2</t>
        </is>
      </c>
      <c r="H25" t="n">
        <v>2004</v>
      </c>
      <c r="I25" t="n">
        <v>3.84</v>
      </c>
      <c r="J25" t="n">
        <v>1</v>
      </c>
      <c r="L25" t="inlineStr">
        <is>
          <t>Sí</t>
        </is>
      </c>
      <c r="M25" t="inlineStr">
        <is>
          <t>Sí</t>
        </is>
      </c>
      <c r="N25" t="inlineStr">
        <is>
          <t>VALIDA</t>
        </is>
      </c>
      <c r="O25" t="n">
        <v>9.630000000000001</v>
      </c>
      <c r="P25" t="n">
        <v>1877.85</v>
      </c>
      <c r="Q25" t="n">
        <v>152504</v>
      </c>
      <c r="R25" t="n">
        <v>0.01231344751613072</v>
      </c>
      <c r="S25" t="n">
        <v>73741</v>
      </c>
      <c r="T25" t="n">
        <v>908.01</v>
      </c>
    </row>
    <row r="26">
      <c r="A26" t="n">
        <v>1178</v>
      </c>
      <c r="B26" t="inlineStr">
        <is>
          <t>CALZADO GARCIA,FRANCISCO JAVIER</t>
        </is>
      </c>
      <c r="C26" t="n">
        <v>528</v>
      </c>
      <c r="D26" t="inlineStr">
        <is>
          <t>8374</t>
        </is>
      </c>
      <c r="E26" t="inlineStr">
        <is>
          <t>11</t>
        </is>
      </c>
      <c r="F26" t="inlineStr">
        <is>
          <t>92</t>
        </is>
      </c>
      <c r="G26" t="inlineStr">
        <is>
          <t>1</t>
        </is>
      </c>
      <c r="H26" t="n">
        <v>2011</v>
      </c>
      <c r="I26" t="n">
        <v>2.69</v>
      </c>
      <c r="J26" t="n">
        <v>1</v>
      </c>
      <c r="L26" t="inlineStr">
        <is>
          <t>Sí</t>
        </is>
      </c>
      <c r="M26" t="inlineStr">
        <is>
          <t>Sí</t>
        </is>
      </c>
      <c r="N26" t="inlineStr">
        <is>
          <t>VALIDA</t>
        </is>
      </c>
      <c r="O26" t="n">
        <v>9.630000000000001</v>
      </c>
      <c r="P26" t="n">
        <v>1877.85</v>
      </c>
      <c r="Q26" t="n">
        <v>152504</v>
      </c>
      <c r="R26" t="n">
        <v>0.01231344751613072</v>
      </c>
      <c r="S26" t="n">
        <v>73741</v>
      </c>
      <c r="T26" t="n">
        <v>908.01</v>
      </c>
    </row>
    <row r="27">
      <c r="A27" t="n">
        <v>1178</v>
      </c>
      <c r="B27" t="inlineStr">
        <is>
          <t>CALZADO GARCIA,FRANCISCO JAVIER</t>
        </is>
      </c>
      <c r="C27" t="n">
        <v>548</v>
      </c>
      <c r="D27" t="inlineStr">
        <is>
          <t>8375</t>
        </is>
      </c>
      <c r="E27" t="inlineStr">
        <is>
          <t>11</t>
        </is>
      </c>
      <c r="F27" t="inlineStr">
        <is>
          <t>92</t>
        </is>
      </c>
      <c r="G27" t="inlineStr">
        <is>
          <t>1</t>
        </is>
      </c>
      <c r="H27" t="n">
        <v>2011</v>
      </c>
      <c r="I27" t="n">
        <v>0.1</v>
      </c>
      <c r="J27" t="n">
        <v>1</v>
      </c>
      <c r="L27" t="inlineStr">
        <is>
          <t>Sí</t>
        </is>
      </c>
      <c r="M27" t="inlineStr">
        <is>
          <t>Sí</t>
        </is>
      </c>
      <c r="N27" t="inlineStr">
        <is>
          <t>VALIDA</t>
        </is>
      </c>
      <c r="O27" t="n">
        <v>9.630000000000001</v>
      </c>
      <c r="P27" t="n">
        <v>1877.85</v>
      </c>
      <c r="Q27" t="n">
        <v>152504</v>
      </c>
      <c r="R27" t="n">
        <v>0.01231344751613072</v>
      </c>
      <c r="S27" t="n">
        <v>73741</v>
      </c>
      <c r="T27" t="n">
        <v>908.01</v>
      </c>
    </row>
    <row r="28">
      <c r="A28" t="n">
        <v>1178</v>
      </c>
      <c r="B28" t="inlineStr">
        <is>
          <t>CALZADO GARCIA,FRANCISCO JAVIER</t>
        </is>
      </c>
      <c r="C28" t="n">
        <v>641</v>
      </c>
      <c r="D28" t="inlineStr">
        <is>
          <t>6454</t>
        </is>
      </c>
      <c r="E28" t="inlineStr">
        <is>
          <t>11</t>
        </is>
      </c>
      <c r="F28" t="inlineStr">
        <is>
          <t>82</t>
        </is>
      </c>
      <c r="G28" t="inlineStr">
        <is>
          <t>2</t>
        </is>
      </c>
      <c r="H28" t="n">
        <v>2020</v>
      </c>
      <c r="I28" t="n">
        <v>3</v>
      </c>
      <c r="J28" t="n">
        <v>1</v>
      </c>
      <c r="L28" t="inlineStr">
        <is>
          <t>Sí</t>
        </is>
      </c>
      <c r="M28" t="inlineStr">
        <is>
          <t>Sí</t>
        </is>
      </c>
      <c r="N28" t="inlineStr">
        <is>
          <t>VALIDA</t>
        </is>
      </c>
      <c r="O28" t="n">
        <v>9.630000000000001</v>
      </c>
      <c r="P28" t="n">
        <v>1877.85</v>
      </c>
      <c r="Q28" t="n">
        <v>152504</v>
      </c>
      <c r="R28" t="n">
        <v>0.01231344751613072</v>
      </c>
      <c r="S28" t="n">
        <v>73741</v>
      </c>
      <c r="T28" t="n">
        <v>908.01</v>
      </c>
    </row>
    <row r="29">
      <c r="A29" t="n">
        <v>1202</v>
      </c>
      <c r="B29" t="inlineStr">
        <is>
          <t>FUENTES HINOJOSA,MANUEL</t>
        </is>
      </c>
      <c r="C29" t="n">
        <v>162</v>
      </c>
      <c r="D29" t="inlineStr">
        <is>
          <t>8438</t>
        </is>
      </c>
      <c r="E29" t="inlineStr">
        <is>
          <t>11</t>
        </is>
      </c>
      <c r="F29" t="inlineStr">
        <is>
          <t>126</t>
        </is>
      </c>
      <c r="G29" t="inlineStr">
        <is>
          <t>2</t>
        </is>
      </c>
      <c r="H29" t="n">
        <v>2017</v>
      </c>
      <c r="I29" t="n">
        <v>2.36</v>
      </c>
      <c r="J29" t="n">
        <v>1</v>
      </c>
      <c r="L29" t="inlineStr">
        <is>
          <t>Sí</t>
        </is>
      </c>
      <c r="M29" t="inlineStr">
        <is>
          <t>Sí</t>
        </is>
      </c>
      <c r="N29" t="inlineStr">
        <is>
          <t>VALIDA</t>
        </is>
      </c>
      <c r="O29" t="n">
        <v>2.36</v>
      </c>
      <c r="P29" t="n">
        <v>460.2</v>
      </c>
      <c r="Q29" t="n">
        <v>31005</v>
      </c>
      <c r="R29" t="n">
        <v>0.01484276729559748</v>
      </c>
      <c r="S29" t="n">
        <v>30834</v>
      </c>
      <c r="T29" t="n">
        <v>457.66</v>
      </c>
    </row>
    <row r="30">
      <c r="A30" t="n">
        <v>1219</v>
      </c>
      <c r="B30" t="inlineStr">
        <is>
          <t>LORA BUIZA,GREGORIO</t>
        </is>
      </c>
      <c r="C30" t="n">
        <v>165</v>
      </c>
      <c r="D30" t="inlineStr">
        <is>
          <t>8441</t>
        </is>
      </c>
      <c r="E30" t="inlineStr">
        <is>
          <t>13</t>
        </is>
      </c>
      <c r="F30" t="inlineStr">
        <is>
          <t>80026</t>
        </is>
      </c>
      <c r="G30" t="inlineStr">
        <is>
          <t>16</t>
        </is>
      </c>
      <c r="H30" t="n">
        <v>1998</v>
      </c>
      <c r="I30" t="n">
        <v>0.09</v>
      </c>
      <c r="J30" t="n">
        <v>1</v>
      </c>
      <c r="L30" t="inlineStr">
        <is>
          <t>Sí</t>
        </is>
      </c>
      <c r="M30" t="inlineStr">
        <is>
          <t>Sí</t>
        </is>
      </c>
      <c r="N30" t="inlineStr">
        <is>
          <t>VALIDA</t>
        </is>
      </c>
      <c r="O30" t="n">
        <v>0.28</v>
      </c>
      <c r="P30" t="n">
        <v>54.6</v>
      </c>
      <c r="Q30" t="n">
        <v>7272</v>
      </c>
      <c r="R30" t="n">
        <v>0.007508250825082509</v>
      </c>
      <c r="S30" t="n">
        <v>3679</v>
      </c>
      <c r="T30" t="n">
        <v>27.62</v>
      </c>
    </row>
    <row r="31">
      <c r="A31" t="n">
        <v>1219</v>
      </c>
      <c r="B31" t="inlineStr">
        <is>
          <t>LORA BUIZA,GREGORIO</t>
        </is>
      </c>
      <c r="C31" t="n">
        <v>165</v>
      </c>
      <c r="D31" t="inlineStr">
        <is>
          <t>8442</t>
        </is>
      </c>
      <c r="E31" t="inlineStr">
        <is>
          <t>13</t>
        </is>
      </c>
      <c r="F31" t="inlineStr">
        <is>
          <t>80026</t>
        </is>
      </c>
      <c r="G31" t="inlineStr">
        <is>
          <t>8</t>
        </is>
      </c>
      <c r="H31" t="n">
        <v>1998</v>
      </c>
      <c r="I31" t="n">
        <v>0.19</v>
      </c>
      <c r="J31" t="n">
        <v>1</v>
      </c>
      <c r="L31" t="inlineStr">
        <is>
          <t>Sí</t>
        </is>
      </c>
      <c r="M31" t="inlineStr">
        <is>
          <t>Sí</t>
        </is>
      </c>
      <c r="N31" t="inlineStr">
        <is>
          <t>VALIDA</t>
        </is>
      </c>
      <c r="O31" t="n">
        <v>0.28</v>
      </c>
      <c r="P31" t="n">
        <v>54.6</v>
      </c>
      <c r="Q31" t="n">
        <v>7272</v>
      </c>
      <c r="R31" t="n">
        <v>0.007508250825082509</v>
      </c>
      <c r="S31" t="n">
        <v>3679</v>
      </c>
      <c r="T31" t="n">
        <v>27.62</v>
      </c>
    </row>
    <row r="32">
      <c r="A32" t="n">
        <v>1251</v>
      </c>
      <c r="B32" t="inlineStr">
        <is>
          <t>DURAN ALMENARA,ANGELES</t>
        </is>
      </c>
      <c r="C32" t="n">
        <v>181</v>
      </c>
      <c r="D32" t="inlineStr">
        <is>
          <t>8505</t>
        </is>
      </c>
      <c r="E32" t="inlineStr">
        <is>
          <t>1</t>
        </is>
      </c>
      <c r="F32" t="inlineStr">
        <is>
          <t>70</t>
        </is>
      </c>
      <c r="G32" t="inlineStr">
        <is>
          <t>10</t>
        </is>
      </c>
      <c r="H32" t="n">
        <v>2007</v>
      </c>
      <c r="I32" t="n">
        <v>0.52</v>
      </c>
      <c r="J32" t="n">
        <v>1</v>
      </c>
      <c r="L32" t="inlineStr">
        <is>
          <t>Sí</t>
        </is>
      </c>
      <c r="M32" t="inlineStr">
        <is>
          <t>Sí</t>
        </is>
      </c>
      <c r="N32" t="inlineStr">
        <is>
          <t>VALIDA</t>
        </is>
      </c>
      <c r="O32" t="n">
        <v>2.12</v>
      </c>
      <c r="P32" t="n">
        <v>413.4</v>
      </c>
      <c r="Q32" t="n">
        <v>90674</v>
      </c>
      <c r="R32" t="n">
        <v>0.004559190065509407</v>
      </c>
      <c r="S32" t="n">
        <v>38737</v>
      </c>
      <c r="T32" t="n">
        <v>176.61</v>
      </c>
    </row>
    <row r="33">
      <c r="A33" t="n">
        <v>1251</v>
      </c>
      <c r="B33" t="inlineStr">
        <is>
          <t>DURAN ALMENARA,ANGELES</t>
        </is>
      </c>
      <c r="C33" t="n">
        <v>181</v>
      </c>
      <c r="D33" t="inlineStr">
        <is>
          <t>8506</t>
        </is>
      </c>
      <c r="E33" t="inlineStr">
        <is>
          <t>1</t>
        </is>
      </c>
      <c r="F33" t="inlineStr">
        <is>
          <t>70</t>
        </is>
      </c>
      <c r="G33" t="inlineStr">
        <is>
          <t>7</t>
        </is>
      </c>
      <c r="H33" t="n">
        <v>2007</v>
      </c>
      <c r="I33" t="n">
        <v>0.92</v>
      </c>
      <c r="J33" t="n">
        <v>1</v>
      </c>
      <c r="L33" t="inlineStr">
        <is>
          <t>Sí</t>
        </is>
      </c>
      <c r="M33" t="inlineStr">
        <is>
          <t>Sí</t>
        </is>
      </c>
      <c r="N33" t="inlineStr">
        <is>
          <t>VALIDA</t>
        </is>
      </c>
      <c r="O33" t="n">
        <v>2.12</v>
      </c>
      <c r="P33" t="n">
        <v>413.4</v>
      </c>
      <c r="Q33" t="n">
        <v>90674</v>
      </c>
      <c r="R33" t="n">
        <v>0.004559190065509407</v>
      </c>
      <c r="S33" t="n">
        <v>38737</v>
      </c>
      <c r="T33" t="n">
        <v>176.61</v>
      </c>
    </row>
    <row r="34">
      <c r="A34" t="n">
        <v>1251</v>
      </c>
      <c r="B34" t="inlineStr">
        <is>
          <t>DURAN ALMENARA,ANGELES</t>
        </is>
      </c>
      <c r="C34" t="n">
        <v>182</v>
      </c>
      <c r="D34" t="inlineStr">
        <is>
          <t>8507</t>
        </is>
      </c>
      <c r="E34" t="inlineStr">
        <is>
          <t>12</t>
        </is>
      </c>
      <c r="F34" t="inlineStr">
        <is>
          <t>163</t>
        </is>
      </c>
      <c r="G34" t="inlineStr">
        <is>
          <t>3</t>
        </is>
      </c>
      <c r="H34" t="n">
        <v>2003</v>
      </c>
      <c r="I34" t="n">
        <v>0.68</v>
      </c>
      <c r="J34" t="n">
        <v>1</v>
      </c>
      <c r="L34" t="inlineStr">
        <is>
          <t>Sí</t>
        </is>
      </c>
      <c r="M34" t="inlineStr">
        <is>
          <t>Sí</t>
        </is>
      </c>
      <c r="N34" t="inlineStr">
        <is>
          <t>VALIDA</t>
        </is>
      </c>
      <c r="O34" t="n">
        <v>2.12</v>
      </c>
      <c r="P34" t="n">
        <v>413.4</v>
      </c>
      <c r="Q34" t="n">
        <v>90674</v>
      </c>
      <c r="R34" t="n">
        <v>0.004559190065509407</v>
      </c>
      <c r="S34" t="n">
        <v>38737</v>
      </c>
      <c r="T34" t="n">
        <v>176.61</v>
      </c>
    </row>
    <row r="35">
      <c r="A35" t="n">
        <v>1272</v>
      </c>
      <c r="B35" t="inlineStr">
        <is>
          <t>HERMANOS GONZALEZ ROLDAN,S.C.</t>
        </is>
      </c>
      <c r="C35" t="n">
        <v>196</v>
      </c>
      <c r="D35" t="inlineStr">
        <is>
          <t>8585</t>
        </is>
      </c>
      <c r="E35" t="inlineStr">
        <is>
          <t>22</t>
        </is>
      </c>
      <c r="F35" t="inlineStr">
        <is>
          <t>17</t>
        </is>
      </c>
      <c r="G35" t="inlineStr">
        <is>
          <t>3</t>
        </is>
      </c>
      <c r="H35" t="n">
        <v>2003</v>
      </c>
      <c r="I35" t="n">
        <v>4.94</v>
      </c>
      <c r="J35" t="n">
        <v>1</v>
      </c>
      <c r="L35" t="inlineStr">
        <is>
          <t>Sí</t>
        </is>
      </c>
      <c r="M35" t="inlineStr">
        <is>
          <t>Sí</t>
        </is>
      </c>
      <c r="N35" t="inlineStr">
        <is>
          <t>VALIDA</t>
        </is>
      </c>
      <c r="O35" t="n">
        <v>60.01</v>
      </c>
      <c r="P35" t="n">
        <v>11701.95</v>
      </c>
      <c r="Q35" t="n">
        <v>636702</v>
      </c>
      <c r="R35" t="n">
        <v>0.01837900619127944</v>
      </c>
      <c r="S35" t="n">
        <v>74671</v>
      </c>
      <c r="T35" t="n">
        <v>1372.38</v>
      </c>
    </row>
    <row r="36">
      <c r="A36" t="n">
        <v>1272</v>
      </c>
      <c r="B36" t="inlineStr">
        <is>
          <t>HERMANOS GONZALEZ ROLDAN,S.C.</t>
        </is>
      </c>
      <c r="C36" t="n">
        <v>232</v>
      </c>
      <c r="D36" t="inlineStr">
        <is>
          <t>8583</t>
        </is>
      </c>
      <c r="E36" t="inlineStr">
        <is>
          <t>13</t>
        </is>
      </c>
      <c r="F36" t="inlineStr">
        <is>
          <t>192</t>
        </is>
      </c>
      <c r="G36" t="inlineStr">
        <is>
          <t>2</t>
        </is>
      </c>
      <c r="H36" t="n">
        <v>2001</v>
      </c>
      <c r="I36" t="n">
        <v>1.86</v>
      </c>
      <c r="J36" t="n">
        <v>1</v>
      </c>
      <c r="L36" t="inlineStr">
        <is>
          <t>Sí</t>
        </is>
      </c>
      <c r="M36" t="inlineStr">
        <is>
          <t>Sí</t>
        </is>
      </c>
      <c r="N36" t="inlineStr">
        <is>
          <t>VALIDA</t>
        </is>
      </c>
      <c r="O36" t="n">
        <v>60.01</v>
      </c>
      <c r="P36" t="n">
        <v>11701.95</v>
      </c>
      <c r="Q36" t="n">
        <v>636702</v>
      </c>
      <c r="R36" t="n">
        <v>0.01837900619127944</v>
      </c>
      <c r="S36" t="n">
        <v>74671</v>
      </c>
      <c r="T36" t="n">
        <v>1372.38</v>
      </c>
    </row>
    <row r="37">
      <c r="A37" t="n">
        <v>1272</v>
      </c>
      <c r="B37" t="inlineStr">
        <is>
          <t>HERMANOS GONZALEZ ROLDAN,S.C.</t>
        </is>
      </c>
      <c r="C37" t="n">
        <v>232</v>
      </c>
      <c r="D37" t="inlineStr">
        <is>
          <t>8584</t>
        </is>
      </c>
      <c r="E37" t="inlineStr">
        <is>
          <t>13</t>
        </is>
      </c>
      <c r="F37" t="inlineStr">
        <is>
          <t>394</t>
        </is>
      </c>
      <c r="G37" t="inlineStr">
        <is>
          <t>2</t>
        </is>
      </c>
      <c r="H37" t="n">
        <v>2001</v>
      </c>
      <c r="I37" t="n">
        <v>1.3</v>
      </c>
      <c r="J37" t="n">
        <v>1</v>
      </c>
      <c r="L37" t="inlineStr">
        <is>
          <t>Sí</t>
        </is>
      </c>
      <c r="M37" t="inlineStr">
        <is>
          <t>Sí</t>
        </is>
      </c>
      <c r="N37" t="inlineStr">
        <is>
          <t>VALIDA</t>
        </is>
      </c>
      <c r="O37" t="n">
        <v>60.01</v>
      </c>
      <c r="P37" t="n">
        <v>11701.95</v>
      </c>
      <c r="Q37" t="n">
        <v>636702</v>
      </c>
      <c r="R37" t="n">
        <v>0.01837900619127944</v>
      </c>
      <c r="S37" t="n">
        <v>74671</v>
      </c>
      <c r="T37" t="n">
        <v>1372.38</v>
      </c>
    </row>
    <row r="38">
      <c r="A38" t="n">
        <v>1272</v>
      </c>
      <c r="B38" t="inlineStr">
        <is>
          <t>HERMANOS GONZALEZ ROLDAN,S.C.</t>
        </is>
      </c>
      <c r="C38" t="n">
        <v>234</v>
      </c>
      <c r="D38" t="inlineStr">
        <is>
          <t>8715</t>
        </is>
      </c>
      <c r="E38" t="inlineStr">
        <is>
          <t>13</t>
        </is>
      </c>
      <c r="F38" t="inlineStr">
        <is>
          <t>190</t>
        </is>
      </c>
      <c r="G38" t="inlineStr">
        <is>
          <t>1</t>
        </is>
      </c>
      <c r="H38" t="n">
        <v>1997</v>
      </c>
      <c r="I38" t="n">
        <v>1.05</v>
      </c>
      <c r="J38" t="n">
        <v>1</v>
      </c>
      <c r="L38" t="inlineStr">
        <is>
          <t>Sí</t>
        </is>
      </c>
      <c r="M38" t="inlineStr">
        <is>
          <t>Sí</t>
        </is>
      </c>
      <c r="N38" t="inlineStr">
        <is>
          <t>VALIDA</t>
        </is>
      </c>
      <c r="O38" t="n">
        <v>60.01</v>
      </c>
      <c r="P38" t="n">
        <v>11701.95</v>
      </c>
      <c r="Q38" t="n">
        <v>636702</v>
      </c>
      <c r="R38" t="n">
        <v>0.01837900619127944</v>
      </c>
      <c r="S38" t="n">
        <v>74671</v>
      </c>
      <c r="T38" t="n">
        <v>1372.38</v>
      </c>
    </row>
    <row r="39">
      <c r="A39" t="n">
        <v>1272</v>
      </c>
      <c r="B39" t="inlineStr">
        <is>
          <t>HERMANOS GONZALEZ ROLDAN,S.C.</t>
        </is>
      </c>
      <c r="C39" t="n">
        <v>236</v>
      </c>
      <c r="D39" t="inlineStr">
        <is>
          <t>8716</t>
        </is>
      </c>
      <c r="E39" t="inlineStr">
        <is>
          <t>13</t>
        </is>
      </c>
      <c r="F39" t="inlineStr">
        <is>
          <t>191</t>
        </is>
      </c>
      <c r="G39" t="inlineStr">
        <is>
          <t>2</t>
        </is>
      </c>
      <c r="H39" t="n">
        <v>2001</v>
      </c>
      <c r="I39" t="n">
        <v>1.05</v>
      </c>
      <c r="J39" t="n">
        <v>1</v>
      </c>
      <c r="L39" t="inlineStr">
        <is>
          <t>Sí</t>
        </is>
      </c>
      <c r="M39" t="inlineStr">
        <is>
          <t>Sí</t>
        </is>
      </c>
      <c r="N39" t="inlineStr">
        <is>
          <t>VALIDA</t>
        </is>
      </c>
      <c r="O39" t="n">
        <v>60.01</v>
      </c>
      <c r="P39" t="n">
        <v>11701.95</v>
      </c>
      <c r="Q39" t="n">
        <v>636702</v>
      </c>
      <c r="R39" t="n">
        <v>0.01837900619127944</v>
      </c>
      <c r="S39" t="n">
        <v>74671</v>
      </c>
      <c r="T39" t="n">
        <v>1372.38</v>
      </c>
    </row>
    <row r="40">
      <c r="A40" t="n">
        <v>1272</v>
      </c>
      <c r="B40" t="inlineStr">
        <is>
          <t>HERMANOS GONZALEZ ROLDAN,S.C.</t>
        </is>
      </c>
      <c r="C40" t="n">
        <v>251</v>
      </c>
      <c r="D40" t="inlineStr">
        <is>
          <t>8586</t>
        </is>
      </c>
      <c r="E40" t="inlineStr">
        <is>
          <t>13</t>
        </is>
      </c>
      <c r="F40" t="inlineStr">
        <is>
          <t>192</t>
        </is>
      </c>
      <c r="G40" t="inlineStr">
        <is>
          <t>2</t>
        </is>
      </c>
      <c r="H40" t="n">
        <v>2001</v>
      </c>
      <c r="I40" t="n">
        <v>0.62</v>
      </c>
      <c r="J40" t="n">
        <v>1</v>
      </c>
      <c r="L40" t="inlineStr">
        <is>
          <t>Sí</t>
        </is>
      </c>
      <c r="M40" t="inlineStr">
        <is>
          <t>Sí</t>
        </is>
      </c>
      <c r="N40" t="inlineStr">
        <is>
          <t>VALIDA</t>
        </is>
      </c>
      <c r="O40" t="n">
        <v>60.01</v>
      </c>
      <c r="P40" t="n">
        <v>11701.95</v>
      </c>
      <c r="Q40" t="n">
        <v>636702</v>
      </c>
      <c r="R40" t="n">
        <v>0.01837900619127944</v>
      </c>
      <c r="S40" t="n">
        <v>74671</v>
      </c>
      <c r="T40" t="n">
        <v>1372.38</v>
      </c>
    </row>
    <row r="41">
      <c r="A41" t="n">
        <v>1272</v>
      </c>
      <c r="B41" t="inlineStr">
        <is>
          <t>HERMANOS GONZALEZ ROLDAN,S.C.</t>
        </is>
      </c>
      <c r="C41" t="n">
        <v>251</v>
      </c>
      <c r="D41" t="inlineStr">
        <is>
          <t>8587</t>
        </is>
      </c>
      <c r="E41" t="inlineStr">
        <is>
          <t>13</t>
        </is>
      </c>
      <c r="F41" t="inlineStr">
        <is>
          <t>192</t>
        </is>
      </c>
      <c r="G41" t="inlineStr">
        <is>
          <t>4</t>
        </is>
      </c>
      <c r="H41" t="n">
        <v>2001</v>
      </c>
      <c r="I41" t="n">
        <v>0.12</v>
      </c>
      <c r="J41" t="n">
        <v>1</v>
      </c>
      <c r="L41" t="inlineStr">
        <is>
          <t>Sí</t>
        </is>
      </c>
      <c r="M41" t="inlineStr">
        <is>
          <t>Sí</t>
        </is>
      </c>
      <c r="N41" t="inlineStr">
        <is>
          <t>VALIDA</t>
        </is>
      </c>
      <c r="O41" t="n">
        <v>60.01</v>
      </c>
      <c r="P41" t="n">
        <v>11701.95</v>
      </c>
      <c r="Q41" t="n">
        <v>636702</v>
      </c>
      <c r="R41" t="n">
        <v>0.01837900619127944</v>
      </c>
      <c r="S41" t="n">
        <v>74671</v>
      </c>
      <c r="T41" t="n">
        <v>1372.38</v>
      </c>
    </row>
    <row r="42">
      <c r="A42" t="n">
        <v>1272</v>
      </c>
      <c r="B42" t="inlineStr">
        <is>
          <t>HERMANOS GONZALEZ ROLDAN,S.C.</t>
        </is>
      </c>
      <c r="C42" t="n">
        <v>251</v>
      </c>
      <c r="D42" t="inlineStr">
        <is>
          <t>8588</t>
        </is>
      </c>
      <c r="E42" t="inlineStr">
        <is>
          <t>13</t>
        </is>
      </c>
      <c r="F42" t="inlineStr">
        <is>
          <t>394</t>
        </is>
      </c>
      <c r="G42" t="inlineStr">
        <is>
          <t>2</t>
        </is>
      </c>
      <c r="H42" t="n">
        <v>2001</v>
      </c>
      <c r="I42" t="n">
        <v>1.42</v>
      </c>
      <c r="J42" t="n">
        <v>1</v>
      </c>
      <c r="L42" t="inlineStr">
        <is>
          <t>Sí</t>
        </is>
      </c>
      <c r="M42" t="inlineStr">
        <is>
          <t>Sí</t>
        </is>
      </c>
      <c r="N42" t="inlineStr">
        <is>
          <t>VALIDA</t>
        </is>
      </c>
      <c r="O42" t="n">
        <v>60.01</v>
      </c>
      <c r="P42" t="n">
        <v>11701.95</v>
      </c>
      <c r="Q42" t="n">
        <v>636702</v>
      </c>
      <c r="R42" t="n">
        <v>0.01837900619127944</v>
      </c>
      <c r="S42" t="n">
        <v>74671</v>
      </c>
      <c r="T42" t="n">
        <v>1372.38</v>
      </c>
    </row>
    <row r="43">
      <c r="A43" t="n">
        <v>1272</v>
      </c>
      <c r="B43" t="inlineStr">
        <is>
          <t>HERMANOS GONZALEZ ROLDAN,S.C.</t>
        </is>
      </c>
      <c r="C43" t="n">
        <v>359</v>
      </c>
      <c r="D43" t="inlineStr">
        <is>
          <t>8589</t>
        </is>
      </c>
      <c r="E43" t="inlineStr">
        <is>
          <t>13</t>
        </is>
      </c>
      <c r="F43" t="inlineStr">
        <is>
          <t>186</t>
        </is>
      </c>
      <c r="G43" t="inlineStr">
        <is>
          <t>1</t>
        </is>
      </c>
      <c r="H43" t="n">
        <v>2017</v>
      </c>
      <c r="I43" t="n">
        <v>3.4</v>
      </c>
      <c r="J43" t="n">
        <v>1</v>
      </c>
      <c r="L43" t="inlineStr">
        <is>
          <t>Sí</t>
        </is>
      </c>
      <c r="M43" t="inlineStr">
        <is>
          <t>Sí</t>
        </is>
      </c>
      <c r="N43" t="inlineStr">
        <is>
          <t>VALIDA</t>
        </is>
      </c>
      <c r="O43" t="n">
        <v>60.01</v>
      </c>
      <c r="P43" t="n">
        <v>11701.95</v>
      </c>
      <c r="Q43" t="n">
        <v>636702</v>
      </c>
      <c r="R43" t="n">
        <v>0.01837900619127944</v>
      </c>
      <c r="S43" t="n">
        <v>74671</v>
      </c>
      <c r="T43" t="n">
        <v>1372.38</v>
      </c>
    </row>
    <row r="44">
      <c r="A44" t="n">
        <v>1272</v>
      </c>
      <c r="B44" t="inlineStr">
        <is>
          <t>HERMANOS GONZALEZ ROLDAN,S.C.</t>
        </is>
      </c>
      <c r="C44" t="n">
        <v>359</v>
      </c>
      <c r="D44" t="inlineStr">
        <is>
          <t>8637</t>
        </is>
      </c>
      <c r="E44" t="inlineStr">
        <is>
          <t>13</t>
        </is>
      </c>
      <c r="F44" t="inlineStr">
        <is>
          <t>187</t>
        </is>
      </c>
      <c r="G44" t="inlineStr">
        <is>
          <t>1</t>
        </is>
      </c>
      <c r="H44" t="n">
        <v>2017</v>
      </c>
      <c r="I44" t="n">
        <v>1.78</v>
      </c>
      <c r="J44" t="n">
        <v>1</v>
      </c>
      <c r="L44" t="inlineStr">
        <is>
          <t>Sí</t>
        </is>
      </c>
      <c r="M44" t="inlineStr">
        <is>
          <t>Sí</t>
        </is>
      </c>
      <c r="N44" t="inlineStr">
        <is>
          <t>VALIDA</t>
        </is>
      </c>
      <c r="O44" t="n">
        <v>60.01</v>
      </c>
      <c r="P44" t="n">
        <v>11701.95</v>
      </c>
      <c r="Q44" t="n">
        <v>636702</v>
      </c>
      <c r="R44" t="n">
        <v>0.01837900619127944</v>
      </c>
      <c r="S44" t="n">
        <v>74671</v>
      </c>
      <c r="T44" t="n">
        <v>1372.38</v>
      </c>
    </row>
    <row r="45">
      <c r="A45" t="n">
        <v>1272</v>
      </c>
      <c r="B45" t="inlineStr">
        <is>
          <t>HERMANOS GONZALEZ ROLDAN,S.C.</t>
        </is>
      </c>
      <c r="C45" t="n">
        <v>359</v>
      </c>
      <c r="D45" t="inlineStr">
        <is>
          <t>8638</t>
        </is>
      </c>
      <c r="E45" t="inlineStr">
        <is>
          <t>13</t>
        </is>
      </c>
      <c r="F45" t="inlineStr">
        <is>
          <t>188</t>
        </is>
      </c>
      <c r="G45" t="inlineStr">
        <is>
          <t>1</t>
        </is>
      </c>
      <c r="H45" t="n">
        <v>2017</v>
      </c>
      <c r="I45" t="n">
        <v>1.6</v>
      </c>
      <c r="J45" t="n">
        <v>1</v>
      </c>
      <c r="L45" t="inlineStr">
        <is>
          <t>Sí</t>
        </is>
      </c>
      <c r="M45" t="inlineStr">
        <is>
          <t>Sí</t>
        </is>
      </c>
      <c r="N45" t="inlineStr">
        <is>
          <t>VALIDA</t>
        </is>
      </c>
      <c r="O45" t="n">
        <v>60.01</v>
      </c>
      <c r="P45" t="n">
        <v>11701.95</v>
      </c>
      <c r="Q45" t="n">
        <v>636702</v>
      </c>
      <c r="R45" t="n">
        <v>0.01837900619127944</v>
      </c>
      <c r="S45" t="n">
        <v>74671</v>
      </c>
      <c r="T45" t="n">
        <v>1372.38</v>
      </c>
    </row>
    <row r="46">
      <c r="A46" t="n">
        <v>1272</v>
      </c>
      <c r="B46" t="inlineStr">
        <is>
          <t>HERMANOS GONZALEZ ROLDAN,S.C.</t>
        </is>
      </c>
      <c r="C46" t="n">
        <v>360</v>
      </c>
      <c r="D46" t="inlineStr">
        <is>
          <t>8639</t>
        </is>
      </c>
      <c r="E46" t="inlineStr">
        <is>
          <t>22</t>
        </is>
      </c>
      <c r="F46" t="inlineStr">
        <is>
          <t>23</t>
        </is>
      </c>
      <c r="G46" t="inlineStr">
        <is>
          <t>1</t>
        </is>
      </c>
      <c r="H46" t="n">
        <v>2019</v>
      </c>
      <c r="I46" t="n">
        <v>3.38</v>
      </c>
      <c r="J46" t="n">
        <v>1</v>
      </c>
      <c r="L46" t="inlineStr">
        <is>
          <t>Sí</t>
        </is>
      </c>
      <c r="M46" t="inlineStr">
        <is>
          <t>Sí</t>
        </is>
      </c>
      <c r="N46" t="inlineStr">
        <is>
          <t>VALIDA</t>
        </is>
      </c>
      <c r="O46" t="n">
        <v>60.01</v>
      </c>
      <c r="P46" t="n">
        <v>11701.95</v>
      </c>
      <c r="Q46" t="n">
        <v>636702</v>
      </c>
      <c r="R46" t="n">
        <v>0.01837900619127944</v>
      </c>
      <c r="S46" t="n">
        <v>74671</v>
      </c>
      <c r="T46" t="n">
        <v>1372.38</v>
      </c>
    </row>
    <row r="47">
      <c r="A47" t="n">
        <v>1272</v>
      </c>
      <c r="B47" t="inlineStr">
        <is>
          <t>HERMANOS GONZALEZ ROLDAN,S.C.</t>
        </is>
      </c>
      <c r="C47" t="n">
        <v>360</v>
      </c>
      <c r="D47" t="inlineStr">
        <is>
          <t>8640</t>
        </is>
      </c>
      <c r="E47" t="inlineStr">
        <is>
          <t>22</t>
        </is>
      </c>
      <c r="F47" t="inlineStr">
        <is>
          <t>41</t>
        </is>
      </c>
      <c r="G47" t="inlineStr">
        <is>
          <t>4</t>
        </is>
      </c>
      <c r="H47" t="n">
        <v>2019</v>
      </c>
      <c r="I47" t="n">
        <v>5.9</v>
      </c>
      <c r="J47" t="n">
        <v>1</v>
      </c>
      <c r="L47" t="inlineStr">
        <is>
          <t>Sí</t>
        </is>
      </c>
      <c r="M47" t="inlineStr">
        <is>
          <t>Sí</t>
        </is>
      </c>
      <c r="N47" t="inlineStr">
        <is>
          <t>VALIDA</t>
        </is>
      </c>
      <c r="O47" t="n">
        <v>60.01</v>
      </c>
      <c r="P47" t="n">
        <v>11701.95</v>
      </c>
      <c r="Q47" t="n">
        <v>636702</v>
      </c>
      <c r="R47" t="n">
        <v>0.01837900619127944</v>
      </c>
      <c r="S47" t="n">
        <v>74671</v>
      </c>
      <c r="T47" t="n">
        <v>1372.38</v>
      </c>
    </row>
    <row r="48">
      <c r="A48" t="n">
        <v>1272</v>
      </c>
      <c r="B48" t="inlineStr">
        <is>
          <t>HERMANOS GONZALEZ ROLDAN,S.C.</t>
        </is>
      </c>
      <c r="C48" t="n">
        <v>360</v>
      </c>
      <c r="D48" t="inlineStr">
        <is>
          <t>8641</t>
        </is>
      </c>
      <c r="E48" t="inlineStr">
        <is>
          <t>22</t>
        </is>
      </c>
      <c r="F48" t="inlineStr">
        <is>
          <t>9020</t>
        </is>
      </c>
      <c r="G48" t="inlineStr">
        <is>
          <t>4</t>
        </is>
      </c>
      <c r="H48" t="n">
        <v>2019</v>
      </c>
      <c r="I48" t="n">
        <v>0.15</v>
      </c>
      <c r="J48" t="n">
        <v>1</v>
      </c>
      <c r="L48" t="inlineStr">
        <is>
          <t>Sí</t>
        </is>
      </c>
      <c r="M48" t="inlineStr">
        <is>
          <t>Sí</t>
        </is>
      </c>
      <c r="N48" t="inlineStr">
        <is>
          <t>VALIDA</t>
        </is>
      </c>
      <c r="O48" t="n">
        <v>60.01</v>
      </c>
      <c r="P48" t="n">
        <v>11701.95</v>
      </c>
      <c r="Q48" t="n">
        <v>636702</v>
      </c>
      <c r="R48" t="n">
        <v>0.01837900619127944</v>
      </c>
      <c r="S48" t="n">
        <v>74671</v>
      </c>
      <c r="T48" t="n">
        <v>1372.38</v>
      </c>
    </row>
    <row r="49">
      <c r="A49" t="n">
        <v>1272</v>
      </c>
      <c r="B49" t="inlineStr">
        <is>
          <t>HERMANOS GONZALEZ ROLDAN,S.C.</t>
        </is>
      </c>
      <c r="C49" t="n">
        <v>360</v>
      </c>
      <c r="D49" t="inlineStr">
        <is>
          <t>8642</t>
        </is>
      </c>
      <c r="E49" t="inlineStr">
        <is>
          <t>24</t>
        </is>
      </c>
      <c r="F49" t="inlineStr">
        <is>
          <t>1</t>
        </is>
      </c>
      <c r="G49" t="inlineStr">
        <is>
          <t>2</t>
        </is>
      </c>
      <c r="H49" t="n">
        <v>2019</v>
      </c>
      <c r="I49" t="n">
        <v>5</v>
      </c>
      <c r="J49" t="n">
        <v>1</v>
      </c>
      <c r="L49" t="inlineStr">
        <is>
          <t>Sí</t>
        </is>
      </c>
      <c r="M49" t="inlineStr">
        <is>
          <t>Sí</t>
        </is>
      </c>
      <c r="N49" t="inlineStr">
        <is>
          <t>VALIDA</t>
        </is>
      </c>
      <c r="O49" t="n">
        <v>60.01</v>
      </c>
      <c r="P49" t="n">
        <v>11701.95</v>
      </c>
      <c r="Q49" t="n">
        <v>636702</v>
      </c>
      <c r="R49" t="n">
        <v>0.01837900619127944</v>
      </c>
      <c r="S49" t="n">
        <v>74671</v>
      </c>
      <c r="T49" t="n">
        <v>1372.38</v>
      </c>
    </row>
    <row r="50">
      <c r="A50" t="n">
        <v>1272</v>
      </c>
      <c r="B50" t="inlineStr">
        <is>
          <t>HERMANOS GONZALEZ ROLDAN,S.C.</t>
        </is>
      </c>
      <c r="C50" t="n">
        <v>367</v>
      </c>
      <c r="D50" t="inlineStr">
        <is>
          <t>8569</t>
        </is>
      </c>
      <c r="E50" t="inlineStr">
        <is>
          <t>2</t>
        </is>
      </c>
      <c r="F50" t="inlineStr">
        <is>
          <t>309</t>
        </is>
      </c>
      <c r="G50" t="inlineStr">
        <is>
          <t>1</t>
        </is>
      </c>
      <c r="H50" t="n">
        <v>2017</v>
      </c>
      <c r="I50" t="n">
        <v>0.71</v>
      </c>
      <c r="J50" t="n">
        <v>1</v>
      </c>
      <c r="L50" t="inlineStr">
        <is>
          <t>Sí</t>
        </is>
      </c>
      <c r="M50" t="inlineStr">
        <is>
          <t>Sí</t>
        </is>
      </c>
      <c r="N50" t="inlineStr">
        <is>
          <t>VALIDA</t>
        </is>
      </c>
      <c r="O50" t="n">
        <v>60.01</v>
      </c>
      <c r="P50" t="n">
        <v>11701.95</v>
      </c>
      <c r="Q50" t="n">
        <v>636702</v>
      </c>
      <c r="R50" t="n">
        <v>0.01837900619127944</v>
      </c>
      <c r="S50" t="n">
        <v>74671</v>
      </c>
      <c r="T50" t="n">
        <v>1372.38</v>
      </c>
    </row>
    <row r="51">
      <c r="A51" t="n">
        <v>1272</v>
      </c>
      <c r="B51" t="inlineStr">
        <is>
          <t>HERMANOS GONZALEZ ROLDAN,S.C.</t>
        </is>
      </c>
      <c r="C51" t="n">
        <v>367</v>
      </c>
      <c r="D51" t="inlineStr">
        <is>
          <t>8570</t>
        </is>
      </c>
      <c r="E51" t="inlineStr">
        <is>
          <t>2</t>
        </is>
      </c>
      <c r="F51" t="inlineStr">
        <is>
          <t>310</t>
        </is>
      </c>
      <c r="G51" t="inlineStr">
        <is>
          <t>1</t>
        </is>
      </c>
      <c r="H51" t="n">
        <v>2017</v>
      </c>
      <c r="I51" t="n">
        <v>0.62</v>
      </c>
      <c r="J51" t="n">
        <v>1</v>
      </c>
      <c r="L51" t="inlineStr">
        <is>
          <t>Sí</t>
        </is>
      </c>
      <c r="M51" t="inlineStr">
        <is>
          <t>Sí</t>
        </is>
      </c>
      <c r="N51" t="inlineStr">
        <is>
          <t>VALIDA</t>
        </is>
      </c>
      <c r="O51" t="n">
        <v>60.01</v>
      </c>
      <c r="P51" t="n">
        <v>11701.95</v>
      </c>
      <c r="Q51" t="n">
        <v>636702</v>
      </c>
      <c r="R51" t="n">
        <v>0.01837900619127944</v>
      </c>
      <c r="S51" t="n">
        <v>74671</v>
      </c>
      <c r="T51" t="n">
        <v>1372.38</v>
      </c>
    </row>
    <row r="52">
      <c r="A52" t="n">
        <v>1272</v>
      </c>
      <c r="B52" t="inlineStr">
        <is>
          <t>HERMANOS GONZALEZ ROLDAN,S.C.</t>
        </is>
      </c>
      <c r="C52" t="n">
        <v>367</v>
      </c>
      <c r="D52" t="inlineStr">
        <is>
          <t>8571</t>
        </is>
      </c>
      <c r="E52" t="inlineStr">
        <is>
          <t>2</t>
        </is>
      </c>
      <c r="F52" t="inlineStr">
        <is>
          <t>311</t>
        </is>
      </c>
      <c r="G52" t="inlineStr">
        <is>
          <t>1</t>
        </is>
      </c>
      <c r="H52" t="n">
        <v>2017</v>
      </c>
      <c r="I52" t="n">
        <v>0.46</v>
      </c>
      <c r="J52" t="n">
        <v>1</v>
      </c>
      <c r="L52" t="inlineStr">
        <is>
          <t>Sí</t>
        </is>
      </c>
      <c r="M52" t="inlineStr">
        <is>
          <t>Sí</t>
        </is>
      </c>
      <c r="N52" t="inlineStr">
        <is>
          <t>VALIDA</t>
        </is>
      </c>
      <c r="O52" t="n">
        <v>60.01</v>
      </c>
      <c r="P52" t="n">
        <v>11701.95</v>
      </c>
      <c r="Q52" t="n">
        <v>636702</v>
      </c>
      <c r="R52" t="n">
        <v>0.01837900619127944</v>
      </c>
      <c r="S52" t="n">
        <v>74671</v>
      </c>
      <c r="T52" t="n">
        <v>1372.38</v>
      </c>
    </row>
    <row r="53">
      <c r="A53" t="n">
        <v>1272</v>
      </c>
      <c r="B53" t="inlineStr">
        <is>
          <t>HERMANOS GONZALEZ ROLDAN,S.C.</t>
        </is>
      </c>
      <c r="C53" t="n">
        <v>367</v>
      </c>
      <c r="D53" t="inlineStr">
        <is>
          <t>8572</t>
        </is>
      </c>
      <c r="E53" t="inlineStr">
        <is>
          <t>2</t>
        </is>
      </c>
      <c r="F53" t="inlineStr">
        <is>
          <t>187</t>
        </is>
      </c>
      <c r="G53" t="inlineStr">
        <is>
          <t>1</t>
        </is>
      </c>
      <c r="H53" t="n">
        <v>217</v>
      </c>
      <c r="I53" t="n">
        <v>0.3</v>
      </c>
      <c r="J53" t="n">
        <v>1</v>
      </c>
      <c r="L53" t="inlineStr">
        <is>
          <t>Sí</t>
        </is>
      </c>
      <c r="M53" t="inlineStr">
        <is>
          <t>Sí</t>
        </is>
      </c>
      <c r="N53" t="inlineStr">
        <is>
          <t>VALIDA</t>
        </is>
      </c>
      <c r="O53" t="n">
        <v>60.01</v>
      </c>
      <c r="P53" t="n">
        <v>11701.95</v>
      </c>
      <c r="Q53" t="n">
        <v>636702</v>
      </c>
      <c r="R53" t="n">
        <v>0.01837900619127944</v>
      </c>
      <c r="S53" t="n">
        <v>74671</v>
      </c>
      <c r="T53" t="n">
        <v>1372.38</v>
      </c>
    </row>
    <row r="54">
      <c r="A54" t="n">
        <v>1272</v>
      </c>
      <c r="B54" t="inlineStr">
        <is>
          <t>HERMANOS GONZALEZ ROLDAN,S.C.</t>
        </is>
      </c>
      <c r="C54" t="n">
        <v>369</v>
      </c>
      <c r="D54" t="inlineStr">
        <is>
          <t>8581</t>
        </is>
      </c>
      <c r="E54" t="inlineStr">
        <is>
          <t>14</t>
        </is>
      </c>
      <c r="F54" t="inlineStr">
        <is>
          <t>20</t>
        </is>
      </c>
      <c r="G54" t="inlineStr">
        <is>
          <t>8</t>
        </is>
      </c>
      <c r="H54" t="n">
        <v>2019</v>
      </c>
      <c r="I54" t="n">
        <v>0.09</v>
      </c>
      <c r="J54" t="n">
        <v>1</v>
      </c>
      <c r="L54" t="inlineStr">
        <is>
          <t>Sí</t>
        </is>
      </c>
      <c r="M54" t="inlineStr">
        <is>
          <t>Sí</t>
        </is>
      </c>
      <c r="N54" t="inlineStr">
        <is>
          <t>VALIDA</t>
        </is>
      </c>
      <c r="O54" t="n">
        <v>60.01</v>
      </c>
      <c r="P54" t="n">
        <v>11701.95</v>
      </c>
      <c r="Q54" t="n">
        <v>636702</v>
      </c>
      <c r="R54" t="n">
        <v>0.01837900619127944</v>
      </c>
      <c r="S54" t="n">
        <v>74671</v>
      </c>
      <c r="T54" t="n">
        <v>1372.38</v>
      </c>
    </row>
    <row r="55">
      <c r="A55" t="n">
        <v>1272</v>
      </c>
      <c r="B55" t="inlineStr">
        <is>
          <t>HERMANOS GONZALEZ ROLDAN,S.C.</t>
        </is>
      </c>
      <c r="C55" t="n">
        <v>369</v>
      </c>
      <c r="D55" t="inlineStr">
        <is>
          <t>8582</t>
        </is>
      </c>
      <c r="E55" t="inlineStr">
        <is>
          <t>14</t>
        </is>
      </c>
      <c r="F55" t="inlineStr">
        <is>
          <t>21</t>
        </is>
      </c>
      <c r="G55" t="inlineStr">
        <is>
          <t>1</t>
        </is>
      </c>
      <c r="H55" t="n">
        <v>2019</v>
      </c>
      <c r="I55" t="n">
        <v>0.5</v>
      </c>
      <c r="J55" t="n">
        <v>1</v>
      </c>
      <c r="L55" t="inlineStr">
        <is>
          <t>Sí</t>
        </is>
      </c>
      <c r="M55" t="inlineStr">
        <is>
          <t>Sí</t>
        </is>
      </c>
      <c r="N55" t="inlineStr">
        <is>
          <t>VALIDA</t>
        </is>
      </c>
      <c r="O55" t="n">
        <v>60.01</v>
      </c>
      <c r="P55" t="n">
        <v>11701.95</v>
      </c>
      <c r="Q55" t="n">
        <v>636702</v>
      </c>
      <c r="R55" t="n">
        <v>0.01837900619127944</v>
      </c>
      <c r="S55" t="n">
        <v>74671</v>
      </c>
      <c r="T55" t="n">
        <v>1372.38</v>
      </c>
    </row>
    <row r="56">
      <c r="A56" t="n">
        <v>1272</v>
      </c>
      <c r="B56" t="inlineStr">
        <is>
          <t>HERMANOS GONZALEZ ROLDAN,S.C.</t>
        </is>
      </c>
      <c r="C56" t="n">
        <v>646</v>
      </c>
      <c r="D56" t="inlineStr">
        <is>
          <t>8573</t>
        </is>
      </c>
      <c r="E56" t="inlineStr">
        <is>
          <t>7</t>
        </is>
      </c>
      <c r="F56" t="inlineStr">
        <is>
          <t>125</t>
        </is>
      </c>
      <c r="G56" t="inlineStr">
        <is>
          <t>5</t>
        </is>
      </c>
      <c r="H56" t="n">
        <v>2020</v>
      </c>
      <c r="I56" t="n">
        <v>0.07000000000000001</v>
      </c>
      <c r="J56" t="n">
        <v>1</v>
      </c>
      <c r="L56" t="inlineStr">
        <is>
          <t>Sí</t>
        </is>
      </c>
      <c r="M56" t="inlineStr">
        <is>
          <t>Sí</t>
        </is>
      </c>
      <c r="N56" t="inlineStr">
        <is>
          <t>VALIDA</t>
        </is>
      </c>
      <c r="O56" t="n">
        <v>60.01</v>
      </c>
      <c r="P56" t="n">
        <v>11701.95</v>
      </c>
      <c r="Q56" t="n">
        <v>636702</v>
      </c>
      <c r="R56" t="n">
        <v>0.01837900619127944</v>
      </c>
      <c r="S56" t="n">
        <v>74671</v>
      </c>
      <c r="T56" t="n">
        <v>1372.38</v>
      </c>
    </row>
    <row r="57">
      <c r="A57" t="n">
        <v>1272</v>
      </c>
      <c r="B57" t="inlineStr">
        <is>
          <t>HERMANOS GONZALEZ ROLDAN,S.C.</t>
        </is>
      </c>
      <c r="C57" t="n">
        <v>646</v>
      </c>
      <c r="D57" t="inlineStr">
        <is>
          <t>8574</t>
        </is>
      </c>
      <c r="E57" t="inlineStr">
        <is>
          <t>7</t>
        </is>
      </c>
      <c r="F57" t="inlineStr">
        <is>
          <t>126</t>
        </is>
      </c>
      <c r="G57" t="inlineStr">
        <is>
          <t>1</t>
        </is>
      </c>
      <c r="H57" t="n">
        <v>2020</v>
      </c>
      <c r="I57" t="n">
        <v>1.17</v>
      </c>
      <c r="J57" t="n">
        <v>1</v>
      </c>
      <c r="L57" t="inlineStr">
        <is>
          <t>Sí</t>
        </is>
      </c>
      <c r="M57" t="inlineStr">
        <is>
          <t>Sí</t>
        </is>
      </c>
      <c r="N57" t="inlineStr">
        <is>
          <t>VALIDA</t>
        </is>
      </c>
      <c r="O57" t="n">
        <v>60.01</v>
      </c>
      <c r="P57" t="n">
        <v>11701.95</v>
      </c>
      <c r="Q57" t="n">
        <v>636702</v>
      </c>
      <c r="R57" t="n">
        <v>0.01837900619127944</v>
      </c>
      <c r="S57" t="n">
        <v>74671</v>
      </c>
      <c r="T57" t="n">
        <v>1372.38</v>
      </c>
    </row>
    <row r="58">
      <c r="A58" t="n">
        <v>1272</v>
      </c>
      <c r="B58" t="inlineStr">
        <is>
          <t>HERMANOS GONZALEZ ROLDAN,S.C.</t>
        </is>
      </c>
      <c r="C58" t="n">
        <v>646</v>
      </c>
      <c r="D58" t="inlineStr">
        <is>
          <t>8575</t>
        </is>
      </c>
      <c r="E58" t="inlineStr">
        <is>
          <t>7</t>
        </is>
      </c>
      <c r="F58" t="inlineStr">
        <is>
          <t>126</t>
        </is>
      </c>
      <c r="G58" t="inlineStr">
        <is>
          <t>2</t>
        </is>
      </c>
      <c r="H58" t="n">
        <v>2020</v>
      </c>
      <c r="I58" t="n">
        <v>0.29</v>
      </c>
      <c r="J58" t="n">
        <v>1</v>
      </c>
      <c r="L58" t="inlineStr">
        <is>
          <t>Sí</t>
        </is>
      </c>
      <c r="M58" t="inlineStr">
        <is>
          <t>Sí</t>
        </is>
      </c>
      <c r="N58" t="inlineStr">
        <is>
          <t>VALIDA</t>
        </is>
      </c>
      <c r="O58" t="n">
        <v>60.01</v>
      </c>
      <c r="P58" t="n">
        <v>11701.95</v>
      </c>
      <c r="Q58" t="n">
        <v>636702</v>
      </c>
      <c r="R58" t="n">
        <v>0.01837900619127944</v>
      </c>
      <c r="S58" t="n">
        <v>74671</v>
      </c>
      <c r="T58" t="n">
        <v>1372.38</v>
      </c>
    </row>
    <row r="59">
      <c r="A59" t="n">
        <v>1272</v>
      </c>
      <c r="B59" t="inlineStr">
        <is>
          <t>HERMANOS GONZALEZ ROLDAN,S.C.</t>
        </is>
      </c>
      <c r="C59" t="n">
        <v>646</v>
      </c>
      <c r="D59" t="inlineStr">
        <is>
          <t>8576</t>
        </is>
      </c>
      <c r="E59" t="inlineStr">
        <is>
          <t>7</t>
        </is>
      </c>
      <c r="F59" t="inlineStr">
        <is>
          <t>127</t>
        </is>
      </c>
      <c r="G59" t="inlineStr">
        <is>
          <t>1</t>
        </is>
      </c>
      <c r="H59" t="n">
        <v>2020</v>
      </c>
      <c r="I59" t="n">
        <v>3.78</v>
      </c>
      <c r="J59" t="n">
        <v>1</v>
      </c>
      <c r="L59" t="inlineStr">
        <is>
          <t>Sí</t>
        </is>
      </c>
      <c r="M59" t="inlineStr">
        <is>
          <t>Sí</t>
        </is>
      </c>
      <c r="N59" t="inlineStr">
        <is>
          <t>VALIDA</t>
        </is>
      </c>
      <c r="O59" t="n">
        <v>60.01</v>
      </c>
      <c r="P59" t="n">
        <v>11701.95</v>
      </c>
      <c r="Q59" t="n">
        <v>636702</v>
      </c>
      <c r="R59" t="n">
        <v>0.01837900619127944</v>
      </c>
      <c r="S59" t="n">
        <v>74671</v>
      </c>
      <c r="T59" t="n">
        <v>1372.38</v>
      </c>
    </row>
    <row r="60">
      <c r="A60" t="n">
        <v>1272</v>
      </c>
      <c r="B60" t="inlineStr">
        <is>
          <t>HERMANOS GONZALEZ ROLDAN,S.C.</t>
        </is>
      </c>
      <c r="C60" t="n">
        <v>646</v>
      </c>
      <c r="D60" t="inlineStr">
        <is>
          <t>8577</t>
        </is>
      </c>
      <c r="E60" t="inlineStr">
        <is>
          <t>8</t>
        </is>
      </c>
      <c r="F60" t="inlineStr">
        <is>
          <t>39</t>
        </is>
      </c>
      <c r="G60" t="inlineStr">
        <is>
          <t>10</t>
        </is>
      </c>
      <c r="H60" t="n">
        <v>2020</v>
      </c>
      <c r="I60" t="n">
        <v>13.31</v>
      </c>
      <c r="J60" t="n">
        <v>1</v>
      </c>
      <c r="L60" t="inlineStr">
        <is>
          <t>Sí</t>
        </is>
      </c>
      <c r="M60" t="inlineStr">
        <is>
          <t>Sí</t>
        </is>
      </c>
      <c r="N60" t="inlineStr">
        <is>
          <t>VALIDA</t>
        </is>
      </c>
      <c r="O60" t="n">
        <v>60.01</v>
      </c>
      <c r="P60" t="n">
        <v>11701.95</v>
      </c>
      <c r="Q60" t="n">
        <v>636702</v>
      </c>
      <c r="R60" t="n">
        <v>0.01837900619127944</v>
      </c>
      <c r="S60" t="n">
        <v>74671</v>
      </c>
      <c r="T60" t="n">
        <v>1372.38</v>
      </c>
    </row>
    <row r="61">
      <c r="A61" t="n">
        <v>1272</v>
      </c>
      <c r="B61" t="inlineStr">
        <is>
          <t>HERMANOS GONZALEZ ROLDAN,S.C.</t>
        </is>
      </c>
      <c r="C61" t="n">
        <v>646</v>
      </c>
      <c r="D61" t="inlineStr">
        <is>
          <t>8578</t>
        </is>
      </c>
      <c r="E61" t="inlineStr">
        <is>
          <t>8</t>
        </is>
      </c>
      <c r="F61" t="inlineStr">
        <is>
          <t>63</t>
        </is>
      </c>
      <c r="G61" t="inlineStr">
        <is>
          <t>5</t>
        </is>
      </c>
      <c r="H61" t="n">
        <v>2020</v>
      </c>
      <c r="I61" t="n">
        <v>4.42</v>
      </c>
      <c r="J61" t="n">
        <v>1</v>
      </c>
      <c r="L61" t="inlineStr">
        <is>
          <t>Sí</t>
        </is>
      </c>
      <c r="M61" t="inlineStr">
        <is>
          <t>Sí</t>
        </is>
      </c>
      <c r="N61" t="inlineStr">
        <is>
          <t>VALIDA</t>
        </is>
      </c>
      <c r="O61" t="n">
        <v>60.01</v>
      </c>
      <c r="P61" t="n">
        <v>11701.95</v>
      </c>
      <c r="Q61" t="n">
        <v>636702</v>
      </c>
      <c r="R61" t="n">
        <v>0.01837900619127944</v>
      </c>
      <c r="S61" t="n">
        <v>74671</v>
      </c>
      <c r="T61" t="n">
        <v>1372.38</v>
      </c>
    </row>
    <row r="62">
      <c r="A62" t="n">
        <v>1272</v>
      </c>
      <c r="B62" t="inlineStr">
        <is>
          <t>HERMANOS GONZALEZ ROLDAN,S.C.</t>
        </is>
      </c>
      <c r="C62" t="n">
        <v>646</v>
      </c>
      <c r="D62" t="inlineStr">
        <is>
          <t>8579</t>
        </is>
      </c>
      <c r="E62" t="inlineStr">
        <is>
          <t>8</t>
        </is>
      </c>
      <c r="F62" t="inlineStr">
        <is>
          <t>9028</t>
        </is>
      </c>
      <c r="G62" t="inlineStr">
        <is>
          <t>1</t>
        </is>
      </c>
      <c r="H62" t="n">
        <v>2020</v>
      </c>
      <c r="I62" t="n">
        <v>0.53</v>
      </c>
      <c r="J62" t="n">
        <v>1</v>
      </c>
      <c r="L62" t="inlineStr">
        <is>
          <t>Sí</t>
        </is>
      </c>
      <c r="M62" t="inlineStr">
        <is>
          <t>Sí</t>
        </is>
      </c>
      <c r="N62" t="inlineStr">
        <is>
          <t>VALIDA</t>
        </is>
      </c>
      <c r="O62" t="n">
        <v>60.01</v>
      </c>
      <c r="P62" t="n">
        <v>11701.95</v>
      </c>
      <c r="Q62" t="n">
        <v>636702</v>
      </c>
      <c r="R62" t="n">
        <v>0.01837900619127944</v>
      </c>
      <c r="S62" t="n">
        <v>74671</v>
      </c>
      <c r="T62" t="n">
        <v>1372.38</v>
      </c>
    </row>
    <row r="63">
      <c r="A63" t="n">
        <v>1272</v>
      </c>
      <c r="B63" t="inlineStr">
        <is>
          <t>HERMANOS GONZALEZ ROLDAN,S.C.</t>
        </is>
      </c>
      <c r="C63" t="n">
        <v>646</v>
      </c>
      <c r="D63" t="inlineStr">
        <is>
          <t>8580</t>
        </is>
      </c>
      <c r="E63" t="inlineStr">
        <is>
          <t>8</t>
        </is>
      </c>
      <c r="F63" t="inlineStr">
        <is>
          <t>9028</t>
        </is>
      </c>
      <c r="G63" t="inlineStr">
        <is>
          <t>7</t>
        </is>
      </c>
      <c r="H63" t="n">
        <v>2020</v>
      </c>
      <c r="I63" t="n">
        <v>0.19</v>
      </c>
      <c r="J63" t="n">
        <v>1</v>
      </c>
      <c r="L63" t="inlineStr">
        <is>
          <t>Sí</t>
        </is>
      </c>
      <c r="M63" t="inlineStr">
        <is>
          <t>Sí</t>
        </is>
      </c>
      <c r="N63" t="inlineStr">
        <is>
          <t>VALIDA</t>
        </is>
      </c>
      <c r="O63" t="n">
        <v>60.01</v>
      </c>
      <c r="P63" t="n">
        <v>11701.95</v>
      </c>
      <c r="Q63" t="n">
        <v>636702</v>
      </c>
      <c r="R63" t="n">
        <v>0.01837900619127944</v>
      </c>
      <c r="S63" t="n">
        <v>74671</v>
      </c>
      <c r="T63" t="n">
        <v>1372.38</v>
      </c>
    </row>
    <row r="64">
      <c r="A64" t="n">
        <v>1316</v>
      </c>
      <c r="B64" t="inlineStr">
        <is>
          <t>JIMENA GARCIA,JUAN MANUEL</t>
        </is>
      </c>
      <c r="C64" t="n">
        <v>217</v>
      </c>
      <c r="D64" t="inlineStr">
        <is>
          <t>8709</t>
        </is>
      </c>
      <c r="E64" t="inlineStr">
        <is>
          <t>14</t>
        </is>
      </c>
      <c r="F64" t="inlineStr">
        <is>
          <t>59</t>
        </is>
      </c>
      <c r="G64" t="inlineStr">
        <is>
          <t>3</t>
        </is>
      </c>
      <c r="H64" t="n">
        <v>1956</v>
      </c>
      <c r="I64" t="n">
        <v>1.99</v>
      </c>
      <c r="J64" t="n">
        <v>1</v>
      </c>
      <c r="L64" t="inlineStr">
        <is>
          <t>Sí</t>
        </is>
      </c>
      <c r="M64" t="inlineStr">
        <is>
          <t>Sí</t>
        </is>
      </c>
      <c r="N64" t="inlineStr">
        <is>
          <t>VALIDA</t>
        </is>
      </c>
      <c r="O64" t="n">
        <v>3.23</v>
      </c>
      <c r="P64" t="n">
        <v>629.85</v>
      </c>
      <c r="Q64" t="n">
        <v>93689</v>
      </c>
      <c r="R64" t="n">
        <v>0.006722774285134861</v>
      </c>
      <c r="S64" t="n">
        <v>57732</v>
      </c>
      <c r="T64" t="n">
        <v>388.12</v>
      </c>
    </row>
    <row r="65">
      <c r="A65" t="n">
        <v>1316</v>
      </c>
      <c r="B65" t="inlineStr">
        <is>
          <t>JIMENA GARCIA,JUAN MANUEL</t>
        </is>
      </c>
      <c r="C65" t="n">
        <v>217</v>
      </c>
      <c r="D65" t="inlineStr">
        <is>
          <t>8710</t>
        </is>
      </c>
      <c r="E65" t="inlineStr">
        <is>
          <t>14</t>
        </is>
      </c>
      <c r="F65" t="inlineStr">
        <is>
          <t>107</t>
        </is>
      </c>
      <c r="G65" t="inlineStr">
        <is>
          <t>3</t>
        </is>
      </c>
      <c r="H65" t="n">
        <v>1956</v>
      </c>
      <c r="I65" t="n">
        <v>0.11</v>
      </c>
      <c r="J65" t="n">
        <v>1</v>
      </c>
      <c r="L65" t="inlineStr">
        <is>
          <t>Sí</t>
        </is>
      </c>
      <c r="M65" t="inlineStr">
        <is>
          <t>Sí</t>
        </is>
      </c>
      <c r="N65" t="inlineStr">
        <is>
          <t>VALIDA</t>
        </is>
      </c>
      <c r="O65" t="n">
        <v>3.23</v>
      </c>
      <c r="P65" t="n">
        <v>629.85</v>
      </c>
      <c r="Q65" t="n">
        <v>93689</v>
      </c>
      <c r="R65" t="n">
        <v>0.006722774285134861</v>
      </c>
      <c r="S65" t="n">
        <v>57732</v>
      </c>
      <c r="T65" t="n">
        <v>388.12</v>
      </c>
    </row>
    <row r="66">
      <c r="A66" t="n">
        <v>1316</v>
      </c>
      <c r="B66" t="inlineStr">
        <is>
          <t>JIMENA GARCIA,JUAN MANUEL</t>
        </is>
      </c>
      <c r="C66" t="n">
        <v>261</v>
      </c>
      <c r="D66" t="inlineStr">
        <is>
          <t>8708</t>
        </is>
      </c>
      <c r="E66" t="inlineStr">
        <is>
          <t>37</t>
        </is>
      </c>
      <c r="F66" t="inlineStr">
        <is>
          <t>32</t>
        </is>
      </c>
      <c r="G66" t="inlineStr">
        <is>
          <t>2</t>
        </is>
      </c>
      <c r="H66" t="n">
        <v>1960</v>
      </c>
      <c r="I66" t="n">
        <v>1.13</v>
      </c>
      <c r="J66" t="n">
        <v>1</v>
      </c>
      <c r="L66" t="inlineStr">
        <is>
          <t>Sí</t>
        </is>
      </c>
      <c r="M66" t="inlineStr">
        <is>
          <t>Sí</t>
        </is>
      </c>
      <c r="N66" t="inlineStr">
        <is>
          <t>VALIDA</t>
        </is>
      </c>
      <c r="O66" t="n">
        <v>3.23</v>
      </c>
      <c r="P66" t="n">
        <v>629.85</v>
      </c>
      <c r="Q66" t="n">
        <v>93689</v>
      </c>
      <c r="R66" t="n">
        <v>0.006722774285134861</v>
      </c>
      <c r="S66" t="n">
        <v>57732</v>
      </c>
      <c r="T66" t="n">
        <v>388.12</v>
      </c>
    </row>
    <row r="67">
      <c r="A67" t="n">
        <v>1350</v>
      </c>
      <c r="B67" t="inlineStr">
        <is>
          <t>FAMILIA GONZALEZ LACAL S.C.</t>
        </is>
      </c>
      <c r="C67" t="n">
        <v>79</v>
      </c>
      <c r="D67" t="inlineStr">
        <is>
          <t>8221</t>
        </is>
      </c>
      <c r="E67" t="inlineStr">
        <is>
          <t>23</t>
        </is>
      </c>
      <c r="F67" t="inlineStr">
        <is>
          <t>153</t>
        </is>
      </c>
      <c r="G67" t="inlineStr">
        <is>
          <t>1</t>
        </is>
      </c>
      <c r="H67" t="n">
        <v>1989</v>
      </c>
      <c r="I67" t="n">
        <v>0.75</v>
      </c>
      <c r="J67" t="n">
        <v>1</v>
      </c>
      <c r="L67" t="inlineStr">
        <is>
          <t>Sí</t>
        </is>
      </c>
      <c r="M67" t="inlineStr">
        <is>
          <t>Sí</t>
        </is>
      </c>
      <c r="N67" t="inlineStr">
        <is>
          <t>VALIDA</t>
        </is>
      </c>
      <c r="O67" t="n">
        <v>9.16</v>
      </c>
      <c r="P67" t="n">
        <v>1786.2</v>
      </c>
      <c r="Q67" t="n">
        <v>127892</v>
      </c>
      <c r="R67" t="n">
        <v>0.01396647171050574</v>
      </c>
      <c r="S67" t="n">
        <v>24320</v>
      </c>
      <c r="T67" t="n">
        <v>339.66</v>
      </c>
    </row>
    <row r="68">
      <c r="A68" t="n">
        <v>1350</v>
      </c>
      <c r="B68" t="inlineStr">
        <is>
          <t>FAMILIA GONZALEZ LACAL S.C.</t>
        </is>
      </c>
      <c r="C68" t="n">
        <v>80</v>
      </c>
      <c r="D68" t="inlineStr">
        <is>
          <t>8222</t>
        </is>
      </c>
      <c r="E68" t="inlineStr">
        <is>
          <t>23</t>
        </is>
      </c>
      <c r="F68" t="inlineStr">
        <is>
          <t>153</t>
        </is>
      </c>
      <c r="G68" t="inlineStr">
        <is>
          <t>1</t>
        </is>
      </c>
      <c r="H68" t="n">
        <v>1961</v>
      </c>
      <c r="I68" t="n">
        <v>1.13</v>
      </c>
      <c r="J68" t="n">
        <v>1</v>
      </c>
      <c r="L68" t="inlineStr">
        <is>
          <t>Sí</t>
        </is>
      </c>
      <c r="M68" t="inlineStr">
        <is>
          <t>Sí</t>
        </is>
      </c>
      <c r="N68" t="inlineStr">
        <is>
          <t>VALIDA</t>
        </is>
      </c>
      <c r="O68" t="n">
        <v>9.16</v>
      </c>
      <c r="P68" t="n">
        <v>1786.2</v>
      </c>
      <c r="Q68" t="n">
        <v>127892</v>
      </c>
      <c r="R68" t="n">
        <v>0.01396647171050574</v>
      </c>
      <c r="S68" t="n">
        <v>24320</v>
      </c>
      <c r="T68" t="n">
        <v>339.66</v>
      </c>
    </row>
    <row r="69">
      <c r="A69" t="n">
        <v>1350</v>
      </c>
      <c r="B69" t="inlineStr">
        <is>
          <t>FAMILIA GONZALEZ LACAL S.C.</t>
        </is>
      </c>
      <c r="C69" t="n">
        <v>231</v>
      </c>
      <c r="D69" t="inlineStr">
        <is>
          <t>8714</t>
        </is>
      </c>
      <c r="E69" t="inlineStr">
        <is>
          <t>24</t>
        </is>
      </c>
      <c r="F69" t="inlineStr">
        <is>
          <t>2</t>
        </is>
      </c>
      <c r="G69" t="inlineStr">
        <is>
          <t>1</t>
        </is>
      </c>
      <c r="H69" t="n">
        <v>2005</v>
      </c>
      <c r="I69" t="n">
        <v>3.55</v>
      </c>
      <c r="J69" t="n">
        <v>1</v>
      </c>
      <c r="L69" t="inlineStr">
        <is>
          <t>Sí</t>
        </is>
      </c>
      <c r="M69" t="inlineStr">
        <is>
          <t>Sí</t>
        </is>
      </c>
      <c r="N69" t="inlineStr">
        <is>
          <t>VALIDA</t>
        </is>
      </c>
      <c r="O69" t="n">
        <v>9.16</v>
      </c>
      <c r="P69" t="n">
        <v>1786.2</v>
      </c>
      <c r="Q69" t="n">
        <v>127892</v>
      </c>
      <c r="R69" t="n">
        <v>0.01396647171050574</v>
      </c>
      <c r="S69" t="n">
        <v>24320</v>
      </c>
      <c r="T69" t="n">
        <v>339.66</v>
      </c>
    </row>
    <row r="70">
      <c r="A70" t="n">
        <v>1350</v>
      </c>
      <c r="B70" t="inlineStr">
        <is>
          <t>FAMILIA GONZALEZ LACAL S.C.</t>
        </is>
      </c>
      <c r="C70" t="n">
        <v>241</v>
      </c>
      <c r="D70" t="inlineStr">
        <is>
          <t>8717</t>
        </is>
      </c>
      <c r="E70" t="inlineStr">
        <is>
          <t>24</t>
        </is>
      </c>
      <c r="F70" t="inlineStr">
        <is>
          <t>2</t>
        </is>
      </c>
      <c r="G70" t="inlineStr">
        <is>
          <t>5</t>
        </is>
      </c>
      <c r="H70" t="n">
        <v>2004</v>
      </c>
      <c r="I70" t="n">
        <v>3.73</v>
      </c>
      <c r="J70" t="n">
        <v>1</v>
      </c>
      <c r="L70" t="inlineStr">
        <is>
          <t>Sí</t>
        </is>
      </c>
      <c r="M70" t="inlineStr">
        <is>
          <t>Sí</t>
        </is>
      </c>
      <c r="N70" t="inlineStr">
        <is>
          <t>VALIDA</t>
        </is>
      </c>
      <c r="O70" t="n">
        <v>9.16</v>
      </c>
      <c r="P70" t="n">
        <v>1786.2</v>
      </c>
      <c r="Q70" t="n">
        <v>127892</v>
      </c>
      <c r="R70" t="n">
        <v>0.01396647171050574</v>
      </c>
      <c r="S70" t="n">
        <v>24320</v>
      </c>
      <c r="T70" t="n">
        <v>339.66</v>
      </c>
    </row>
    <row r="71">
      <c r="A71" t="n">
        <v>1354</v>
      </c>
      <c r="B71" t="inlineStr">
        <is>
          <t>MARTIN PORTALES,ALFREDO</t>
        </is>
      </c>
      <c r="C71" t="n">
        <v>88</v>
      </c>
      <c r="D71" t="inlineStr">
        <is>
          <t>8718</t>
        </is>
      </c>
      <c r="E71" t="inlineStr">
        <is>
          <t>12</t>
        </is>
      </c>
      <c r="F71" t="inlineStr">
        <is>
          <t>30</t>
        </is>
      </c>
      <c r="G71" t="inlineStr">
        <is>
          <t>1</t>
        </is>
      </c>
      <c r="H71" t="n">
        <v>2006</v>
      </c>
      <c r="I71" t="n">
        <v>2.83</v>
      </c>
      <c r="J71" t="n">
        <v>1</v>
      </c>
      <c r="L71" t="inlineStr">
        <is>
          <t>Sí</t>
        </is>
      </c>
      <c r="M71" t="inlineStr">
        <is>
          <t>Sí</t>
        </is>
      </c>
      <c r="N71" t="inlineStr">
        <is>
          <t>VALIDA</t>
        </is>
      </c>
      <c r="O71" t="n">
        <v>5.24</v>
      </c>
      <c r="P71" t="n">
        <v>1021.8</v>
      </c>
      <c r="Q71" t="n">
        <v>152989</v>
      </c>
      <c r="R71" t="n">
        <v>0.006678911555732765</v>
      </c>
      <c r="S71" t="n">
        <v>148012</v>
      </c>
      <c r="T71" t="n">
        <v>988.5599999999999</v>
      </c>
    </row>
    <row r="72">
      <c r="A72" t="n">
        <v>1354</v>
      </c>
      <c r="B72" t="inlineStr">
        <is>
          <t>MARTIN PORTALES,ALFREDO</t>
        </is>
      </c>
      <c r="C72" t="n">
        <v>88</v>
      </c>
      <c r="D72" t="inlineStr">
        <is>
          <t>8719</t>
        </is>
      </c>
      <c r="E72" t="inlineStr">
        <is>
          <t>12</t>
        </is>
      </c>
      <c r="F72" t="inlineStr">
        <is>
          <t>30</t>
        </is>
      </c>
      <c r="G72" t="inlineStr">
        <is>
          <t>1</t>
        </is>
      </c>
      <c r="H72" t="n">
        <v>2001</v>
      </c>
      <c r="I72" t="n">
        <v>2.41</v>
      </c>
      <c r="J72" t="n">
        <v>1</v>
      </c>
      <c r="L72" t="inlineStr">
        <is>
          <t>Sí</t>
        </is>
      </c>
      <c r="M72" t="inlineStr">
        <is>
          <t>Sí</t>
        </is>
      </c>
      <c r="N72" t="inlineStr">
        <is>
          <t>VALIDA</t>
        </is>
      </c>
      <c r="O72" t="n">
        <v>5.24</v>
      </c>
      <c r="P72" t="n">
        <v>1021.8</v>
      </c>
      <c r="Q72" t="n">
        <v>152989</v>
      </c>
      <c r="R72" t="n">
        <v>0.006678911555732765</v>
      </c>
      <c r="S72" t="n">
        <v>148012</v>
      </c>
      <c r="T72" t="n">
        <v>988.5599999999999</v>
      </c>
    </row>
    <row r="73">
      <c r="A73" t="n">
        <v>1355</v>
      </c>
      <c r="B73" t="inlineStr">
        <is>
          <t>CANO MANZANARES,JUAN ANTONIO</t>
        </is>
      </c>
      <c r="C73" t="n">
        <v>555</v>
      </c>
      <c r="D73" t="inlineStr">
        <is>
          <t>9213</t>
        </is>
      </c>
      <c r="E73" t="inlineStr">
        <is>
          <t>13</t>
        </is>
      </c>
      <c r="F73" t="inlineStr">
        <is>
          <t>45</t>
        </is>
      </c>
      <c r="G73" t="inlineStr">
        <is>
          <t>3</t>
        </is>
      </c>
      <c r="H73" t="n">
        <v>2018</v>
      </c>
      <c r="I73" t="n">
        <v>0.51</v>
      </c>
      <c r="J73" t="n">
        <v>1</v>
      </c>
      <c r="L73" t="inlineStr">
        <is>
          <t>Sí</t>
        </is>
      </c>
      <c r="M73" t="inlineStr">
        <is>
          <t>Sí</t>
        </is>
      </c>
      <c r="N73" t="inlineStr">
        <is>
          <t>VALIDA</t>
        </is>
      </c>
      <c r="O73" t="n">
        <v>7.21</v>
      </c>
      <c r="P73" t="n">
        <v>1405.95</v>
      </c>
      <c r="Q73" t="n">
        <v>357726</v>
      </c>
      <c r="R73" t="n">
        <v>0.003930242699719897</v>
      </c>
      <c r="S73" t="n">
        <v>212858</v>
      </c>
      <c r="T73" t="n">
        <v>836.58</v>
      </c>
    </row>
    <row r="74">
      <c r="A74" t="n">
        <v>1355</v>
      </c>
      <c r="B74" t="inlineStr">
        <is>
          <t>CANO MANZANARES,JUAN ANTONIO</t>
        </is>
      </c>
      <c r="C74" t="n">
        <v>555</v>
      </c>
      <c r="D74" t="inlineStr">
        <is>
          <t>9214</t>
        </is>
      </c>
      <c r="E74" t="inlineStr">
        <is>
          <t>13</t>
        </is>
      </c>
      <c r="F74" t="inlineStr">
        <is>
          <t>49</t>
        </is>
      </c>
      <c r="G74" t="inlineStr">
        <is>
          <t>1</t>
        </is>
      </c>
      <c r="H74" t="n">
        <v>2018</v>
      </c>
      <c r="I74" t="n">
        <v>2.37</v>
      </c>
      <c r="J74" t="n">
        <v>1</v>
      </c>
      <c r="L74" t="inlineStr">
        <is>
          <t>Sí</t>
        </is>
      </c>
      <c r="M74" t="inlineStr">
        <is>
          <t>Sí</t>
        </is>
      </c>
      <c r="N74" t="inlineStr">
        <is>
          <t>VALIDA</t>
        </is>
      </c>
      <c r="O74" t="n">
        <v>7.21</v>
      </c>
      <c r="P74" t="n">
        <v>1405.95</v>
      </c>
      <c r="Q74" t="n">
        <v>357726</v>
      </c>
      <c r="R74" t="n">
        <v>0.003930242699719897</v>
      </c>
      <c r="S74" t="n">
        <v>212858</v>
      </c>
      <c r="T74" t="n">
        <v>836.58</v>
      </c>
    </row>
    <row r="75">
      <c r="A75" t="n">
        <v>1355</v>
      </c>
      <c r="B75" t="inlineStr">
        <is>
          <t>CANO MANZANARES,JUAN ANTONIO</t>
        </is>
      </c>
      <c r="C75" t="n">
        <v>555</v>
      </c>
      <c r="D75" t="inlineStr">
        <is>
          <t>9215</t>
        </is>
      </c>
      <c r="E75" t="inlineStr">
        <is>
          <t>13</t>
        </is>
      </c>
      <c r="F75" t="inlineStr">
        <is>
          <t>50</t>
        </is>
      </c>
      <c r="G75" t="inlineStr">
        <is>
          <t>2</t>
        </is>
      </c>
      <c r="H75" t="n">
        <v>2018</v>
      </c>
      <c r="I75" t="n">
        <v>1.94</v>
      </c>
      <c r="J75" t="n">
        <v>1</v>
      </c>
      <c r="L75" t="inlineStr">
        <is>
          <t>Sí</t>
        </is>
      </c>
      <c r="M75" t="inlineStr">
        <is>
          <t>Sí</t>
        </is>
      </c>
      <c r="N75" t="inlineStr">
        <is>
          <t>VALIDA</t>
        </is>
      </c>
      <c r="O75" t="n">
        <v>7.21</v>
      </c>
      <c r="P75" t="n">
        <v>1405.95</v>
      </c>
      <c r="Q75" t="n">
        <v>357726</v>
      </c>
      <c r="R75" t="n">
        <v>0.003930242699719897</v>
      </c>
      <c r="S75" t="n">
        <v>212858</v>
      </c>
      <c r="T75" t="n">
        <v>836.58</v>
      </c>
    </row>
    <row r="76">
      <c r="A76" t="n">
        <v>1355</v>
      </c>
      <c r="B76" t="inlineStr">
        <is>
          <t>CANO MANZANARES,JUAN ANTONIO</t>
        </is>
      </c>
      <c r="C76" t="n">
        <v>606</v>
      </c>
      <c r="D76" t="inlineStr">
        <is>
          <t>9598</t>
        </is>
      </c>
      <c r="E76" t="inlineStr">
        <is>
          <t>29</t>
        </is>
      </c>
      <c r="F76" t="inlineStr">
        <is>
          <t>71</t>
        </is>
      </c>
      <c r="G76" t="inlineStr">
        <is>
          <t>1</t>
        </is>
      </c>
      <c r="H76" t="n">
        <v>2016</v>
      </c>
      <c r="I76" t="n">
        <v>0.06</v>
      </c>
      <c r="J76" t="n">
        <v>1</v>
      </c>
      <c r="L76" t="inlineStr">
        <is>
          <t>Sí</t>
        </is>
      </c>
      <c r="M76" t="inlineStr">
        <is>
          <t>Sí</t>
        </is>
      </c>
      <c r="N76" t="inlineStr">
        <is>
          <t>VALIDA</t>
        </is>
      </c>
      <c r="O76" t="n">
        <v>7.21</v>
      </c>
      <c r="P76" t="n">
        <v>1405.95</v>
      </c>
      <c r="Q76" t="n">
        <v>357726</v>
      </c>
      <c r="R76" t="n">
        <v>0.003930242699719897</v>
      </c>
      <c r="S76" t="n">
        <v>212858</v>
      </c>
      <c r="T76" t="n">
        <v>836.58</v>
      </c>
    </row>
    <row r="77">
      <c r="A77" t="n">
        <v>1355</v>
      </c>
      <c r="B77" t="inlineStr">
        <is>
          <t>CANO MANZANARES,JUAN ANTONIO</t>
        </is>
      </c>
      <c r="C77" t="n">
        <v>606</v>
      </c>
      <c r="D77" t="inlineStr">
        <is>
          <t>9599</t>
        </is>
      </c>
      <c r="E77" t="inlineStr">
        <is>
          <t>29</t>
        </is>
      </c>
      <c r="F77" t="inlineStr">
        <is>
          <t>71</t>
        </is>
      </c>
      <c r="G77" t="inlineStr">
        <is>
          <t>2</t>
        </is>
      </c>
      <c r="H77" t="n">
        <v>2016</v>
      </c>
      <c r="I77" t="n">
        <v>1.21</v>
      </c>
      <c r="J77" t="n">
        <v>1</v>
      </c>
      <c r="L77" t="inlineStr">
        <is>
          <t>Sí</t>
        </is>
      </c>
      <c r="M77" t="inlineStr">
        <is>
          <t>Sí</t>
        </is>
      </c>
      <c r="N77" t="inlineStr">
        <is>
          <t>VALIDA</t>
        </is>
      </c>
      <c r="O77" t="n">
        <v>7.21</v>
      </c>
      <c r="P77" t="n">
        <v>1405.95</v>
      </c>
      <c r="Q77" t="n">
        <v>357726</v>
      </c>
      <c r="R77" t="n">
        <v>0.003930242699719897</v>
      </c>
      <c r="S77" t="n">
        <v>212858</v>
      </c>
      <c r="T77" t="n">
        <v>836.58</v>
      </c>
    </row>
    <row r="78">
      <c r="A78" t="n">
        <v>1355</v>
      </c>
      <c r="B78" t="inlineStr">
        <is>
          <t>CANO MANZANARES,JUAN ANTONIO</t>
        </is>
      </c>
      <c r="C78" t="n">
        <v>606</v>
      </c>
      <c r="D78" t="inlineStr">
        <is>
          <t>9600</t>
        </is>
      </c>
      <c r="E78" t="inlineStr">
        <is>
          <t>29</t>
        </is>
      </c>
      <c r="F78" t="inlineStr">
        <is>
          <t>69</t>
        </is>
      </c>
      <c r="G78" t="inlineStr">
        <is>
          <t>3</t>
        </is>
      </c>
      <c r="H78" t="n">
        <v>2016</v>
      </c>
      <c r="I78" t="n">
        <v>0.98</v>
      </c>
      <c r="J78" t="n">
        <v>1</v>
      </c>
      <c r="L78" t="inlineStr">
        <is>
          <t>Sí</t>
        </is>
      </c>
      <c r="M78" t="inlineStr">
        <is>
          <t>Sí</t>
        </is>
      </c>
      <c r="N78" t="inlineStr">
        <is>
          <t>VALIDA</t>
        </is>
      </c>
      <c r="O78" t="n">
        <v>7.21</v>
      </c>
      <c r="P78" t="n">
        <v>1405.95</v>
      </c>
      <c r="Q78" t="n">
        <v>357726</v>
      </c>
      <c r="R78" t="n">
        <v>0.003930242699719897</v>
      </c>
      <c r="S78" t="n">
        <v>212858</v>
      </c>
      <c r="T78" t="n">
        <v>836.58</v>
      </c>
    </row>
    <row r="79">
      <c r="A79" t="n">
        <v>1355</v>
      </c>
      <c r="B79" t="inlineStr">
        <is>
          <t>CANO MANZANARES,JUAN ANTONIO</t>
        </is>
      </c>
      <c r="C79" t="n">
        <v>606</v>
      </c>
      <c r="D79" t="inlineStr">
        <is>
          <t>9601</t>
        </is>
      </c>
      <c r="E79" t="inlineStr">
        <is>
          <t>29</t>
        </is>
      </c>
      <c r="F79" t="inlineStr">
        <is>
          <t>69</t>
        </is>
      </c>
      <c r="G79" t="inlineStr">
        <is>
          <t>4</t>
        </is>
      </c>
      <c r="H79" t="n">
        <v>2016</v>
      </c>
      <c r="I79" t="n">
        <v>0.14</v>
      </c>
      <c r="J79" t="n">
        <v>1</v>
      </c>
      <c r="L79" t="inlineStr">
        <is>
          <t>Sí</t>
        </is>
      </c>
      <c r="M79" t="inlineStr">
        <is>
          <t>Sí</t>
        </is>
      </c>
      <c r="N79" t="inlineStr">
        <is>
          <t>VALIDA</t>
        </is>
      </c>
      <c r="O79" t="n">
        <v>7.21</v>
      </c>
      <c r="P79" t="n">
        <v>1405.95</v>
      </c>
      <c r="Q79" t="n">
        <v>357726</v>
      </c>
      <c r="R79" t="n">
        <v>0.003930242699719897</v>
      </c>
      <c r="S79" t="n">
        <v>212858</v>
      </c>
      <c r="T79" t="n">
        <v>836.58</v>
      </c>
    </row>
    <row r="80">
      <c r="A80" t="n">
        <v>1374</v>
      </c>
      <c r="B80" t="inlineStr">
        <is>
          <t>MORENO SANCHEZ,JOSE ANTONIO</t>
        </is>
      </c>
      <c r="C80" t="n">
        <v>526</v>
      </c>
      <c r="D80" t="inlineStr">
        <is>
          <t>8720</t>
        </is>
      </c>
      <c r="E80" t="inlineStr">
        <is>
          <t>13</t>
        </is>
      </c>
      <c r="F80" t="inlineStr">
        <is>
          <t>178</t>
        </is>
      </c>
      <c r="G80" t="inlineStr">
        <is>
          <t>1</t>
        </is>
      </c>
      <c r="H80" t="n">
        <v>2011</v>
      </c>
      <c r="I80" t="n">
        <v>1.8</v>
      </c>
      <c r="J80" t="n">
        <v>1</v>
      </c>
      <c r="L80" t="inlineStr">
        <is>
          <t>Sí</t>
        </is>
      </c>
      <c r="M80" t="inlineStr">
        <is>
          <t>Sí</t>
        </is>
      </c>
      <c r="N80" t="inlineStr">
        <is>
          <t>VALIDA</t>
        </is>
      </c>
      <c r="O80" t="n">
        <v>1.8</v>
      </c>
      <c r="P80" t="n">
        <v>351</v>
      </c>
      <c r="Q80" t="n">
        <v>63484</v>
      </c>
      <c r="R80" t="n">
        <v>0.005528952176926469</v>
      </c>
      <c r="S80" t="n">
        <v>51699</v>
      </c>
      <c r="T80" t="n">
        <v>285.84</v>
      </c>
    </row>
    <row r="81">
      <c r="A81" t="n">
        <v>1389</v>
      </c>
      <c r="B81" t="inlineStr">
        <is>
          <t>AGRICOLA HUERTA LA MEJORA S.C.</t>
        </is>
      </c>
      <c r="C81" t="n">
        <v>559</v>
      </c>
      <c r="D81" t="inlineStr">
        <is>
          <t>8723</t>
        </is>
      </c>
      <c r="E81" t="inlineStr">
        <is>
          <t>9</t>
        </is>
      </c>
      <c r="F81" t="inlineStr">
        <is>
          <t>28</t>
        </is>
      </c>
      <c r="G81" t="inlineStr">
        <is>
          <t>1</t>
        </is>
      </c>
      <c r="H81" t="n">
        <v>2018</v>
      </c>
      <c r="I81" t="n">
        <v>0.99</v>
      </c>
      <c r="J81" t="n">
        <v>1</v>
      </c>
      <c r="L81" t="inlineStr">
        <is>
          <t>Sí</t>
        </is>
      </c>
      <c r="M81" t="inlineStr">
        <is>
          <t>Sí</t>
        </is>
      </c>
      <c r="N81" t="inlineStr">
        <is>
          <t>VALIDA</t>
        </is>
      </c>
      <c r="O81" t="n">
        <v>4.32</v>
      </c>
      <c r="P81" t="n">
        <v>842.4</v>
      </c>
      <c r="Q81" t="n">
        <v>56000</v>
      </c>
      <c r="R81" t="n">
        <v>0.01504285714285714</v>
      </c>
      <c r="S81" t="n">
        <v>47840</v>
      </c>
      <c r="T81" t="n">
        <v>719.65</v>
      </c>
    </row>
    <row r="82">
      <c r="A82" t="n">
        <v>1389</v>
      </c>
      <c r="B82" t="inlineStr">
        <is>
          <t>AGRICOLA HUERTA LA MEJORA S.C.</t>
        </is>
      </c>
      <c r="C82" t="n">
        <v>559</v>
      </c>
      <c r="D82" t="inlineStr">
        <is>
          <t>8724</t>
        </is>
      </c>
      <c r="E82" t="inlineStr">
        <is>
          <t>6</t>
        </is>
      </c>
      <c r="F82" t="inlineStr">
        <is>
          <t>74</t>
        </is>
      </c>
      <c r="G82" t="inlineStr">
        <is>
          <t>1</t>
        </is>
      </c>
      <c r="H82" t="n">
        <v>2018</v>
      </c>
      <c r="I82" t="n">
        <v>0.96</v>
      </c>
      <c r="J82" t="n">
        <v>1</v>
      </c>
      <c r="L82" t="inlineStr">
        <is>
          <t>Sí</t>
        </is>
      </c>
      <c r="M82" t="inlineStr">
        <is>
          <t>Sí</t>
        </is>
      </c>
      <c r="N82" t="inlineStr">
        <is>
          <t>VALIDA</t>
        </is>
      </c>
      <c r="O82" t="n">
        <v>4.32</v>
      </c>
      <c r="P82" t="n">
        <v>842.4</v>
      </c>
      <c r="Q82" t="n">
        <v>56000</v>
      </c>
      <c r="R82" t="n">
        <v>0.01504285714285714</v>
      </c>
      <c r="S82" t="n">
        <v>47840</v>
      </c>
      <c r="T82" t="n">
        <v>719.65</v>
      </c>
    </row>
    <row r="83">
      <c r="A83" t="n">
        <v>1389</v>
      </c>
      <c r="B83" t="inlineStr">
        <is>
          <t>AGRICOLA HUERTA LA MEJORA S.C.</t>
        </is>
      </c>
      <c r="C83" t="n">
        <v>561</v>
      </c>
      <c r="D83" t="inlineStr">
        <is>
          <t>8725</t>
        </is>
      </c>
      <c r="E83" t="inlineStr">
        <is>
          <t>1</t>
        </is>
      </c>
      <c r="F83" t="inlineStr">
        <is>
          <t>115</t>
        </is>
      </c>
      <c r="G83" t="inlineStr">
        <is>
          <t>1</t>
        </is>
      </c>
      <c r="H83" t="n">
        <v>2019</v>
      </c>
      <c r="I83" t="n">
        <v>2.37</v>
      </c>
      <c r="J83" t="n">
        <v>1</v>
      </c>
      <c r="L83" t="inlineStr">
        <is>
          <t>Sí</t>
        </is>
      </c>
      <c r="M83" t="inlineStr">
        <is>
          <t>Sí</t>
        </is>
      </c>
      <c r="N83" t="inlineStr">
        <is>
          <t>VALIDA</t>
        </is>
      </c>
      <c r="O83" t="n">
        <v>4.32</v>
      </c>
      <c r="P83" t="n">
        <v>842.4</v>
      </c>
      <c r="Q83" t="n">
        <v>56000</v>
      </c>
      <c r="R83" t="n">
        <v>0.01504285714285714</v>
      </c>
      <c r="S83" t="n">
        <v>47840</v>
      </c>
      <c r="T83" t="n">
        <v>719.65</v>
      </c>
    </row>
    <row r="84">
      <c r="A84" t="n">
        <v>1389</v>
      </c>
      <c r="B84" t="inlineStr">
        <is>
          <t>AGRICOLA HUERTA LA MEJORA S.C.</t>
        </is>
      </c>
      <c r="C84" t="n">
        <v>673</v>
      </c>
      <c r="D84" t="inlineStr">
        <is>
          <t>8722</t>
        </is>
      </c>
      <c r="E84" t="inlineStr">
        <is>
          <t>6</t>
        </is>
      </c>
      <c r="F84" t="inlineStr">
        <is>
          <t>22</t>
        </is>
      </c>
      <c r="G84" t="inlineStr">
        <is>
          <t>1</t>
        </is>
      </c>
      <c r="H84" t="n">
        <v>2023</v>
      </c>
      <c r="I84" t="n">
        <v>2.67</v>
      </c>
      <c r="J84" t="n">
        <v>1</v>
      </c>
      <c r="L84" t="inlineStr">
        <is>
          <t>No</t>
        </is>
      </c>
      <c r="M84" t="inlineStr">
        <is>
          <t>No</t>
        </is>
      </c>
      <c r="N84" t="inlineStr">
        <is>
          <t>PLANTACION_MENOR_CINCO_ANOS</t>
        </is>
      </c>
      <c r="O84" t="n">
        <v>4.32</v>
      </c>
      <c r="P84" t="n">
        <v>842.4</v>
      </c>
      <c r="Q84" t="n">
        <v>56000</v>
      </c>
      <c r="R84" t="n">
        <v>0.01504285714285714</v>
      </c>
      <c r="S84" t="n">
        <v>47840</v>
      </c>
      <c r="T84" t="n">
        <v>719.65</v>
      </c>
    </row>
    <row r="85">
      <c r="A85" t="n">
        <v>1395</v>
      </c>
      <c r="B85" t="inlineStr">
        <is>
          <t>AGRICOLA HERMANOS BUIZA S.C.</t>
        </is>
      </c>
      <c r="C85" t="n">
        <v>542</v>
      </c>
      <c r="I85" t="n">
        <v>3.54</v>
      </c>
      <c r="J85" t="n">
        <v>0</v>
      </c>
      <c r="M85" t="inlineStr">
        <is>
          <t>No</t>
        </is>
      </c>
      <c r="N85" t="inlineStr">
        <is>
          <t>CHA_NO_SELECCIONADO; CHA_NO_ACTIVO</t>
        </is>
      </c>
      <c r="O85" t="n">
        <v>8.27</v>
      </c>
      <c r="P85" t="n">
        <v>1612.65</v>
      </c>
      <c r="Q85" t="n">
        <v>426827</v>
      </c>
      <c r="R85" t="n">
        <v>0.003778228650015111</v>
      </c>
      <c r="S85" t="n">
        <v>22880</v>
      </c>
      <c r="T85" t="n">
        <v>86.45</v>
      </c>
    </row>
    <row r="86">
      <c r="A86" t="n">
        <v>1395</v>
      </c>
      <c r="B86" t="inlineStr">
        <is>
          <t>AGRICOLA HERMANOS BUIZA S.C.</t>
        </is>
      </c>
      <c r="C86" t="n">
        <v>653</v>
      </c>
      <c r="D86" t="inlineStr">
        <is>
          <t>8726</t>
        </is>
      </c>
      <c r="E86" t="inlineStr">
        <is>
          <t>20</t>
        </is>
      </c>
      <c r="F86" t="inlineStr">
        <is>
          <t>34</t>
        </is>
      </c>
      <c r="G86" t="inlineStr">
        <is>
          <t>1</t>
        </is>
      </c>
      <c r="H86" t="n">
        <v>2012</v>
      </c>
      <c r="I86" t="n">
        <v>5.68</v>
      </c>
      <c r="J86" t="n">
        <v>1</v>
      </c>
      <c r="L86" t="inlineStr">
        <is>
          <t>Sí</t>
        </is>
      </c>
      <c r="M86" t="inlineStr">
        <is>
          <t>Sí</t>
        </is>
      </c>
      <c r="N86" t="inlineStr">
        <is>
          <t>VALIDA</t>
        </is>
      </c>
      <c r="O86" t="n">
        <v>8.27</v>
      </c>
      <c r="P86" t="n">
        <v>1612.65</v>
      </c>
      <c r="Q86" t="n">
        <v>426827</v>
      </c>
      <c r="R86" t="n">
        <v>0.003778228650015111</v>
      </c>
      <c r="S86" t="n">
        <v>22880</v>
      </c>
      <c r="T86" t="n">
        <v>86.45</v>
      </c>
    </row>
    <row r="87">
      <c r="A87" t="n">
        <v>1395</v>
      </c>
      <c r="B87" t="inlineStr">
        <is>
          <t>AGRICOLA HERMANOS BUIZA S.C.</t>
        </is>
      </c>
      <c r="C87" t="n">
        <v>654</v>
      </c>
      <c r="D87" t="inlineStr">
        <is>
          <t>8727</t>
        </is>
      </c>
      <c r="E87" t="inlineStr">
        <is>
          <t>30</t>
        </is>
      </c>
      <c r="F87" t="inlineStr">
        <is>
          <t>49</t>
        </is>
      </c>
      <c r="G87" t="inlineStr">
        <is>
          <t>2</t>
        </is>
      </c>
      <c r="H87" t="n">
        <v>2018</v>
      </c>
      <c r="I87" t="n">
        <v>0.78</v>
      </c>
      <c r="J87" t="n">
        <v>1</v>
      </c>
      <c r="L87" t="inlineStr">
        <is>
          <t>Sí</t>
        </is>
      </c>
      <c r="M87" t="inlineStr">
        <is>
          <t>Sí</t>
        </is>
      </c>
      <c r="N87" t="inlineStr">
        <is>
          <t>VALIDA</t>
        </is>
      </c>
      <c r="O87" t="n">
        <v>8.27</v>
      </c>
      <c r="P87" t="n">
        <v>1612.65</v>
      </c>
      <c r="Q87" t="n">
        <v>426827</v>
      </c>
      <c r="R87" t="n">
        <v>0.003778228650015111</v>
      </c>
      <c r="S87" t="n">
        <v>22880</v>
      </c>
      <c r="T87" t="n">
        <v>86.45</v>
      </c>
    </row>
    <row r="88">
      <c r="A88" t="n">
        <v>1395</v>
      </c>
      <c r="B88" t="inlineStr">
        <is>
          <t>AGRICOLA HERMANOS BUIZA S.C.</t>
        </is>
      </c>
      <c r="C88" t="n">
        <v>654</v>
      </c>
      <c r="D88" t="inlineStr">
        <is>
          <t>8728</t>
        </is>
      </c>
      <c r="E88" t="inlineStr">
        <is>
          <t>30</t>
        </is>
      </c>
      <c r="F88" t="inlineStr">
        <is>
          <t>96</t>
        </is>
      </c>
      <c r="G88" t="inlineStr">
        <is>
          <t>2</t>
        </is>
      </c>
      <c r="H88" t="n">
        <v>2018</v>
      </c>
      <c r="I88" t="n">
        <v>1.81</v>
      </c>
      <c r="J88" t="n">
        <v>1</v>
      </c>
      <c r="L88" t="inlineStr">
        <is>
          <t>Sí</t>
        </is>
      </c>
      <c r="M88" t="inlineStr">
        <is>
          <t>Sí</t>
        </is>
      </c>
      <c r="N88" t="inlineStr">
        <is>
          <t>VALIDA</t>
        </is>
      </c>
      <c r="O88" t="n">
        <v>8.27</v>
      </c>
      <c r="P88" t="n">
        <v>1612.65</v>
      </c>
      <c r="Q88" t="n">
        <v>426827</v>
      </c>
      <c r="R88" t="n">
        <v>0.003778228650015111</v>
      </c>
      <c r="S88" t="n">
        <v>22880</v>
      </c>
      <c r="T88" t="n">
        <v>86.45</v>
      </c>
    </row>
    <row r="89">
      <c r="A89" t="n">
        <v>1411</v>
      </c>
      <c r="B89" t="inlineStr">
        <is>
          <t>HERMANOS PEÑA GRIÑAN S.C.</t>
        </is>
      </c>
      <c r="C89" t="n">
        <v>1008</v>
      </c>
      <c r="D89" t="inlineStr">
        <is>
          <t>8783</t>
        </is>
      </c>
      <c r="E89" t="inlineStr">
        <is>
          <t>1</t>
        </is>
      </c>
      <c r="F89" t="inlineStr">
        <is>
          <t>37</t>
        </is>
      </c>
      <c r="G89" t="inlineStr">
        <is>
          <t>1</t>
        </is>
      </c>
      <c r="H89" t="n">
        <v>1972</v>
      </c>
      <c r="I89" t="n">
        <v>1.01</v>
      </c>
      <c r="J89" t="n">
        <v>1</v>
      </c>
      <c r="L89" t="inlineStr">
        <is>
          <t>Sí</t>
        </is>
      </c>
      <c r="M89" t="inlineStr">
        <is>
          <t>Sí</t>
        </is>
      </c>
      <c r="N89" t="inlineStr">
        <is>
          <t>VALIDA</t>
        </is>
      </c>
      <c r="O89" t="n">
        <v>12.74</v>
      </c>
      <c r="P89" t="n">
        <v>2484.3</v>
      </c>
      <c r="Q89" t="n">
        <v>299255</v>
      </c>
      <c r="R89" t="n">
        <v>0.008301615678936024</v>
      </c>
      <c r="S89" t="n">
        <v>66051</v>
      </c>
      <c r="T89" t="n">
        <v>548.33</v>
      </c>
    </row>
    <row r="90">
      <c r="A90" t="n">
        <v>1411</v>
      </c>
      <c r="B90" t="inlineStr">
        <is>
          <t>HERMANOS PEÑA GRIÑAN S.C.</t>
        </is>
      </c>
      <c r="C90" t="n">
        <v>1008</v>
      </c>
      <c r="D90" t="inlineStr">
        <is>
          <t>8784</t>
        </is>
      </c>
      <c r="E90" t="inlineStr">
        <is>
          <t>1</t>
        </is>
      </c>
      <c r="F90" t="inlineStr">
        <is>
          <t>37</t>
        </is>
      </c>
      <c r="G90" t="inlineStr">
        <is>
          <t>1</t>
        </is>
      </c>
      <c r="H90" t="n">
        <v>1992</v>
      </c>
      <c r="I90" t="n">
        <v>2.2</v>
      </c>
      <c r="J90" t="n">
        <v>1</v>
      </c>
      <c r="L90" t="inlineStr">
        <is>
          <t>Sí</t>
        </is>
      </c>
      <c r="M90" t="inlineStr">
        <is>
          <t>Sí</t>
        </is>
      </c>
      <c r="N90" t="inlineStr">
        <is>
          <t>VALIDA</t>
        </is>
      </c>
      <c r="O90" t="n">
        <v>12.74</v>
      </c>
      <c r="P90" t="n">
        <v>2484.3</v>
      </c>
      <c r="Q90" t="n">
        <v>299255</v>
      </c>
      <c r="R90" t="n">
        <v>0.008301615678936024</v>
      </c>
      <c r="S90" t="n">
        <v>66051</v>
      </c>
      <c r="T90" t="n">
        <v>548.33</v>
      </c>
    </row>
    <row r="91">
      <c r="A91" t="n">
        <v>1411</v>
      </c>
      <c r="B91" t="inlineStr">
        <is>
          <t>HERMANOS PEÑA GRIÑAN S.C.</t>
        </is>
      </c>
      <c r="C91" t="n">
        <v>1008</v>
      </c>
      <c r="D91" t="inlineStr">
        <is>
          <t>8785</t>
        </is>
      </c>
      <c r="E91" t="inlineStr">
        <is>
          <t>1</t>
        </is>
      </c>
      <c r="F91" t="inlineStr">
        <is>
          <t>1</t>
        </is>
      </c>
      <c r="G91" t="inlineStr">
        <is>
          <t>1</t>
        </is>
      </c>
      <c r="H91" t="n">
        <v>1967</v>
      </c>
      <c r="I91" t="n">
        <v>3.7</v>
      </c>
      <c r="J91" t="n">
        <v>1</v>
      </c>
      <c r="L91" t="inlineStr">
        <is>
          <t>Sí</t>
        </is>
      </c>
      <c r="M91" t="inlineStr">
        <is>
          <t>Sí</t>
        </is>
      </c>
      <c r="N91" t="inlineStr">
        <is>
          <t>VALIDA</t>
        </is>
      </c>
      <c r="O91" t="n">
        <v>12.74</v>
      </c>
      <c r="P91" t="n">
        <v>2484.3</v>
      </c>
      <c r="Q91" t="n">
        <v>299255</v>
      </c>
      <c r="R91" t="n">
        <v>0.008301615678936024</v>
      </c>
      <c r="S91" t="n">
        <v>66051</v>
      </c>
      <c r="T91" t="n">
        <v>548.33</v>
      </c>
    </row>
    <row r="92">
      <c r="A92" t="n">
        <v>1411</v>
      </c>
      <c r="B92" t="inlineStr">
        <is>
          <t>HERMANOS PEÑA GRIÑAN S.C.</t>
        </is>
      </c>
      <c r="C92" t="n">
        <v>1009</v>
      </c>
      <c r="D92" t="inlineStr">
        <is>
          <t>8786</t>
        </is>
      </c>
      <c r="E92" t="inlineStr">
        <is>
          <t>1</t>
        </is>
      </c>
      <c r="F92" t="inlineStr">
        <is>
          <t>34</t>
        </is>
      </c>
      <c r="G92" t="inlineStr">
        <is>
          <t>1</t>
        </is>
      </c>
      <c r="H92" t="n">
        <v>1990</v>
      </c>
      <c r="I92" t="n">
        <v>2.83</v>
      </c>
      <c r="J92" t="n">
        <v>1</v>
      </c>
      <c r="L92" t="inlineStr">
        <is>
          <t>Sí</t>
        </is>
      </c>
      <c r="M92" t="inlineStr">
        <is>
          <t>Sí</t>
        </is>
      </c>
      <c r="N92" t="inlineStr">
        <is>
          <t>VALIDA</t>
        </is>
      </c>
      <c r="O92" t="n">
        <v>12.74</v>
      </c>
      <c r="P92" t="n">
        <v>2484.3</v>
      </c>
      <c r="Q92" t="n">
        <v>299255</v>
      </c>
      <c r="R92" t="n">
        <v>0.008301615678936024</v>
      </c>
      <c r="S92" t="n">
        <v>66051</v>
      </c>
      <c r="T92" t="n">
        <v>548.33</v>
      </c>
    </row>
    <row r="93">
      <c r="A93" t="n">
        <v>1411</v>
      </c>
      <c r="B93" t="inlineStr">
        <is>
          <t>HERMANOS PEÑA GRIÑAN S.C.</t>
        </is>
      </c>
      <c r="C93" t="n">
        <v>1009</v>
      </c>
      <c r="D93" t="inlineStr">
        <is>
          <t>8787</t>
        </is>
      </c>
      <c r="E93" t="inlineStr">
        <is>
          <t>1</t>
        </is>
      </c>
      <c r="F93" t="inlineStr">
        <is>
          <t>37</t>
        </is>
      </c>
      <c r="G93" t="inlineStr">
        <is>
          <t>1</t>
        </is>
      </c>
      <c r="H93" t="n">
        <v>1967</v>
      </c>
      <c r="I93" t="n">
        <v>2</v>
      </c>
      <c r="J93" t="n">
        <v>1</v>
      </c>
      <c r="L93" t="inlineStr">
        <is>
          <t>Sí</t>
        </is>
      </c>
      <c r="M93" t="inlineStr">
        <is>
          <t>Sí</t>
        </is>
      </c>
      <c r="N93" t="inlineStr">
        <is>
          <t>VALIDA</t>
        </is>
      </c>
      <c r="O93" t="n">
        <v>12.74</v>
      </c>
      <c r="P93" t="n">
        <v>2484.3</v>
      </c>
      <c r="Q93" t="n">
        <v>299255</v>
      </c>
      <c r="R93" t="n">
        <v>0.008301615678936024</v>
      </c>
      <c r="S93" t="n">
        <v>66051</v>
      </c>
      <c r="T93" t="n">
        <v>548.33</v>
      </c>
    </row>
    <row r="94">
      <c r="A94" t="n">
        <v>1411</v>
      </c>
      <c r="B94" t="inlineStr">
        <is>
          <t>HERMANOS PEÑA GRIÑAN S.C.</t>
        </is>
      </c>
      <c r="C94" t="n">
        <v>1010</v>
      </c>
      <c r="D94" t="inlineStr">
        <is>
          <t>8788</t>
        </is>
      </c>
      <c r="E94" t="inlineStr">
        <is>
          <t>1</t>
        </is>
      </c>
      <c r="F94" t="inlineStr">
        <is>
          <t>37</t>
        </is>
      </c>
      <c r="G94" t="inlineStr">
        <is>
          <t>1</t>
        </is>
      </c>
      <c r="H94" t="n">
        <v>1972</v>
      </c>
      <c r="I94" t="n">
        <v>1</v>
      </c>
      <c r="J94" t="n">
        <v>1</v>
      </c>
      <c r="L94" t="inlineStr">
        <is>
          <t>Sí</t>
        </is>
      </c>
      <c r="M94" t="inlineStr">
        <is>
          <t>Sí</t>
        </is>
      </c>
      <c r="N94" t="inlineStr">
        <is>
          <t>VALIDA</t>
        </is>
      </c>
      <c r="O94" t="n">
        <v>12.74</v>
      </c>
      <c r="P94" t="n">
        <v>2484.3</v>
      </c>
      <c r="Q94" t="n">
        <v>299255</v>
      </c>
      <c r="R94" t="n">
        <v>0.008301615678936024</v>
      </c>
      <c r="S94" t="n">
        <v>66051</v>
      </c>
      <c r="T94" t="n">
        <v>548.33</v>
      </c>
    </row>
    <row r="95">
      <c r="A95" t="n">
        <v>1419</v>
      </c>
      <c r="B95" t="inlineStr">
        <is>
          <t>MORAL GARCIA,JOSE ANTONIO</t>
        </is>
      </c>
      <c r="C95" t="n">
        <v>688</v>
      </c>
      <c r="I95" t="n">
        <v>0.63</v>
      </c>
      <c r="J95" t="n">
        <v>0</v>
      </c>
      <c r="M95" t="inlineStr">
        <is>
          <t>No</t>
        </is>
      </c>
      <c r="N95" t="inlineStr">
        <is>
          <t>CHA_NO_SELECCIONADO; CHA_NO_ACTIVO</t>
        </is>
      </c>
      <c r="O95" t="n">
        <v>3.83</v>
      </c>
      <c r="P95" t="n">
        <v>746.85</v>
      </c>
      <c r="Q95" t="n">
        <v>119951</v>
      </c>
      <c r="R95" t="n">
        <v>0.006226292402731115</v>
      </c>
      <c r="S95" t="n">
        <v>22950</v>
      </c>
      <c r="T95" t="n">
        <v>142.89</v>
      </c>
    </row>
    <row r="96">
      <c r="A96" t="n">
        <v>1419</v>
      </c>
      <c r="B96" t="inlineStr">
        <is>
          <t>MORAL GARCIA,JOSE ANTONIO</t>
        </is>
      </c>
      <c r="C96" t="n">
        <v>655</v>
      </c>
      <c r="D96" t="inlineStr">
        <is>
          <t>8796</t>
        </is>
      </c>
      <c r="E96" t="inlineStr">
        <is>
          <t>30</t>
        </is>
      </c>
      <c r="F96" t="inlineStr">
        <is>
          <t>43</t>
        </is>
      </c>
      <c r="G96" t="inlineStr">
        <is>
          <t>1</t>
        </is>
      </c>
      <c r="H96" t="n">
        <v>2018</v>
      </c>
      <c r="I96" t="n">
        <v>1.5</v>
      </c>
      <c r="J96" t="n">
        <v>1</v>
      </c>
      <c r="L96" t="inlineStr">
        <is>
          <t>Sí</t>
        </is>
      </c>
      <c r="M96" t="inlineStr">
        <is>
          <t>Sí</t>
        </is>
      </c>
      <c r="N96" t="inlineStr">
        <is>
          <t>VALIDA</t>
        </is>
      </c>
      <c r="O96" t="n">
        <v>3.83</v>
      </c>
      <c r="P96" t="n">
        <v>746.85</v>
      </c>
      <c r="Q96" t="n">
        <v>119951</v>
      </c>
      <c r="R96" t="n">
        <v>0.006226292402731115</v>
      </c>
      <c r="S96" t="n">
        <v>22950</v>
      </c>
      <c r="T96" t="n">
        <v>142.89</v>
      </c>
    </row>
    <row r="97">
      <c r="A97" t="n">
        <v>1419</v>
      </c>
      <c r="B97" t="inlineStr">
        <is>
          <t>MORAL GARCIA,JOSE ANTONIO</t>
        </is>
      </c>
      <c r="C97" t="n">
        <v>655</v>
      </c>
      <c r="D97" t="inlineStr">
        <is>
          <t>8797</t>
        </is>
      </c>
      <c r="E97" t="inlineStr">
        <is>
          <t>30</t>
        </is>
      </c>
      <c r="F97" t="inlineStr">
        <is>
          <t>44</t>
        </is>
      </c>
      <c r="G97" t="inlineStr">
        <is>
          <t>5</t>
        </is>
      </c>
      <c r="H97" t="n">
        <v>2018</v>
      </c>
      <c r="I97" t="n">
        <v>2.23</v>
      </c>
      <c r="J97" t="n">
        <v>1</v>
      </c>
      <c r="L97" t="inlineStr">
        <is>
          <t>Sí</t>
        </is>
      </c>
      <c r="M97" t="inlineStr">
        <is>
          <t>Sí</t>
        </is>
      </c>
      <c r="N97" t="inlineStr">
        <is>
          <t>VALIDA</t>
        </is>
      </c>
      <c r="O97" t="n">
        <v>3.83</v>
      </c>
      <c r="P97" t="n">
        <v>746.85</v>
      </c>
      <c r="Q97" t="n">
        <v>119951</v>
      </c>
      <c r="R97" t="n">
        <v>0.006226292402731115</v>
      </c>
      <c r="S97" t="n">
        <v>22950</v>
      </c>
      <c r="T97" t="n">
        <v>142.89</v>
      </c>
    </row>
    <row r="98">
      <c r="A98" t="n">
        <v>1419</v>
      </c>
      <c r="B98" t="inlineStr">
        <is>
          <t>MORAL GARCIA,JOSE ANTONIO</t>
        </is>
      </c>
      <c r="C98" t="n">
        <v>655</v>
      </c>
      <c r="D98" t="inlineStr">
        <is>
          <t>8798</t>
        </is>
      </c>
      <c r="E98" t="inlineStr">
        <is>
          <t>30</t>
        </is>
      </c>
      <c r="F98" t="inlineStr">
        <is>
          <t>49</t>
        </is>
      </c>
      <c r="G98" t="inlineStr">
        <is>
          <t>2</t>
        </is>
      </c>
      <c r="H98" t="n">
        <v>2018</v>
      </c>
      <c r="I98" t="n">
        <v>0.1</v>
      </c>
      <c r="J98" t="n">
        <v>1</v>
      </c>
      <c r="L98" t="inlineStr">
        <is>
          <t>Sí</t>
        </is>
      </c>
      <c r="M98" t="inlineStr">
        <is>
          <t>Sí</t>
        </is>
      </c>
      <c r="N98" t="inlineStr">
        <is>
          <t>VALIDA</t>
        </is>
      </c>
      <c r="O98" t="n">
        <v>3.83</v>
      </c>
      <c r="P98" t="n">
        <v>746.85</v>
      </c>
      <c r="Q98" t="n">
        <v>119951</v>
      </c>
      <c r="R98" t="n">
        <v>0.006226292402731115</v>
      </c>
      <c r="S98" t="n">
        <v>22950</v>
      </c>
      <c r="T98" t="n">
        <v>142.89</v>
      </c>
    </row>
    <row r="99">
      <c r="A99" t="n">
        <v>1421</v>
      </c>
      <c r="B99" t="inlineStr">
        <is>
          <t>GARCIA GONZALEZ,ISIDORA</t>
        </is>
      </c>
      <c r="C99" t="n">
        <v>85</v>
      </c>
      <c r="D99" t="inlineStr">
        <is>
          <t>8801</t>
        </is>
      </c>
      <c r="E99" t="inlineStr">
        <is>
          <t>13</t>
        </is>
      </c>
      <c r="F99" t="inlineStr">
        <is>
          <t>336</t>
        </is>
      </c>
      <c r="G99" t="inlineStr">
        <is>
          <t>1</t>
        </is>
      </c>
      <c r="H99" t="n">
        <v>1993</v>
      </c>
      <c r="I99" t="n">
        <v>1.1</v>
      </c>
      <c r="J99" t="n">
        <v>1</v>
      </c>
      <c r="L99" t="inlineStr">
        <is>
          <t>Sí</t>
        </is>
      </c>
      <c r="M99" t="inlineStr">
        <is>
          <t>Sí</t>
        </is>
      </c>
      <c r="N99" t="inlineStr">
        <is>
          <t>VALIDA</t>
        </is>
      </c>
      <c r="O99" t="n">
        <v>1.1</v>
      </c>
      <c r="P99" t="n">
        <v>214.5</v>
      </c>
      <c r="Q99" t="n">
        <v>36875</v>
      </c>
      <c r="R99" t="n">
        <v>0.005816949152542373</v>
      </c>
      <c r="S99" t="n">
        <v>36875</v>
      </c>
      <c r="T99" t="n">
        <v>214.5</v>
      </c>
    </row>
    <row r="100">
      <c r="A100" t="n">
        <v>1443</v>
      </c>
      <c r="B100" t="inlineStr">
        <is>
          <t>TOMENO SUAREZ,ALBERTO</t>
        </is>
      </c>
      <c r="C100" t="n">
        <v>42</v>
      </c>
      <c r="D100" t="inlineStr">
        <is>
          <t>9005</t>
        </is>
      </c>
      <c r="E100" t="inlineStr">
        <is>
          <t>21</t>
        </is>
      </c>
      <c r="F100" t="inlineStr">
        <is>
          <t>13</t>
        </is>
      </c>
      <c r="G100" t="inlineStr">
        <is>
          <t>10</t>
        </is>
      </c>
      <c r="H100" t="n">
        <v>2010</v>
      </c>
      <c r="I100" t="n">
        <v>1.35</v>
      </c>
      <c r="J100" t="n">
        <v>1</v>
      </c>
      <c r="L100" t="inlineStr">
        <is>
          <t>Sí</t>
        </is>
      </c>
      <c r="M100" t="inlineStr">
        <is>
          <t>Sí</t>
        </is>
      </c>
      <c r="N100" t="inlineStr">
        <is>
          <t>VALIDA</t>
        </is>
      </c>
      <c r="O100" t="n">
        <v>17.08</v>
      </c>
      <c r="P100" t="n">
        <v>3330.6</v>
      </c>
      <c r="Q100" t="n">
        <v>538619</v>
      </c>
      <c r="R100" t="n">
        <v>0.006183591741100852</v>
      </c>
      <c r="S100" t="n">
        <v>34222</v>
      </c>
      <c r="T100" t="n">
        <v>211.61</v>
      </c>
    </row>
    <row r="101">
      <c r="A101" t="n">
        <v>1443</v>
      </c>
      <c r="B101" t="inlineStr">
        <is>
          <t>TOMENO SUAREZ,ALBERTO</t>
        </is>
      </c>
      <c r="C101" t="n">
        <v>42</v>
      </c>
      <c r="D101" t="inlineStr">
        <is>
          <t>9006</t>
        </is>
      </c>
      <c r="E101" t="inlineStr">
        <is>
          <t>21</t>
        </is>
      </c>
      <c r="F101" t="inlineStr">
        <is>
          <t>13</t>
        </is>
      </c>
      <c r="G101" t="inlineStr">
        <is>
          <t>3</t>
        </is>
      </c>
      <c r="H101" t="n">
        <v>2010</v>
      </c>
      <c r="I101" t="n">
        <v>1.28</v>
      </c>
      <c r="J101" t="n">
        <v>1</v>
      </c>
      <c r="L101" t="inlineStr">
        <is>
          <t>Sí</t>
        </is>
      </c>
      <c r="M101" t="inlineStr">
        <is>
          <t>Sí</t>
        </is>
      </c>
      <c r="N101" t="inlineStr">
        <is>
          <t>VALIDA</t>
        </is>
      </c>
      <c r="O101" t="n">
        <v>17.08</v>
      </c>
      <c r="P101" t="n">
        <v>3330.6</v>
      </c>
      <c r="Q101" t="n">
        <v>538619</v>
      </c>
      <c r="R101" t="n">
        <v>0.006183591741100852</v>
      </c>
      <c r="S101" t="n">
        <v>34222</v>
      </c>
      <c r="T101" t="n">
        <v>211.61</v>
      </c>
    </row>
    <row r="102">
      <c r="A102" t="n">
        <v>1443</v>
      </c>
      <c r="B102" t="inlineStr">
        <is>
          <t>TOMENO SUAREZ,ALBERTO</t>
        </is>
      </c>
      <c r="C102" t="n">
        <v>46</v>
      </c>
      <c r="D102" t="inlineStr">
        <is>
          <t>9007</t>
        </is>
      </c>
      <c r="E102" t="inlineStr">
        <is>
          <t>21</t>
        </is>
      </c>
      <c r="F102" t="inlineStr">
        <is>
          <t>13</t>
        </is>
      </c>
      <c r="G102" t="inlineStr">
        <is>
          <t>1</t>
        </is>
      </c>
      <c r="H102" t="n">
        <v>2007</v>
      </c>
      <c r="I102" t="n">
        <v>1.45</v>
      </c>
      <c r="J102" t="n">
        <v>1</v>
      </c>
      <c r="L102" t="inlineStr">
        <is>
          <t>Sí</t>
        </is>
      </c>
      <c r="M102" t="inlineStr">
        <is>
          <t>Sí</t>
        </is>
      </c>
      <c r="N102" t="inlineStr">
        <is>
          <t>VALIDA</t>
        </is>
      </c>
      <c r="O102" t="n">
        <v>17.08</v>
      </c>
      <c r="P102" t="n">
        <v>3330.6</v>
      </c>
      <c r="Q102" t="n">
        <v>538619</v>
      </c>
      <c r="R102" t="n">
        <v>0.006183591741100852</v>
      </c>
      <c r="S102" t="n">
        <v>34222</v>
      </c>
      <c r="T102" t="n">
        <v>211.61</v>
      </c>
    </row>
    <row r="103">
      <c r="A103" t="n">
        <v>1443</v>
      </c>
      <c r="B103" t="inlineStr">
        <is>
          <t>TOMENO SUAREZ,ALBERTO</t>
        </is>
      </c>
      <c r="C103" t="n">
        <v>671</v>
      </c>
      <c r="D103" t="inlineStr">
        <is>
          <t>6368</t>
        </is>
      </c>
      <c r="E103" t="inlineStr">
        <is>
          <t>21</t>
        </is>
      </c>
      <c r="F103" t="inlineStr">
        <is>
          <t>15</t>
        </is>
      </c>
      <c r="G103" t="inlineStr">
        <is>
          <t>1</t>
        </is>
      </c>
      <c r="H103" t="n">
        <v>2024</v>
      </c>
      <c r="I103" t="n">
        <v>2.6</v>
      </c>
      <c r="J103" t="n">
        <v>1</v>
      </c>
      <c r="L103" t="inlineStr">
        <is>
          <t>No</t>
        </is>
      </c>
      <c r="M103" t="inlineStr">
        <is>
          <t>No</t>
        </is>
      </c>
      <c r="N103" t="inlineStr">
        <is>
          <t>PLANTACION_MENOR_CINCO_ANOS</t>
        </is>
      </c>
      <c r="O103" t="n">
        <v>17.08</v>
      </c>
      <c r="P103" t="n">
        <v>3330.6</v>
      </c>
      <c r="Q103" t="n">
        <v>538619</v>
      </c>
      <c r="R103" t="n">
        <v>0.006183591741100852</v>
      </c>
      <c r="S103" t="n">
        <v>34222</v>
      </c>
      <c r="T103" t="n">
        <v>211.61</v>
      </c>
    </row>
    <row r="104">
      <c r="A104" t="n">
        <v>1443</v>
      </c>
      <c r="B104" t="inlineStr">
        <is>
          <t>TOMENO SUAREZ,ALBERTO</t>
        </is>
      </c>
      <c r="C104" t="n">
        <v>671</v>
      </c>
      <c r="D104" t="inlineStr">
        <is>
          <t>9003</t>
        </is>
      </c>
      <c r="E104" t="inlineStr">
        <is>
          <t>21</t>
        </is>
      </c>
      <c r="F104" t="inlineStr">
        <is>
          <t>13</t>
        </is>
      </c>
      <c r="G104" t="inlineStr">
        <is>
          <t>10</t>
        </is>
      </c>
      <c r="H104" t="n">
        <v>2023</v>
      </c>
      <c r="I104" t="n">
        <v>0.93</v>
      </c>
      <c r="J104" t="n">
        <v>1</v>
      </c>
      <c r="L104" t="inlineStr">
        <is>
          <t>No</t>
        </is>
      </c>
      <c r="M104" t="inlineStr">
        <is>
          <t>No</t>
        </is>
      </c>
      <c r="N104" t="inlineStr">
        <is>
          <t>PLANTACION_MENOR_CINCO_ANOS</t>
        </is>
      </c>
      <c r="O104" t="n">
        <v>17.08</v>
      </c>
      <c r="P104" t="n">
        <v>3330.6</v>
      </c>
      <c r="Q104" t="n">
        <v>538619</v>
      </c>
      <c r="R104" t="n">
        <v>0.006183591741100852</v>
      </c>
      <c r="S104" t="n">
        <v>34222</v>
      </c>
      <c r="T104" t="n">
        <v>211.61</v>
      </c>
    </row>
    <row r="105">
      <c r="A105" t="n">
        <v>1443</v>
      </c>
      <c r="B105" t="inlineStr">
        <is>
          <t>TOMENO SUAREZ,ALBERTO</t>
        </is>
      </c>
      <c r="C105" t="n">
        <v>671</v>
      </c>
      <c r="D105" t="inlineStr">
        <is>
          <t>9004</t>
        </is>
      </c>
      <c r="E105" t="inlineStr">
        <is>
          <t>21</t>
        </is>
      </c>
      <c r="F105" t="inlineStr">
        <is>
          <t>13</t>
        </is>
      </c>
      <c r="G105" t="inlineStr">
        <is>
          <t>3</t>
        </is>
      </c>
      <c r="H105" t="n">
        <v>2023</v>
      </c>
      <c r="I105" t="n">
        <v>0.88</v>
      </c>
      <c r="J105" t="n">
        <v>1</v>
      </c>
      <c r="L105" t="inlineStr">
        <is>
          <t>No</t>
        </is>
      </c>
      <c r="M105" t="inlineStr">
        <is>
          <t>No</t>
        </is>
      </c>
      <c r="N105" t="inlineStr">
        <is>
          <t>PLANTACION_MENOR_CINCO_ANOS</t>
        </is>
      </c>
      <c r="O105" t="n">
        <v>17.08</v>
      </c>
      <c r="P105" t="n">
        <v>3330.6</v>
      </c>
      <c r="Q105" t="n">
        <v>538619</v>
      </c>
      <c r="R105" t="n">
        <v>0.006183591741100852</v>
      </c>
      <c r="S105" t="n">
        <v>34222</v>
      </c>
      <c r="T105" t="n">
        <v>211.61</v>
      </c>
    </row>
    <row r="106">
      <c r="A106" t="n">
        <v>1443</v>
      </c>
      <c r="B106" t="inlineStr">
        <is>
          <t>TOMENO SUAREZ,ALBERTO</t>
        </is>
      </c>
      <c r="C106" t="n">
        <v>611</v>
      </c>
      <c r="D106" t="inlineStr">
        <is>
          <t>6473</t>
        </is>
      </c>
      <c r="E106" t="inlineStr">
        <is>
          <t>15</t>
        </is>
      </c>
      <c r="F106" t="inlineStr">
        <is>
          <t>123</t>
        </is>
      </c>
      <c r="G106" t="inlineStr">
        <is>
          <t>1</t>
        </is>
      </c>
      <c r="H106" t="n">
        <v>2016</v>
      </c>
      <c r="I106" t="n">
        <v>4.4</v>
      </c>
      <c r="J106" t="n">
        <v>1</v>
      </c>
      <c r="L106" t="inlineStr">
        <is>
          <t>Sí</t>
        </is>
      </c>
      <c r="M106" t="inlineStr">
        <is>
          <t>Sí</t>
        </is>
      </c>
      <c r="N106" t="inlineStr">
        <is>
          <t>VALIDA</t>
        </is>
      </c>
      <c r="O106" t="n">
        <v>17.08</v>
      </c>
      <c r="P106" t="n">
        <v>3330.6</v>
      </c>
      <c r="Q106" t="n">
        <v>538619</v>
      </c>
      <c r="R106" t="n">
        <v>0.006183591741100852</v>
      </c>
      <c r="S106" t="n">
        <v>34222</v>
      </c>
      <c r="T106" t="n">
        <v>211.61</v>
      </c>
    </row>
    <row r="107">
      <c r="A107" t="n">
        <v>1443</v>
      </c>
      <c r="B107" t="inlineStr">
        <is>
          <t>TOMENO SUAREZ,ALBERTO</t>
        </is>
      </c>
      <c r="C107" t="n">
        <v>612</v>
      </c>
      <c r="D107" t="inlineStr">
        <is>
          <t>6474</t>
        </is>
      </c>
      <c r="E107" t="inlineStr">
        <is>
          <t>19</t>
        </is>
      </c>
      <c r="F107" t="inlineStr">
        <is>
          <t>5</t>
        </is>
      </c>
      <c r="G107" t="inlineStr">
        <is>
          <t>5</t>
        </is>
      </c>
      <c r="H107" t="n">
        <v>2017</v>
      </c>
      <c r="I107" t="n">
        <v>0.03</v>
      </c>
      <c r="J107" t="n">
        <v>1</v>
      </c>
      <c r="L107" t="inlineStr">
        <is>
          <t>Sí</t>
        </is>
      </c>
      <c r="M107" t="inlineStr">
        <is>
          <t>Sí</t>
        </is>
      </c>
      <c r="N107" t="inlineStr">
        <is>
          <t>VALIDA</t>
        </is>
      </c>
      <c r="O107" t="n">
        <v>17.08</v>
      </c>
      <c r="P107" t="n">
        <v>3330.6</v>
      </c>
      <c r="Q107" t="n">
        <v>538619</v>
      </c>
      <c r="R107" t="n">
        <v>0.006183591741100852</v>
      </c>
      <c r="S107" t="n">
        <v>34222</v>
      </c>
      <c r="T107" t="n">
        <v>211.61</v>
      </c>
    </row>
    <row r="108">
      <c r="A108" t="n">
        <v>1443</v>
      </c>
      <c r="B108" t="inlineStr">
        <is>
          <t>TOMENO SUAREZ,ALBERTO</t>
        </is>
      </c>
      <c r="C108" t="n">
        <v>612</v>
      </c>
      <c r="D108" t="inlineStr">
        <is>
          <t>6475</t>
        </is>
      </c>
      <c r="E108" t="inlineStr">
        <is>
          <t>19</t>
        </is>
      </c>
      <c r="F108" t="inlineStr">
        <is>
          <t>7</t>
        </is>
      </c>
      <c r="G108" t="inlineStr">
        <is>
          <t>4</t>
        </is>
      </c>
      <c r="H108" t="n">
        <v>2017</v>
      </c>
      <c r="I108" t="n">
        <v>0.08</v>
      </c>
      <c r="J108" t="n">
        <v>1</v>
      </c>
      <c r="L108" t="inlineStr">
        <is>
          <t>Sí</t>
        </is>
      </c>
      <c r="M108" t="inlineStr">
        <is>
          <t>Sí</t>
        </is>
      </c>
      <c r="N108" t="inlineStr">
        <is>
          <t>VALIDA</t>
        </is>
      </c>
      <c r="O108" t="n">
        <v>17.08</v>
      </c>
      <c r="P108" t="n">
        <v>3330.6</v>
      </c>
      <c r="Q108" t="n">
        <v>538619</v>
      </c>
      <c r="R108" t="n">
        <v>0.006183591741100852</v>
      </c>
      <c r="S108" t="n">
        <v>34222</v>
      </c>
      <c r="T108" t="n">
        <v>211.61</v>
      </c>
    </row>
    <row r="109">
      <c r="A109" t="n">
        <v>1443</v>
      </c>
      <c r="B109" t="inlineStr">
        <is>
          <t>TOMENO SUAREZ,ALBERTO</t>
        </is>
      </c>
      <c r="C109" t="n">
        <v>612</v>
      </c>
      <c r="D109" t="inlineStr">
        <is>
          <t>9581</t>
        </is>
      </c>
      <c r="E109" t="inlineStr">
        <is>
          <t>19</t>
        </is>
      </c>
      <c r="F109" t="inlineStr">
        <is>
          <t>6</t>
        </is>
      </c>
      <c r="G109" t="inlineStr">
        <is>
          <t>1</t>
        </is>
      </c>
      <c r="H109" t="n">
        <v>2017</v>
      </c>
      <c r="I109" t="n">
        <v>1.92</v>
      </c>
      <c r="J109" t="n">
        <v>1</v>
      </c>
      <c r="L109" t="inlineStr">
        <is>
          <t>Sí</t>
        </is>
      </c>
      <c r="M109" t="inlineStr">
        <is>
          <t>Sí</t>
        </is>
      </c>
      <c r="N109" t="inlineStr">
        <is>
          <t>VALIDA</t>
        </is>
      </c>
      <c r="O109" t="n">
        <v>17.08</v>
      </c>
      <c r="P109" t="n">
        <v>3330.6</v>
      </c>
      <c r="Q109" t="n">
        <v>538619</v>
      </c>
      <c r="R109" t="n">
        <v>0.006183591741100852</v>
      </c>
      <c r="S109" t="n">
        <v>34222</v>
      </c>
      <c r="T109" t="n">
        <v>211.61</v>
      </c>
    </row>
    <row r="110">
      <c r="A110" t="n">
        <v>1443</v>
      </c>
      <c r="B110" t="inlineStr">
        <is>
          <t>TOMENO SUAREZ,ALBERTO</t>
        </is>
      </c>
      <c r="C110" t="n">
        <v>612</v>
      </c>
      <c r="D110" t="inlineStr">
        <is>
          <t>9582</t>
        </is>
      </c>
      <c r="E110" t="inlineStr">
        <is>
          <t>19</t>
        </is>
      </c>
      <c r="F110" t="inlineStr">
        <is>
          <t>6</t>
        </is>
      </c>
      <c r="G110" t="inlineStr">
        <is>
          <t>3</t>
        </is>
      </c>
      <c r="H110" t="n">
        <v>2017</v>
      </c>
      <c r="I110" t="n">
        <v>1.58</v>
      </c>
      <c r="J110" t="n">
        <v>1</v>
      </c>
      <c r="L110" t="inlineStr">
        <is>
          <t>Sí</t>
        </is>
      </c>
      <c r="M110" t="inlineStr">
        <is>
          <t>Sí</t>
        </is>
      </c>
      <c r="N110" t="inlineStr">
        <is>
          <t>VALIDA</t>
        </is>
      </c>
      <c r="O110" t="n">
        <v>17.08</v>
      </c>
      <c r="P110" t="n">
        <v>3330.6</v>
      </c>
      <c r="Q110" t="n">
        <v>538619</v>
      </c>
      <c r="R110" t="n">
        <v>0.006183591741100852</v>
      </c>
      <c r="S110" t="n">
        <v>34222</v>
      </c>
      <c r="T110" t="n">
        <v>211.61</v>
      </c>
    </row>
    <row r="111">
      <c r="A111" t="n">
        <v>1443</v>
      </c>
      <c r="B111" t="inlineStr">
        <is>
          <t>TOMENO SUAREZ,ALBERTO</t>
        </is>
      </c>
      <c r="C111" t="n">
        <v>612</v>
      </c>
      <c r="D111" t="inlineStr">
        <is>
          <t>9583</t>
        </is>
      </c>
      <c r="E111" t="inlineStr">
        <is>
          <t>19</t>
        </is>
      </c>
      <c r="F111" t="inlineStr">
        <is>
          <t>7</t>
        </is>
      </c>
      <c r="G111" t="inlineStr">
        <is>
          <t>1</t>
        </is>
      </c>
      <c r="H111" t="n">
        <v>2017</v>
      </c>
      <c r="I111" t="n">
        <v>3.91</v>
      </c>
      <c r="J111" t="n">
        <v>1</v>
      </c>
      <c r="L111" t="inlineStr">
        <is>
          <t>Sí</t>
        </is>
      </c>
      <c r="M111" t="inlineStr">
        <is>
          <t>Sí</t>
        </is>
      </c>
      <c r="N111" t="inlineStr">
        <is>
          <t>VALIDA</t>
        </is>
      </c>
      <c r="O111" t="n">
        <v>17.08</v>
      </c>
      <c r="P111" t="n">
        <v>3330.6</v>
      </c>
      <c r="Q111" t="n">
        <v>538619</v>
      </c>
      <c r="R111" t="n">
        <v>0.006183591741100852</v>
      </c>
      <c r="S111" t="n">
        <v>34222</v>
      </c>
      <c r="T111" t="n">
        <v>211.61</v>
      </c>
    </row>
    <row r="112">
      <c r="A112" t="n">
        <v>1443</v>
      </c>
      <c r="B112" t="inlineStr">
        <is>
          <t>TOMENO SUAREZ,ALBERTO</t>
        </is>
      </c>
      <c r="C112" t="n">
        <v>612</v>
      </c>
      <c r="D112" t="inlineStr">
        <is>
          <t>9584</t>
        </is>
      </c>
      <c r="E112" t="inlineStr">
        <is>
          <t>19</t>
        </is>
      </c>
      <c r="F112" t="inlineStr">
        <is>
          <t>7</t>
        </is>
      </c>
      <c r="G112" t="inlineStr">
        <is>
          <t>2</t>
        </is>
      </c>
      <c r="H112" t="n">
        <v>2017</v>
      </c>
      <c r="I112" t="n">
        <v>0.5600000000000001</v>
      </c>
      <c r="J112" t="n">
        <v>1</v>
      </c>
      <c r="L112" t="inlineStr">
        <is>
          <t>Sí</t>
        </is>
      </c>
      <c r="M112" t="inlineStr">
        <is>
          <t>Sí</t>
        </is>
      </c>
      <c r="N112" t="inlineStr">
        <is>
          <t>VALIDA</t>
        </is>
      </c>
      <c r="O112" t="n">
        <v>17.08</v>
      </c>
      <c r="P112" t="n">
        <v>3330.6</v>
      </c>
      <c r="Q112" t="n">
        <v>538619</v>
      </c>
      <c r="R112" t="n">
        <v>0.006183591741100852</v>
      </c>
      <c r="S112" t="n">
        <v>34222</v>
      </c>
      <c r="T112" t="n">
        <v>211.61</v>
      </c>
    </row>
    <row r="113">
      <c r="A113" t="n">
        <v>1443</v>
      </c>
      <c r="B113" t="inlineStr">
        <is>
          <t>TOMENO SUAREZ,ALBERTO</t>
        </is>
      </c>
      <c r="C113" t="n">
        <v>612</v>
      </c>
      <c r="D113" t="inlineStr">
        <is>
          <t>9585</t>
        </is>
      </c>
      <c r="E113" t="inlineStr">
        <is>
          <t>19</t>
        </is>
      </c>
      <c r="F113" t="inlineStr">
        <is>
          <t>24</t>
        </is>
      </c>
      <c r="G113" t="inlineStr">
        <is>
          <t>2</t>
        </is>
      </c>
      <c r="H113" t="n">
        <v>2017</v>
      </c>
      <c r="I113" t="n">
        <v>0.29</v>
      </c>
      <c r="J113" t="n">
        <v>1</v>
      </c>
      <c r="L113" t="inlineStr">
        <is>
          <t>Sí</t>
        </is>
      </c>
      <c r="M113" t="inlineStr">
        <is>
          <t>Sí</t>
        </is>
      </c>
      <c r="N113" t="inlineStr">
        <is>
          <t>VALIDA</t>
        </is>
      </c>
      <c r="O113" t="n">
        <v>17.08</v>
      </c>
      <c r="P113" t="n">
        <v>3330.6</v>
      </c>
      <c r="Q113" t="n">
        <v>538619</v>
      </c>
      <c r="R113" t="n">
        <v>0.006183591741100852</v>
      </c>
      <c r="S113" t="n">
        <v>34222</v>
      </c>
      <c r="T113" t="n">
        <v>211.61</v>
      </c>
    </row>
    <row r="114">
      <c r="A114" t="n">
        <v>1443</v>
      </c>
      <c r="B114" t="inlineStr">
        <is>
          <t>TOMENO SUAREZ,ALBERTO</t>
        </is>
      </c>
      <c r="C114" t="n">
        <v>612</v>
      </c>
      <c r="D114" t="inlineStr">
        <is>
          <t>9586</t>
        </is>
      </c>
      <c r="E114" t="inlineStr">
        <is>
          <t>19</t>
        </is>
      </c>
      <c r="F114" t="inlineStr">
        <is>
          <t>7</t>
        </is>
      </c>
      <c r="G114" t="inlineStr">
        <is>
          <t>5</t>
        </is>
      </c>
      <c r="H114" t="n">
        <v>2017</v>
      </c>
      <c r="I114" t="n">
        <v>0.23</v>
      </c>
      <c r="J114" t="n">
        <v>1</v>
      </c>
      <c r="L114" t="inlineStr">
        <is>
          <t>Sí</t>
        </is>
      </c>
      <c r="M114" t="inlineStr">
        <is>
          <t>Sí</t>
        </is>
      </c>
      <c r="N114" t="inlineStr">
        <is>
          <t>VALIDA</t>
        </is>
      </c>
      <c r="O114" t="n">
        <v>17.08</v>
      </c>
      <c r="P114" t="n">
        <v>3330.6</v>
      </c>
      <c r="Q114" t="n">
        <v>538619</v>
      </c>
      <c r="R114" t="n">
        <v>0.006183591741100852</v>
      </c>
      <c r="S114" t="n">
        <v>34222</v>
      </c>
      <c r="T114" t="n">
        <v>211.61</v>
      </c>
    </row>
    <row r="115">
      <c r="A115" t="n">
        <v>1485</v>
      </c>
      <c r="B115" t="inlineStr">
        <is>
          <t>HNOS. CRESPO RUIZ S.C.</t>
        </is>
      </c>
      <c r="C115" t="n">
        <v>180</v>
      </c>
      <c r="D115" t="inlineStr">
        <is>
          <t>9216</t>
        </is>
      </c>
      <c r="E115" t="inlineStr">
        <is>
          <t>13</t>
        </is>
      </c>
      <c r="F115" t="inlineStr">
        <is>
          <t>176</t>
        </is>
      </c>
      <c r="G115" t="inlineStr">
        <is>
          <t>1</t>
        </is>
      </c>
      <c r="H115" t="n">
        <v>2003</v>
      </c>
      <c r="I115" t="n">
        <v>2.37</v>
      </c>
      <c r="J115" t="n">
        <v>1</v>
      </c>
      <c r="L115" t="inlineStr">
        <is>
          <t>Sí</t>
        </is>
      </c>
      <c r="M115" t="inlineStr">
        <is>
          <t>Sí</t>
        </is>
      </c>
      <c r="N115" t="inlineStr">
        <is>
          <t>VALIDA</t>
        </is>
      </c>
      <c r="O115" t="n">
        <v>3.24</v>
      </c>
      <c r="P115" t="n">
        <v>631.8</v>
      </c>
      <c r="Q115" t="n">
        <v>145310</v>
      </c>
      <c r="R115" t="n">
        <v>0.004347945771110041</v>
      </c>
      <c r="S115" t="n">
        <v>143835</v>
      </c>
      <c r="T115" t="n">
        <v>625.39</v>
      </c>
    </row>
    <row r="116">
      <c r="A116" t="n">
        <v>1485</v>
      </c>
      <c r="B116" t="inlineStr">
        <is>
          <t>HNOS. CRESPO RUIZ S.C.</t>
        </is>
      </c>
      <c r="C116" t="n">
        <v>180</v>
      </c>
      <c r="D116" t="inlineStr">
        <is>
          <t>9217</t>
        </is>
      </c>
      <c r="E116" t="inlineStr">
        <is>
          <t>13</t>
        </is>
      </c>
      <c r="F116" t="inlineStr">
        <is>
          <t>174</t>
        </is>
      </c>
      <c r="G116" t="inlineStr">
        <is>
          <t>1</t>
        </is>
      </c>
      <c r="H116" t="n">
        <v>2003</v>
      </c>
      <c r="I116" t="n">
        <v>0.04</v>
      </c>
      <c r="J116" t="n">
        <v>1</v>
      </c>
      <c r="L116" t="inlineStr">
        <is>
          <t>Sí</t>
        </is>
      </c>
      <c r="M116" t="inlineStr">
        <is>
          <t>Sí</t>
        </is>
      </c>
      <c r="N116" t="inlineStr">
        <is>
          <t>VALIDA</t>
        </is>
      </c>
      <c r="O116" t="n">
        <v>3.24</v>
      </c>
      <c r="P116" t="n">
        <v>631.8</v>
      </c>
      <c r="Q116" t="n">
        <v>145310</v>
      </c>
      <c r="R116" t="n">
        <v>0.004347945771110041</v>
      </c>
      <c r="S116" t="n">
        <v>143835</v>
      </c>
      <c r="T116" t="n">
        <v>625.39</v>
      </c>
    </row>
    <row r="117">
      <c r="A117" t="n">
        <v>1485</v>
      </c>
      <c r="B117" t="inlineStr">
        <is>
          <t>HNOS. CRESPO RUIZ S.C.</t>
        </is>
      </c>
      <c r="C117" t="n">
        <v>180</v>
      </c>
      <c r="D117" t="inlineStr">
        <is>
          <t>9218</t>
        </is>
      </c>
      <c r="E117" t="inlineStr">
        <is>
          <t>13</t>
        </is>
      </c>
      <c r="F117" t="inlineStr">
        <is>
          <t>325</t>
        </is>
      </c>
      <c r="G117" t="inlineStr">
        <is>
          <t>1</t>
        </is>
      </c>
      <c r="H117" t="n">
        <v>2003</v>
      </c>
      <c r="I117" t="n">
        <v>0.76</v>
      </c>
      <c r="J117" t="n">
        <v>1</v>
      </c>
      <c r="L117" t="inlineStr">
        <is>
          <t>Sí</t>
        </is>
      </c>
      <c r="M117" t="inlineStr">
        <is>
          <t>Sí</t>
        </is>
      </c>
      <c r="N117" t="inlineStr">
        <is>
          <t>VALIDA</t>
        </is>
      </c>
      <c r="O117" t="n">
        <v>3.24</v>
      </c>
      <c r="P117" t="n">
        <v>631.8</v>
      </c>
      <c r="Q117" t="n">
        <v>145310</v>
      </c>
      <c r="R117" t="n">
        <v>0.004347945771110041</v>
      </c>
      <c r="S117" t="n">
        <v>143835</v>
      </c>
      <c r="T117" t="n">
        <v>625.39</v>
      </c>
    </row>
    <row r="118">
      <c r="A118" t="n">
        <v>1485</v>
      </c>
      <c r="B118" t="inlineStr">
        <is>
          <t>HNOS. CRESPO RUIZ S.C.</t>
        </is>
      </c>
      <c r="C118" t="n">
        <v>180</v>
      </c>
      <c r="D118" t="inlineStr">
        <is>
          <t>9219</t>
        </is>
      </c>
      <c r="E118" t="inlineStr">
        <is>
          <t>13</t>
        </is>
      </c>
      <c r="F118" t="inlineStr">
        <is>
          <t>307</t>
        </is>
      </c>
      <c r="G118" t="inlineStr">
        <is>
          <t>2</t>
        </is>
      </c>
      <c r="H118" t="n">
        <v>2003</v>
      </c>
      <c r="I118" t="n">
        <v>0.07000000000000001</v>
      </c>
      <c r="J118" t="n">
        <v>1</v>
      </c>
      <c r="L118" t="inlineStr">
        <is>
          <t>Sí</t>
        </is>
      </c>
      <c r="M118" t="inlineStr">
        <is>
          <t>Sí</t>
        </is>
      </c>
      <c r="N118" t="inlineStr">
        <is>
          <t>VALIDA</t>
        </is>
      </c>
      <c r="O118" t="n">
        <v>3.24</v>
      </c>
      <c r="P118" t="n">
        <v>631.8</v>
      </c>
      <c r="Q118" t="n">
        <v>145310</v>
      </c>
      <c r="R118" t="n">
        <v>0.004347945771110041</v>
      </c>
      <c r="S118" t="n">
        <v>143835</v>
      </c>
      <c r="T118" t="n">
        <v>625.39</v>
      </c>
    </row>
    <row r="119">
      <c r="A119" t="n">
        <v>1512</v>
      </c>
      <c r="B119" t="inlineStr">
        <is>
          <t>HERNANDEZ MOLINA,ANTONIO</t>
        </is>
      </c>
      <c r="C119" t="n">
        <v>65</v>
      </c>
      <c r="D119" t="inlineStr">
        <is>
          <t>9066</t>
        </is>
      </c>
      <c r="E119" t="inlineStr">
        <is>
          <t>12</t>
        </is>
      </c>
      <c r="F119" t="inlineStr">
        <is>
          <t>63</t>
        </is>
      </c>
      <c r="G119" t="inlineStr">
        <is>
          <t>1</t>
        </is>
      </c>
      <c r="H119" t="n">
        <v>1995</v>
      </c>
      <c r="I119" t="n">
        <v>1.58</v>
      </c>
      <c r="J119" t="n">
        <v>1</v>
      </c>
      <c r="L119" t="inlineStr">
        <is>
          <t>Sí</t>
        </is>
      </c>
      <c r="M119" t="inlineStr">
        <is>
          <t>Sí</t>
        </is>
      </c>
      <c r="N119" t="inlineStr">
        <is>
          <t>VALIDA</t>
        </is>
      </c>
      <c r="O119" t="n">
        <v>1.58</v>
      </c>
      <c r="P119" t="n">
        <v>308.1</v>
      </c>
      <c r="Q119" t="n">
        <v>44550</v>
      </c>
      <c r="R119" t="n">
        <v>0.006915824915824916</v>
      </c>
      <c r="S119" t="n">
        <v>41174</v>
      </c>
      <c r="T119" t="n">
        <v>284.75</v>
      </c>
    </row>
    <row r="120">
      <c r="A120" t="n">
        <v>1523</v>
      </c>
      <c r="B120" t="inlineStr">
        <is>
          <t>RODRIGUEZ MEJÍAS, JOSE ANTONIO</t>
        </is>
      </c>
      <c r="C120" t="n">
        <v>686</v>
      </c>
      <c r="I120" t="n">
        <v>3.16</v>
      </c>
      <c r="J120" t="n">
        <v>0</v>
      </c>
      <c r="M120" t="inlineStr">
        <is>
          <t>No</t>
        </is>
      </c>
      <c r="N120" t="inlineStr">
        <is>
          <t>CHA_NO_SELECCIONADO; CHA_NO_ACTIVO</t>
        </is>
      </c>
      <c r="O120" t="n">
        <v>21.63</v>
      </c>
      <c r="P120" t="n">
        <v>4217.85</v>
      </c>
      <c r="Q120" t="n">
        <v>580520</v>
      </c>
      <c r="R120" t="n">
        <v>0.007265641149314408</v>
      </c>
      <c r="S120" t="n">
        <v>243865</v>
      </c>
      <c r="T120" t="n">
        <v>1771.84</v>
      </c>
    </row>
    <row r="121">
      <c r="A121" t="n">
        <v>1523</v>
      </c>
      <c r="B121" t="inlineStr">
        <is>
          <t>RODRIGUEZ MEJÍAS, JOSE ANTONIO</t>
        </is>
      </c>
      <c r="C121" t="n">
        <v>765</v>
      </c>
      <c r="I121" t="n">
        <v>3.59</v>
      </c>
      <c r="J121" t="n">
        <v>0</v>
      </c>
      <c r="M121" t="inlineStr">
        <is>
          <t>No</t>
        </is>
      </c>
      <c r="N121" t="inlineStr">
        <is>
          <t>CHA_NO_SELECCIONADO; CHA_NO_ACTIVO</t>
        </is>
      </c>
      <c r="O121" t="n">
        <v>21.63</v>
      </c>
      <c r="P121" t="n">
        <v>4217.85</v>
      </c>
      <c r="Q121" t="n">
        <v>580520</v>
      </c>
      <c r="R121" t="n">
        <v>0.007265641149314408</v>
      </c>
      <c r="S121" t="n">
        <v>243865</v>
      </c>
      <c r="T121" t="n">
        <v>1771.84</v>
      </c>
    </row>
    <row r="122">
      <c r="A122" t="n">
        <v>1523</v>
      </c>
      <c r="B122" t="inlineStr">
        <is>
          <t>RODRIGUEZ MEJÍAS, JOSE ANTONIO</t>
        </is>
      </c>
      <c r="C122" t="n">
        <v>62</v>
      </c>
      <c r="D122" t="inlineStr">
        <is>
          <t>9288</t>
        </is>
      </c>
      <c r="E122" t="inlineStr">
        <is>
          <t>3</t>
        </is>
      </c>
      <c r="F122" t="inlineStr">
        <is>
          <t>23</t>
        </is>
      </c>
      <c r="G122" t="inlineStr">
        <is>
          <t>1</t>
        </is>
      </c>
      <c r="H122" t="n">
        <v>2005</v>
      </c>
      <c r="I122" t="n">
        <v>3.1</v>
      </c>
      <c r="J122" t="n">
        <v>1</v>
      </c>
      <c r="L122" t="inlineStr">
        <is>
          <t>Sí</t>
        </is>
      </c>
      <c r="M122" t="inlineStr">
        <is>
          <t>Sí</t>
        </is>
      </c>
      <c r="N122" t="inlineStr">
        <is>
          <t>VALIDA</t>
        </is>
      </c>
      <c r="O122" t="n">
        <v>21.63</v>
      </c>
      <c r="P122" t="n">
        <v>4217.85</v>
      </c>
      <c r="Q122" t="n">
        <v>580520</v>
      </c>
      <c r="R122" t="n">
        <v>0.007265641149314408</v>
      </c>
      <c r="S122" t="n">
        <v>243865</v>
      </c>
      <c r="T122" t="n">
        <v>1771.84</v>
      </c>
    </row>
    <row r="123">
      <c r="A123" t="n">
        <v>1523</v>
      </c>
      <c r="B123" t="inlineStr">
        <is>
          <t>RODRIGUEZ MEJÍAS, JOSE ANTONIO</t>
        </is>
      </c>
      <c r="C123" t="n">
        <v>340</v>
      </c>
      <c r="D123" t="inlineStr">
        <is>
          <t>9292</t>
        </is>
      </c>
      <c r="E123" t="inlineStr">
        <is>
          <t>11</t>
        </is>
      </c>
      <c r="F123" t="inlineStr">
        <is>
          <t>162</t>
        </is>
      </c>
      <c r="G123" t="inlineStr">
        <is>
          <t>5</t>
        </is>
      </c>
      <c r="H123" t="n">
        <v>2015</v>
      </c>
      <c r="I123" t="n">
        <v>2.09</v>
      </c>
      <c r="J123" t="n">
        <v>1</v>
      </c>
      <c r="L123" t="inlineStr">
        <is>
          <t>Sí</t>
        </is>
      </c>
      <c r="M123" t="inlineStr">
        <is>
          <t>Sí</t>
        </is>
      </c>
      <c r="N123" t="inlineStr">
        <is>
          <t>VALIDA</t>
        </is>
      </c>
      <c r="O123" t="n">
        <v>21.63</v>
      </c>
      <c r="P123" t="n">
        <v>4217.85</v>
      </c>
      <c r="Q123" t="n">
        <v>580520</v>
      </c>
      <c r="R123" t="n">
        <v>0.007265641149314408</v>
      </c>
      <c r="S123" t="n">
        <v>243865</v>
      </c>
      <c r="T123" t="n">
        <v>1771.84</v>
      </c>
    </row>
    <row r="124">
      <c r="A124" t="n">
        <v>1523</v>
      </c>
      <c r="B124" t="inlineStr">
        <is>
          <t>RODRIGUEZ MEJÍAS, JOSE ANTONIO</t>
        </is>
      </c>
      <c r="C124" t="n">
        <v>356</v>
      </c>
      <c r="D124" t="inlineStr">
        <is>
          <t>9289</t>
        </is>
      </c>
      <c r="E124" t="inlineStr">
        <is>
          <t>13</t>
        </is>
      </c>
      <c r="F124" t="inlineStr">
        <is>
          <t>303</t>
        </is>
      </c>
      <c r="G124" t="inlineStr">
        <is>
          <t>1</t>
        </is>
      </c>
      <c r="H124" t="n">
        <v>2017</v>
      </c>
      <c r="I124" t="n">
        <v>0.08</v>
      </c>
      <c r="J124" t="n">
        <v>1</v>
      </c>
      <c r="L124" t="inlineStr">
        <is>
          <t>Sí</t>
        </is>
      </c>
      <c r="M124" t="inlineStr">
        <is>
          <t>Sí</t>
        </is>
      </c>
      <c r="N124" t="inlineStr">
        <is>
          <t>VALIDA</t>
        </is>
      </c>
      <c r="O124" t="n">
        <v>21.63</v>
      </c>
      <c r="P124" t="n">
        <v>4217.85</v>
      </c>
      <c r="Q124" t="n">
        <v>580520</v>
      </c>
      <c r="R124" t="n">
        <v>0.007265641149314408</v>
      </c>
      <c r="S124" t="n">
        <v>243865</v>
      </c>
      <c r="T124" t="n">
        <v>1771.84</v>
      </c>
    </row>
    <row r="125">
      <c r="A125" t="n">
        <v>1523</v>
      </c>
      <c r="B125" t="inlineStr">
        <is>
          <t>RODRIGUEZ MEJÍAS, JOSE ANTONIO</t>
        </is>
      </c>
      <c r="C125" t="n">
        <v>356</v>
      </c>
      <c r="D125" t="inlineStr">
        <is>
          <t>9290</t>
        </is>
      </c>
      <c r="E125" t="inlineStr">
        <is>
          <t>13</t>
        </is>
      </c>
      <c r="F125" t="inlineStr">
        <is>
          <t>7</t>
        </is>
      </c>
      <c r="G125" t="inlineStr">
        <is>
          <t>5</t>
        </is>
      </c>
      <c r="H125" t="n">
        <v>2017</v>
      </c>
      <c r="I125" t="n">
        <v>0.6</v>
      </c>
      <c r="J125" t="n">
        <v>1</v>
      </c>
      <c r="L125" t="inlineStr">
        <is>
          <t>Sí</t>
        </is>
      </c>
      <c r="M125" t="inlineStr">
        <is>
          <t>Sí</t>
        </is>
      </c>
      <c r="N125" t="inlineStr">
        <is>
          <t>VALIDA</t>
        </is>
      </c>
      <c r="O125" t="n">
        <v>21.63</v>
      </c>
      <c r="P125" t="n">
        <v>4217.85</v>
      </c>
      <c r="Q125" t="n">
        <v>580520</v>
      </c>
      <c r="R125" t="n">
        <v>0.007265641149314408</v>
      </c>
      <c r="S125" t="n">
        <v>243865</v>
      </c>
      <c r="T125" t="n">
        <v>1771.84</v>
      </c>
    </row>
    <row r="126">
      <c r="A126" t="n">
        <v>1523</v>
      </c>
      <c r="B126" t="inlineStr">
        <is>
          <t>RODRIGUEZ MEJÍAS, JOSE ANTONIO</t>
        </is>
      </c>
      <c r="C126" t="n">
        <v>356</v>
      </c>
      <c r="D126" t="inlineStr">
        <is>
          <t>9291</t>
        </is>
      </c>
      <c r="E126" t="inlineStr">
        <is>
          <t>13</t>
        </is>
      </c>
      <c r="F126" t="inlineStr">
        <is>
          <t>19</t>
        </is>
      </c>
      <c r="G126" t="inlineStr">
        <is>
          <t>5</t>
        </is>
      </c>
      <c r="H126" t="n">
        <v>2017</v>
      </c>
      <c r="I126" t="n">
        <v>1.65</v>
      </c>
      <c r="J126" t="n">
        <v>1</v>
      </c>
      <c r="L126" t="inlineStr">
        <is>
          <t>Sí</t>
        </is>
      </c>
      <c r="M126" t="inlineStr">
        <is>
          <t>Sí</t>
        </is>
      </c>
      <c r="N126" t="inlineStr">
        <is>
          <t>VALIDA</t>
        </is>
      </c>
      <c r="O126" t="n">
        <v>21.63</v>
      </c>
      <c r="P126" t="n">
        <v>4217.85</v>
      </c>
      <c r="Q126" t="n">
        <v>580520</v>
      </c>
      <c r="R126" t="n">
        <v>0.007265641149314408</v>
      </c>
      <c r="S126" t="n">
        <v>243865</v>
      </c>
      <c r="T126" t="n">
        <v>1771.84</v>
      </c>
    </row>
    <row r="127">
      <c r="A127" t="n">
        <v>1523</v>
      </c>
      <c r="B127" t="inlineStr">
        <is>
          <t>RODRIGUEZ MEJÍAS, JOSE ANTONIO</t>
        </is>
      </c>
      <c r="C127" t="n">
        <v>580</v>
      </c>
      <c r="D127" t="inlineStr">
        <is>
          <t>9293</t>
        </is>
      </c>
      <c r="E127" t="inlineStr">
        <is>
          <t>11</t>
        </is>
      </c>
      <c r="F127" t="inlineStr">
        <is>
          <t>162</t>
        </is>
      </c>
      <c r="G127" t="inlineStr">
        <is>
          <t>7</t>
        </is>
      </c>
      <c r="H127" t="n">
        <v>2019</v>
      </c>
      <c r="I127" t="n">
        <v>4.92</v>
      </c>
      <c r="J127" t="n">
        <v>1</v>
      </c>
      <c r="L127" t="inlineStr">
        <is>
          <t>Sí</t>
        </is>
      </c>
      <c r="M127" t="inlineStr">
        <is>
          <t>Sí</t>
        </is>
      </c>
      <c r="N127" t="inlineStr">
        <is>
          <t>VALIDA</t>
        </is>
      </c>
      <c r="O127" t="n">
        <v>21.63</v>
      </c>
      <c r="P127" t="n">
        <v>4217.85</v>
      </c>
      <c r="Q127" t="n">
        <v>580520</v>
      </c>
      <c r="R127" t="n">
        <v>0.007265641149314408</v>
      </c>
      <c r="S127" t="n">
        <v>243865</v>
      </c>
      <c r="T127" t="n">
        <v>1771.84</v>
      </c>
    </row>
    <row r="128">
      <c r="A128" t="n">
        <v>1523</v>
      </c>
      <c r="B128" t="inlineStr">
        <is>
          <t>RODRIGUEZ MEJÍAS, JOSE ANTONIO</t>
        </is>
      </c>
      <c r="C128" t="n">
        <v>587</v>
      </c>
      <c r="D128" t="inlineStr">
        <is>
          <t>9294</t>
        </is>
      </c>
      <c r="E128" t="inlineStr">
        <is>
          <t>11</t>
        </is>
      </c>
      <c r="F128" t="inlineStr">
        <is>
          <t>162</t>
        </is>
      </c>
      <c r="G128" t="inlineStr">
        <is>
          <t>7</t>
        </is>
      </c>
      <c r="H128" t="n">
        <v>2019</v>
      </c>
      <c r="I128" t="n">
        <v>4.97</v>
      </c>
      <c r="J128" t="n">
        <v>1</v>
      </c>
      <c r="L128" t="inlineStr">
        <is>
          <t>Sí</t>
        </is>
      </c>
      <c r="M128" t="inlineStr">
        <is>
          <t>Sí</t>
        </is>
      </c>
      <c r="N128" t="inlineStr">
        <is>
          <t>VALIDA</t>
        </is>
      </c>
      <c r="O128" t="n">
        <v>21.63</v>
      </c>
      <c r="P128" t="n">
        <v>4217.85</v>
      </c>
      <c r="Q128" t="n">
        <v>580520</v>
      </c>
      <c r="R128" t="n">
        <v>0.007265641149314408</v>
      </c>
      <c r="S128" t="n">
        <v>243865</v>
      </c>
      <c r="T128" t="n">
        <v>1771.84</v>
      </c>
    </row>
    <row r="129">
      <c r="A129" t="n">
        <v>1523</v>
      </c>
      <c r="B129" t="inlineStr">
        <is>
          <t>RODRIGUEZ MEJÍAS, JOSE ANTONIO</t>
        </is>
      </c>
      <c r="C129" t="n">
        <v>608</v>
      </c>
      <c r="D129" t="inlineStr">
        <is>
          <t>9631</t>
        </is>
      </c>
      <c r="E129" t="inlineStr">
        <is>
          <t>11</t>
        </is>
      </c>
      <c r="F129" t="inlineStr">
        <is>
          <t>162</t>
        </is>
      </c>
      <c r="G129" t="inlineStr">
        <is>
          <t>7</t>
        </is>
      </c>
      <c r="H129" t="n">
        <v>2016</v>
      </c>
      <c r="I129" t="n">
        <v>2.03</v>
      </c>
      <c r="J129" t="n">
        <v>1</v>
      </c>
      <c r="L129" t="inlineStr">
        <is>
          <t>Sí</t>
        </is>
      </c>
      <c r="M129" t="inlineStr">
        <is>
          <t>Sí</t>
        </is>
      </c>
      <c r="N129" t="inlineStr">
        <is>
          <t>VALIDA</t>
        </is>
      </c>
      <c r="O129" t="n">
        <v>21.63</v>
      </c>
      <c r="P129" t="n">
        <v>4217.85</v>
      </c>
      <c r="Q129" t="n">
        <v>580520</v>
      </c>
      <c r="R129" t="n">
        <v>0.007265641149314408</v>
      </c>
      <c r="S129" t="n">
        <v>243865</v>
      </c>
      <c r="T129" t="n">
        <v>1771.84</v>
      </c>
    </row>
    <row r="130">
      <c r="A130" t="n">
        <v>1523</v>
      </c>
      <c r="B130" t="inlineStr">
        <is>
          <t>RODRIGUEZ MEJÍAS, JOSE ANTONIO</t>
        </is>
      </c>
      <c r="C130" t="n">
        <v>608</v>
      </c>
      <c r="D130" t="inlineStr">
        <is>
          <t>9632</t>
        </is>
      </c>
      <c r="E130" t="inlineStr">
        <is>
          <t>11</t>
        </is>
      </c>
      <c r="F130" t="inlineStr">
        <is>
          <t>162</t>
        </is>
      </c>
      <c r="G130" t="inlineStr">
        <is>
          <t>7</t>
        </is>
      </c>
      <c r="H130" t="n">
        <v>2016</v>
      </c>
      <c r="I130" t="n">
        <v>2.19</v>
      </c>
      <c r="J130" t="n">
        <v>1</v>
      </c>
      <c r="L130" t="inlineStr">
        <is>
          <t>Sí</t>
        </is>
      </c>
      <c r="M130" t="inlineStr">
        <is>
          <t>Sí</t>
        </is>
      </c>
      <c r="N130" t="inlineStr">
        <is>
          <t>VALIDA</t>
        </is>
      </c>
      <c r="O130" t="n">
        <v>21.63</v>
      </c>
      <c r="P130" t="n">
        <v>4217.85</v>
      </c>
      <c r="Q130" t="n">
        <v>580520</v>
      </c>
      <c r="R130" t="n">
        <v>0.007265641149314408</v>
      </c>
      <c r="S130" t="n">
        <v>243865</v>
      </c>
      <c r="T130" t="n">
        <v>1771.84</v>
      </c>
    </row>
    <row r="131">
      <c r="A131" t="n">
        <v>1529</v>
      </c>
      <c r="B131" t="inlineStr">
        <is>
          <t>RAMOS BRUGAROLAS, JOSE</t>
        </is>
      </c>
      <c r="C131" t="n">
        <v>665</v>
      </c>
      <c r="I131" t="n">
        <v>1.842</v>
      </c>
      <c r="J131" t="n">
        <v>0</v>
      </c>
      <c r="M131" t="inlineStr">
        <is>
          <t>No</t>
        </is>
      </c>
      <c r="N131" t="inlineStr">
        <is>
          <t>CHA_NO_SELECCIONADO; CHA_NO_ACTIVO</t>
        </is>
      </c>
      <c r="O131" t="n">
        <v>19.8</v>
      </c>
      <c r="P131" t="n">
        <v>3861</v>
      </c>
      <c r="Q131" t="n">
        <v>584085</v>
      </c>
      <c r="R131" t="n">
        <v>0.006610339248568273</v>
      </c>
      <c r="S131" t="n">
        <v>40245</v>
      </c>
      <c r="T131" t="n">
        <v>266.03</v>
      </c>
    </row>
    <row r="132">
      <c r="A132" t="n">
        <v>1529</v>
      </c>
      <c r="B132" t="inlineStr">
        <is>
          <t>RAMOS BRUGAROLAS, JOSE</t>
        </is>
      </c>
      <c r="C132" t="n">
        <v>332</v>
      </c>
      <c r="D132" t="inlineStr">
        <is>
          <t>9353</t>
        </is>
      </c>
      <c r="E132" t="inlineStr">
        <is>
          <t>21</t>
        </is>
      </c>
      <c r="F132" t="inlineStr">
        <is>
          <t>62</t>
        </is>
      </c>
      <c r="G132" t="inlineStr">
        <is>
          <t>2</t>
        </is>
      </c>
      <c r="H132" t="n">
        <v>1996</v>
      </c>
      <c r="I132" t="n">
        <v>6.82</v>
      </c>
      <c r="J132" t="n">
        <v>1</v>
      </c>
      <c r="L132" t="inlineStr">
        <is>
          <t>Sí</t>
        </is>
      </c>
      <c r="M132" t="inlineStr">
        <is>
          <t>Sí</t>
        </is>
      </c>
      <c r="N132" t="inlineStr">
        <is>
          <t>VALIDA</t>
        </is>
      </c>
      <c r="O132" t="n">
        <v>19.8</v>
      </c>
      <c r="P132" t="n">
        <v>3861</v>
      </c>
      <c r="Q132" t="n">
        <v>584085</v>
      </c>
      <c r="R132" t="n">
        <v>0.006610339248568273</v>
      </c>
      <c r="S132" t="n">
        <v>40245</v>
      </c>
      <c r="T132" t="n">
        <v>266.03</v>
      </c>
    </row>
    <row r="133">
      <c r="A133" t="n">
        <v>1529</v>
      </c>
      <c r="B133" t="inlineStr">
        <is>
          <t>RAMOS BRUGAROLAS, JOSE</t>
        </is>
      </c>
      <c r="C133" t="n">
        <v>334</v>
      </c>
      <c r="D133" t="inlineStr">
        <is>
          <t>9354</t>
        </is>
      </c>
      <c r="E133" t="inlineStr">
        <is>
          <t>21</t>
        </is>
      </c>
      <c r="F133" t="inlineStr">
        <is>
          <t>73</t>
        </is>
      </c>
      <c r="G133" t="inlineStr">
        <is>
          <t>4</t>
        </is>
      </c>
      <c r="H133" t="n">
        <v>1995</v>
      </c>
      <c r="I133" t="n">
        <v>1.74</v>
      </c>
      <c r="J133" t="n">
        <v>1</v>
      </c>
      <c r="L133" t="inlineStr">
        <is>
          <t>Sí</t>
        </is>
      </c>
      <c r="M133" t="inlineStr">
        <is>
          <t>Sí</t>
        </is>
      </c>
      <c r="N133" t="inlineStr">
        <is>
          <t>VALIDA</t>
        </is>
      </c>
      <c r="O133" t="n">
        <v>19.8</v>
      </c>
      <c r="P133" t="n">
        <v>3861</v>
      </c>
      <c r="Q133" t="n">
        <v>584085</v>
      </c>
      <c r="R133" t="n">
        <v>0.006610339248568273</v>
      </c>
      <c r="S133" t="n">
        <v>40245</v>
      </c>
      <c r="T133" t="n">
        <v>266.03</v>
      </c>
    </row>
    <row r="134">
      <c r="A134" t="n">
        <v>1529</v>
      </c>
      <c r="B134" t="inlineStr">
        <is>
          <t>RAMOS BRUGAROLAS, JOSE</t>
        </is>
      </c>
      <c r="C134" t="n">
        <v>334</v>
      </c>
      <c r="D134" t="inlineStr">
        <is>
          <t>9355</t>
        </is>
      </c>
      <c r="E134" t="inlineStr">
        <is>
          <t>21</t>
        </is>
      </c>
      <c r="F134" t="inlineStr">
        <is>
          <t>73</t>
        </is>
      </c>
      <c r="G134" t="inlineStr">
        <is>
          <t>3</t>
        </is>
      </c>
      <c r="H134" t="n">
        <v>1995</v>
      </c>
      <c r="I134" t="n">
        <v>0.84</v>
      </c>
      <c r="J134" t="n">
        <v>1</v>
      </c>
      <c r="L134" t="inlineStr">
        <is>
          <t>Sí</t>
        </is>
      </c>
      <c r="M134" t="inlineStr">
        <is>
          <t>Sí</t>
        </is>
      </c>
      <c r="N134" t="inlineStr">
        <is>
          <t>VALIDA</t>
        </is>
      </c>
      <c r="O134" t="n">
        <v>19.8</v>
      </c>
      <c r="P134" t="n">
        <v>3861</v>
      </c>
      <c r="Q134" t="n">
        <v>584085</v>
      </c>
      <c r="R134" t="n">
        <v>0.006610339248568273</v>
      </c>
      <c r="S134" t="n">
        <v>40245</v>
      </c>
      <c r="T134" t="n">
        <v>266.03</v>
      </c>
    </row>
    <row r="135">
      <c r="A135" t="n">
        <v>1529</v>
      </c>
      <c r="B135" t="inlineStr">
        <is>
          <t>RAMOS BRUGAROLAS, JOSE</t>
        </is>
      </c>
      <c r="C135" t="n">
        <v>335</v>
      </c>
      <c r="D135" t="inlineStr">
        <is>
          <t>9356</t>
        </is>
      </c>
      <c r="E135" t="inlineStr">
        <is>
          <t>21</t>
        </is>
      </c>
      <c r="F135" t="inlineStr">
        <is>
          <t>73</t>
        </is>
      </c>
      <c r="G135" t="inlineStr">
        <is>
          <t>5</t>
        </is>
      </c>
      <c r="H135" t="n">
        <v>1985</v>
      </c>
      <c r="I135" t="n">
        <v>2.72</v>
      </c>
      <c r="J135" t="n">
        <v>1</v>
      </c>
      <c r="L135" t="inlineStr">
        <is>
          <t>Sí</t>
        </is>
      </c>
      <c r="M135" t="inlineStr">
        <is>
          <t>Sí</t>
        </is>
      </c>
      <c r="N135" t="inlineStr">
        <is>
          <t>VALIDA</t>
        </is>
      </c>
      <c r="O135" t="n">
        <v>19.8</v>
      </c>
      <c r="P135" t="n">
        <v>3861</v>
      </c>
      <c r="Q135" t="n">
        <v>584085</v>
      </c>
      <c r="R135" t="n">
        <v>0.006610339248568273</v>
      </c>
      <c r="S135" t="n">
        <v>40245</v>
      </c>
      <c r="T135" t="n">
        <v>266.03</v>
      </c>
    </row>
    <row r="136">
      <c r="A136" t="n">
        <v>1529</v>
      </c>
      <c r="B136" t="inlineStr">
        <is>
          <t>RAMOS BRUGAROLAS, JOSE</t>
        </is>
      </c>
      <c r="C136" t="n">
        <v>336</v>
      </c>
      <c r="D136" t="inlineStr">
        <is>
          <t>9357</t>
        </is>
      </c>
      <c r="E136" t="inlineStr">
        <is>
          <t>21</t>
        </is>
      </c>
      <c r="F136" t="inlineStr">
        <is>
          <t>73</t>
        </is>
      </c>
      <c r="G136" t="inlineStr">
        <is>
          <t>5</t>
        </is>
      </c>
      <c r="H136" t="n">
        <v>2014</v>
      </c>
      <c r="I136" t="n">
        <v>2.33</v>
      </c>
      <c r="J136" t="n">
        <v>1</v>
      </c>
      <c r="L136" t="inlineStr">
        <is>
          <t>Sí</t>
        </is>
      </c>
      <c r="M136" t="inlineStr">
        <is>
          <t>Sí</t>
        </is>
      </c>
      <c r="N136" t="inlineStr">
        <is>
          <t>VALIDA</t>
        </is>
      </c>
      <c r="O136" t="n">
        <v>19.8</v>
      </c>
      <c r="P136" t="n">
        <v>3861</v>
      </c>
      <c r="Q136" t="n">
        <v>584085</v>
      </c>
      <c r="R136" t="n">
        <v>0.006610339248568273</v>
      </c>
      <c r="S136" t="n">
        <v>40245</v>
      </c>
      <c r="T136" t="n">
        <v>266.03</v>
      </c>
    </row>
    <row r="137">
      <c r="A137" t="n">
        <v>1529</v>
      </c>
      <c r="B137" t="inlineStr">
        <is>
          <t>RAMOS BRUGAROLAS, JOSE</t>
        </is>
      </c>
      <c r="C137" t="n">
        <v>337</v>
      </c>
      <c r="D137" t="inlineStr">
        <is>
          <t>9358</t>
        </is>
      </c>
      <c r="E137" t="inlineStr">
        <is>
          <t>21</t>
        </is>
      </c>
      <c r="F137" t="inlineStr">
        <is>
          <t>73</t>
        </is>
      </c>
      <c r="G137" t="inlineStr">
        <is>
          <t>10</t>
        </is>
      </c>
      <c r="H137" t="n">
        <v>1996</v>
      </c>
      <c r="I137" t="n">
        <v>4.37</v>
      </c>
      <c r="J137" t="n">
        <v>1</v>
      </c>
      <c r="L137" t="inlineStr">
        <is>
          <t>Sí</t>
        </is>
      </c>
      <c r="M137" t="inlineStr">
        <is>
          <t>Sí</t>
        </is>
      </c>
      <c r="N137" t="inlineStr">
        <is>
          <t>VALIDA</t>
        </is>
      </c>
      <c r="O137" t="n">
        <v>19.8</v>
      </c>
      <c r="P137" t="n">
        <v>3861</v>
      </c>
      <c r="Q137" t="n">
        <v>584085</v>
      </c>
      <c r="R137" t="n">
        <v>0.006610339248568273</v>
      </c>
      <c r="S137" t="n">
        <v>40245</v>
      </c>
      <c r="T137" t="n">
        <v>266.03</v>
      </c>
    </row>
    <row r="138">
      <c r="A138" t="n">
        <v>1529</v>
      </c>
      <c r="B138" t="inlineStr">
        <is>
          <t>RAMOS BRUGAROLAS, JOSE</t>
        </is>
      </c>
      <c r="C138" t="n">
        <v>639</v>
      </c>
      <c r="D138" t="inlineStr">
        <is>
          <t>9350</t>
        </is>
      </c>
      <c r="E138" t="inlineStr">
        <is>
          <t>20</t>
        </is>
      </c>
      <c r="F138" t="inlineStr">
        <is>
          <t>108</t>
        </is>
      </c>
      <c r="G138" t="inlineStr">
        <is>
          <t>4</t>
        </is>
      </c>
      <c r="H138" t="n">
        <v>1991</v>
      </c>
      <c r="I138" t="n">
        <v>0.75</v>
      </c>
      <c r="J138" t="n">
        <v>1</v>
      </c>
      <c r="L138" t="inlineStr">
        <is>
          <t>Sí</t>
        </is>
      </c>
      <c r="M138" t="inlineStr">
        <is>
          <t>Sí</t>
        </is>
      </c>
      <c r="N138" t="inlineStr">
        <is>
          <t>VALIDA</t>
        </is>
      </c>
      <c r="O138" t="n">
        <v>19.8</v>
      </c>
      <c r="P138" t="n">
        <v>3861</v>
      </c>
      <c r="Q138" t="n">
        <v>584085</v>
      </c>
      <c r="R138" t="n">
        <v>0.006610339248568273</v>
      </c>
      <c r="S138" t="n">
        <v>40245</v>
      </c>
      <c r="T138" t="n">
        <v>266.03</v>
      </c>
    </row>
    <row r="139">
      <c r="A139" t="n">
        <v>1529</v>
      </c>
      <c r="B139" t="inlineStr">
        <is>
          <t>RAMOS BRUGAROLAS, JOSE</t>
        </is>
      </c>
      <c r="C139" t="n">
        <v>639</v>
      </c>
      <c r="D139" t="inlineStr">
        <is>
          <t>9351</t>
        </is>
      </c>
      <c r="E139" t="inlineStr">
        <is>
          <t>20</t>
        </is>
      </c>
      <c r="F139" t="inlineStr">
        <is>
          <t>108</t>
        </is>
      </c>
      <c r="G139" t="inlineStr">
        <is>
          <t>5</t>
        </is>
      </c>
      <c r="H139" t="n">
        <v>1991</v>
      </c>
      <c r="I139" t="n">
        <v>0.15</v>
      </c>
      <c r="J139" t="n">
        <v>1</v>
      </c>
      <c r="L139" t="inlineStr">
        <is>
          <t>Sí</t>
        </is>
      </c>
      <c r="M139" t="inlineStr">
        <is>
          <t>Sí</t>
        </is>
      </c>
      <c r="N139" t="inlineStr">
        <is>
          <t>VALIDA</t>
        </is>
      </c>
      <c r="O139" t="n">
        <v>19.8</v>
      </c>
      <c r="P139" t="n">
        <v>3861</v>
      </c>
      <c r="Q139" t="n">
        <v>584085</v>
      </c>
      <c r="R139" t="n">
        <v>0.006610339248568273</v>
      </c>
      <c r="S139" t="n">
        <v>40245</v>
      </c>
      <c r="T139" t="n">
        <v>266.03</v>
      </c>
    </row>
    <row r="140">
      <c r="A140" t="n">
        <v>1529</v>
      </c>
      <c r="B140" t="inlineStr">
        <is>
          <t>RAMOS BRUGAROLAS, JOSE</t>
        </is>
      </c>
      <c r="C140" t="n">
        <v>639</v>
      </c>
      <c r="D140" t="inlineStr">
        <is>
          <t>9352</t>
        </is>
      </c>
      <c r="E140" t="inlineStr">
        <is>
          <t>20</t>
        </is>
      </c>
      <c r="F140" t="inlineStr">
        <is>
          <t>108</t>
        </is>
      </c>
      <c r="G140" t="inlineStr">
        <is>
          <t>6</t>
        </is>
      </c>
      <c r="H140" t="n">
        <v>1991</v>
      </c>
      <c r="I140" t="n">
        <v>0.08</v>
      </c>
      <c r="J140" t="n">
        <v>1</v>
      </c>
      <c r="L140" t="inlineStr">
        <is>
          <t>Sí</t>
        </is>
      </c>
      <c r="M140" t="inlineStr">
        <is>
          <t>Sí</t>
        </is>
      </c>
      <c r="N140" t="inlineStr">
        <is>
          <t>VALIDA</t>
        </is>
      </c>
      <c r="O140" t="n">
        <v>19.8</v>
      </c>
      <c r="P140" t="n">
        <v>3861</v>
      </c>
      <c r="Q140" t="n">
        <v>584085</v>
      </c>
      <c r="R140" t="n">
        <v>0.006610339248568273</v>
      </c>
      <c r="S140" t="n">
        <v>40245</v>
      </c>
      <c r="T140" t="n">
        <v>266.03</v>
      </c>
    </row>
    <row r="141">
      <c r="A141" t="n">
        <v>1540</v>
      </c>
      <c r="B141" t="inlineStr">
        <is>
          <t>AGRICOLA SANCHEZ CUENCA S.C.</t>
        </is>
      </c>
      <c r="C141" t="n">
        <v>570</v>
      </c>
      <c r="D141" t="inlineStr">
        <is>
          <t>8729</t>
        </is>
      </c>
      <c r="E141" t="inlineStr">
        <is>
          <t>23</t>
        </is>
      </c>
      <c r="F141" t="inlineStr">
        <is>
          <t>85</t>
        </is>
      </c>
      <c r="G141" t="inlineStr">
        <is>
          <t>4</t>
        </is>
      </c>
      <c r="H141" t="n">
        <v>2002</v>
      </c>
      <c r="I141" t="n">
        <v>1.7</v>
      </c>
      <c r="J141" t="n">
        <v>1</v>
      </c>
      <c r="L141" t="inlineStr">
        <is>
          <t>Sí</t>
        </is>
      </c>
      <c r="M141" t="inlineStr">
        <is>
          <t>Sí</t>
        </is>
      </c>
      <c r="N141" t="inlineStr">
        <is>
          <t>VALIDA</t>
        </is>
      </c>
      <c r="O141" t="n">
        <v>5.96</v>
      </c>
      <c r="P141" t="n">
        <v>1162.2</v>
      </c>
      <c r="Q141" t="n">
        <v>224459</v>
      </c>
      <c r="R141" t="n">
        <v>0.005177783024962242</v>
      </c>
      <c r="S141" t="n">
        <v>200979</v>
      </c>
      <c r="T141" t="n">
        <v>1040.63</v>
      </c>
    </row>
    <row r="142">
      <c r="A142" t="n">
        <v>1540</v>
      </c>
      <c r="B142" t="inlineStr">
        <is>
          <t>AGRICOLA SANCHEZ CUENCA S.C.</t>
        </is>
      </c>
      <c r="C142" t="n">
        <v>570</v>
      </c>
      <c r="D142" t="inlineStr">
        <is>
          <t>9084</t>
        </is>
      </c>
      <c r="E142" t="inlineStr">
        <is>
          <t>23</t>
        </is>
      </c>
      <c r="F142" t="inlineStr">
        <is>
          <t>84</t>
        </is>
      </c>
      <c r="G142" t="inlineStr">
        <is>
          <t>1</t>
        </is>
      </c>
      <c r="H142" t="n">
        <v>1993</v>
      </c>
      <c r="I142" t="n">
        <v>2.57</v>
      </c>
      <c r="J142" t="n">
        <v>1</v>
      </c>
      <c r="L142" t="inlineStr">
        <is>
          <t>Sí</t>
        </is>
      </c>
      <c r="M142" t="inlineStr">
        <is>
          <t>Sí</t>
        </is>
      </c>
      <c r="N142" t="inlineStr">
        <is>
          <t>VALIDA</t>
        </is>
      </c>
      <c r="O142" t="n">
        <v>5.96</v>
      </c>
      <c r="P142" t="n">
        <v>1162.2</v>
      </c>
      <c r="Q142" t="n">
        <v>224459</v>
      </c>
      <c r="R142" t="n">
        <v>0.005177783024962242</v>
      </c>
      <c r="S142" t="n">
        <v>200979</v>
      </c>
      <c r="T142" t="n">
        <v>1040.63</v>
      </c>
    </row>
    <row r="143">
      <c r="A143" t="n">
        <v>1540</v>
      </c>
      <c r="B143" t="inlineStr">
        <is>
          <t>AGRICOLA SANCHEZ CUENCA S.C.</t>
        </is>
      </c>
      <c r="C143" t="n">
        <v>570</v>
      </c>
      <c r="D143" t="inlineStr">
        <is>
          <t>9679</t>
        </is>
      </c>
      <c r="E143" t="inlineStr">
        <is>
          <t>23</t>
        </is>
      </c>
      <c r="F143" t="inlineStr">
        <is>
          <t>85</t>
        </is>
      </c>
      <c r="G143" t="inlineStr">
        <is>
          <t>4</t>
        </is>
      </c>
      <c r="H143" t="n">
        <v>2008</v>
      </c>
      <c r="I143" t="n">
        <v>1.69</v>
      </c>
      <c r="J143" t="n">
        <v>1</v>
      </c>
      <c r="L143" t="inlineStr">
        <is>
          <t>Sí</t>
        </is>
      </c>
      <c r="M143" t="inlineStr">
        <is>
          <t>Sí</t>
        </is>
      </c>
      <c r="N143" t="inlineStr">
        <is>
          <t>VALIDA</t>
        </is>
      </c>
      <c r="O143" t="n">
        <v>5.96</v>
      </c>
      <c r="P143" t="n">
        <v>1162.2</v>
      </c>
      <c r="Q143" t="n">
        <v>224459</v>
      </c>
      <c r="R143" t="n">
        <v>0.005177783024962242</v>
      </c>
      <c r="S143" t="n">
        <v>200979</v>
      </c>
      <c r="T143" t="n">
        <v>1040.63</v>
      </c>
    </row>
    <row r="144">
      <c r="A144" t="n">
        <v>1544</v>
      </c>
      <c r="B144" t="inlineStr">
        <is>
          <t>HARO ORDOÑO, ALVARO</t>
        </is>
      </c>
      <c r="C144" t="n">
        <v>662</v>
      </c>
      <c r="I144" t="n">
        <v>1.4429</v>
      </c>
      <c r="J144" t="n">
        <v>0</v>
      </c>
      <c r="M144" t="inlineStr">
        <is>
          <t>No</t>
        </is>
      </c>
      <c r="N144" t="inlineStr">
        <is>
          <t>CHA_NO_SELECCIONADO; CHA_NO_ACTIVO</t>
        </is>
      </c>
      <c r="O144" t="n">
        <v>3.8</v>
      </c>
      <c r="P144" t="n">
        <v>741</v>
      </c>
      <c r="Q144" t="n">
        <v>131717</v>
      </c>
      <c r="R144" t="n">
        <v>0.005625697518163942</v>
      </c>
      <c r="S144" t="n">
        <v>30040</v>
      </c>
      <c r="T144" t="n">
        <v>169</v>
      </c>
    </row>
    <row r="145">
      <c r="A145" t="n">
        <v>1544</v>
      </c>
      <c r="B145" t="inlineStr">
        <is>
          <t>HARO ORDOÑO, ALVARO</t>
        </is>
      </c>
      <c r="C145" t="n">
        <v>575</v>
      </c>
      <c r="D145" t="inlineStr">
        <is>
          <t>9148</t>
        </is>
      </c>
      <c r="E145" t="inlineStr">
        <is>
          <t>7</t>
        </is>
      </c>
      <c r="F145" t="inlineStr">
        <is>
          <t>158</t>
        </is>
      </c>
      <c r="G145" t="inlineStr">
        <is>
          <t>3</t>
        </is>
      </c>
      <c r="H145" t="n">
        <v>2015</v>
      </c>
      <c r="I145" t="n">
        <v>0.22</v>
      </c>
      <c r="J145" t="n">
        <v>1</v>
      </c>
      <c r="L145" t="inlineStr">
        <is>
          <t>Sí</t>
        </is>
      </c>
      <c r="M145" t="inlineStr">
        <is>
          <t>Sí</t>
        </is>
      </c>
      <c r="N145" t="inlineStr">
        <is>
          <t>VALIDA</t>
        </is>
      </c>
      <c r="O145" t="n">
        <v>3.8</v>
      </c>
      <c r="P145" t="n">
        <v>741</v>
      </c>
      <c r="Q145" t="n">
        <v>131717</v>
      </c>
      <c r="R145" t="n">
        <v>0.005625697518163942</v>
      </c>
      <c r="S145" t="n">
        <v>30040</v>
      </c>
      <c r="T145" t="n">
        <v>169</v>
      </c>
    </row>
    <row r="146">
      <c r="A146" t="n">
        <v>1544</v>
      </c>
      <c r="B146" t="inlineStr">
        <is>
          <t>HARO ORDOÑO, ALVARO</t>
        </is>
      </c>
      <c r="C146" t="n">
        <v>575</v>
      </c>
      <c r="D146" t="inlineStr">
        <is>
          <t>9149</t>
        </is>
      </c>
      <c r="E146" t="inlineStr">
        <is>
          <t>7</t>
        </is>
      </c>
      <c r="F146" t="inlineStr">
        <is>
          <t>158</t>
        </is>
      </c>
      <c r="G146" t="inlineStr">
        <is>
          <t>3</t>
        </is>
      </c>
      <c r="H146" t="n">
        <v>2019</v>
      </c>
      <c r="I146" t="n">
        <v>0.29</v>
      </c>
      <c r="J146" t="n">
        <v>1</v>
      </c>
      <c r="L146" t="inlineStr">
        <is>
          <t>Sí</t>
        </is>
      </c>
      <c r="M146" t="inlineStr">
        <is>
          <t>Sí</t>
        </is>
      </c>
      <c r="N146" t="inlineStr">
        <is>
          <t>VALIDA</t>
        </is>
      </c>
      <c r="O146" t="n">
        <v>3.8</v>
      </c>
      <c r="P146" t="n">
        <v>741</v>
      </c>
      <c r="Q146" t="n">
        <v>131717</v>
      </c>
      <c r="R146" t="n">
        <v>0.005625697518163942</v>
      </c>
      <c r="S146" t="n">
        <v>30040</v>
      </c>
      <c r="T146" t="n">
        <v>169</v>
      </c>
    </row>
    <row r="147">
      <c r="A147" t="n">
        <v>1544</v>
      </c>
      <c r="B147" t="inlineStr">
        <is>
          <t>HARO ORDOÑO, ALVARO</t>
        </is>
      </c>
      <c r="C147" t="n">
        <v>576</v>
      </c>
      <c r="D147" t="inlineStr">
        <is>
          <t>9150</t>
        </is>
      </c>
      <c r="E147" t="inlineStr">
        <is>
          <t>7</t>
        </is>
      </c>
      <c r="F147" t="inlineStr">
        <is>
          <t>158</t>
        </is>
      </c>
      <c r="G147" t="inlineStr">
        <is>
          <t>3</t>
        </is>
      </c>
      <c r="H147" t="n">
        <v>2016</v>
      </c>
      <c r="I147" t="n">
        <v>0.66</v>
      </c>
      <c r="J147" t="n">
        <v>1</v>
      </c>
      <c r="L147" t="inlineStr">
        <is>
          <t>Sí</t>
        </is>
      </c>
      <c r="M147" t="inlineStr">
        <is>
          <t>Sí</t>
        </is>
      </c>
      <c r="N147" t="inlineStr">
        <is>
          <t>VALIDA</t>
        </is>
      </c>
      <c r="O147" t="n">
        <v>3.8</v>
      </c>
      <c r="P147" t="n">
        <v>741</v>
      </c>
      <c r="Q147" t="n">
        <v>131717</v>
      </c>
      <c r="R147" t="n">
        <v>0.005625697518163942</v>
      </c>
      <c r="S147" t="n">
        <v>30040</v>
      </c>
      <c r="T147" t="n">
        <v>169</v>
      </c>
    </row>
    <row r="148">
      <c r="A148" t="n">
        <v>1544</v>
      </c>
      <c r="B148" t="inlineStr">
        <is>
          <t>HARO ORDOÑO, ALVARO</t>
        </is>
      </c>
      <c r="C148" t="n">
        <v>578</v>
      </c>
      <c r="D148" t="inlineStr">
        <is>
          <t>9151</t>
        </is>
      </c>
      <c r="E148" t="inlineStr">
        <is>
          <t>7</t>
        </is>
      </c>
      <c r="F148" t="inlineStr">
        <is>
          <t>98</t>
        </is>
      </c>
      <c r="G148" t="inlineStr">
        <is>
          <t>1</t>
        </is>
      </c>
      <c r="H148" t="n">
        <v>2017</v>
      </c>
      <c r="I148" t="n">
        <v>1.01</v>
      </c>
      <c r="J148" t="n">
        <v>1</v>
      </c>
      <c r="L148" t="inlineStr">
        <is>
          <t>Sí</t>
        </is>
      </c>
      <c r="M148" t="inlineStr">
        <is>
          <t>Sí</t>
        </is>
      </c>
      <c r="N148" t="inlineStr">
        <is>
          <t>VALIDA</t>
        </is>
      </c>
      <c r="O148" t="n">
        <v>3.8</v>
      </c>
      <c r="P148" t="n">
        <v>741</v>
      </c>
      <c r="Q148" t="n">
        <v>131717</v>
      </c>
      <c r="R148" t="n">
        <v>0.005625697518163942</v>
      </c>
      <c r="S148" t="n">
        <v>30040</v>
      </c>
      <c r="T148" t="n">
        <v>169</v>
      </c>
    </row>
    <row r="149">
      <c r="A149" t="n">
        <v>1544</v>
      </c>
      <c r="B149" t="inlineStr">
        <is>
          <t>HARO ORDOÑO, ALVARO</t>
        </is>
      </c>
      <c r="C149" t="n">
        <v>578</v>
      </c>
      <c r="D149" t="inlineStr">
        <is>
          <t>9152</t>
        </is>
      </c>
      <c r="E149" t="inlineStr">
        <is>
          <t>7</t>
        </is>
      </c>
      <c r="F149" t="inlineStr">
        <is>
          <t>98</t>
        </is>
      </c>
      <c r="G149" t="inlineStr">
        <is>
          <t>1</t>
        </is>
      </c>
      <c r="H149" t="n">
        <v>2020</v>
      </c>
      <c r="I149" t="n">
        <v>1.37</v>
      </c>
      <c r="J149" t="n">
        <v>1</v>
      </c>
      <c r="L149" t="inlineStr">
        <is>
          <t>Sí</t>
        </is>
      </c>
      <c r="M149" t="inlineStr">
        <is>
          <t>Sí</t>
        </is>
      </c>
      <c r="N149" t="inlineStr">
        <is>
          <t>VALIDA</t>
        </is>
      </c>
      <c r="O149" t="n">
        <v>3.8</v>
      </c>
      <c r="P149" t="n">
        <v>741</v>
      </c>
      <c r="Q149" t="n">
        <v>131717</v>
      </c>
      <c r="R149" t="n">
        <v>0.005625697518163942</v>
      </c>
      <c r="S149" t="n">
        <v>30040</v>
      </c>
      <c r="T149" t="n">
        <v>169</v>
      </c>
    </row>
    <row r="150">
      <c r="A150" t="n">
        <v>1544</v>
      </c>
      <c r="B150" t="inlineStr">
        <is>
          <t>HARO ORDOÑO, ALVARO</t>
        </is>
      </c>
      <c r="C150" t="n">
        <v>596</v>
      </c>
      <c r="D150" t="inlineStr">
        <is>
          <t>9147</t>
        </is>
      </c>
      <c r="E150" t="inlineStr">
        <is>
          <t>7</t>
        </is>
      </c>
      <c r="F150" t="inlineStr">
        <is>
          <t>158</t>
        </is>
      </c>
      <c r="G150" t="inlineStr">
        <is>
          <t>3</t>
        </is>
      </c>
      <c r="H150" t="n">
        <v>2020</v>
      </c>
      <c r="I150" t="n">
        <v>0.25</v>
      </c>
      <c r="J150" t="n">
        <v>1</v>
      </c>
      <c r="L150" t="inlineStr">
        <is>
          <t>Sí</t>
        </is>
      </c>
      <c r="M150" t="inlineStr">
        <is>
          <t>Sí</t>
        </is>
      </c>
      <c r="N150" t="inlineStr">
        <is>
          <t>VALIDA</t>
        </is>
      </c>
      <c r="O150" t="n">
        <v>3.8</v>
      </c>
      <c r="P150" t="n">
        <v>741</v>
      </c>
      <c r="Q150" t="n">
        <v>131717</v>
      </c>
      <c r="R150" t="n">
        <v>0.005625697518163942</v>
      </c>
      <c r="S150" t="n">
        <v>30040</v>
      </c>
      <c r="T150" t="n">
        <v>169</v>
      </c>
    </row>
    <row r="151">
      <c r="A151" t="n">
        <v>1564</v>
      </c>
      <c r="B151" t="inlineStr">
        <is>
          <t>VARELA MUÑOZ, ANTONIO</t>
        </is>
      </c>
      <c r="C151" t="n">
        <v>681</v>
      </c>
      <c r="D151" t="inlineStr">
        <is>
          <t>9498</t>
        </is>
      </c>
      <c r="E151" t="inlineStr">
        <is>
          <t>7</t>
        </is>
      </c>
      <c r="F151" t="inlineStr">
        <is>
          <t>69</t>
        </is>
      </c>
      <c r="G151" t="inlineStr">
        <is>
          <t>1</t>
        </is>
      </c>
      <c r="H151" t="n">
        <v>2013</v>
      </c>
      <c r="I151" t="n">
        <v>0.89</v>
      </c>
      <c r="J151" t="n">
        <v>1</v>
      </c>
      <c r="L151" t="inlineStr">
        <is>
          <t>Sí</t>
        </is>
      </c>
      <c r="M151" t="inlineStr">
        <is>
          <t>Sí</t>
        </is>
      </c>
      <c r="N151" t="inlineStr">
        <is>
          <t>VALIDA</t>
        </is>
      </c>
      <c r="O151" t="n">
        <v>0.89</v>
      </c>
      <c r="P151" t="n">
        <v>173.55</v>
      </c>
      <c r="Q151" t="n">
        <v>29668</v>
      </c>
      <c r="R151" t="n">
        <v>0.005849737090467844</v>
      </c>
      <c r="S151" t="n">
        <v>28013</v>
      </c>
      <c r="T151" t="n">
        <v>163.87</v>
      </c>
    </row>
    <row r="152">
      <c r="A152" t="n">
        <v>1577</v>
      </c>
      <c r="B152" t="inlineStr">
        <is>
          <t>GOMEZ GUERRERO, MARIA MERCEDES</t>
        </is>
      </c>
      <c r="C152" t="n">
        <v>141</v>
      </c>
      <c r="D152" t="inlineStr">
        <is>
          <t>9211</t>
        </is>
      </c>
      <c r="E152" t="inlineStr">
        <is>
          <t>11</t>
        </is>
      </c>
      <c r="F152" t="inlineStr">
        <is>
          <t>77</t>
        </is>
      </c>
      <c r="G152" t="inlineStr">
        <is>
          <t>4</t>
        </is>
      </c>
      <c r="H152" t="n">
        <v>2008</v>
      </c>
      <c r="I152" t="n">
        <v>3.16</v>
      </c>
      <c r="J152" t="n">
        <v>1</v>
      </c>
      <c r="L152" t="inlineStr">
        <is>
          <t>Sí</t>
        </is>
      </c>
      <c r="M152" t="inlineStr">
        <is>
          <t>Sí</t>
        </is>
      </c>
      <c r="N152" t="inlineStr">
        <is>
          <t>VALIDA</t>
        </is>
      </c>
      <c r="O152" t="n">
        <v>7.35</v>
      </c>
      <c r="P152" t="n">
        <v>1433.25</v>
      </c>
      <c r="Q152" t="n">
        <v>224568</v>
      </c>
      <c r="R152" t="n">
        <v>0.006382253927540878</v>
      </c>
      <c r="S152" t="n">
        <v>139693</v>
      </c>
      <c r="T152" t="n">
        <v>891.5599999999999</v>
      </c>
    </row>
    <row r="153">
      <c r="A153" t="n">
        <v>1577</v>
      </c>
      <c r="B153" t="inlineStr">
        <is>
          <t>GOMEZ GUERRERO, MARIA MERCEDES</t>
        </is>
      </c>
      <c r="C153" t="n">
        <v>142</v>
      </c>
      <c r="D153" t="inlineStr">
        <is>
          <t>9212</t>
        </is>
      </c>
      <c r="E153" t="inlineStr">
        <is>
          <t>11</t>
        </is>
      </c>
      <c r="F153" t="inlineStr">
        <is>
          <t>77</t>
        </is>
      </c>
      <c r="G153" t="inlineStr">
        <is>
          <t>4</t>
        </is>
      </c>
      <c r="H153" t="n">
        <v>2005</v>
      </c>
      <c r="I153" t="n">
        <v>4.19</v>
      </c>
      <c r="J153" t="n">
        <v>1</v>
      </c>
      <c r="L153" t="inlineStr">
        <is>
          <t>Sí</t>
        </is>
      </c>
      <c r="M153" t="inlineStr">
        <is>
          <t>Sí</t>
        </is>
      </c>
      <c r="N153" t="inlineStr">
        <is>
          <t>VALIDA</t>
        </is>
      </c>
      <c r="O153" t="n">
        <v>7.35</v>
      </c>
      <c r="P153" t="n">
        <v>1433.25</v>
      </c>
      <c r="Q153" t="n">
        <v>224568</v>
      </c>
      <c r="R153" t="n">
        <v>0.006382253927540878</v>
      </c>
      <c r="S153" t="n">
        <v>139693</v>
      </c>
      <c r="T153" t="n">
        <v>891.5599999999999</v>
      </c>
    </row>
    <row r="154">
      <c r="A154" t="n">
        <v>1579</v>
      </c>
      <c r="B154" t="inlineStr">
        <is>
          <t>PEREZ JIMENEZ, ALFONSA</t>
        </is>
      </c>
      <c r="C154" t="n">
        <v>643</v>
      </c>
      <c r="I154" t="n">
        <v>0.44</v>
      </c>
      <c r="J154" t="n">
        <v>0</v>
      </c>
      <c r="M154" t="inlineStr">
        <is>
          <t>No</t>
        </is>
      </c>
      <c r="N154" t="inlineStr">
        <is>
          <t>CHA_NO_SELECCIONADO; CHA_NO_ACTIVO</t>
        </is>
      </c>
      <c r="O154" t="n">
        <v>0</v>
      </c>
      <c r="P154" t="n">
        <v>0</v>
      </c>
      <c r="Q154" t="n">
        <v>15197</v>
      </c>
      <c r="S154" t="n">
        <v>6077</v>
      </c>
      <c r="T154" t="n">
        <v>0</v>
      </c>
    </row>
    <row r="155">
      <c r="A155" t="n">
        <v>1582</v>
      </c>
      <c r="B155" t="inlineStr">
        <is>
          <t>IGEÑO SANCHEZ, JOSE CARLOS</t>
        </is>
      </c>
      <c r="C155" t="n">
        <v>61</v>
      </c>
      <c r="D155" t="inlineStr">
        <is>
          <t>9132</t>
        </is>
      </c>
      <c r="E155" t="inlineStr">
        <is>
          <t>12</t>
        </is>
      </c>
      <c r="F155" t="inlineStr">
        <is>
          <t>86</t>
        </is>
      </c>
      <c r="G155" t="inlineStr">
        <is>
          <t>1</t>
        </is>
      </c>
      <c r="H155" t="n">
        <v>2010</v>
      </c>
      <c r="I155" t="n">
        <v>1.26</v>
      </c>
      <c r="J155" t="n">
        <v>1</v>
      </c>
      <c r="L155" t="inlineStr">
        <is>
          <t>Sí</t>
        </is>
      </c>
      <c r="M155" t="inlineStr">
        <is>
          <t>Sí</t>
        </is>
      </c>
      <c r="N155" t="inlineStr">
        <is>
          <t>VALIDA</t>
        </is>
      </c>
      <c r="O155" t="n">
        <v>5.11</v>
      </c>
      <c r="P155" t="n">
        <v>996.45</v>
      </c>
      <c r="Q155" t="n">
        <v>208412</v>
      </c>
      <c r="R155" t="n">
        <v>0.004781154636009443</v>
      </c>
      <c r="S155" t="n">
        <v>181394</v>
      </c>
      <c r="T155" t="n">
        <v>867.27</v>
      </c>
    </row>
    <row r="156">
      <c r="A156" t="n">
        <v>1582</v>
      </c>
      <c r="B156" t="inlineStr">
        <is>
          <t>IGEÑO SANCHEZ, JOSE CARLOS</t>
        </is>
      </c>
      <c r="C156" t="n">
        <v>61</v>
      </c>
      <c r="D156" t="inlineStr">
        <is>
          <t>9133</t>
        </is>
      </c>
      <c r="E156" t="inlineStr">
        <is>
          <t>12</t>
        </is>
      </c>
      <c r="F156" t="inlineStr">
        <is>
          <t>85</t>
        </is>
      </c>
      <c r="G156" t="inlineStr">
        <is>
          <t>2</t>
        </is>
      </c>
      <c r="H156" t="n">
        <v>2010</v>
      </c>
      <c r="I156" t="n">
        <v>2.33</v>
      </c>
      <c r="J156" t="n">
        <v>1</v>
      </c>
      <c r="L156" t="inlineStr">
        <is>
          <t>Sí</t>
        </is>
      </c>
      <c r="M156" t="inlineStr">
        <is>
          <t>Sí</t>
        </is>
      </c>
      <c r="N156" t="inlineStr">
        <is>
          <t>VALIDA</t>
        </is>
      </c>
      <c r="O156" t="n">
        <v>5.11</v>
      </c>
      <c r="P156" t="n">
        <v>996.45</v>
      </c>
      <c r="Q156" t="n">
        <v>208412</v>
      </c>
      <c r="R156" t="n">
        <v>0.004781154636009443</v>
      </c>
      <c r="S156" t="n">
        <v>181394</v>
      </c>
      <c r="T156" t="n">
        <v>867.27</v>
      </c>
    </row>
    <row r="157">
      <c r="A157" t="n">
        <v>1582</v>
      </c>
      <c r="B157" t="inlineStr">
        <is>
          <t>IGEÑO SANCHEZ, JOSE CARLOS</t>
        </is>
      </c>
      <c r="C157" t="n">
        <v>61</v>
      </c>
      <c r="D157" t="inlineStr">
        <is>
          <t>9134</t>
        </is>
      </c>
      <c r="E157" t="inlineStr">
        <is>
          <t>12</t>
        </is>
      </c>
      <c r="F157" t="inlineStr">
        <is>
          <t>85</t>
        </is>
      </c>
      <c r="G157" t="inlineStr">
        <is>
          <t>7</t>
        </is>
      </c>
      <c r="H157" t="n">
        <v>2010</v>
      </c>
      <c r="I157" t="n">
        <v>1.52</v>
      </c>
      <c r="J157" t="n">
        <v>1</v>
      </c>
      <c r="L157" t="inlineStr">
        <is>
          <t>Sí</t>
        </is>
      </c>
      <c r="M157" t="inlineStr">
        <is>
          <t>Sí</t>
        </is>
      </c>
      <c r="N157" t="inlineStr">
        <is>
          <t>VALIDA</t>
        </is>
      </c>
      <c r="O157" t="n">
        <v>5.11</v>
      </c>
      <c r="P157" t="n">
        <v>996.45</v>
      </c>
      <c r="Q157" t="n">
        <v>208412</v>
      </c>
      <c r="R157" t="n">
        <v>0.004781154636009443</v>
      </c>
      <c r="S157" t="n">
        <v>181394</v>
      </c>
      <c r="T157" t="n">
        <v>867.27</v>
      </c>
    </row>
    <row r="158">
      <c r="A158" t="n">
        <v>1585</v>
      </c>
      <c r="B158" t="inlineStr">
        <is>
          <t>CESPEDES AGUILAR, PATRICIA</t>
        </is>
      </c>
      <c r="C158" t="n">
        <v>93</v>
      </c>
      <c r="D158" t="inlineStr">
        <is>
          <t>9415</t>
        </is>
      </c>
      <c r="E158" t="inlineStr">
        <is>
          <t>12</t>
        </is>
      </c>
      <c r="F158" t="inlineStr">
        <is>
          <t>19</t>
        </is>
      </c>
      <c r="G158" t="inlineStr">
        <is>
          <t>1</t>
        </is>
      </c>
      <c r="H158" t="n">
        <v>1996</v>
      </c>
      <c r="I158" t="n">
        <v>3.15</v>
      </c>
      <c r="J158" t="n">
        <v>1</v>
      </c>
      <c r="L158" t="inlineStr">
        <is>
          <t>Sí</t>
        </is>
      </c>
      <c r="M158" t="inlineStr">
        <is>
          <t>Sí</t>
        </is>
      </c>
      <c r="N158" t="inlineStr">
        <is>
          <t>VALIDA</t>
        </is>
      </c>
      <c r="O158" t="n">
        <v>8.34</v>
      </c>
      <c r="P158" t="n">
        <v>1626.3</v>
      </c>
      <c r="Q158" t="n">
        <v>241627</v>
      </c>
      <c r="R158" t="n">
        <v>0.006730621991747611</v>
      </c>
      <c r="S158" t="n">
        <v>141229</v>
      </c>
      <c r="T158" t="n">
        <v>950.5599999999999</v>
      </c>
    </row>
    <row r="159">
      <c r="A159" t="n">
        <v>1585</v>
      </c>
      <c r="B159" t="inlineStr">
        <is>
          <t>CESPEDES AGUILAR, PATRICIA</t>
        </is>
      </c>
      <c r="C159" t="n">
        <v>245</v>
      </c>
      <c r="D159" t="inlineStr">
        <is>
          <t>9416</t>
        </is>
      </c>
      <c r="E159" t="inlineStr">
        <is>
          <t>11</t>
        </is>
      </c>
      <c r="F159" t="inlineStr">
        <is>
          <t>75</t>
        </is>
      </c>
      <c r="G159" t="inlineStr">
        <is>
          <t>2</t>
        </is>
      </c>
      <c r="H159" t="n">
        <v>2005</v>
      </c>
      <c r="I159" t="n">
        <v>1.29</v>
      </c>
      <c r="J159" t="n">
        <v>1</v>
      </c>
      <c r="L159" t="inlineStr">
        <is>
          <t>Sí</t>
        </is>
      </c>
      <c r="M159" t="inlineStr">
        <is>
          <t>Sí</t>
        </is>
      </c>
      <c r="N159" t="inlineStr">
        <is>
          <t>VALIDA</t>
        </is>
      </c>
      <c r="O159" t="n">
        <v>8.34</v>
      </c>
      <c r="P159" t="n">
        <v>1626.3</v>
      </c>
      <c r="Q159" t="n">
        <v>241627</v>
      </c>
      <c r="R159" t="n">
        <v>0.006730621991747611</v>
      </c>
      <c r="S159" t="n">
        <v>141229</v>
      </c>
      <c r="T159" t="n">
        <v>950.5599999999999</v>
      </c>
    </row>
    <row r="160">
      <c r="A160" t="n">
        <v>1585</v>
      </c>
      <c r="B160" t="inlineStr">
        <is>
          <t>CESPEDES AGUILAR, PATRICIA</t>
        </is>
      </c>
      <c r="C160" t="n">
        <v>245</v>
      </c>
      <c r="D160" t="inlineStr">
        <is>
          <t>9417</t>
        </is>
      </c>
      <c r="E160" t="inlineStr">
        <is>
          <t>11</t>
        </is>
      </c>
      <c r="F160" t="inlineStr">
        <is>
          <t>110</t>
        </is>
      </c>
      <c r="G160" t="inlineStr">
        <is>
          <t>1</t>
        </is>
      </c>
      <c r="H160" t="n">
        <v>2005</v>
      </c>
      <c r="I160" t="n">
        <v>3.9</v>
      </c>
      <c r="J160" t="n">
        <v>1</v>
      </c>
      <c r="L160" t="inlineStr">
        <is>
          <t>Sí</t>
        </is>
      </c>
      <c r="M160" t="inlineStr">
        <is>
          <t>Sí</t>
        </is>
      </c>
      <c r="N160" t="inlineStr">
        <is>
          <t>VALIDA</t>
        </is>
      </c>
      <c r="O160" t="n">
        <v>8.34</v>
      </c>
      <c r="P160" t="n">
        <v>1626.3</v>
      </c>
      <c r="Q160" t="n">
        <v>241627</v>
      </c>
      <c r="R160" t="n">
        <v>0.006730621991747611</v>
      </c>
      <c r="S160" t="n">
        <v>141229</v>
      </c>
      <c r="T160" t="n">
        <v>950.5599999999999</v>
      </c>
    </row>
    <row r="161">
      <c r="A161" t="n">
        <v>1597</v>
      </c>
      <c r="B161" t="inlineStr">
        <is>
          <t>CARBALLO SIRIA, ANTONIO JOSE</t>
        </is>
      </c>
      <c r="C161" t="n">
        <v>678</v>
      </c>
      <c r="D161" t="inlineStr">
        <is>
          <t>9451</t>
        </is>
      </c>
      <c r="E161" t="inlineStr">
        <is>
          <t>13</t>
        </is>
      </c>
      <c r="F161" t="inlineStr">
        <is>
          <t>160</t>
        </is>
      </c>
      <c r="G161" t="inlineStr">
        <is>
          <t>1</t>
        </is>
      </c>
      <c r="H161" t="n">
        <v>2019</v>
      </c>
      <c r="I161" t="n">
        <v>2.93</v>
      </c>
      <c r="J161" t="n">
        <v>1</v>
      </c>
      <c r="L161" t="inlineStr">
        <is>
          <t>Sí</t>
        </is>
      </c>
      <c r="M161" t="inlineStr">
        <is>
          <t>Sí</t>
        </is>
      </c>
      <c r="N161" t="inlineStr">
        <is>
          <t>VALIDA</t>
        </is>
      </c>
      <c r="O161" t="n">
        <v>5.63</v>
      </c>
      <c r="P161" t="n">
        <v>1097.85</v>
      </c>
      <c r="Q161" t="n">
        <v>119651</v>
      </c>
      <c r="R161" t="n">
        <v>0.00917543522411012</v>
      </c>
      <c r="S161" t="n">
        <v>72085</v>
      </c>
      <c r="T161" t="n">
        <v>661.41</v>
      </c>
    </row>
    <row r="162">
      <c r="A162" t="n">
        <v>1597</v>
      </c>
      <c r="B162" t="inlineStr">
        <is>
          <t>CARBALLO SIRIA, ANTONIO JOSE</t>
        </is>
      </c>
      <c r="C162" t="n">
        <v>679</v>
      </c>
      <c r="D162" t="inlineStr">
        <is>
          <t>9452</t>
        </is>
      </c>
      <c r="E162" t="inlineStr">
        <is>
          <t>13</t>
        </is>
      </c>
      <c r="F162" t="inlineStr">
        <is>
          <t>30</t>
        </is>
      </c>
      <c r="G162" t="inlineStr">
        <is>
          <t>1</t>
        </is>
      </c>
      <c r="H162" t="n">
        <v>2015</v>
      </c>
      <c r="I162" t="n">
        <v>2.7</v>
      </c>
      <c r="J162" t="n">
        <v>1</v>
      </c>
      <c r="L162" t="inlineStr">
        <is>
          <t>Sí</t>
        </is>
      </c>
      <c r="M162" t="inlineStr">
        <is>
          <t>Sí</t>
        </is>
      </c>
      <c r="N162" t="inlineStr">
        <is>
          <t>VALIDA</t>
        </is>
      </c>
      <c r="O162" t="n">
        <v>5.63</v>
      </c>
      <c r="P162" t="n">
        <v>1097.85</v>
      </c>
      <c r="Q162" t="n">
        <v>119651</v>
      </c>
      <c r="R162" t="n">
        <v>0.00917543522411012</v>
      </c>
      <c r="S162" t="n">
        <v>72085</v>
      </c>
      <c r="T162" t="n">
        <v>661.41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P7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Registro</t>
        </is>
      </c>
      <c r="D1" t="inlineStr">
        <is>
          <t>Fecha</t>
        </is>
      </c>
      <c r="E1" t="inlineStr">
        <is>
          <t>Campaña</t>
        </is>
      </c>
      <c r="F1" t="inlineStr">
        <is>
          <t>Empresa</t>
        </is>
      </c>
      <c r="G1" t="inlineStr">
        <is>
          <t>Cultivo</t>
        </is>
      </c>
      <c r="H1" t="inlineStr">
        <is>
          <t>Variedad</t>
        </is>
      </c>
      <c r="I1" t="inlineStr">
        <is>
          <t>Boleta</t>
        </is>
      </c>
      <c r="J1" t="inlineStr">
        <is>
          <t>Neto</t>
        </is>
      </c>
      <c r="K1" t="inlineStr">
        <is>
          <t>NetoPartida</t>
        </is>
      </c>
      <c r="L1" t="inlineStr">
        <is>
          <t>NetoEfectivo</t>
        </is>
      </c>
      <c r="M1" t="inlineStr">
        <is>
          <t>Incluida en denominador</t>
        </is>
      </c>
      <c r="N1" t="inlineStr">
        <is>
          <t>Motivo exclusión</t>
        </is>
      </c>
      <c r="O1" t="inlineStr">
        <is>
          <t>Boleta apta para cuota</t>
        </is>
      </c>
      <c r="P1" t="inlineStr">
        <is>
          <t>Relevancia de boleta</t>
        </is>
      </c>
    </row>
    <row r="2">
      <c r="A2" t="n">
        <v>869</v>
      </c>
      <c r="B2" t="inlineStr">
        <is>
          <t>IGEÑO LUQUE,JOSE</t>
        </is>
      </c>
      <c r="E2" t="n">
        <v>2026</v>
      </c>
      <c r="F2" t="n">
        <v>1</v>
      </c>
      <c r="G2" t="inlineStr">
        <is>
          <t>CITRICOS</t>
        </is>
      </c>
      <c r="H2" t="inlineStr">
        <is>
          <t>SALUSTIANA</t>
        </is>
      </c>
      <c r="I2" t="n">
        <v>51</v>
      </c>
      <c r="J2" t="n">
        <v>13192</v>
      </c>
      <c r="K2" t="n">
        <v>1686</v>
      </c>
      <c r="L2" t="n">
        <v>1686</v>
      </c>
      <c r="M2" t="inlineStr">
        <is>
          <t>Sí</t>
        </is>
      </c>
      <c r="N2" t="inlineStr"/>
      <c r="O2" t="inlineStr">
        <is>
          <t>Informativa</t>
        </is>
      </c>
      <c r="P2" t="inlineStr">
        <is>
          <t>No interviene en el prorrateo</t>
        </is>
      </c>
    </row>
    <row r="3">
      <c r="A3" t="n">
        <v>869</v>
      </c>
      <c r="B3" t="inlineStr">
        <is>
          <t>IGEÑO LUQUE,JOSE</t>
        </is>
      </c>
      <c r="E3" t="n">
        <v>2026</v>
      </c>
      <c r="F3" t="n">
        <v>1</v>
      </c>
      <c r="G3" t="inlineStr">
        <is>
          <t>CITRICOS</t>
        </is>
      </c>
      <c r="H3" t="inlineStr">
        <is>
          <t>SALUSTIANA</t>
        </is>
      </c>
      <c r="I3" t="n">
        <v>51</v>
      </c>
      <c r="J3" t="n">
        <v>11836</v>
      </c>
      <c r="K3" t="n">
        <v>0</v>
      </c>
      <c r="L3" t="n">
        <v>11836</v>
      </c>
      <c r="M3" t="inlineStr">
        <is>
          <t>Sí</t>
        </is>
      </c>
      <c r="N3" t="inlineStr"/>
      <c r="O3" t="inlineStr">
        <is>
          <t>Informativa</t>
        </is>
      </c>
      <c r="P3" t="inlineStr">
        <is>
          <t>No interviene en el prorrateo</t>
        </is>
      </c>
    </row>
    <row r="4">
      <c r="A4" t="n">
        <v>869</v>
      </c>
      <c r="B4" t="inlineStr">
        <is>
          <t>IGEÑO LUQUE,JOSE</t>
        </is>
      </c>
      <c r="E4" t="n">
        <v>2026</v>
      </c>
      <c r="F4" t="n">
        <v>1</v>
      </c>
      <c r="G4" t="inlineStr">
        <is>
          <t>CITRICOS</t>
        </is>
      </c>
      <c r="H4" t="inlineStr">
        <is>
          <t>SALUSTIANA</t>
        </is>
      </c>
      <c r="I4" t="n">
        <v>51</v>
      </c>
      <c r="J4" t="n">
        <v>10872</v>
      </c>
      <c r="K4" t="n">
        <v>0</v>
      </c>
      <c r="L4" t="n">
        <v>10872</v>
      </c>
      <c r="M4" t="inlineStr">
        <is>
          <t>Sí</t>
        </is>
      </c>
      <c r="N4" t="inlineStr"/>
      <c r="O4" t="inlineStr">
        <is>
          <t>Informativa</t>
        </is>
      </c>
      <c r="P4" t="inlineStr">
        <is>
          <t>No interviene en el prorrateo</t>
        </is>
      </c>
    </row>
    <row r="5">
      <c r="A5" t="n">
        <v>869</v>
      </c>
      <c r="B5" t="inlineStr">
        <is>
          <t>IGEÑO LUQUE,JOSE</t>
        </is>
      </c>
      <c r="E5" t="n">
        <v>2026</v>
      </c>
      <c r="F5" t="n">
        <v>1</v>
      </c>
      <c r="G5" t="inlineStr">
        <is>
          <t>CITRICOS</t>
        </is>
      </c>
      <c r="H5" t="inlineStr">
        <is>
          <t>SALUSTIANA</t>
        </is>
      </c>
      <c r="I5" t="n">
        <v>51</v>
      </c>
      <c r="J5" t="n">
        <v>12032</v>
      </c>
      <c r="K5" t="n">
        <v>10114</v>
      </c>
      <c r="L5" t="n">
        <v>10114</v>
      </c>
      <c r="M5" t="inlineStr">
        <is>
          <t>Sí</t>
        </is>
      </c>
      <c r="N5" t="inlineStr"/>
      <c r="O5" t="inlineStr">
        <is>
          <t>Informativa</t>
        </is>
      </c>
      <c r="P5" t="inlineStr">
        <is>
          <t>No interviene en el prorrateo</t>
        </is>
      </c>
    </row>
    <row r="6">
      <c r="A6" t="n">
        <v>883</v>
      </c>
      <c r="B6" t="inlineStr">
        <is>
          <t>TORO SANCHEZ,TERESA</t>
        </is>
      </c>
      <c r="E6" t="n">
        <v>2026</v>
      </c>
      <c r="F6" t="n">
        <v>1</v>
      </c>
      <c r="G6" t="inlineStr">
        <is>
          <t>CITRICOS</t>
        </is>
      </c>
      <c r="H6" t="inlineStr">
        <is>
          <t>SALUSTIANA</t>
        </is>
      </c>
      <c r="I6" t="n">
        <v>512</v>
      </c>
      <c r="J6" t="n">
        <v>22585</v>
      </c>
      <c r="K6" t="n">
        <v>21525</v>
      </c>
      <c r="L6" t="n">
        <v>21525</v>
      </c>
      <c r="M6" t="inlineStr">
        <is>
          <t>Sí</t>
        </is>
      </c>
      <c r="N6" t="inlineStr"/>
      <c r="O6" t="inlineStr">
        <is>
          <t>Informativa</t>
        </is>
      </c>
      <c r="P6" t="inlineStr">
        <is>
          <t>No interviene en el prorrateo</t>
        </is>
      </c>
    </row>
    <row r="7">
      <c r="A7" t="n">
        <v>883</v>
      </c>
      <c r="B7" t="inlineStr">
        <is>
          <t>TORO SANCHEZ,TERESA</t>
        </is>
      </c>
      <c r="E7" t="n">
        <v>2026</v>
      </c>
      <c r="F7" t="n">
        <v>1</v>
      </c>
      <c r="G7" t="inlineStr">
        <is>
          <t>CITRICOS</t>
        </is>
      </c>
      <c r="H7" t="inlineStr">
        <is>
          <t>SALUSTIANA</t>
        </is>
      </c>
      <c r="I7" t="n">
        <v>512</v>
      </c>
      <c r="J7" t="n">
        <v>22810</v>
      </c>
      <c r="K7" t="n">
        <v>19155</v>
      </c>
      <c r="L7" t="n">
        <v>19155</v>
      </c>
      <c r="M7" t="inlineStr">
        <is>
          <t>Sí</t>
        </is>
      </c>
      <c r="N7" t="inlineStr"/>
      <c r="O7" t="inlineStr">
        <is>
          <t>Informativa</t>
        </is>
      </c>
      <c r="P7" t="inlineStr">
        <is>
          <t>No interviene en el prorrateo</t>
        </is>
      </c>
    </row>
    <row r="8">
      <c r="A8" t="n">
        <v>883</v>
      </c>
      <c r="B8" t="inlineStr">
        <is>
          <t>TORO SANCHEZ,TERESA</t>
        </is>
      </c>
      <c r="E8" t="n">
        <v>2026</v>
      </c>
      <c r="F8" t="n">
        <v>1</v>
      </c>
      <c r="G8" t="inlineStr">
        <is>
          <t>CITRICOS</t>
        </is>
      </c>
      <c r="H8" t="inlineStr">
        <is>
          <t>SALUSTIANA</t>
        </is>
      </c>
      <c r="I8" t="n">
        <v>512</v>
      </c>
      <c r="J8" t="n">
        <v>22315</v>
      </c>
      <c r="K8" t="n">
        <v>19911</v>
      </c>
      <c r="L8" t="n">
        <v>19911</v>
      </c>
      <c r="M8" t="inlineStr">
        <is>
          <t>Sí</t>
        </is>
      </c>
      <c r="N8" t="inlineStr"/>
      <c r="O8" t="inlineStr">
        <is>
          <t>Informativa</t>
        </is>
      </c>
      <c r="P8" t="inlineStr">
        <is>
          <t>No interviene en el prorrateo</t>
        </is>
      </c>
    </row>
    <row r="9">
      <c r="A9" t="n">
        <v>883</v>
      </c>
      <c r="B9" t="inlineStr">
        <is>
          <t>TORO SANCHEZ,TERESA</t>
        </is>
      </c>
      <c r="E9" t="n">
        <v>2026</v>
      </c>
      <c r="F9" t="n">
        <v>1</v>
      </c>
      <c r="G9" t="inlineStr">
        <is>
          <t>CITRICOS</t>
        </is>
      </c>
      <c r="H9" t="inlineStr">
        <is>
          <t>SALUSTIANA</t>
        </is>
      </c>
      <c r="I9" t="n">
        <v>512</v>
      </c>
      <c r="J9" t="n">
        <v>21975</v>
      </c>
      <c r="K9" t="n">
        <v>21415</v>
      </c>
      <c r="L9" t="n">
        <v>21415</v>
      </c>
      <c r="M9" t="inlineStr">
        <is>
          <t>Sí</t>
        </is>
      </c>
      <c r="N9" t="inlineStr"/>
      <c r="O9" t="inlineStr">
        <is>
          <t>Informativa</t>
        </is>
      </c>
      <c r="P9" t="inlineStr">
        <is>
          <t>No interviene en el prorrateo</t>
        </is>
      </c>
    </row>
    <row r="10">
      <c r="A10" t="n">
        <v>883</v>
      </c>
      <c r="B10" t="inlineStr">
        <is>
          <t>TORO SANCHEZ,TERESA</t>
        </is>
      </c>
      <c r="E10" t="n">
        <v>2026</v>
      </c>
      <c r="F10" t="n">
        <v>1</v>
      </c>
      <c r="G10" t="inlineStr">
        <is>
          <t>CITRICOS</t>
        </is>
      </c>
      <c r="H10" t="inlineStr">
        <is>
          <t>SALUSTIANA</t>
        </is>
      </c>
      <c r="I10" t="n">
        <v>512</v>
      </c>
      <c r="J10" t="n">
        <v>23975</v>
      </c>
      <c r="K10" t="n">
        <v>8806</v>
      </c>
      <c r="L10" t="n">
        <v>8806</v>
      </c>
      <c r="M10" t="inlineStr">
        <is>
          <t>Sí</t>
        </is>
      </c>
      <c r="N10" t="inlineStr"/>
      <c r="O10" t="inlineStr">
        <is>
          <t>Informativa</t>
        </is>
      </c>
      <c r="P10" t="inlineStr">
        <is>
          <t>No interviene en el prorrateo</t>
        </is>
      </c>
    </row>
    <row r="11">
      <c r="A11" t="n">
        <v>883</v>
      </c>
      <c r="B11" t="inlineStr">
        <is>
          <t>TORO SANCHEZ,TERESA</t>
        </is>
      </c>
      <c r="E11" t="n">
        <v>2026</v>
      </c>
      <c r="F11" t="n">
        <v>1</v>
      </c>
      <c r="G11" t="inlineStr">
        <is>
          <t>CITRICOS</t>
        </is>
      </c>
      <c r="H11" t="inlineStr">
        <is>
          <t>SALUSTIANA</t>
        </is>
      </c>
      <c r="I11" t="n">
        <v>512</v>
      </c>
      <c r="J11" t="n">
        <v>22078</v>
      </c>
      <c r="K11" t="n">
        <v>21253</v>
      </c>
      <c r="L11" t="n">
        <v>21253</v>
      </c>
      <c r="M11" t="inlineStr">
        <is>
          <t>Sí</t>
        </is>
      </c>
      <c r="N11" t="inlineStr"/>
      <c r="O11" t="inlineStr">
        <is>
          <t>Informativa</t>
        </is>
      </c>
      <c r="P11" t="inlineStr">
        <is>
          <t>No interviene en el prorrateo</t>
        </is>
      </c>
    </row>
    <row r="12">
      <c r="A12" t="n">
        <v>883</v>
      </c>
      <c r="B12" t="inlineStr">
        <is>
          <t>TORO SANCHEZ,TERESA</t>
        </is>
      </c>
      <c r="E12" t="n">
        <v>2026</v>
      </c>
      <c r="F12" t="n">
        <v>1</v>
      </c>
      <c r="G12" t="inlineStr">
        <is>
          <t>CITRICOS</t>
        </is>
      </c>
      <c r="H12" t="inlineStr">
        <is>
          <t>SALUSTIANA</t>
        </is>
      </c>
      <c r="I12" t="n">
        <v>512</v>
      </c>
      <c r="J12" t="n">
        <v>24395</v>
      </c>
      <c r="K12" t="n">
        <v>4892</v>
      </c>
      <c r="L12" t="n">
        <v>4892</v>
      </c>
      <c r="M12" t="inlineStr">
        <is>
          <t>Sí</t>
        </is>
      </c>
      <c r="N12" t="inlineStr"/>
      <c r="O12" t="inlineStr">
        <is>
          <t>Informativa</t>
        </is>
      </c>
      <c r="P12" t="inlineStr">
        <is>
          <t>No interviene en el prorrateo</t>
        </is>
      </c>
    </row>
    <row r="13">
      <c r="A13" t="n">
        <v>883</v>
      </c>
      <c r="B13" t="inlineStr">
        <is>
          <t>TORO SANCHEZ,TERESA</t>
        </is>
      </c>
      <c r="E13" t="n">
        <v>2026</v>
      </c>
      <c r="F13" t="n">
        <v>1</v>
      </c>
      <c r="G13" t="inlineStr">
        <is>
          <t>CITRICOS</t>
        </is>
      </c>
      <c r="H13" t="inlineStr">
        <is>
          <t>SALUSTIANA</t>
        </is>
      </c>
      <c r="I13" t="n">
        <v>512</v>
      </c>
      <c r="J13" t="n">
        <v>10605</v>
      </c>
      <c r="K13" t="n">
        <v>0</v>
      </c>
      <c r="L13" t="n">
        <v>10605</v>
      </c>
      <c r="M13" t="inlineStr">
        <is>
          <t>Sí</t>
        </is>
      </c>
      <c r="N13" t="inlineStr"/>
      <c r="O13" t="inlineStr">
        <is>
          <t>Informativa</t>
        </is>
      </c>
      <c r="P13" t="inlineStr">
        <is>
          <t>No interviene en el prorrateo</t>
        </is>
      </c>
    </row>
    <row r="14">
      <c r="A14" t="n">
        <v>883</v>
      </c>
      <c r="B14" t="inlineStr">
        <is>
          <t>TORO SANCHEZ,TERESA</t>
        </is>
      </c>
      <c r="E14" t="n">
        <v>2026</v>
      </c>
      <c r="F14" t="n">
        <v>1</v>
      </c>
      <c r="G14" t="inlineStr">
        <is>
          <t>CITRICOS</t>
        </is>
      </c>
      <c r="H14" t="inlineStr">
        <is>
          <t>SALUSTIANA</t>
        </is>
      </c>
      <c r="I14" t="n">
        <v>512</v>
      </c>
      <c r="J14" t="n">
        <v>5245</v>
      </c>
      <c r="K14" t="n">
        <v>2625</v>
      </c>
      <c r="L14" t="n">
        <v>2625</v>
      </c>
      <c r="M14" t="inlineStr">
        <is>
          <t>Sí</t>
        </is>
      </c>
      <c r="N14" t="inlineStr"/>
      <c r="O14" t="inlineStr">
        <is>
          <t>Informativa</t>
        </is>
      </c>
      <c r="P14" t="inlineStr">
        <is>
          <t>No interviene en el prorrateo</t>
        </is>
      </c>
    </row>
    <row r="15">
      <c r="A15" t="n">
        <v>883</v>
      </c>
      <c r="B15" t="inlineStr">
        <is>
          <t>TORO SANCHEZ,TERESA</t>
        </is>
      </c>
      <c r="E15" t="n">
        <v>2026</v>
      </c>
      <c r="F15" t="n">
        <v>1</v>
      </c>
      <c r="G15" t="inlineStr">
        <is>
          <t>CITRICOS</t>
        </is>
      </c>
      <c r="H15" t="inlineStr">
        <is>
          <t>SALUSTIANA</t>
        </is>
      </c>
      <c r="I15" t="n">
        <v>512</v>
      </c>
      <c r="J15" t="n">
        <v>1764</v>
      </c>
      <c r="K15" t="n">
        <v>0</v>
      </c>
      <c r="L15" t="n">
        <v>1764</v>
      </c>
      <c r="M15" t="inlineStr">
        <is>
          <t>Sí</t>
        </is>
      </c>
      <c r="N15" t="inlineStr"/>
      <c r="O15" t="inlineStr">
        <is>
          <t>Informativa</t>
        </is>
      </c>
      <c r="P15" t="inlineStr">
        <is>
          <t>No interviene en el prorrateo</t>
        </is>
      </c>
    </row>
    <row r="16">
      <c r="A16" t="n">
        <v>883</v>
      </c>
      <c r="B16" t="inlineStr">
        <is>
          <t>TORO SANCHEZ,TERESA</t>
        </is>
      </c>
      <c r="E16" t="n">
        <v>2026</v>
      </c>
      <c r="F16" t="n">
        <v>1</v>
      </c>
      <c r="G16" t="inlineStr">
        <is>
          <t>INDUSTRIA</t>
        </is>
      </c>
      <c r="H16" t="inlineStr">
        <is>
          <t>SALUSTIANA</t>
        </is>
      </c>
      <c r="I16" t="n">
        <v>512</v>
      </c>
      <c r="J16" t="n">
        <v>22375</v>
      </c>
      <c r="K16" t="n">
        <v>955</v>
      </c>
      <c r="L16" t="n">
        <v>955</v>
      </c>
      <c r="M16" t="inlineStr">
        <is>
          <t>Sí</t>
        </is>
      </c>
      <c r="N16" t="inlineStr"/>
      <c r="O16" t="inlineStr">
        <is>
          <t>Informativa</t>
        </is>
      </c>
      <c r="P16" t="inlineStr">
        <is>
          <t>No interviene en el prorrateo</t>
        </is>
      </c>
    </row>
    <row r="17">
      <c r="A17" t="n">
        <v>883</v>
      </c>
      <c r="B17" t="inlineStr">
        <is>
          <t>TORO SANCHEZ,TERESA</t>
        </is>
      </c>
      <c r="E17" t="n">
        <v>2026</v>
      </c>
      <c r="F17" t="n">
        <v>1</v>
      </c>
      <c r="G17" t="inlineStr">
        <is>
          <t>INDUSTRIA</t>
        </is>
      </c>
      <c r="H17" t="inlineStr">
        <is>
          <t>SALUSTIANA</t>
        </is>
      </c>
      <c r="I17" t="n">
        <v>512</v>
      </c>
      <c r="J17" t="n">
        <v>24735</v>
      </c>
      <c r="K17" t="n">
        <v>3410</v>
      </c>
      <c r="L17" t="n">
        <v>3410</v>
      </c>
      <c r="M17" t="inlineStr">
        <is>
          <t>Sí</t>
        </is>
      </c>
      <c r="N17" t="inlineStr"/>
      <c r="O17" t="inlineStr">
        <is>
          <t>Informativa</t>
        </is>
      </c>
      <c r="P17" t="inlineStr">
        <is>
          <t>No interviene en el prorrateo</t>
        </is>
      </c>
    </row>
    <row r="18">
      <c r="A18" t="n">
        <v>883</v>
      </c>
      <c r="B18" t="inlineStr">
        <is>
          <t>TORO SANCHEZ,TERESA</t>
        </is>
      </c>
      <c r="E18" t="n">
        <v>2026</v>
      </c>
      <c r="F18" t="n">
        <v>1</v>
      </c>
      <c r="G18" t="inlineStr">
        <is>
          <t>INDUSTRIA</t>
        </is>
      </c>
      <c r="H18" t="inlineStr">
        <is>
          <t>SALUSTIANA</t>
        </is>
      </c>
      <c r="I18" t="n">
        <v>512</v>
      </c>
      <c r="J18" t="n">
        <v>24030</v>
      </c>
      <c r="K18" t="n">
        <v>2054</v>
      </c>
      <c r="L18" t="n">
        <v>2054</v>
      </c>
      <c r="M18" t="inlineStr">
        <is>
          <t>Sí</t>
        </is>
      </c>
      <c r="N18" t="inlineStr"/>
      <c r="O18" t="inlineStr">
        <is>
          <t>Informativa</t>
        </is>
      </c>
      <c r="P18" t="inlineStr">
        <is>
          <t>No interviene en el prorrateo</t>
        </is>
      </c>
    </row>
    <row r="19">
      <c r="A19" t="n">
        <v>883</v>
      </c>
      <c r="B19" t="inlineStr">
        <is>
          <t>TORO SANCHEZ,TERESA</t>
        </is>
      </c>
      <c r="E19" t="n">
        <v>2026</v>
      </c>
      <c r="F19" t="n">
        <v>1</v>
      </c>
      <c r="G19" t="inlineStr">
        <is>
          <t>INDUSTRIA</t>
        </is>
      </c>
      <c r="H19" t="inlineStr">
        <is>
          <t>SALUSTIANA</t>
        </is>
      </c>
      <c r="I19" t="n">
        <v>512</v>
      </c>
      <c r="J19" t="n">
        <v>24250</v>
      </c>
      <c r="K19" t="n">
        <v>490</v>
      </c>
      <c r="L19" t="n">
        <v>490</v>
      </c>
      <c r="M19" t="inlineStr">
        <is>
          <t>Sí</t>
        </is>
      </c>
      <c r="N19" t="inlineStr"/>
      <c r="O19" t="inlineStr">
        <is>
          <t>Informativa</t>
        </is>
      </c>
      <c r="P19" t="inlineStr">
        <is>
          <t>No interviene en el prorrateo</t>
        </is>
      </c>
    </row>
    <row r="20">
      <c r="A20" t="n">
        <v>883</v>
      </c>
      <c r="B20" t="inlineStr">
        <is>
          <t>TORO SANCHEZ,TERESA</t>
        </is>
      </c>
      <c r="E20" t="n">
        <v>2026</v>
      </c>
      <c r="F20" t="n">
        <v>1</v>
      </c>
      <c r="G20" t="inlineStr">
        <is>
          <t>INDUSTRIA</t>
        </is>
      </c>
      <c r="H20" t="inlineStr">
        <is>
          <t>SALUSTIANA</t>
        </is>
      </c>
      <c r="I20" t="n">
        <v>512</v>
      </c>
      <c r="J20" t="n">
        <v>24283</v>
      </c>
      <c r="K20" t="n">
        <v>720</v>
      </c>
      <c r="L20" t="n">
        <v>720</v>
      </c>
      <c r="M20" t="inlineStr">
        <is>
          <t>Sí</t>
        </is>
      </c>
      <c r="N20" t="inlineStr"/>
      <c r="O20" t="inlineStr">
        <is>
          <t>Informativa</t>
        </is>
      </c>
      <c r="P20" t="inlineStr">
        <is>
          <t>No interviene en el prorrateo</t>
        </is>
      </c>
    </row>
    <row r="21">
      <c r="A21" t="n">
        <v>883</v>
      </c>
      <c r="B21" t="inlineStr">
        <is>
          <t>TORO SANCHEZ,TERESA</t>
        </is>
      </c>
      <c r="E21" t="n">
        <v>2026</v>
      </c>
      <c r="F21" t="n">
        <v>1</v>
      </c>
      <c r="G21" t="inlineStr">
        <is>
          <t>INDUSTRIA</t>
        </is>
      </c>
      <c r="H21" t="inlineStr">
        <is>
          <t>SALUSTIANA</t>
        </is>
      </c>
      <c r="I21" t="n">
        <v>512</v>
      </c>
      <c r="J21" t="n">
        <v>430</v>
      </c>
      <c r="K21" t="n">
        <v>0</v>
      </c>
      <c r="L21" t="n">
        <v>430</v>
      </c>
      <c r="M21" t="inlineStr">
        <is>
          <t>Sí</t>
        </is>
      </c>
      <c r="N21" t="inlineStr"/>
      <c r="O21" t="inlineStr">
        <is>
          <t>Informativa</t>
        </is>
      </c>
      <c r="P21" t="inlineStr">
        <is>
          <t>No interviene en el prorrateo</t>
        </is>
      </c>
    </row>
    <row r="22">
      <c r="A22" t="n">
        <v>937</v>
      </c>
      <c r="B22" t="inlineStr">
        <is>
          <t>GALVEZ MACIAS,FRANCISCO</t>
        </is>
      </c>
      <c r="E22" t="n">
        <v>2026</v>
      </c>
      <c r="F22" t="n">
        <v>1</v>
      </c>
      <c r="G22" t="inlineStr">
        <is>
          <t>CITRICOS</t>
        </is>
      </c>
      <c r="H22" t="inlineStr">
        <is>
          <t>SALUSTIANA</t>
        </is>
      </c>
      <c r="I22" t="n">
        <v>152</v>
      </c>
      <c r="J22" t="n">
        <v>13970</v>
      </c>
      <c r="K22" t="n">
        <v>0</v>
      </c>
      <c r="L22" t="n">
        <v>13970</v>
      </c>
      <c r="M22" t="inlineStr">
        <is>
          <t>Sí</t>
        </is>
      </c>
      <c r="N22" t="inlineStr"/>
      <c r="O22" t="inlineStr">
        <is>
          <t>Informativa</t>
        </is>
      </c>
      <c r="P22" t="inlineStr">
        <is>
          <t>No interviene en el prorrateo</t>
        </is>
      </c>
    </row>
    <row r="23">
      <c r="A23" t="n">
        <v>937</v>
      </c>
      <c r="B23" t="inlineStr">
        <is>
          <t>GALVEZ MACIAS,FRANCISCO</t>
        </is>
      </c>
      <c r="E23" t="n">
        <v>2026</v>
      </c>
      <c r="F23" t="n">
        <v>1</v>
      </c>
      <c r="G23" t="inlineStr">
        <is>
          <t>CITRICOS</t>
        </is>
      </c>
      <c r="H23" t="inlineStr">
        <is>
          <t>SALUSTIANA</t>
        </is>
      </c>
      <c r="I23" t="n">
        <v>152</v>
      </c>
      <c r="J23" t="n">
        <v>15380</v>
      </c>
      <c r="K23" t="n">
        <v>6231</v>
      </c>
      <c r="L23" t="n">
        <v>6231</v>
      </c>
      <c r="M23" t="inlineStr">
        <is>
          <t>Sí</t>
        </is>
      </c>
      <c r="N23" t="inlineStr"/>
      <c r="O23" t="inlineStr">
        <is>
          <t>Informativa</t>
        </is>
      </c>
      <c r="P23" t="inlineStr">
        <is>
          <t>No interviene en el prorrateo</t>
        </is>
      </c>
    </row>
    <row r="24">
      <c r="A24" t="n">
        <v>937</v>
      </c>
      <c r="B24" t="inlineStr">
        <is>
          <t>GALVEZ MACIAS,FRANCISCO</t>
        </is>
      </c>
      <c r="E24" t="n">
        <v>2026</v>
      </c>
      <c r="F24" t="n">
        <v>1</v>
      </c>
      <c r="G24" t="inlineStr">
        <is>
          <t>CITRICOS</t>
        </is>
      </c>
      <c r="H24" t="inlineStr">
        <is>
          <t>SALUSTIANA</t>
        </is>
      </c>
      <c r="I24" t="n">
        <v>152</v>
      </c>
      <c r="J24" t="n">
        <v>12140</v>
      </c>
      <c r="K24" t="n">
        <v>0</v>
      </c>
      <c r="L24" t="n">
        <v>12140</v>
      </c>
      <c r="M24" t="inlineStr">
        <is>
          <t>Sí</t>
        </is>
      </c>
      <c r="N24" t="inlineStr"/>
      <c r="O24" t="inlineStr">
        <is>
          <t>Informativa</t>
        </is>
      </c>
      <c r="P24" t="inlineStr">
        <is>
          <t>No interviene en el prorrateo</t>
        </is>
      </c>
    </row>
    <row r="25">
      <c r="A25" t="n">
        <v>937</v>
      </c>
      <c r="B25" t="inlineStr">
        <is>
          <t>GALVEZ MACIAS,FRANCISCO</t>
        </is>
      </c>
      <c r="E25" t="n">
        <v>2026</v>
      </c>
      <c r="F25" t="n">
        <v>1</v>
      </c>
      <c r="G25" t="inlineStr">
        <is>
          <t>CITRICOS</t>
        </is>
      </c>
      <c r="H25" t="inlineStr">
        <is>
          <t>SALUSTIANA</t>
        </is>
      </c>
      <c r="I25" t="n">
        <v>152</v>
      </c>
      <c r="J25" t="n">
        <v>12040</v>
      </c>
      <c r="K25" t="n">
        <v>0</v>
      </c>
      <c r="L25" t="n">
        <v>12040</v>
      </c>
      <c r="M25" t="inlineStr">
        <is>
          <t>Sí</t>
        </is>
      </c>
      <c r="N25" t="inlineStr"/>
      <c r="O25" t="inlineStr">
        <is>
          <t>Informativa</t>
        </is>
      </c>
      <c r="P25" t="inlineStr">
        <is>
          <t>No interviene en el prorrateo</t>
        </is>
      </c>
    </row>
    <row r="26">
      <c r="A26" t="n">
        <v>937</v>
      </c>
      <c r="B26" t="inlineStr">
        <is>
          <t>GALVEZ MACIAS,FRANCISCO</t>
        </is>
      </c>
      <c r="E26" t="n">
        <v>2026</v>
      </c>
      <c r="F26" t="n">
        <v>1</v>
      </c>
      <c r="G26" t="inlineStr">
        <is>
          <t>CITRICOS</t>
        </is>
      </c>
      <c r="H26" t="inlineStr">
        <is>
          <t>SALUSTIANA</t>
        </is>
      </c>
      <c r="I26" t="n">
        <v>440</v>
      </c>
      <c r="J26" t="n">
        <v>12100</v>
      </c>
      <c r="K26" t="n">
        <v>0</v>
      </c>
      <c r="L26" t="n">
        <v>12100</v>
      </c>
      <c r="M26" t="inlineStr">
        <is>
          <t>Sí</t>
        </is>
      </c>
      <c r="N26" t="inlineStr"/>
      <c r="O26" t="inlineStr">
        <is>
          <t>Informativa</t>
        </is>
      </c>
      <c r="P26" t="inlineStr">
        <is>
          <t>No interviene en el prorrateo</t>
        </is>
      </c>
    </row>
    <row r="27">
      <c r="A27" t="n">
        <v>937</v>
      </c>
      <c r="B27" t="inlineStr">
        <is>
          <t>GALVEZ MACIAS,FRANCISCO</t>
        </is>
      </c>
      <c r="E27" t="n">
        <v>2026</v>
      </c>
      <c r="F27" t="n">
        <v>1</v>
      </c>
      <c r="G27" t="inlineStr">
        <is>
          <t>CITRICOS</t>
        </is>
      </c>
      <c r="H27" t="inlineStr">
        <is>
          <t>SALUSTIANA</t>
        </is>
      </c>
      <c r="I27" t="n">
        <v>152</v>
      </c>
      <c r="J27" t="n">
        <v>12060</v>
      </c>
      <c r="K27" t="n">
        <v>0</v>
      </c>
      <c r="L27" t="n">
        <v>12060</v>
      </c>
      <c r="M27" t="inlineStr">
        <is>
          <t>Sí</t>
        </is>
      </c>
      <c r="N27" t="inlineStr"/>
      <c r="O27" t="inlineStr">
        <is>
          <t>Informativa</t>
        </is>
      </c>
      <c r="P27" t="inlineStr">
        <is>
          <t>No interviene en el prorrateo</t>
        </is>
      </c>
    </row>
    <row r="28">
      <c r="A28" t="n">
        <v>937</v>
      </c>
      <c r="B28" t="inlineStr">
        <is>
          <t>GALVEZ MACIAS,FRANCISCO</t>
        </is>
      </c>
      <c r="E28" t="n">
        <v>2026</v>
      </c>
      <c r="F28" t="n">
        <v>1</v>
      </c>
      <c r="G28" t="inlineStr">
        <is>
          <t>CITRICOS</t>
        </is>
      </c>
      <c r="H28" t="inlineStr">
        <is>
          <t>SALUSTIANA</t>
        </is>
      </c>
      <c r="I28" t="n">
        <v>152</v>
      </c>
      <c r="J28" t="n">
        <v>10384</v>
      </c>
      <c r="K28" t="n">
        <v>0</v>
      </c>
      <c r="L28" t="n">
        <v>10384</v>
      </c>
      <c r="M28" t="inlineStr">
        <is>
          <t>Sí</t>
        </is>
      </c>
      <c r="N28" t="inlineStr"/>
      <c r="O28" t="inlineStr">
        <is>
          <t>Informativa</t>
        </is>
      </c>
      <c r="P28" t="inlineStr">
        <is>
          <t>No interviene en el prorrateo</t>
        </is>
      </c>
    </row>
    <row r="29">
      <c r="A29" t="n">
        <v>937</v>
      </c>
      <c r="B29" t="inlineStr">
        <is>
          <t>GALVEZ MACIAS,FRANCISCO</t>
        </is>
      </c>
      <c r="E29" t="n">
        <v>2026</v>
      </c>
      <c r="F29" t="n">
        <v>1</v>
      </c>
      <c r="G29" t="inlineStr">
        <is>
          <t>CITRICOS</t>
        </is>
      </c>
      <c r="H29" t="inlineStr">
        <is>
          <t>SALUSTIANA</t>
        </is>
      </c>
      <c r="I29" t="n">
        <v>152</v>
      </c>
      <c r="J29" t="n">
        <v>10624</v>
      </c>
      <c r="K29" t="n">
        <v>0</v>
      </c>
      <c r="L29" t="n">
        <v>10624</v>
      </c>
      <c r="M29" t="inlineStr">
        <is>
          <t>Sí</t>
        </is>
      </c>
      <c r="N29" t="inlineStr"/>
      <c r="O29" t="inlineStr">
        <is>
          <t>Informativa</t>
        </is>
      </c>
      <c r="P29" t="inlineStr">
        <is>
          <t>No interviene en el prorrateo</t>
        </is>
      </c>
    </row>
    <row r="30">
      <c r="A30" t="n">
        <v>937</v>
      </c>
      <c r="B30" t="inlineStr">
        <is>
          <t>GALVEZ MACIAS,FRANCISCO</t>
        </is>
      </c>
      <c r="E30" t="n">
        <v>2026</v>
      </c>
      <c r="F30" t="n">
        <v>1</v>
      </c>
      <c r="G30" t="inlineStr">
        <is>
          <t>CITRICOS</t>
        </is>
      </c>
      <c r="H30" t="inlineStr">
        <is>
          <t>SALUSTIANA</t>
        </is>
      </c>
      <c r="I30" t="n">
        <v>152</v>
      </c>
      <c r="J30" t="n">
        <v>10505</v>
      </c>
      <c r="K30" t="n">
        <v>9779</v>
      </c>
      <c r="L30" t="n">
        <v>9779</v>
      </c>
      <c r="M30" t="inlineStr">
        <is>
          <t>Sí</t>
        </is>
      </c>
      <c r="N30" t="inlineStr"/>
      <c r="O30" t="inlineStr">
        <is>
          <t>Informativa</t>
        </is>
      </c>
      <c r="P30" t="inlineStr">
        <is>
          <t>No interviene en el prorrateo</t>
        </is>
      </c>
    </row>
    <row r="31">
      <c r="A31" t="n">
        <v>937</v>
      </c>
      <c r="B31" t="inlineStr">
        <is>
          <t>GALVEZ MACIAS,FRANCISCO</t>
        </is>
      </c>
      <c r="E31" t="n">
        <v>2026</v>
      </c>
      <c r="F31" t="n">
        <v>1</v>
      </c>
      <c r="G31" t="inlineStr">
        <is>
          <t>CITRICOS</t>
        </is>
      </c>
      <c r="H31" t="inlineStr">
        <is>
          <t>SALUSTIANA</t>
        </is>
      </c>
      <c r="I31" t="n">
        <v>152</v>
      </c>
      <c r="J31" t="n">
        <v>14295</v>
      </c>
      <c r="K31" t="n">
        <v>13325</v>
      </c>
      <c r="L31" t="n">
        <v>13325</v>
      </c>
      <c r="M31" t="inlineStr">
        <is>
          <t>Sí</t>
        </is>
      </c>
      <c r="N31" t="inlineStr"/>
      <c r="O31" t="inlineStr">
        <is>
          <t>Informativa</t>
        </is>
      </c>
      <c r="P31" t="inlineStr">
        <is>
          <t>No interviene en el prorrateo</t>
        </is>
      </c>
    </row>
    <row r="32">
      <c r="A32" t="n">
        <v>937</v>
      </c>
      <c r="B32" t="inlineStr">
        <is>
          <t>GALVEZ MACIAS,FRANCISCO</t>
        </is>
      </c>
      <c r="E32" t="n">
        <v>2026</v>
      </c>
      <c r="F32" t="n">
        <v>1</v>
      </c>
      <c r="G32" t="inlineStr">
        <is>
          <t>CITRICOS</t>
        </is>
      </c>
      <c r="H32" t="inlineStr">
        <is>
          <t>SALUSTIANA</t>
        </is>
      </c>
      <c r="I32" t="n">
        <v>152</v>
      </c>
      <c r="J32" t="n">
        <v>862</v>
      </c>
      <c r="K32" t="n">
        <v>0</v>
      </c>
      <c r="L32" t="n">
        <v>862</v>
      </c>
      <c r="M32" t="inlineStr">
        <is>
          <t>Sí</t>
        </is>
      </c>
      <c r="N32" t="inlineStr"/>
      <c r="O32" t="inlineStr">
        <is>
          <t>Informativa</t>
        </is>
      </c>
      <c r="P32" t="inlineStr">
        <is>
          <t>No interviene en el prorrateo</t>
        </is>
      </c>
    </row>
    <row r="33">
      <c r="A33" t="n">
        <v>937</v>
      </c>
      <c r="B33" t="inlineStr">
        <is>
          <t>GALVEZ MACIAS,FRANCISCO</t>
        </is>
      </c>
      <c r="E33" t="n">
        <v>2026</v>
      </c>
      <c r="F33" t="n">
        <v>1</v>
      </c>
      <c r="G33" t="inlineStr">
        <is>
          <t>CITRICOS</t>
        </is>
      </c>
      <c r="H33" t="inlineStr">
        <is>
          <t>SALUSTIANA</t>
        </is>
      </c>
      <c r="I33" t="n">
        <v>152</v>
      </c>
      <c r="J33" t="n">
        <v>12952</v>
      </c>
      <c r="K33" t="n">
        <v>9687</v>
      </c>
      <c r="L33" t="n">
        <v>9687</v>
      </c>
      <c r="M33" t="inlineStr">
        <is>
          <t>Sí</t>
        </is>
      </c>
      <c r="N33" t="inlineStr"/>
      <c r="O33" t="inlineStr">
        <is>
          <t>Informativa</t>
        </is>
      </c>
      <c r="P33" t="inlineStr">
        <is>
          <t>No interviene en el prorrateo</t>
        </is>
      </c>
    </row>
    <row r="34">
      <c r="A34" t="n">
        <v>937</v>
      </c>
      <c r="B34" t="inlineStr">
        <is>
          <t>GALVEZ MACIAS,FRANCISCO</t>
        </is>
      </c>
      <c r="E34" t="n">
        <v>2026</v>
      </c>
      <c r="F34" t="n">
        <v>1</v>
      </c>
      <c r="G34" t="inlineStr">
        <is>
          <t>CITRICOS</t>
        </is>
      </c>
      <c r="H34" t="inlineStr">
        <is>
          <t>SALUSTIANA</t>
        </is>
      </c>
      <c r="I34" t="n">
        <v>152</v>
      </c>
      <c r="J34" t="n">
        <v>2680</v>
      </c>
      <c r="K34" t="n">
        <v>0</v>
      </c>
      <c r="L34" t="n">
        <v>2680</v>
      </c>
      <c r="M34" t="inlineStr">
        <is>
          <t>Sí</t>
        </is>
      </c>
      <c r="N34" t="inlineStr"/>
      <c r="O34" t="inlineStr">
        <is>
          <t>Informativa</t>
        </is>
      </c>
      <c r="P34" t="inlineStr">
        <is>
          <t>No interviene en el prorrateo</t>
        </is>
      </c>
    </row>
    <row r="35">
      <c r="A35" t="n">
        <v>937</v>
      </c>
      <c r="B35" t="inlineStr">
        <is>
          <t>GALVEZ MACIAS,FRANCISCO</t>
        </is>
      </c>
      <c r="E35" t="n">
        <v>2026</v>
      </c>
      <c r="F35" t="n">
        <v>1</v>
      </c>
      <c r="G35" t="inlineStr">
        <is>
          <t>CITRICOS</t>
        </is>
      </c>
      <c r="H35" t="inlineStr">
        <is>
          <t>SALUSTIANA</t>
        </is>
      </c>
      <c r="I35" t="n">
        <v>152</v>
      </c>
      <c r="J35" t="n">
        <v>24280</v>
      </c>
      <c r="K35" t="n">
        <v>12065</v>
      </c>
      <c r="L35" t="n">
        <v>12065</v>
      </c>
      <c r="M35" t="inlineStr">
        <is>
          <t>Sí</t>
        </is>
      </c>
      <c r="N35" t="inlineStr"/>
      <c r="O35" t="inlineStr">
        <is>
          <t>Informativa</t>
        </is>
      </c>
      <c r="P35" t="inlineStr">
        <is>
          <t>No interviene en el prorrateo</t>
        </is>
      </c>
    </row>
    <row r="36">
      <c r="A36" t="n">
        <v>937</v>
      </c>
      <c r="B36" t="inlineStr">
        <is>
          <t>GALVEZ MACIAS,FRANCISCO</t>
        </is>
      </c>
      <c r="E36" t="n">
        <v>2026</v>
      </c>
      <c r="F36" t="n">
        <v>1</v>
      </c>
      <c r="G36" t="inlineStr">
        <is>
          <t>CITRICOS</t>
        </is>
      </c>
      <c r="H36" t="inlineStr">
        <is>
          <t>SALUSTIANA</t>
        </is>
      </c>
      <c r="I36" t="n">
        <v>152</v>
      </c>
      <c r="J36" t="n">
        <v>14590</v>
      </c>
      <c r="K36" t="n">
        <v>0</v>
      </c>
      <c r="L36" t="n">
        <v>14590</v>
      </c>
      <c r="M36" t="inlineStr">
        <is>
          <t>Sí</t>
        </is>
      </c>
      <c r="N36" t="inlineStr"/>
      <c r="O36" t="inlineStr">
        <is>
          <t>Informativa</t>
        </is>
      </c>
      <c r="P36" t="inlineStr">
        <is>
          <t>No interviene en el prorrateo</t>
        </is>
      </c>
    </row>
    <row r="37">
      <c r="A37" t="n">
        <v>937</v>
      </c>
      <c r="B37" t="inlineStr">
        <is>
          <t>GALVEZ MACIAS,FRANCISCO</t>
        </is>
      </c>
      <c r="E37" t="n">
        <v>2026</v>
      </c>
      <c r="F37" t="n">
        <v>1</v>
      </c>
      <c r="G37" t="inlineStr">
        <is>
          <t>CITRICOS</t>
        </is>
      </c>
      <c r="H37" t="inlineStr">
        <is>
          <t>SALUSTIANA</t>
        </is>
      </c>
      <c r="I37" t="n">
        <v>152</v>
      </c>
      <c r="J37" t="n">
        <v>24700</v>
      </c>
      <c r="K37" t="n">
        <v>8044</v>
      </c>
      <c r="L37" t="n">
        <v>8044</v>
      </c>
      <c r="M37" t="inlineStr">
        <is>
          <t>Sí</t>
        </is>
      </c>
      <c r="N37" t="inlineStr"/>
      <c r="O37" t="inlineStr">
        <is>
          <t>Informativa</t>
        </is>
      </c>
      <c r="P37" t="inlineStr">
        <is>
          <t>No interviene en el prorrateo</t>
        </is>
      </c>
    </row>
    <row r="38">
      <c r="A38" t="n">
        <v>937</v>
      </c>
      <c r="B38" t="inlineStr">
        <is>
          <t>GALVEZ MACIAS,FRANCISCO</t>
        </is>
      </c>
      <c r="E38" t="n">
        <v>2026</v>
      </c>
      <c r="F38" t="n">
        <v>1</v>
      </c>
      <c r="G38" t="inlineStr">
        <is>
          <t>CITRICOS</t>
        </is>
      </c>
      <c r="H38" t="inlineStr">
        <is>
          <t>SALUSTIANA</t>
        </is>
      </c>
      <c r="I38" t="n">
        <v>152</v>
      </c>
      <c r="J38" t="n">
        <v>25225</v>
      </c>
      <c r="K38" t="n">
        <v>3016</v>
      </c>
      <c r="L38" t="n">
        <v>3016</v>
      </c>
      <c r="M38" t="inlineStr">
        <is>
          <t>Sí</t>
        </is>
      </c>
      <c r="N38" t="inlineStr"/>
      <c r="O38" t="inlineStr">
        <is>
          <t>Informativa</t>
        </is>
      </c>
      <c r="P38" t="inlineStr">
        <is>
          <t>No interviene en el prorrateo</t>
        </is>
      </c>
    </row>
    <row r="39">
      <c r="A39" t="n">
        <v>937</v>
      </c>
      <c r="B39" t="inlineStr">
        <is>
          <t>GALVEZ MACIAS,FRANCISCO</t>
        </is>
      </c>
      <c r="E39" t="n">
        <v>2026</v>
      </c>
      <c r="F39" t="n">
        <v>1</v>
      </c>
      <c r="G39" t="inlineStr">
        <is>
          <t>CITRICOS</t>
        </is>
      </c>
      <c r="H39" t="inlineStr">
        <is>
          <t>SALUSTIANA</t>
        </is>
      </c>
      <c r="I39" t="n">
        <v>152</v>
      </c>
      <c r="J39" t="n">
        <v>15170</v>
      </c>
      <c r="K39" t="n">
        <v>8309</v>
      </c>
      <c r="L39" t="n">
        <v>8309</v>
      </c>
      <c r="M39" t="inlineStr">
        <is>
          <t>Sí</t>
        </is>
      </c>
      <c r="N39" t="inlineStr"/>
      <c r="O39" t="inlineStr">
        <is>
          <t>Informativa</t>
        </is>
      </c>
      <c r="P39" t="inlineStr">
        <is>
          <t>No interviene en el prorrateo</t>
        </is>
      </c>
    </row>
    <row r="40">
      <c r="A40" t="n">
        <v>937</v>
      </c>
      <c r="B40" t="inlineStr">
        <is>
          <t>GALVEZ MACIAS,FRANCISCO</t>
        </is>
      </c>
      <c r="E40" t="n">
        <v>2026</v>
      </c>
      <c r="F40" t="n">
        <v>1</v>
      </c>
      <c r="G40" t="inlineStr">
        <is>
          <t>CITRICOS</t>
        </is>
      </c>
      <c r="H40" t="inlineStr">
        <is>
          <t>SALUSTIANA</t>
        </is>
      </c>
      <c r="I40" t="n">
        <v>152</v>
      </c>
      <c r="J40" t="n">
        <v>14250</v>
      </c>
      <c r="K40" t="n">
        <v>0</v>
      </c>
      <c r="L40" t="n">
        <v>14250</v>
      </c>
      <c r="M40" t="inlineStr">
        <is>
          <t>Sí</t>
        </is>
      </c>
      <c r="N40" t="inlineStr"/>
      <c r="O40" t="inlineStr">
        <is>
          <t>Informativa</t>
        </is>
      </c>
      <c r="P40" t="inlineStr">
        <is>
          <t>No interviene en el prorrateo</t>
        </is>
      </c>
    </row>
    <row r="41">
      <c r="A41" t="n">
        <v>937</v>
      </c>
      <c r="B41" t="inlineStr">
        <is>
          <t>GALVEZ MACIAS,FRANCISCO</t>
        </is>
      </c>
      <c r="E41" t="n">
        <v>2026</v>
      </c>
      <c r="F41" t="n">
        <v>1</v>
      </c>
      <c r="G41" t="inlineStr">
        <is>
          <t>CITRICOS</t>
        </is>
      </c>
      <c r="H41" t="inlineStr">
        <is>
          <t>SALUSTIANA</t>
        </is>
      </c>
      <c r="I41" t="n">
        <v>152</v>
      </c>
      <c r="J41" t="n">
        <v>15325</v>
      </c>
      <c r="K41" t="n">
        <v>5187</v>
      </c>
      <c r="L41" t="n">
        <v>5187</v>
      </c>
      <c r="M41" t="inlineStr">
        <is>
          <t>Sí</t>
        </is>
      </c>
      <c r="N41" t="inlineStr"/>
      <c r="O41" t="inlineStr">
        <is>
          <t>Informativa</t>
        </is>
      </c>
      <c r="P41" t="inlineStr">
        <is>
          <t>No interviene en el prorrateo</t>
        </is>
      </c>
    </row>
    <row r="42">
      <c r="A42" t="n">
        <v>937</v>
      </c>
      <c r="B42" t="inlineStr">
        <is>
          <t>GALVEZ MACIAS,FRANCISCO</t>
        </is>
      </c>
      <c r="E42" t="n">
        <v>2026</v>
      </c>
      <c r="F42" t="n">
        <v>1</v>
      </c>
      <c r="G42" t="inlineStr">
        <is>
          <t>CITRICOS</t>
        </is>
      </c>
      <c r="H42" t="inlineStr">
        <is>
          <t>SALUSTIANA</t>
        </is>
      </c>
      <c r="I42" t="n">
        <v>152</v>
      </c>
      <c r="J42" t="n">
        <v>19970</v>
      </c>
      <c r="K42" t="n">
        <v>13436</v>
      </c>
      <c r="L42" t="n">
        <v>13436</v>
      </c>
      <c r="M42" t="inlineStr">
        <is>
          <t>Sí</t>
        </is>
      </c>
      <c r="N42" t="inlineStr"/>
      <c r="O42" t="inlineStr">
        <is>
          <t>Informativa</t>
        </is>
      </c>
      <c r="P42" t="inlineStr">
        <is>
          <t>No interviene en el prorrateo</t>
        </is>
      </c>
    </row>
    <row r="43">
      <c r="A43" t="n">
        <v>937</v>
      </c>
      <c r="B43" t="inlineStr">
        <is>
          <t>GALVEZ MACIAS,FRANCISCO</t>
        </is>
      </c>
      <c r="E43" t="n">
        <v>2026</v>
      </c>
      <c r="F43" t="n">
        <v>1</v>
      </c>
      <c r="G43" t="inlineStr">
        <is>
          <t>CITRICOS</t>
        </is>
      </c>
      <c r="H43" t="inlineStr">
        <is>
          <t>SALUSTIANA</t>
        </is>
      </c>
      <c r="I43" t="n">
        <v>152</v>
      </c>
      <c r="J43" t="n">
        <v>15010</v>
      </c>
      <c r="K43" t="n">
        <v>8298</v>
      </c>
      <c r="L43" t="n">
        <v>8298</v>
      </c>
      <c r="M43" t="inlineStr">
        <is>
          <t>Sí</t>
        </is>
      </c>
      <c r="N43" t="inlineStr"/>
      <c r="O43" t="inlineStr">
        <is>
          <t>Informativa</t>
        </is>
      </c>
      <c r="P43" t="inlineStr">
        <is>
          <t>No interviene en el prorrateo</t>
        </is>
      </c>
    </row>
    <row r="44">
      <c r="A44" t="n">
        <v>937</v>
      </c>
      <c r="B44" t="inlineStr">
        <is>
          <t>GALVEZ MACIAS,FRANCISCO</t>
        </is>
      </c>
      <c r="E44" t="n">
        <v>2026</v>
      </c>
      <c r="F44" t="n">
        <v>1</v>
      </c>
      <c r="G44" t="inlineStr">
        <is>
          <t>CITRICOS</t>
        </is>
      </c>
      <c r="H44" t="inlineStr">
        <is>
          <t>LANE LATE</t>
        </is>
      </c>
      <c r="I44" t="n">
        <v>588</v>
      </c>
      <c r="J44" t="n">
        <v>10940</v>
      </c>
      <c r="K44" t="n">
        <v>0</v>
      </c>
      <c r="L44" t="n">
        <v>10940</v>
      </c>
      <c r="M44" t="inlineStr">
        <is>
          <t>Sí</t>
        </is>
      </c>
      <c r="N44" t="inlineStr"/>
      <c r="O44" t="inlineStr">
        <is>
          <t>Informativa</t>
        </is>
      </c>
      <c r="P44" t="inlineStr">
        <is>
          <t>No interviene en el prorrateo</t>
        </is>
      </c>
    </row>
    <row r="45">
      <c r="A45" t="n">
        <v>937</v>
      </c>
      <c r="B45" t="inlineStr">
        <is>
          <t>GALVEZ MACIAS,FRANCISCO</t>
        </is>
      </c>
      <c r="E45" t="n">
        <v>2026</v>
      </c>
      <c r="F45" t="n">
        <v>1</v>
      </c>
      <c r="G45" t="inlineStr">
        <is>
          <t>DIRECTO</t>
        </is>
      </c>
      <c r="H45" t="inlineStr">
        <is>
          <t>SALUSTIANA</t>
        </is>
      </c>
      <c r="I45" t="n">
        <v>440</v>
      </c>
      <c r="J45" t="n">
        <v>21380</v>
      </c>
      <c r="K45" t="n">
        <v>0</v>
      </c>
      <c r="L45" t="n">
        <v>21380</v>
      </c>
      <c r="M45" t="inlineStr">
        <is>
          <t>Sí</t>
        </is>
      </c>
      <c r="N45" t="inlineStr"/>
      <c r="O45" t="inlineStr">
        <is>
          <t>Informativa</t>
        </is>
      </c>
      <c r="P45" t="inlineStr">
        <is>
          <t>No interviene en el prorrateo</t>
        </is>
      </c>
    </row>
    <row r="46">
      <c r="A46" t="n">
        <v>937</v>
      </c>
      <c r="B46" t="inlineStr">
        <is>
          <t>GALVEZ MACIAS,FRANCISCO</t>
        </is>
      </c>
      <c r="E46" t="n">
        <v>2026</v>
      </c>
      <c r="F46" t="n">
        <v>1</v>
      </c>
      <c r="G46" t="inlineStr">
        <is>
          <t>DIRECTO</t>
        </is>
      </c>
      <c r="H46" t="inlineStr">
        <is>
          <t>SALUSTIANA</t>
        </is>
      </c>
      <c r="I46" t="n">
        <v>440</v>
      </c>
      <c r="J46" t="n">
        <v>15900</v>
      </c>
      <c r="K46" t="n">
        <v>0</v>
      </c>
      <c r="L46" t="n">
        <v>15900</v>
      </c>
      <c r="M46" t="inlineStr">
        <is>
          <t>Sí</t>
        </is>
      </c>
      <c r="N46" t="inlineStr"/>
      <c r="O46" t="inlineStr">
        <is>
          <t>Informativa</t>
        </is>
      </c>
      <c r="P46" t="inlineStr">
        <is>
          <t>No interviene en el prorrateo</t>
        </is>
      </c>
    </row>
    <row r="47">
      <c r="A47" t="n">
        <v>937</v>
      </c>
      <c r="B47" t="inlineStr">
        <is>
          <t>GALVEZ MACIAS,FRANCISCO</t>
        </is>
      </c>
      <c r="E47" t="n">
        <v>2026</v>
      </c>
      <c r="F47" t="n">
        <v>1</v>
      </c>
      <c r="G47" t="inlineStr">
        <is>
          <t>DIRECTO</t>
        </is>
      </c>
      <c r="H47" t="inlineStr">
        <is>
          <t>SALUSTIANA</t>
        </is>
      </c>
      <c r="I47" t="n">
        <v>440</v>
      </c>
      <c r="J47" t="n">
        <v>18980</v>
      </c>
      <c r="K47" t="n">
        <v>0</v>
      </c>
      <c r="L47" t="n">
        <v>18980</v>
      </c>
      <c r="M47" t="inlineStr">
        <is>
          <t>Sí</t>
        </is>
      </c>
      <c r="N47" t="inlineStr"/>
      <c r="O47" t="inlineStr">
        <is>
          <t>Informativa</t>
        </is>
      </c>
      <c r="P47" t="inlineStr">
        <is>
          <t>No interviene en el prorrateo</t>
        </is>
      </c>
    </row>
    <row r="48">
      <c r="A48" t="n">
        <v>937</v>
      </c>
      <c r="B48" t="inlineStr">
        <is>
          <t>GALVEZ MACIAS,FRANCISCO</t>
        </is>
      </c>
      <c r="E48" t="n">
        <v>2026</v>
      </c>
      <c r="F48" t="n">
        <v>1</v>
      </c>
      <c r="G48" t="inlineStr">
        <is>
          <t>DIRECTO</t>
        </is>
      </c>
      <c r="H48" t="inlineStr">
        <is>
          <t>SALUSTIANA</t>
        </is>
      </c>
      <c r="I48" t="n">
        <v>153</v>
      </c>
      <c r="J48" t="n">
        <v>18660</v>
      </c>
      <c r="K48" t="n">
        <v>0</v>
      </c>
      <c r="L48" t="n">
        <v>18660</v>
      </c>
      <c r="M48" t="inlineStr">
        <is>
          <t>Sí</t>
        </is>
      </c>
      <c r="N48" t="inlineStr"/>
      <c r="O48" t="inlineStr">
        <is>
          <t>Informativa</t>
        </is>
      </c>
      <c r="P48" t="inlineStr">
        <is>
          <t>No interviene en el prorrateo</t>
        </is>
      </c>
    </row>
    <row r="49">
      <c r="A49" t="n">
        <v>937</v>
      </c>
      <c r="B49" t="inlineStr">
        <is>
          <t>GALVEZ MACIAS,FRANCISCO</t>
        </is>
      </c>
      <c r="E49" t="n">
        <v>2026</v>
      </c>
      <c r="F49" t="n">
        <v>1</v>
      </c>
      <c r="G49" t="inlineStr">
        <is>
          <t>DIRECTO</t>
        </is>
      </c>
      <c r="H49" t="inlineStr">
        <is>
          <t>SALUSTIANA</t>
        </is>
      </c>
      <c r="I49" t="n">
        <v>153</v>
      </c>
      <c r="J49" t="n">
        <v>20020</v>
      </c>
      <c r="K49" t="n">
        <v>0</v>
      </c>
      <c r="L49" t="n">
        <v>20020</v>
      </c>
      <c r="M49" t="inlineStr">
        <is>
          <t>Sí</t>
        </is>
      </c>
      <c r="N49" t="inlineStr"/>
      <c r="O49" t="inlineStr">
        <is>
          <t>Informativa</t>
        </is>
      </c>
      <c r="P49" t="inlineStr">
        <is>
          <t>No interviene en el prorrateo</t>
        </is>
      </c>
    </row>
    <row r="50">
      <c r="A50" t="n">
        <v>937</v>
      </c>
      <c r="B50" t="inlineStr">
        <is>
          <t>GALVEZ MACIAS,FRANCISCO</t>
        </is>
      </c>
      <c r="E50" t="n">
        <v>2026</v>
      </c>
      <c r="F50" t="n">
        <v>1</v>
      </c>
      <c r="G50" t="inlineStr">
        <is>
          <t>DIRECTO</t>
        </is>
      </c>
      <c r="H50" t="inlineStr">
        <is>
          <t>SALUSTIANA</t>
        </is>
      </c>
      <c r="I50" t="n">
        <v>440</v>
      </c>
      <c r="J50" t="n">
        <v>18530</v>
      </c>
      <c r="K50" t="n">
        <v>3489</v>
      </c>
      <c r="L50" t="n">
        <v>3489</v>
      </c>
      <c r="M50" t="inlineStr">
        <is>
          <t>Sí</t>
        </is>
      </c>
      <c r="N50" t="inlineStr"/>
      <c r="O50" t="inlineStr">
        <is>
          <t>Informativa</t>
        </is>
      </c>
      <c r="P50" t="inlineStr">
        <is>
          <t>No interviene en el prorrateo</t>
        </is>
      </c>
    </row>
    <row r="51">
      <c r="A51" t="n">
        <v>937</v>
      </c>
      <c r="B51" t="inlineStr">
        <is>
          <t>GALVEZ MACIAS,FRANCISCO</t>
        </is>
      </c>
      <c r="E51" t="n">
        <v>2026</v>
      </c>
      <c r="F51" t="n">
        <v>1</v>
      </c>
      <c r="G51" t="inlineStr">
        <is>
          <t>DIRECTO</t>
        </is>
      </c>
      <c r="H51" t="inlineStr">
        <is>
          <t>SALUSTIANA</t>
        </is>
      </c>
      <c r="I51" t="n">
        <v>153</v>
      </c>
      <c r="J51" t="n">
        <v>9960</v>
      </c>
      <c r="K51" t="n">
        <v>0</v>
      </c>
      <c r="L51" t="n">
        <v>9960</v>
      </c>
      <c r="M51" t="inlineStr">
        <is>
          <t>Sí</t>
        </is>
      </c>
      <c r="N51" t="inlineStr"/>
      <c r="O51" t="inlineStr">
        <is>
          <t>Informativa</t>
        </is>
      </c>
      <c r="P51" t="inlineStr">
        <is>
          <t>No interviene en el prorrateo</t>
        </is>
      </c>
    </row>
    <row r="52">
      <c r="A52" t="n">
        <v>937</v>
      </c>
      <c r="B52" t="inlineStr">
        <is>
          <t>GALVEZ MACIAS,FRANCISCO</t>
        </is>
      </c>
      <c r="E52" t="n">
        <v>2026</v>
      </c>
      <c r="F52" t="n">
        <v>1</v>
      </c>
      <c r="G52" t="inlineStr">
        <is>
          <t>INDUSTRIA</t>
        </is>
      </c>
      <c r="H52" t="inlineStr">
        <is>
          <t>SALUSTIANA</t>
        </is>
      </c>
      <c r="I52" t="n">
        <v>152</v>
      </c>
      <c r="J52" t="n">
        <v>11639</v>
      </c>
      <c r="K52" t="n">
        <v>645</v>
      </c>
      <c r="L52" t="n">
        <v>645</v>
      </c>
      <c r="M52" t="inlineStr">
        <is>
          <t>Sí</t>
        </is>
      </c>
      <c r="N52" t="inlineStr"/>
      <c r="O52" t="inlineStr">
        <is>
          <t>Informativa</t>
        </is>
      </c>
      <c r="P52" t="inlineStr">
        <is>
          <t>No interviene en el prorrateo</t>
        </is>
      </c>
    </row>
    <row r="53">
      <c r="A53" t="n">
        <v>937</v>
      </c>
      <c r="B53" t="inlineStr">
        <is>
          <t>GALVEZ MACIAS,FRANCISCO</t>
        </is>
      </c>
      <c r="E53" t="n">
        <v>2026</v>
      </c>
      <c r="F53" t="n">
        <v>1</v>
      </c>
      <c r="G53" t="inlineStr">
        <is>
          <t>INDUSTRIA</t>
        </is>
      </c>
      <c r="H53" t="inlineStr">
        <is>
          <t>SALUSTIANA</t>
        </is>
      </c>
      <c r="I53" t="n">
        <v>152</v>
      </c>
      <c r="J53" t="n">
        <v>270</v>
      </c>
      <c r="K53" t="n">
        <v>0</v>
      </c>
      <c r="L53" t="n">
        <v>270</v>
      </c>
      <c r="M53" t="inlineStr">
        <is>
          <t>Sí</t>
        </is>
      </c>
      <c r="N53" t="inlineStr"/>
      <c r="O53" t="inlineStr">
        <is>
          <t>Informativa</t>
        </is>
      </c>
      <c r="P53" t="inlineStr">
        <is>
          <t>No interviene en el prorrateo</t>
        </is>
      </c>
    </row>
    <row r="54">
      <c r="A54" t="n">
        <v>937</v>
      </c>
      <c r="B54" t="inlineStr">
        <is>
          <t>GALVEZ MACIAS,FRANCISCO</t>
        </is>
      </c>
      <c r="E54" t="n">
        <v>2026</v>
      </c>
      <c r="F54" t="n">
        <v>1</v>
      </c>
      <c r="G54" t="inlineStr">
        <is>
          <t>INDUSTRIA</t>
        </is>
      </c>
      <c r="H54" t="inlineStr">
        <is>
          <t>SALUSTIANA</t>
        </is>
      </c>
      <c r="I54" t="n">
        <v>152</v>
      </c>
      <c r="J54" t="n">
        <v>14275</v>
      </c>
      <c r="K54" t="n">
        <v>895</v>
      </c>
      <c r="L54" t="n">
        <v>895</v>
      </c>
      <c r="M54" t="inlineStr">
        <is>
          <t>Sí</t>
        </is>
      </c>
      <c r="N54" t="inlineStr"/>
      <c r="O54" t="inlineStr">
        <is>
          <t>Informativa</t>
        </is>
      </c>
      <c r="P54" t="inlineStr">
        <is>
          <t>No interviene en el prorrateo</t>
        </is>
      </c>
    </row>
    <row r="55">
      <c r="A55" t="n">
        <v>937</v>
      </c>
      <c r="B55" t="inlineStr">
        <is>
          <t>GALVEZ MACIAS,FRANCISCO</t>
        </is>
      </c>
      <c r="E55" t="n">
        <v>2026</v>
      </c>
      <c r="F55" t="n">
        <v>1</v>
      </c>
      <c r="G55" t="inlineStr">
        <is>
          <t>INDUSTRIA</t>
        </is>
      </c>
      <c r="H55" t="inlineStr">
        <is>
          <t>SALUSTIANA</t>
        </is>
      </c>
      <c r="I55" t="n">
        <v>152</v>
      </c>
      <c r="J55" t="n">
        <v>18395</v>
      </c>
      <c r="K55" t="n">
        <v>5169</v>
      </c>
      <c r="L55" t="n">
        <v>5169</v>
      </c>
      <c r="M55" t="inlineStr">
        <is>
          <t>Sí</t>
        </is>
      </c>
      <c r="N55" t="inlineStr"/>
      <c r="O55" t="inlineStr">
        <is>
          <t>Informativa</t>
        </is>
      </c>
      <c r="P55" t="inlineStr">
        <is>
          <t>No interviene en el prorrateo</t>
        </is>
      </c>
    </row>
    <row r="56">
      <c r="A56" t="n">
        <v>1072</v>
      </c>
      <c r="B56" t="inlineStr">
        <is>
          <t>GARCIA DELGADO,JUAN MANUEL</t>
        </is>
      </c>
      <c r="E56" t="n">
        <v>2026</v>
      </c>
      <c r="F56" t="n">
        <v>1</v>
      </c>
      <c r="G56" t="inlineStr">
        <is>
          <t>CITRICOS</t>
        </is>
      </c>
      <c r="H56" t="inlineStr">
        <is>
          <t>SALUSTIANA</t>
        </is>
      </c>
      <c r="I56" t="n">
        <v>164</v>
      </c>
      <c r="J56" t="n">
        <v>12528</v>
      </c>
      <c r="K56" t="n">
        <v>5898</v>
      </c>
      <c r="L56" t="n">
        <v>5898</v>
      </c>
      <c r="M56" t="inlineStr">
        <is>
          <t>Sí</t>
        </is>
      </c>
      <c r="N56" t="inlineStr"/>
      <c r="O56" t="inlineStr">
        <is>
          <t>Informativa</t>
        </is>
      </c>
      <c r="P56" t="inlineStr">
        <is>
          <t>No interviene en el prorrateo</t>
        </is>
      </c>
    </row>
    <row r="57">
      <c r="A57" t="n">
        <v>1072</v>
      </c>
      <c r="B57" t="inlineStr">
        <is>
          <t>GARCIA DELGADO,JUAN MANUEL</t>
        </is>
      </c>
      <c r="E57" t="n">
        <v>2026</v>
      </c>
      <c r="F57" t="n">
        <v>1</v>
      </c>
      <c r="G57" t="inlineStr">
        <is>
          <t>CITRICOS</t>
        </is>
      </c>
      <c r="H57" t="inlineStr">
        <is>
          <t>SALUSTIANA</t>
        </is>
      </c>
      <c r="I57" t="n">
        <v>164</v>
      </c>
      <c r="J57" t="n">
        <v>6000</v>
      </c>
      <c r="K57" t="n">
        <v>0</v>
      </c>
      <c r="L57" t="n">
        <v>6000</v>
      </c>
      <c r="M57" t="inlineStr">
        <is>
          <t>Sí</t>
        </is>
      </c>
      <c r="N57" t="inlineStr"/>
      <c r="O57" t="inlineStr">
        <is>
          <t>Informativa</t>
        </is>
      </c>
      <c r="P57" t="inlineStr">
        <is>
          <t>No interviene en el prorrateo</t>
        </is>
      </c>
    </row>
    <row r="58">
      <c r="A58" t="n">
        <v>1072</v>
      </c>
      <c r="B58" t="inlineStr">
        <is>
          <t>GARCIA DELGADO,JUAN MANUEL</t>
        </is>
      </c>
      <c r="E58" t="n">
        <v>2026</v>
      </c>
      <c r="F58" t="n">
        <v>1</v>
      </c>
      <c r="G58" t="inlineStr">
        <is>
          <t>CITRICOS</t>
        </is>
      </c>
      <c r="H58" t="inlineStr">
        <is>
          <t>VALENCIA DELTA</t>
        </is>
      </c>
      <c r="I58" t="n">
        <v>617</v>
      </c>
      <c r="J58" t="n">
        <v>12020</v>
      </c>
      <c r="K58" t="n">
        <v>0</v>
      </c>
      <c r="L58" t="n">
        <v>12020</v>
      </c>
      <c r="M58" t="inlineStr">
        <is>
          <t>Sí</t>
        </is>
      </c>
      <c r="N58" t="inlineStr"/>
      <c r="O58" t="inlineStr">
        <is>
          <t>Informativa</t>
        </is>
      </c>
      <c r="P58" t="inlineStr">
        <is>
          <t>No interviene en el prorrateo</t>
        </is>
      </c>
    </row>
    <row r="59">
      <c r="A59" t="n">
        <v>1072</v>
      </c>
      <c r="B59" t="inlineStr">
        <is>
          <t>GARCIA DELGADO,JUAN MANUEL</t>
        </is>
      </c>
      <c r="E59" t="n">
        <v>2026</v>
      </c>
      <c r="F59" t="n">
        <v>1</v>
      </c>
      <c r="G59" t="inlineStr">
        <is>
          <t>CITRICOS</t>
        </is>
      </c>
      <c r="H59" t="inlineStr">
        <is>
          <t>VALENCIA DELTA</t>
        </is>
      </c>
      <c r="I59" t="n">
        <v>617</v>
      </c>
      <c r="J59" t="n">
        <v>12114</v>
      </c>
      <c r="K59" t="n">
        <v>11661</v>
      </c>
      <c r="L59" t="n">
        <v>11661</v>
      </c>
      <c r="M59" t="inlineStr">
        <is>
          <t>Sí</t>
        </is>
      </c>
      <c r="N59" t="inlineStr"/>
      <c r="O59" t="inlineStr">
        <is>
          <t>Informativa</t>
        </is>
      </c>
      <c r="P59" t="inlineStr">
        <is>
          <t>No interviene en el prorrateo</t>
        </is>
      </c>
    </row>
    <row r="60">
      <c r="A60" t="n">
        <v>1072</v>
      </c>
      <c r="B60" t="inlineStr">
        <is>
          <t>GARCIA DELGADO,JUAN MANUEL</t>
        </is>
      </c>
      <c r="E60" t="n">
        <v>2026</v>
      </c>
      <c r="F60" t="n">
        <v>1</v>
      </c>
      <c r="G60" t="inlineStr">
        <is>
          <t>CITRICOS</t>
        </is>
      </c>
      <c r="H60" t="inlineStr">
        <is>
          <t>VALENCIA DELTA</t>
        </is>
      </c>
      <c r="I60" t="n">
        <v>617</v>
      </c>
      <c r="J60" t="n">
        <v>10400</v>
      </c>
      <c r="K60" t="n">
        <v>0</v>
      </c>
      <c r="L60" t="n">
        <v>10400</v>
      </c>
      <c r="M60" t="inlineStr">
        <is>
          <t>Sí</t>
        </is>
      </c>
      <c r="N60" t="inlineStr"/>
      <c r="O60" t="inlineStr">
        <is>
          <t>Informativa</t>
        </is>
      </c>
      <c r="P60" t="inlineStr">
        <is>
          <t>No interviene en el prorrateo</t>
        </is>
      </c>
    </row>
    <row r="61">
      <c r="A61" t="n">
        <v>1072</v>
      </c>
      <c r="B61" t="inlineStr">
        <is>
          <t>GARCIA DELGADO,JUAN MANUEL</t>
        </is>
      </c>
      <c r="E61" t="n">
        <v>2026</v>
      </c>
      <c r="F61" t="n">
        <v>1</v>
      </c>
      <c r="G61" t="inlineStr">
        <is>
          <t>CITRICOS</t>
        </is>
      </c>
      <c r="H61" t="inlineStr">
        <is>
          <t>VALENCIA DELTA</t>
        </is>
      </c>
      <c r="I61" t="n">
        <v>617</v>
      </c>
      <c r="J61" t="n">
        <v>12328</v>
      </c>
      <c r="K61" t="n">
        <v>0</v>
      </c>
      <c r="L61" t="n">
        <v>12328</v>
      </c>
      <c r="M61" t="inlineStr">
        <is>
          <t>Sí</t>
        </is>
      </c>
      <c r="N61" t="inlineStr"/>
      <c r="O61" t="inlineStr">
        <is>
          <t>Informativa</t>
        </is>
      </c>
      <c r="P61" t="inlineStr">
        <is>
          <t>No interviene en el prorrateo</t>
        </is>
      </c>
    </row>
    <row r="62">
      <c r="A62" t="n">
        <v>1072</v>
      </c>
      <c r="B62" t="inlineStr">
        <is>
          <t>GARCIA DELGADO,JUAN MANUEL</t>
        </is>
      </c>
      <c r="E62" t="n">
        <v>2026</v>
      </c>
      <c r="F62" t="n">
        <v>1</v>
      </c>
      <c r="G62" t="inlineStr">
        <is>
          <t>CITRICOS</t>
        </is>
      </c>
      <c r="H62" t="inlineStr">
        <is>
          <t>VALENCIA DELTA</t>
        </is>
      </c>
      <c r="I62" t="n">
        <v>617</v>
      </c>
      <c r="J62" t="n">
        <v>10963</v>
      </c>
      <c r="K62" t="n">
        <v>10254</v>
      </c>
      <c r="L62" t="n">
        <v>10254</v>
      </c>
      <c r="M62" t="inlineStr">
        <is>
          <t>Sí</t>
        </is>
      </c>
      <c r="N62" t="inlineStr"/>
      <c r="O62" t="inlineStr">
        <is>
          <t>Informativa</t>
        </is>
      </c>
      <c r="P62" t="inlineStr">
        <is>
          <t>No interviene en el prorrateo</t>
        </is>
      </c>
    </row>
    <row r="63">
      <c r="A63" t="n">
        <v>1072</v>
      </c>
      <c r="B63" t="inlineStr">
        <is>
          <t>GARCIA DELGADO,JUAN MANUEL</t>
        </is>
      </c>
      <c r="E63" t="n">
        <v>2026</v>
      </c>
      <c r="F63" t="n">
        <v>1</v>
      </c>
      <c r="G63" t="inlineStr">
        <is>
          <t>CITRICOS</t>
        </is>
      </c>
      <c r="H63" t="inlineStr">
        <is>
          <t>VALENCIA DELTA</t>
        </is>
      </c>
      <c r="I63" t="n">
        <v>617</v>
      </c>
      <c r="J63" t="n">
        <v>12200</v>
      </c>
      <c r="K63" t="n">
        <v>0</v>
      </c>
      <c r="L63" t="n">
        <v>12200</v>
      </c>
      <c r="M63" t="inlineStr">
        <is>
          <t>Sí</t>
        </is>
      </c>
      <c r="N63" t="inlineStr"/>
      <c r="O63" t="inlineStr">
        <is>
          <t>Informativa</t>
        </is>
      </c>
      <c r="P63" t="inlineStr">
        <is>
          <t>No interviene en el prorrateo</t>
        </is>
      </c>
    </row>
    <row r="64">
      <c r="A64" t="n">
        <v>1072</v>
      </c>
      <c r="B64" t="inlineStr">
        <is>
          <t>GARCIA DELGADO,JUAN MANUEL</t>
        </is>
      </c>
      <c r="E64" t="n">
        <v>2026</v>
      </c>
      <c r="F64" t="n">
        <v>1</v>
      </c>
      <c r="G64" t="inlineStr">
        <is>
          <t>CITRICOS</t>
        </is>
      </c>
      <c r="H64" t="inlineStr">
        <is>
          <t>VALENCIA DELTA</t>
        </is>
      </c>
      <c r="I64" t="n">
        <v>617</v>
      </c>
      <c r="J64" t="n">
        <v>12162</v>
      </c>
      <c r="K64" t="n">
        <v>11747</v>
      </c>
      <c r="L64" t="n">
        <v>11747</v>
      </c>
      <c r="M64" t="inlineStr">
        <is>
          <t>Sí</t>
        </is>
      </c>
      <c r="N64" t="inlineStr"/>
      <c r="O64" t="inlineStr">
        <is>
          <t>Informativa</t>
        </is>
      </c>
      <c r="P64" t="inlineStr">
        <is>
          <t>No interviene en el prorrateo</t>
        </is>
      </c>
    </row>
    <row r="65">
      <c r="A65" t="n">
        <v>1072</v>
      </c>
      <c r="B65" t="inlineStr">
        <is>
          <t>GARCIA DELGADO,JUAN MANUEL</t>
        </is>
      </c>
      <c r="E65" t="n">
        <v>2026</v>
      </c>
      <c r="F65" t="n">
        <v>1</v>
      </c>
      <c r="G65" t="inlineStr">
        <is>
          <t>CITRICOS</t>
        </is>
      </c>
      <c r="H65" t="inlineStr">
        <is>
          <t>VALENCIA DELTA</t>
        </is>
      </c>
      <c r="I65" t="n">
        <v>617</v>
      </c>
      <c r="J65" t="n">
        <v>11731</v>
      </c>
      <c r="K65" t="n">
        <v>11032</v>
      </c>
      <c r="L65" t="n">
        <v>11032</v>
      </c>
      <c r="M65" t="inlineStr">
        <is>
          <t>Sí</t>
        </is>
      </c>
      <c r="N65" t="inlineStr"/>
      <c r="O65" t="inlineStr">
        <is>
          <t>Informativa</t>
        </is>
      </c>
      <c r="P65" t="inlineStr">
        <is>
          <t>No interviene en el prorrateo</t>
        </is>
      </c>
    </row>
    <row r="66">
      <c r="A66" t="n">
        <v>1072</v>
      </c>
      <c r="B66" t="inlineStr">
        <is>
          <t>GARCIA DELGADO,JUAN MANUEL</t>
        </is>
      </c>
      <c r="E66" t="n">
        <v>2026</v>
      </c>
      <c r="F66" t="n">
        <v>1</v>
      </c>
      <c r="G66" t="inlineStr">
        <is>
          <t>INDUSTRIA</t>
        </is>
      </c>
      <c r="H66" t="inlineStr">
        <is>
          <t>VALENCIA DELTA</t>
        </is>
      </c>
      <c r="I66" t="n">
        <v>617</v>
      </c>
      <c r="J66" t="n">
        <v>12946</v>
      </c>
      <c r="K66" t="n">
        <v>456</v>
      </c>
      <c r="L66" t="n">
        <v>456</v>
      </c>
      <c r="M66" t="inlineStr">
        <is>
          <t>Sí</t>
        </is>
      </c>
      <c r="N66" t="inlineStr"/>
      <c r="O66" t="inlineStr">
        <is>
          <t>Informativa</t>
        </is>
      </c>
      <c r="P66" t="inlineStr">
        <is>
          <t>No interviene en el prorrateo</t>
        </is>
      </c>
    </row>
    <row r="67">
      <c r="A67" t="n">
        <v>1072</v>
      </c>
      <c r="B67" t="inlineStr">
        <is>
          <t>GARCIA DELGADO,JUAN MANUEL</t>
        </is>
      </c>
      <c r="E67" t="n">
        <v>2026</v>
      </c>
      <c r="F67" t="n">
        <v>1</v>
      </c>
      <c r="G67" t="inlineStr">
        <is>
          <t>INDUSTRIA</t>
        </is>
      </c>
      <c r="H67" t="inlineStr">
        <is>
          <t>VALENCIA DELTA</t>
        </is>
      </c>
      <c r="I67" t="n">
        <v>617</v>
      </c>
      <c r="J67" t="n">
        <v>12006</v>
      </c>
      <c r="K67" t="n">
        <v>399</v>
      </c>
      <c r="L67" t="n">
        <v>399</v>
      </c>
      <c r="M67" t="inlineStr">
        <is>
          <t>Sí</t>
        </is>
      </c>
      <c r="N67" t="inlineStr"/>
      <c r="O67" t="inlineStr">
        <is>
          <t>Informativa</t>
        </is>
      </c>
      <c r="P67" t="inlineStr">
        <is>
          <t>No interviene en el prorrateo</t>
        </is>
      </c>
    </row>
    <row r="68">
      <c r="A68" t="n">
        <v>1072</v>
      </c>
      <c r="B68" t="inlineStr">
        <is>
          <t>GARCIA DELGADO,JUAN MANUEL</t>
        </is>
      </c>
      <c r="E68" t="n">
        <v>2026</v>
      </c>
      <c r="F68" t="n">
        <v>1</v>
      </c>
      <c r="G68" t="inlineStr">
        <is>
          <t>INDUSTRIA</t>
        </is>
      </c>
      <c r="H68" t="inlineStr">
        <is>
          <t>VALENCIA DELTA</t>
        </is>
      </c>
      <c r="I68" t="n">
        <v>617</v>
      </c>
      <c r="J68" t="n">
        <v>10666</v>
      </c>
      <c r="K68" t="n">
        <v>466</v>
      </c>
      <c r="L68" t="n">
        <v>466</v>
      </c>
      <c r="M68" t="inlineStr">
        <is>
          <t>Sí</t>
        </is>
      </c>
      <c r="N68" t="inlineStr"/>
      <c r="O68" t="inlineStr">
        <is>
          <t>Informativa</t>
        </is>
      </c>
      <c r="P68" t="inlineStr">
        <is>
          <t>No interviene en el prorrateo</t>
        </is>
      </c>
    </row>
    <row r="69">
      <c r="A69" t="n">
        <v>1072</v>
      </c>
      <c r="B69" t="inlineStr">
        <is>
          <t>GARCIA DELGADO,JUAN MANUEL</t>
        </is>
      </c>
      <c r="E69" t="n">
        <v>2026</v>
      </c>
      <c r="F69" t="n">
        <v>1</v>
      </c>
      <c r="G69" t="inlineStr">
        <is>
          <t>INDUSTRIA</t>
        </is>
      </c>
      <c r="H69" t="inlineStr">
        <is>
          <t>VALENCIA DELTA</t>
        </is>
      </c>
      <c r="I69" t="n">
        <v>617</v>
      </c>
      <c r="J69" t="n">
        <v>13566</v>
      </c>
      <c r="K69" t="n">
        <v>361</v>
      </c>
      <c r="L69" t="n">
        <v>361</v>
      </c>
      <c r="M69" t="inlineStr">
        <is>
          <t>Sí</t>
        </is>
      </c>
      <c r="N69" t="inlineStr"/>
      <c r="O69" t="inlineStr">
        <is>
          <t>Informativa</t>
        </is>
      </c>
      <c r="P69" t="inlineStr">
        <is>
          <t>No interviene en el prorrateo</t>
        </is>
      </c>
    </row>
    <row r="70">
      <c r="A70" t="n">
        <v>1128</v>
      </c>
      <c r="B70" t="inlineStr">
        <is>
          <t>CARRILLO PEÑALVER,JOSE</t>
        </is>
      </c>
      <c r="E70" t="n">
        <v>2026</v>
      </c>
      <c r="F70" t="n">
        <v>1</v>
      </c>
      <c r="G70" t="inlineStr">
        <is>
          <t>CITRICOS</t>
        </is>
      </c>
      <c r="H70" t="inlineStr">
        <is>
          <t>SALUSTIANA</t>
        </is>
      </c>
      <c r="I70" t="n">
        <v>120</v>
      </c>
      <c r="J70" t="n">
        <v>1370</v>
      </c>
      <c r="K70" t="n">
        <v>0</v>
      </c>
      <c r="L70" t="n">
        <v>1370</v>
      </c>
      <c r="M70" t="inlineStr">
        <is>
          <t>Sí</t>
        </is>
      </c>
      <c r="N70" t="inlineStr"/>
      <c r="O70" t="inlineStr">
        <is>
          <t>Informativa</t>
        </is>
      </c>
      <c r="P70" t="inlineStr">
        <is>
          <t>No interviene en el prorrateo</t>
        </is>
      </c>
    </row>
    <row r="71">
      <c r="A71" t="n">
        <v>1128</v>
      </c>
      <c r="B71" t="inlineStr">
        <is>
          <t>CARRILLO PEÑALVER,JOSE</t>
        </is>
      </c>
      <c r="E71" t="n">
        <v>2026</v>
      </c>
      <c r="F71" t="n">
        <v>1</v>
      </c>
      <c r="G71" t="inlineStr">
        <is>
          <t>CITRICOS</t>
        </is>
      </c>
      <c r="H71" t="inlineStr">
        <is>
          <t>SALUSTIANA</t>
        </is>
      </c>
      <c r="I71" t="n">
        <v>120</v>
      </c>
      <c r="J71" t="n">
        <v>1350</v>
      </c>
      <c r="K71" t="n">
        <v>0</v>
      </c>
      <c r="L71" t="n">
        <v>1350</v>
      </c>
      <c r="M71" t="inlineStr">
        <is>
          <t>Sí</t>
        </is>
      </c>
      <c r="N71" t="inlineStr"/>
      <c r="O71" t="inlineStr">
        <is>
          <t>Informativa</t>
        </is>
      </c>
      <c r="P71" t="inlineStr">
        <is>
          <t>No interviene en el prorrateo</t>
        </is>
      </c>
    </row>
    <row r="72">
      <c r="A72" t="n">
        <v>1128</v>
      </c>
      <c r="B72" t="inlineStr">
        <is>
          <t>CARRILLO PEÑALVER,JOSE</t>
        </is>
      </c>
      <c r="E72" t="n">
        <v>2026</v>
      </c>
      <c r="F72" t="n">
        <v>1</v>
      </c>
      <c r="G72" t="inlineStr">
        <is>
          <t>CITRICOS</t>
        </is>
      </c>
      <c r="H72" t="inlineStr">
        <is>
          <t>SALUSTIANA</t>
        </is>
      </c>
      <c r="I72" t="n">
        <v>120</v>
      </c>
      <c r="J72" t="n">
        <v>1310</v>
      </c>
      <c r="K72" t="n">
        <v>0</v>
      </c>
      <c r="L72" t="n">
        <v>1310</v>
      </c>
      <c r="M72" t="inlineStr">
        <is>
          <t>Sí</t>
        </is>
      </c>
      <c r="N72" t="inlineStr"/>
      <c r="O72" t="inlineStr">
        <is>
          <t>Informativa</t>
        </is>
      </c>
      <c r="P72" t="inlineStr">
        <is>
          <t>No interviene en el prorrateo</t>
        </is>
      </c>
    </row>
    <row r="73">
      <c r="A73" t="n">
        <v>1128</v>
      </c>
      <c r="B73" t="inlineStr">
        <is>
          <t>CARRILLO PEÑALVER,JOSE</t>
        </is>
      </c>
      <c r="E73" t="n">
        <v>2026</v>
      </c>
      <c r="F73" t="n">
        <v>1</v>
      </c>
      <c r="G73" t="inlineStr">
        <is>
          <t>CITRICOS</t>
        </is>
      </c>
      <c r="H73" t="inlineStr">
        <is>
          <t>SALUSTIANA</t>
        </is>
      </c>
      <c r="I73" t="n">
        <v>120</v>
      </c>
      <c r="J73" t="n">
        <v>1330</v>
      </c>
      <c r="K73" t="n">
        <v>0</v>
      </c>
      <c r="L73" t="n">
        <v>1330</v>
      </c>
      <c r="M73" t="inlineStr">
        <is>
          <t>Sí</t>
        </is>
      </c>
      <c r="N73" t="inlineStr"/>
      <c r="O73" t="inlineStr">
        <is>
          <t>Informativa</t>
        </is>
      </c>
      <c r="P73" t="inlineStr">
        <is>
          <t>No interviene en el prorrateo</t>
        </is>
      </c>
    </row>
    <row r="74">
      <c r="A74" t="n">
        <v>1128</v>
      </c>
      <c r="B74" t="inlineStr">
        <is>
          <t>CARRILLO PEÑALVER,JOSE</t>
        </is>
      </c>
      <c r="E74" t="n">
        <v>2026</v>
      </c>
      <c r="F74" t="n">
        <v>1</v>
      </c>
      <c r="G74" t="inlineStr">
        <is>
          <t>CITRICOS</t>
        </is>
      </c>
      <c r="H74" t="inlineStr">
        <is>
          <t>SALUSTIANA</t>
        </is>
      </c>
      <c r="I74" t="n">
        <v>120</v>
      </c>
      <c r="J74" t="n">
        <v>1400</v>
      </c>
      <c r="K74" t="n">
        <v>0</v>
      </c>
      <c r="L74" t="n">
        <v>1400</v>
      </c>
      <c r="M74" t="inlineStr">
        <is>
          <t>Sí</t>
        </is>
      </c>
      <c r="N74" t="inlineStr"/>
      <c r="O74" t="inlineStr">
        <is>
          <t>Informativa</t>
        </is>
      </c>
      <c r="P74" t="inlineStr">
        <is>
          <t>No interviene en el prorrateo</t>
        </is>
      </c>
    </row>
    <row r="75">
      <c r="A75" t="n">
        <v>1128</v>
      </c>
      <c r="B75" t="inlineStr">
        <is>
          <t>CARRILLO PEÑALVER,JOSE</t>
        </is>
      </c>
      <c r="E75" t="n">
        <v>2026</v>
      </c>
      <c r="F75" t="n">
        <v>1</v>
      </c>
      <c r="G75" t="inlineStr">
        <is>
          <t>CITRICOS</t>
        </is>
      </c>
      <c r="H75" t="inlineStr">
        <is>
          <t>SALUSTIANA</t>
        </is>
      </c>
      <c r="I75" t="n">
        <v>120</v>
      </c>
      <c r="J75" t="n">
        <v>1506</v>
      </c>
      <c r="K75" t="n">
        <v>706</v>
      </c>
      <c r="L75" t="n">
        <v>706</v>
      </c>
      <c r="M75" t="inlineStr">
        <is>
          <t>Sí</t>
        </is>
      </c>
      <c r="N75" t="inlineStr"/>
      <c r="O75" t="inlineStr">
        <is>
          <t>Informativa</t>
        </is>
      </c>
      <c r="P75" t="inlineStr">
        <is>
          <t>No interviene en el prorrateo</t>
        </is>
      </c>
    </row>
    <row r="76">
      <c r="A76" t="n">
        <v>1128</v>
      </c>
      <c r="B76" t="inlineStr">
        <is>
          <t>CARRILLO PEÑALVER,JOSE</t>
        </is>
      </c>
      <c r="E76" t="n">
        <v>2026</v>
      </c>
      <c r="F76" t="n">
        <v>1</v>
      </c>
      <c r="G76" t="inlineStr">
        <is>
          <t>CITRICOS</t>
        </is>
      </c>
      <c r="H76" t="inlineStr">
        <is>
          <t>SALUSTIANA</t>
        </is>
      </c>
      <c r="I76" t="n">
        <v>120</v>
      </c>
      <c r="J76" t="n">
        <v>1365</v>
      </c>
      <c r="K76" t="n">
        <v>995</v>
      </c>
      <c r="L76" t="n">
        <v>995</v>
      </c>
      <c r="M76" t="inlineStr">
        <is>
          <t>Sí</t>
        </is>
      </c>
      <c r="N76" t="inlineStr"/>
      <c r="O76" t="inlineStr">
        <is>
          <t>Informativa</t>
        </is>
      </c>
      <c r="P76" t="inlineStr">
        <is>
          <t>No interviene en el prorrateo</t>
        </is>
      </c>
    </row>
    <row r="77">
      <c r="A77" t="n">
        <v>1128</v>
      </c>
      <c r="B77" t="inlineStr">
        <is>
          <t>CARRILLO PEÑALVER,JOSE</t>
        </is>
      </c>
      <c r="E77" t="n">
        <v>2026</v>
      </c>
      <c r="F77" t="n">
        <v>1</v>
      </c>
      <c r="G77" t="inlineStr">
        <is>
          <t>CITRICOS</t>
        </is>
      </c>
      <c r="H77" t="inlineStr">
        <is>
          <t>SALUSTIANA</t>
        </is>
      </c>
      <c r="I77" t="n">
        <v>120</v>
      </c>
      <c r="J77" t="n">
        <v>1410</v>
      </c>
      <c r="K77" t="n">
        <v>0</v>
      </c>
      <c r="L77" t="n">
        <v>1410</v>
      </c>
      <c r="M77" t="inlineStr">
        <is>
          <t>Sí</t>
        </is>
      </c>
      <c r="N77" t="inlineStr"/>
      <c r="O77" t="inlineStr">
        <is>
          <t>Informativa</t>
        </is>
      </c>
      <c r="P77" t="inlineStr">
        <is>
          <t>No interviene en el prorrateo</t>
        </is>
      </c>
    </row>
    <row r="78">
      <c r="A78" t="n">
        <v>1128</v>
      </c>
      <c r="B78" t="inlineStr">
        <is>
          <t>CARRILLO PEÑALVER,JOSE</t>
        </is>
      </c>
      <c r="E78" t="n">
        <v>2026</v>
      </c>
      <c r="F78" t="n">
        <v>1</v>
      </c>
      <c r="G78" t="inlineStr">
        <is>
          <t>CITRICOS</t>
        </is>
      </c>
      <c r="H78" t="inlineStr">
        <is>
          <t>SALUSTIANA</t>
        </is>
      </c>
      <c r="I78" t="n">
        <v>120</v>
      </c>
      <c r="J78" t="n">
        <v>1435</v>
      </c>
      <c r="K78" t="n">
        <v>1022</v>
      </c>
      <c r="L78" t="n">
        <v>1022</v>
      </c>
      <c r="M78" t="inlineStr">
        <is>
          <t>Sí</t>
        </is>
      </c>
      <c r="N78" t="inlineStr"/>
      <c r="O78" t="inlineStr">
        <is>
          <t>Informativa</t>
        </is>
      </c>
      <c r="P78" t="inlineStr">
        <is>
          <t>No interviene en el prorrateo</t>
        </is>
      </c>
    </row>
    <row r="79">
      <c r="A79" t="n">
        <v>1128</v>
      </c>
      <c r="B79" t="inlineStr">
        <is>
          <t>CARRILLO PEÑALVER,JOSE</t>
        </is>
      </c>
      <c r="E79" t="n">
        <v>2026</v>
      </c>
      <c r="F79" t="n">
        <v>1</v>
      </c>
      <c r="G79" t="inlineStr">
        <is>
          <t>CITRICOS</t>
        </is>
      </c>
      <c r="H79" t="inlineStr">
        <is>
          <t>SALUSTIANA</t>
        </is>
      </c>
      <c r="I79" t="n">
        <v>120</v>
      </c>
      <c r="J79" t="n">
        <v>1435</v>
      </c>
      <c r="K79" t="n">
        <v>1035</v>
      </c>
      <c r="L79" t="n">
        <v>1035</v>
      </c>
      <c r="M79" t="inlineStr">
        <is>
          <t>Sí</t>
        </is>
      </c>
      <c r="N79" t="inlineStr"/>
      <c r="O79" t="inlineStr">
        <is>
          <t>Informativa</t>
        </is>
      </c>
      <c r="P79" t="inlineStr">
        <is>
          <t>No interviene en el prorrateo</t>
        </is>
      </c>
    </row>
    <row r="80">
      <c r="A80" t="n">
        <v>1128</v>
      </c>
      <c r="B80" t="inlineStr">
        <is>
          <t>CARRILLO PEÑALVER,JOSE</t>
        </is>
      </c>
      <c r="E80" t="n">
        <v>2026</v>
      </c>
      <c r="F80" t="n">
        <v>1</v>
      </c>
      <c r="G80" t="inlineStr">
        <is>
          <t>CITRICOS</t>
        </is>
      </c>
      <c r="H80" t="inlineStr">
        <is>
          <t>SALUSTIANA</t>
        </is>
      </c>
      <c r="I80" t="n">
        <v>120</v>
      </c>
      <c r="J80" t="n">
        <v>1530</v>
      </c>
      <c r="K80" t="n">
        <v>710</v>
      </c>
      <c r="L80" t="n">
        <v>710</v>
      </c>
      <c r="M80" t="inlineStr">
        <is>
          <t>Sí</t>
        </is>
      </c>
      <c r="N80" t="inlineStr"/>
      <c r="O80" t="inlineStr">
        <is>
          <t>Informativa</t>
        </is>
      </c>
      <c r="P80" t="inlineStr">
        <is>
          <t>No interviene en el prorrateo</t>
        </is>
      </c>
    </row>
    <row r="81">
      <c r="A81" t="n">
        <v>1128</v>
      </c>
      <c r="B81" t="inlineStr">
        <is>
          <t>CARRILLO PEÑALVER,JOSE</t>
        </is>
      </c>
      <c r="E81" t="n">
        <v>2026</v>
      </c>
      <c r="F81" t="n">
        <v>1</v>
      </c>
      <c r="G81" t="inlineStr">
        <is>
          <t>CITRICOS</t>
        </is>
      </c>
      <c r="H81" t="inlineStr">
        <is>
          <t>SALUSTIANA</t>
        </is>
      </c>
      <c r="I81" t="n">
        <v>120</v>
      </c>
      <c r="J81" t="n">
        <v>1410</v>
      </c>
      <c r="K81" t="n">
        <v>600</v>
      </c>
      <c r="L81" t="n">
        <v>600</v>
      </c>
      <c r="M81" t="inlineStr">
        <is>
          <t>Sí</t>
        </is>
      </c>
      <c r="N81" t="inlineStr"/>
      <c r="O81" t="inlineStr">
        <is>
          <t>Informativa</t>
        </is>
      </c>
      <c r="P81" t="inlineStr">
        <is>
          <t>No interviene en el prorrateo</t>
        </is>
      </c>
    </row>
    <row r="82">
      <c r="A82" t="n">
        <v>1128</v>
      </c>
      <c r="B82" t="inlineStr">
        <is>
          <t>CARRILLO PEÑALVER,JOSE</t>
        </is>
      </c>
      <c r="E82" t="n">
        <v>2026</v>
      </c>
      <c r="F82" t="n">
        <v>1</v>
      </c>
      <c r="G82" t="inlineStr">
        <is>
          <t>CITRICOS</t>
        </is>
      </c>
      <c r="H82" t="inlineStr">
        <is>
          <t>SALUSTIANA</t>
        </is>
      </c>
      <c r="I82" t="n">
        <v>120</v>
      </c>
      <c r="J82" t="n">
        <v>1530</v>
      </c>
      <c r="K82" t="n">
        <v>714</v>
      </c>
      <c r="L82" t="n">
        <v>714</v>
      </c>
      <c r="M82" t="inlineStr">
        <is>
          <t>Sí</t>
        </is>
      </c>
      <c r="N82" t="inlineStr"/>
      <c r="O82" t="inlineStr">
        <is>
          <t>Informativa</t>
        </is>
      </c>
      <c r="P82" t="inlineStr">
        <is>
          <t>No interviene en el prorrateo</t>
        </is>
      </c>
    </row>
    <row r="83">
      <c r="A83" t="n">
        <v>1128</v>
      </c>
      <c r="B83" t="inlineStr">
        <is>
          <t>CARRILLO PEÑALVER,JOSE</t>
        </is>
      </c>
      <c r="E83" t="n">
        <v>2026</v>
      </c>
      <c r="F83" t="n">
        <v>1</v>
      </c>
      <c r="G83" t="inlineStr">
        <is>
          <t>CITRICOS</t>
        </is>
      </c>
      <c r="H83" t="inlineStr">
        <is>
          <t>SALUSTIANA</t>
        </is>
      </c>
      <c r="I83" t="n">
        <v>120</v>
      </c>
      <c r="J83" t="n">
        <v>1110</v>
      </c>
      <c r="K83" t="n">
        <v>498</v>
      </c>
      <c r="L83" t="n">
        <v>498</v>
      </c>
      <c r="M83" t="inlineStr">
        <is>
          <t>Sí</t>
        </is>
      </c>
      <c r="N83" t="inlineStr"/>
      <c r="O83" t="inlineStr">
        <is>
          <t>Informativa</t>
        </is>
      </c>
      <c r="P83" t="inlineStr">
        <is>
          <t>No interviene en el prorrateo</t>
        </is>
      </c>
    </row>
    <row r="84">
      <c r="A84" t="n">
        <v>1128</v>
      </c>
      <c r="B84" t="inlineStr">
        <is>
          <t>CARRILLO PEÑALVER,JOSE</t>
        </is>
      </c>
      <c r="E84" t="n">
        <v>2026</v>
      </c>
      <c r="F84" t="n">
        <v>1</v>
      </c>
      <c r="G84" t="inlineStr">
        <is>
          <t>CITRICOS</t>
        </is>
      </c>
      <c r="H84" t="inlineStr">
        <is>
          <t>SALUSTIANA</t>
        </is>
      </c>
      <c r="I84" t="n">
        <v>120</v>
      </c>
      <c r="J84" t="n">
        <v>995</v>
      </c>
      <c r="K84" t="n">
        <v>678</v>
      </c>
      <c r="L84" t="n">
        <v>678</v>
      </c>
      <c r="M84" t="inlineStr">
        <is>
          <t>Sí</t>
        </is>
      </c>
      <c r="N84" t="inlineStr"/>
      <c r="O84" t="inlineStr">
        <is>
          <t>Informativa</t>
        </is>
      </c>
      <c r="P84" t="inlineStr">
        <is>
          <t>No interviene en el prorrateo</t>
        </is>
      </c>
    </row>
    <row r="85">
      <c r="A85" t="n">
        <v>1128</v>
      </c>
      <c r="B85" t="inlineStr">
        <is>
          <t>CARRILLO PEÑALVER,JOSE</t>
        </is>
      </c>
      <c r="E85" t="n">
        <v>2026</v>
      </c>
      <c r="F85" t="n">
        <v>1</v>
      </c>
      <c r="G85" t="inlineStr">
        <is>
          <t>CITRICOS</t>
        </is>
      </c>
      <c r="H85" t="inlineStr">
        <is>
          <t>SALUSTIANA</t>
        </is>
      </c>
      <c r="I85" t="n">
        <v>120</v>
      </c>
      <c r="J85" t="n">
        <v>1370</v>
      </c>
      <c r="K85" t="n">
        <v>707</v>
      </c>
      <c r="L85" t="n">
        <v>707</v>
      </c>
      <c r="M85" t="inlineStr">
        <is>
          <t>Sí</t>
        </is>
      </c>
      <c r="N85" t="inlineStr"/>
      <c r="O85" t="inlineStr">
        <is>
          <t>Informativa</t>
        </is>
      </c>
      <c r="P85" t="inlineStr">
        <is>
          <t>No interviene en el prorrateo</t>
        </is>
      </c>
    </row>
    <row r="86">
      <c r="A86" t="n">
        <v>1128</v>
      </c>
      <c r="B86" t="inlineStr">
        <is>
          <t>CARRILLO PEÑALVER,JOSE</t>
        </is>
      </c>
      <c r="E86" t="n">
        <v>2026</v>
      </c>
      <c r="F86" t="n">
        <v>1</v>
      </c>
      <c r="G86" t="inlineStr">
        <is>
          <t>CITRICOS</t>
        </is>
      </c>
      <c r="H86" t="inlineStr">
        <is>
          <t>SALUSTIANA</t>
        </is>
      </c>
      <c r="I86" t="n">
        <v>120</v>
      </c>
      <c r="J86" t="n">
        <v>1515</v>
      </c>
      <c r="K86" t="n">
        <v>1079</v>
      </c>
      <c r="L86" t="n">
        <v>1079</v>
      </c>
      <c r="M86" t="inlineStr">
        <is>
          <t>Sí</t>
        </is>
      </c>
      <c r="N86" t="inlineStr"/>
      <c r="O86" t="inlineStr">
        <is>
          <t>Informativa</t>
        </is>
      </c>
      <c r="P86" t="inlineStr">
        <is>
          <t>No interviene en el prorrateo</t>
        </is>
      </c>
    </row>
    <row r="87">
      <c r="A87" t="n">
        <v>1128</v>
      </c>
      <c r="B87" t="inlineStr">
        <is>
          <t>CARRILLO PEÑALVER,JOSE</t>
        </is>
      </c>
      <c r="E87" t="n">
        <v>2026</v>
      </c>
      <c r="F87" t="n">
        <v>1</v>
      </c>
      <c r="G87" t="inlineStr">
        <is>
          <t>CITRICOS</t>
        </is>
      </c>
      <c r="H87" t="inlineStr">
        <is>
          <t>SALUSTIANA</t>
        </is>
      </c>
      <c r="I87" t="n">
        <v>120</v>
      </c>
      <c r="J87" t="n">
        <v>169</v>
      </c>
      <c r="K87" t="n">
        <v>0</v>
      </c>
      <c r="L87" t="n">
        <v>169</v>
      </c>
      <c r="M87" t="inlineStr">
        <is>
          <t>Sí</t>
        </is>
      </c>
      <c r="N87" t="inlineStr"/>
      <c r="O87" t="inlineStr">
        <is>
          <t>Informativa</t>
        </is>
      </c>
      <c r="P87" t="inlineStr">
        <is>
          <t>No interviene en el prorrateo</t>
        </is>
      </c>
    </row>
    <row r="88">
      <c r="A88" t="n">
        <v>1128</v>
      </c>
      <c r="B88" t="inlineStr">
        <is>
          <t>CARRILLO PEÑALVER,JOSE</t>
        </is>
      </c>
      <c r="E88" t="n">
        <v>2026</v>
      </c>
      <c r="F88" t="n">
        <v>1</v>
      </c>
      <c r="G88" t="inlineStr">
        <is>
          <t>CITRICOS</t>
        </is>
      </c>
      <c r="H88" t="inlineStr">
        <is>
          <t>SALUSTIANA</t>
        </is>
      </c>
      <c r="I88" t="n">
        <v>120</v>
      </c>
      <c r="J88" t="n">
        <v>1565</v>
      </c>
      <c r="K88" t="n">
        <v>375</v>
      </c>
      <c r="L88" t="n">
        <v>375</v>
      </c>
      <c r="M88" t="inlineStr">
        <is>
          <t>Sí</t>
        </is>
      </c>
      <c r="N88" t="inlineStr"/>
      <c r="O88" t="inlineStr">
        <is>
          <t>Informativa</t>
        </is>
      </c>
      <c r="P88" t="inlineStr">
        <is>
          <t>No interviene en el prorrateo</t>
        </is>
      </c>
    </row>
    <row r="89">
      <c r="A89" t="n">
        <v>1128</v>
      </c>
      <c r="B89" t="inlineStr">
        <is>
          <t>CARRILLO PEÑALVER,JOSE</t>
        </is>
      </c>
      <c r="E89" t="n">
        <v>2026</v>
      </c>
      <c r="F89" t="n">
        <v>1</v>
      </c>
      <c r="G89" t="inlineStr">
        <is>
          <t>CITRICOS</t>
        </is>
      </c>
      <c r="H89" t="inlineStr">
        <is>
          <t>SALUSTIANA</t>
        </is>
      </c>
      <c r="I89" t="n">
        <v>120</v>
      </c>
      <c r="J89" t="n">
        <v>165</v>
      </c>
      <c r="K89" t="n">
        <v>0</v>
      </c>
      <c r="L89" t="n">
        <v>165</v>
      </c>
      <c r="M89" t="inlineStr">
        <is>
          <t>Sí</t>
        </is>
      </c>
      <c r="N89" t="inlineStr"/>
      <c r="O89" t="inlineStr">
        <is>
          <t>Informativa</t>
        </is>
      </c>
      <c r="P89" t="inlineStr">
        <is>
          <t>No interviene en el prorrateo</t>
        </is>
      </c>
    </row>
    <row r="90">
      <c r="A90" t="n">
        <v>1128</v>
      </c>
      <c r="B90" t="inlineStr">
        <is>
          <t>CARRILLO PEÑALVER,JOSE</t>
        </is>
      </c>
      <c r="E90" t="n">
        <v>2026</v>
      </c>
      <c r="F90" t="n">
        <v>1</v>
      </c>
      <c r="G90" t="inlineStr">
        <is>
          <t>CITRICOS</t>
        </is>
      </c>
      <c r="H90" t="inlineStr">
        <is>
          <t>SALUSTIANA</t>
        </is>
      </c>
      <c r="I90" t="n">
        <v>120</v>
      </c>
      <c r="J90" t="n">
        <v>1310</v>
      </c>
      <c r="K90" t="n">
        <v>550</v>
      </c>
      <c r="L90" t="n">
        <v>550</v>
      </c>
      <c r="M90" t="inlineStr">
        <is>
          <t>Sí</t>
        </is>
      </c>
      <c r="N90" t="inlineStr"/>
      <c r="O90" t="inlineStr">
        <is>
          <t>Informativa</t>
        </is>
      </c>
      <c r="P90" t="inlineStr">
        <is>
          <t>No interviene en el prorrateo</t>
        </is>
      </c>
    </row>
    <row r="91">
      <c r="A91" t="n">
        <v>1128</v>
      </c>
      <c r="B91" t="inlineStr">
        <is>
          <t>CARRILLO PEÑALVER,JOSE</t>
        </is>
      </c>
      <c r="E91" t="n">
        <v>2026</v>
      </c>
      <c r="F91" t="n">
        <v>1</v>
      </c>
      <c r="G91" t="inlineStr">
        <is>
          <t>CITRICOS</t>
        </is>
      </c>
      <c r="H91" t="inlineStr">
        <is>
          <t>SALUSTIANA</t>
        </is>
      </c>
      <c r="I91" t="n">
        <v>120</v>
      </c>
      <c r="J91" t="n">
        <v>1490</v>
      </c>
      <c r="K91" t="n">
        <v>689</v>
      </c>
      <c r="L91" t="n">
        <v>689</v>
      </c>
      <c r="M91" t="inlineStr">
        <is>
          <t>Sí</t>
        </is>
      </c>
      <c r="N91" t="inlineStr"/>
      <c r="O91" t="inlineStr">
        <is>
          <t>Informativa</t>
        </is>
      </c>
      <c r="P91" t="inlineStr">
        <is>
          <t>No interviene en el prorrateo</t>
        </is>
      </c>
    </row>
    <row r="92">
      <c r="A92" t="n">
        <v>1128</v>
      </c>
      <c r="B92" t="inlineStr">
        <is>
          <t>CARRILLO PEÑALVER,JOSE</t>
        </is>
      </c>
      <c r="E92" t="n">
        <v>2026</v>
      </c>
      <c r="F92" t="n">
        <v>1</v>
      </c>
      <c r="G92" t="inlineStr">
        <is>
          <t>CITRICOS</t>
        </is>
      </c>
      <c r="H92" t="inlineStr">
        <is>
          <t>SALUSTIANA</t>
        </is>
      </c>
      <c r="I92" t="n">
        <v>120</v>
      </c>
      <c r="J92" t="n">
        <v>1545</v>
      </c>
      <c r="K92" t="n">
        <v>348</v>
      </c>
      <c r="L92" t="n">
        <v>348</v>
      </c>
      <c r="M92" t="inlineStr">
        <is>
          <t>Sí</t>
        </is>
      </c>
      <c r="N92" t="inlineStr"/>
      <c r="O92" t="inlineStr">
        <is>
          <t>Informativa</t>
        </is>
      </c>
      <c r="P92" t="inlineStr">
        <is>
          <t>No interviene en el prorrateo</t>
        </is>
      </c>
    </row>
    <row r="93">
      <c r="A93" t="n">
        <v>1128</v>
      </c>
      <c r="B93" t="inlineStr">
        <is>
          <t>CARRILLO PEÑALVER,JOSE</t>
        </is>
      </c>
      <c r="E93" t="n">
        <v>2026</v>
      </c>
      <c r="F93" t="n">
        <v>1</v>
      </c>
      <c r="G93" t="inlineStr">
        <is>
          <t>CITRICOS</t>
        </is>
      </c>
      <c r="H93" t="inlineStr">
        <is>
          <t>SALUSTIANA</t>
        </is>
      </c>
      <c r="I93" t="n">
        <v>120</v>
      </c>
      <c r="J93" t="n">
        <v>1625</v>
      </c>
      <c r="K93" t="n">
        <v>343</v>
      </c>
      <c r="L93" t="n">
        <v>343</v>
      </c>
      <c r="M93" t="inlineStr">
        <is>
          <t>Sí</t>
        </is>
      </c>
      <c r="N93" t="inlineStr"/>
      <c r="O93" t="inlineStr">
        <is>
          <t>Informativa</t>
        </is>
      </c>
      <c r="P93" t="inlineStr">
        <is>
          <t>No interviene en el prorrateo</t>
        </is>
      </c>
    </row>
    <row r="94">
      <c r="A94" t="n">
        <v>1128</v>
      </c>
      <c r="B94" t="inlineStr">
        <is>
          <t>CARRILLO PEÑALVER,JOSE</t>
        </is>
      </c>
      <c r="E94" t="n">
        <v>2026</v>
      </c>
      <c r="F94" t="n">
        <v>1</v>
      </c>
      <c r="G94" t="inlineStr">
        <is>
          <t>CITRICOS</t>
        </is>
      </c>
      <c r="H94" t="inlineStr">
        <is>
          <t>SALUSTIANA</t>
        </is>
      </c>
      <c r="I94" t="n">
        <v>120</v>
      </c>
      <c r="J94" t="n">
        <v>1325</v>
      </c>
      <c r="K94" t="n">
        <v>265</v>
      </c>
      <c r="L94" t="n">
        <v>265</v>
      </c>
      <c r="M94" t="inlineStr">
        <is>
          <t>Sí</t>
        </is>
      </c>
      <c r="N94" t="inlineStr"/>
      <c r="O94" t="inlineStr">
        <is>
          <t>Informativa</t>
        </is>
      </c>
      <c r="P94" t="inlineStr">
        <is>
          <t>No interviene en el prorrateo</t>
        </is>
      </c>
    </row>
    <row r="95">
      <c r="A95" t="n">
        <v>1128</v>
      </c>
      <c r="B95" t="inlineStr">
        <is>
          <t>CARRILLO PEÑALVER,JOSE</t>
        </is>
      </c>
      <c r="E95" t="n">
        <v>2026</v>
      </c>
      <c r="F95" t="n">
        <v>1</v>
      </c>
      <c r="G95" t="inlineStr">
        <is>
          <t>INDUSTRIA</t>
        </is>
      </c>
      <c r="H95" t="inlineStr">
        <is>
          <t>SALUSTIANA</t>
        </is>
      </c>
      <c r="I95" t="n">
        <v>120</v>
      </c>
      <c r="J95" t="n">
        <v>1290</v>
      </c>
      <c r="K95" t="n">
        <v>0</v>
      </c>
      <c r="L95" t="n">
        <v>1290</v>
      </c>
      <c r="M95" t="inlineStr">
        <is>
          <t>Sí</t>
        </is>
      </c>
      <c r="N95" t="inlineStr"/>
      <c r="O95" t="inlineStr">
        <is>
          <t>Informativa</t>
        </is>
      </c>
      <c r="P95" t="inlineStr">
        <is>
          <t>No interviene en el prorrateo</t>
        </is>
      </c>
    </row>
    <row r="96">
      <c r="A96" t="n">
        <v>1128</v>
      </c>
      <c r="B96" t="inlineStr">
        <is>
          <t>CARRILLO PEÑALVER,JOSE</t>
        </is>
      </c>
      <c r="E96" t="n">
        <v>2026</v>
      </c>
      <c r="F96" t="n">
        <v>1</v>
      </c>
      <c r="G96" t="inlineStr">
        <is>
          <t>INDUSTRIA</t>
        </is>
      </c>
      <c r="H96" t="inlineStr">
        <is>
          <t>SALUSTIANA</t>
        </is>
      </c>
      <c r="I96" t="n">
        <v>120</v>
      </c>
      <c r="J96" t="n">
        <v>1506</v>
      </c>
      <c r="K96" t="n">
        <v>730</v>
      </c>
      <c r="L96" t="n">
        <v>730</v>
      </c>
      <c r="M96" t="inlineStr">
        <is>
          <t>Sí</t>
        </is>
      </c>
      <c r="N96" t="inlineStr"/>
      <c r="O96" t="inlineStr">
        <is>
          <t>Informativa</t>
        </is>
      </c>
      <c r="P96" t="inlineStr">
        <is>
          <t>No interviene en el prorrateo</t>
        </is>
      </c>
    </row>
    <row r="97">
      <c r="A97" t="n">
        <v>1128</v>
      </c>
      <c r="B97" t="inlineStr">
        <is>
          <t>CARRILLO PEÑALVER,JOSE</t>
        </is>
      </c>
      <c r="E97" t="n">
        <v>2026</v>
      </c>
      <c r="F97" t="n">
        <v>1</v>
      </c>
      <c r="G97" t="inlineStr">
        <is>
          <t>INDUSTRIA</t>
        </is>
      </c>
      <c r="H97" t="inlineStr">
        <is>
          <t>SALUSTIANA</t>
        </is>
      </c>
      <c r="I97" t="n">
        <v>120</v>
      </c>
      <c r="J97" t="n">
        <v>1225</v>
      </c>
      <c r="K97" t="n">
        <v>335</v>
      </c>
      <c r="L97" t="n">
        <v>335</v>
      </c>
      <c r="M97" t="inlineStr">
        <is>
          <t>Sí</t>
        </is>
      </c>
      <c r="N97" t="inlineStr"/>
      <c r="O97" t="inlineStr">
        <is>
          <t>Informativa</t>
        </is>
      </c>
      <c r="P97" t="inlineStr">
        <is>
          <t>No interviene en el prorrateo</t>
        </is>
      </c>
    </row>
    <row r="98">
      <c r="A98" t="n">
        <v>1128</v>
      </c>
      <c r="B98" t="inlineStr">
        <is>
          <t>CARRILLO PEÑALVER,JOSE</t>
        </is>
      </c>
      <c r="E98" t="n">
        <v>2026</v>
      </c>
      <c r="F98" t="n">
        <v>1</v>
      </c>
      <c r="G98" t="inlineStr">
        <is>
          <t>INDUSTRIA</t>
        </is>
      </c>
      <c r="H98" t="inlineStr">
        <is>
          <t>SALUSTIANA</t>
        </is>
      </c>
      <c r="I98" t="n">
        <v>120</v>
      </c>
      <c r="J98" t="n">
        <v>1505</v>
      </c>
      <c r="K98" t="n">
        <v>378</v>
      </c>
      <c r="L98" t="n">
        <v>378</v>
      </c>
      <c r="M98" t="inlineStr">
        <is>
          <t>Sí</t>
        </is>
      </c>
      <c r="N98" t="inlineStr"/>
      <c r="O98" t="inlineStr">
        <is>
          <t>Informativa</t>
        </is>
      </c>
      <c r="P98" t="inlineStr">
        <is>
          <t>No interviene en el prorrateo</t>
        </is>
      </c>
    </row>
    <row r="99">
      <c r="A99" t="n">
        <v>1128</v>
      </c>
      <c r="B99" t="inlineStr">
        <is>
          <t>CARRILLO PEÑALVER,JOSE</t>
        </is>
      </c>
      <c r="E99" t="n">
        <v>2026</v>
      </c>
      <c r="F99" t="n">
        <v>1</v>
      </c>
      <c r="G99" t="inlineStr">
        <is>
          <t>INDUSTRIA</t>
        </is>
      </c>
      <c r="H99" t="inlineStr">
        <is>
          <t>SALUSTIANA</t>
        </is>
      </c>
      <c r="I99" t="n">
        <v>120</v>
      </c>
      <c r="J99" t="n">
        <v>1365</v>
      </c>
      <c r="K99" t="n">
        <v>365</v>
      </c>
      <c r="L99" t="n">
        <v>365</v>
      </c>
      <c r="M99" t="inlineStr">
        <is>
          <t>Sí</t>
        </is>
      </c>
      <c r="N99" t="inlineStr"/>
      <c r="O99" t="inlineStr">
        <is>
          <t>Informativa</t>
        </is>
      </c>
      <c r="P99" t="inlineStr">
        <is>
          <t>No interviene en el prorrateo</t>
        </is>
      </c>
    </row>
    <row r="100">
      <c r="A100" t="n">
        <v>1128</v>
      </c>
      <c r="B100" t="inlineStr">
        <is>
          <t>CARRILLO PEÑALVER,JOSE</t>
        </is>
      </c>
      <c r="E100" t="n">
        <v>2026</v>
      </c>
      <c r="F100" t="n">
        <v>1</v>
      </c>
      <c r="G100" t="inlineStr">
        <is>
          <t>INDUSTRIA</t>
        </is>
      </c>
      <c r="H100" t="inlineStr">
        <is>
          <t>SALUSTIANA</t>
        </is>
      </c>
      <c r="I100" t="n">
        <v>120</v>
      </c>
      <c r="J100" t="n">
        <v>1530</v>
      </c>
      <c r="K100" t="n">
        <v>750</v>
      </c>
      <c r="L100" t="n">
        <v>750</v>
      </c>
      <c r="M100" t="inlineStr">
        <is>
          <t>Sí</t>
        </is>
      </c>
      <c r="N100" t="inlineStr"/>
      <c r="O100" t="inlineStr">
        <is>
          <t>Informativa</t>
        </is>
      </c>
      <c r="P100" t="inlineStr">
        <is>
          <t>No interviene en el prorrateo</t>
        </is>
      </c>
    </row>
    <row r="101">
      <c r="A101" t="n">
        <v>1128</v>
      </c>
      <c r="B101" t="inlineStr">
        <is>
          <t>CARRILLO PEÑALVER,JOSE</t>
        </is>
      </c>
      <c r="E101" t="n">
        <v>2026</v>
      </c>
      <c r="F101" t="n">
        <v>1</v>
      </c>
      <c r="G101" t="inlineStr">
        <is>
          <t>INDUSTRIA</t>
        </is>
      </c>
      <c r="H101" t="inlineStr">
        <is>
          <t>SALUSTIANA</t>
        </is>
      </c>
      <c r="I101" t="n">
        <v>120</v>
      </c>
      <c r="J101" t="n">
        <v>1270</v>
      </c>
      <c r="K101" t="n">
        <v>740</v>
      </c>
      <c r="L101" t="n">
        <v>740</v>
      </c>
      <c r="M101" t="inlineStr">
        <is>
          <t>Sí</t>
        </is>
      </c>
      <c r="N101" t="inlineStr"/>
      <c r="O101" t="inlineStr">
        <is>
          <t>Informativa</t>
        </is>
      </c>
      <c r="P101" t="inlineStr">
        <is>
          <t>No interviene en el prorrateo</t>
        </is>
      </c>
    </row>
    <row r="102">
      <c r="A102" t="n">
        <v>1128</v>
      </c>
      <c r="B102" t="inlineStr">
        <is>
          <t>CARRILLO PEÑALVER,JOSE</t>
        </is>
      </c>
      <c r="E102" t="n">
        <v>2026</v>
      </c>
      <c r="F102" t="n">
        <v>1</v>
      </c>
      <c r="G102" t="inlineStr">
        <is>
          <t>INDUSTRIA</t>
        </is>
      </c>
      <c r="H102" t="inlineStr">
        <is>
          <t>SALUSTIANA</t>
        </is>
      </c>
      <c r="I102" t="n">
        <v>120</v>
      </c>
      <c r="J102" t="n">
        <v>1390</v>
      </c>
      <c r="K102" t="n">
        <v>746</v>
      </c>
      <c r="L102" t="n">
        <v>746</v>
      </c>
      <c r="M102" t="inlineStr">
        <is>
          <t>Sí</t>
        </is>
      </c>
      <c r="N102" t="inlineStr"/>
      <c r="O102" t="inlineStr">
        <is>
          <t>Informativa</t>
        </is>
      </c>
      <c r="P102" t="inlineStr">
        <is>
          <t>No interviene en el prorrateo</t>
        </is>
      </c>
    </row>
    <row r="103">
      <c r="A103" t="n">
        <v>1128</v>
      </c>
      <c r="B103" t="inlineStr">
        <is>
          <t>CARRILLO PEÑALVER,JOSE</t>
        </is>
      </c>
      <c r="E103" t="n">
        <v>2026</v>
      </c>
      <c r="F103" t="n">
        <v>1</v>
      </c>
      <c r="G103" t="inlineStr">
        <is>
          <t>INDUSTRIA</t>
        </is>
      </c>
      <c r="H103" t="inlineStr">
        <is>
          <t>SALUSTIANA</t>
        </is>
      </c>
      <c r="I103" t="n">
        <v>120</v>
      </c>
      <c r="J103" t="n">
        <v>970</v>
      </c>
      <c r="K103" t="n">
        <v>542</v>
      </c>
      <c r="L103" t="n">
        <v>542</v>
      </c>
      <c r="M103" t="inlineStr">
        <is>
          <t>Sí</t>
        </is>
      </c>
      <c r="N103" t="inlineStr"/>
      <c r="O103" t="inlineStr">
        <is>
          <t>Informativa</t>
        </is>
      </c>
      <c r="P103" t="inlineStr">
        <is>
          <t>No interviene en el prorrateo</t>
        </is>
      </c>
    </row>
    <row r="104">
      <c r="A104" t="n">
        <v>1128</v>
      </c>
      <c r="B104" t="inlineStr">
        <is>
          <t>CARRILLO PEÑALVER,JOSE</t>
        </is>
      </c>
      <c r="E104" t="n">
        <v>2026</v>
      </c>
      <c r="F104" t="n">
        <v>1</v>
      </c>
      <c r="G104" t="inlineStr">
        <is>
          <t>INDUSTRIA</t>
        </is>
      </c>
      <c r="H104" t="inlineStr">
        <is>
          <t>SALUSTIANA</t>
        </is>
      </c>
      <c r="I104" t="n">
        <v>120</v>
      </c>
      <c r="J104" t="n">
        <v>925</v>
      </c>
      <c r="K104" t="n">
        <v>282</v>
      </c>
      <c r="L104" t="n">
        <v>282</v>
      </c>
      <c r="M104" t="inlineStr">
        <is>
          <t>Sí</t>
        </is>
      </c>
      <c r="N104" t="inlineStr"/>
      <c r="O104" t="inlineStr">
        <is>
          <t>Informativa</t>
        </is>
      </c>
      <c r="P104" t="inlineStr">
        <is>
          <t>No interviene en el prorrateo</t>
        </is>
      </c>
    </row>
    <row r="105">
      <c r="A105" t="n">
        <v>1128</v>
      </c>
      <c r="B105" t="inlineStr">
        <is>
          <t>CARRILLO PEÑALVER,JOSE</t>
        </is>
      </c>
      <c r="E105" t="n">
        <v>2026</v>
      </c>
      <c r="F105" t="n">
        <v>1</v>
      </c>
      <c r="G105" t="inlineStr">
        <is>
          <t>INDUSTRIA</t>
        </is>
      </c>
      <c r="H105" t="inlineStr">
        <is>
          <t>SALUSTIANA</t>
        </is>
      </c>
      <c r="I105" t="n">
        <v>120</v>
      </c>
      <c r="J105" t="n">
        <v>1440</v>
      </c>
      <c r="K105" t="n">
        <v>0</v>
      </c>
      <c r="L105" t="n">
        <v>1440</v>
      </c>
      <c r="M105" t="inlineStr">
        <is>
          <t>Sí</t>
        </is>
      </c>
      <c r="N105" t="inlineStr"/>
      <c r="O105" t="inlineStr">
        <is>
          <t>Informativa</t>
        </is>
      </c>
      <c r="P105" t="inlineStr">
        <is>
          <t>No interviene en el prorrateo</t>
        </is>
      </c>
    </row>
    <row r="106">
      <c r="A106" t="n">
        <v>1128</v>
      </c>
      <c r="B106" t="inlineStr">
        <is>
          <t>CARRILLO PEÑALVER,JOSE</t>
        </is>
      </c>
      <c r="E106" t="n">
        <v>2026</v>
      </c>
      <c r="F106" t="n">
        <v>1</v>
      </c>
      <c r="G106" t="inlineStr">
        <is>
          <t>INDUSTRIA</t>
        </is>
      </c>
      <c r="H106" t="inlineStr">
        <is>
          <t>SALUSTIANA</t>
        </is>
      </c>
      <c r="I106" t="n">
        <v>120</v>
      </c>
      <c r="J106" t="n">
        <v>1230</v>
      </c>
      <c r="K106" t="n">
        <v>593</v>
      </c>
      <c r="L106" t="n">
        <v>593</v>
      </c>
      <c r="M106" t="inlineStr">
        <is>
          <t>Sí</t>
        </is>
      </c>
      <c r="N106" t="inlineStr"/>
      <c r="O106" t="inlineStr">
        <is>
          <t>Informativa</t>
        </is>
      </c>
      <c r="P106" t="inlineStr">
        <is>
          <t>No interviene en el prorrateo</t>
        </is>
      </c>
    </row>
    <row r="107">
      <c r="A107" t="n">
        <v>1128</v>
      </c>
      <c r="B107" t="inlineStr">
        <is>
          <t>CARRILLO PEÑALVER,JOSE</t>
        </is>
      </c>
      <c r="E107" t="n">
        <v>2026</v>
      </c>
      <c r="F107" t="n">
        <v>1</v>
      </c>
      <c r="G107" t="inlineStr">
        <is>
          <t>INDUSTRIA</t>
        </is>
      </c>
      <c r="H107" t="inlineStr">
        <is>
          <t>SALUSTIANA</t>
        </is>
      </c>
      <c r="I107" t="n">
        <v>120</v>
      </c>
      <c r="J107" t="n">
        <v>1445</v>
      </c>
      <c r="K107" t="n">
        <v>401</v>
      </c>
      <c r="L107" t="n">
        <v>401</v>
      </c>
      <c r="M107" t="inlineStr">
        <is>
          <t>Sí</t>
        </is>
      </c>
      <c r="N107" t="inlineStr"/>
      <c r="O107" t="inlineStr">
        <is>
          <t>Informativa</t>
        </is>
      </c>
      <c r="P107" t="inlineStr">
        <is>
          <t>No interviene en el prorrateo</t>
        </is>
      </c>
    </row>
    <row r="108">
      <c r="A108" t="n">
        <v>1128</v>
      </c>
      <c r="B108" t="inlineStr">
        <is>
          <t>CARRILLO PEÑALVER,JOSE</t>
        </is>
      </c>
      <c r="E108" t="n">
        <v>2026</v>
      </c>
      <c r="F108" t="n">
        <v>1</v>
      </c>
      <c r="G108" t="inlineStr">
        <is>
          <t>INDUSTRIA</t>
        </is>
      </c>
      <c r="H108" t="inlineStr">
        <is>
          <t>SALUSTIANA</t>
        </is>
      </c>
      <c r="I108" t="n">
        <v>120</v>
      </c>
      <c r="J108" t="n">
        <v>1355</v>
      </c>
      <c r="K108" t="n">
        <v>1085</v>
      </c>
      <c r="L108" t="n">
        <v>1085</v>
      </c>
      <c r="M108" t="inlineStr">
        <is>
          <t>Sí</t>
        </is>
      </c>
      <c r="N108" t="inlineStr"/>
      <c r="O108" t="inlineStr">
        <is>
          <t>Informativa</t>
        </is>
      </c>
      <c r="P108" t="inlineStr">
        <is>
          <t>No interviene en el prorrateo</t>
        </is>
      </c>
    </row>
    <row r="109">
      <c r="A109" t="n">
        <v>1128</v>
      </c>
      <c r="B109" t="inlineStr">
        <is>
          <t>CARRILLO PEÑALVER,JOSE</t>
        </is>
      </c>
      <c r="E109" t="n">
        <v>2026</v>
      </c>
      <c r="F109" t="n">
        <v>1</v>
      </c>
      <c r="G109" t="inlineStr">
        <is>
          <t>INDUSTRIA</t>
        </is>
      </c>
      <c r="H109" t="inlineStr">
        <is>
          <t>SALUSTIANA</t>
        </is>
      </c>
      <c r="I109" t="n">
        <v>120</v>
      </c>
      <c r="J109" t="n">
        <v>1170</v>
      </c>
      <c r="K109" t="n">
        <v>690</v>
      </c>
      <c r="L109" t="n">
        <v>690</v>
      </c>
      <c r="M109" t="inlineStr">
        <is>
          <t>Sí</t>
        </is>
      </c>
      <c r="N109" t="inlineStr"/>
      <c r="O109" t="inlineStr">
        <is>
          <t>Informativa</t>
        </is>
      </c>
      <c r="P109" t="inlineStr">
        <is>
          <t>No interviene en el prorrateo</t>
        </is>
      </c>
    </row>
    <row r="110">
      <c r="A110" t="n">
        <v>1128</v>
      </c>
      <c r="B110" t="inlineStr">
        <is>
          <t>CARRILLO PEÑALVER,JOSE</t>
        </is>
      </c>
      <c r="E110" t="n">
        <v>2026</v>
      </c>
      <c r="F110" t="n">
        <v>1</v>
      </c>
      <c r="G110" t="inlineStr">
        <is>
          <t>INDUSTRIA</t>
        </is>
      </c>
      <c r="H110" t="inlineStr">
        <is>
          <t>SALUSTIANA</t>
        </is>
      </c>
      <c r="I110" t="n">
        <v>120</v>
      </c>
      <c r="J110" t="n">
        <v>1350</v>
      </c>
      <c r="K110" t="n">
        <v>731</v>
      </c>
      <c r="L110" t="n">
        <v>731</v>
      </c>
      <c r="M110" t="inlineStr">
        <is>
          <t>Sí</t>
        </is>
      </c>
      <c r="N110" t="inlineStr"/>
      <c r="O110" t="inlineStr">
        <is>
          <t>Informativa</t>
        </is>
      </c>
      <c r="P110" t="inlineStr">
        <is>
          <t>No interviene en el prorrateo</t>
        </is>
      </c>
    </row>
    <row r="111">
      <c r="A111" t="n">
        <v>1128</v>
      </c>
      <c r="B111" t="inlineStr">
        <is>
          <t>CARRILLO PEÑALVER,JOSE</t>
        </is>
      </c>
      <c r="E111" t="n">
        <v>2026</v>
      </c>
      <c r="F111" t="n">
        <v>1</v>
      </c>
      <c r="G111" t="inlineStr">
        <is>
          <t>INDUSTRIA</t>
        </is>
      </c>
      <c r="H111" t="inlineStr">
        <is>
          <t>SALUSTIANA</t>
        </is>
      </c>
      <c r="I111" t="n">
        <v>120</v>
      </c>
      <c r="J111" t="n">
        <v>1475</v>
      </c>
      <c r="K111" t="n">
        <v>1092</v>
      </c>
      <c r="L111" t="n">
        <v>1092</v>
      </c>
      <c r="M111" t="inlineStr">
        <is>
          <t>Sí</t>
        </is>
      </c>
      <c r="N111" t="inlineStr"/>
      <c r="O111" t="inlineStr">
        <is>
          <t>Informativa</t>
        </is>
      </c>
      <c r="P111" t="inlineStr">
        <is>
          <t>No interviene en el prorrateo</t>
        </is>
      </c>
    </row>
    <row r="112">
      <c r="A112" t="n">
        <v>1128</v>
      </c>
      <c r="B112" t="inlineStr">
        <is>
          <t>CARRILLO PEÑALVER,JOSE</t>
        </is>
      </c>
      <c r="E112" t="n">
        <v>2026</v>
      </c>
      <c r="F112" t="n">
        <v>1</v>
      </c>
      <c r="G112" t="inlineStr">
        <is>
          <t>INDUSTRIA</t>
        </is>
      </c>
      <c r="H112" t="inlineStr">
        <is>
          <t>SALUSTIANA</t>
        </is>
      </c>
      <c r="I112" t="n">
        <v>120</v>
      </c>
      <c r="J112" t="n">
        <v>1415</v>
      </c>
      <c r="K112" t="n">
        <v>1177</v>
      </c>
      <c r="L112" t="n">
        <v>1177</v>
      </c>
      <c r="M112" t="inlineStr">
        <is>
          <t>Sí</t>
        </is>
      </c>
      <c r="N112" t="inlineStr"/>
      <c r="O112" t="inlineStr">
        <is>
          <t>Informativa</t>
        </is>
      </c>
      <c r="P112" t="inlineStr">
        <is>
          <t>No interviene en el prorrateo</t>
        </is>
      </c>
    </row>
    <row r="113">
      <c r="A113" t="n">
        <v>1128</v>
      </c>
      <c r="B113" t="inlineStr">
        <is>
          <t>CARRILLO PEÑALVER,JOSE</t>
        </is>
      </c>
      <c r="E113" t="n">
        <v>2026</v>
      </c>
      <c r="F113" t="n">
        <v>1</v>
      </c>
      <c r="G113" t="inlineStr">
        <is>
          <t>INDUSTRIA</t>
        </is>
      </c>
      <c r="H113" t="inlineStr">
        <is>
          <t>SALUSTIANA</t>
        </is>
      </c>
      <c r="I113" t="n">
        <v>120</v>
      </c>
      <c r="J113" t="n">
        <v>1255</v>
      </c>
      <c r="K113" t="n">
        <v>1095</v>
      </c>
      <c r="L113" t="n">
        <v>1095</v>
      </c>
      <c r="M113" t="inlineStr">
        <is>
          <t>Sí</t>
        </is>
      </c>
      <c r="N113" t="inlineStr"/>
      <c r="O113" t="inlineStr">
        <is>
          <t>Informativa</t>
        </is>
      </c>
      <c r="P113" t="inlineStr">
        <is>
          <t>No interviene en el prorrateo</t>
        </is>
      </c>
    </row>
    <row r="114">
      <c r="A114" t="n">
        <v>1128</v>
      </c>
      <c r="B114" t="inlineStr">
        <is>
          <t>CARRILLO PEÑALVER,JOSE</t>
        </is>
      </c>
      <c r="E114" t="n">
        <v>2026</v>
      </c>
      <c r="F114" t="n">
        <v>1</v>
      </c>
      <c r="G114" t="inlineStr">
        <is>
          <t>INDUSTRIA</t>
        </is>
      </c>
      <c r="H114" t="inlineStr">
        <is>
          <t>SALUSTIANA</t>
        </is>
      </c>
      <c r="I114" t="n">
        <v>120</v>
      </c>
      <c r="J114" t="n">
        <v>1500</v>
      </c>
      <c r="K114" t="n">
        <v>0</v>
      </c>
      <c r="L114" t="n">
        <v>1500</v>
      </c>
      <c r="M114" t="inlineStr">
        <is>
          <t>Sí</t>
        </is>
      </c>
      <c r="N114" t="inlineStr"/>
      <c r="O114" t="inlineStr">
        <is>
          <t>Informativa</t>
        </is>
      </c>
      <c r="P114" t="inlineStr">
        <is>
          <t>No interviene en el prorrateo</t>
        </is>
      </c>
    </row>
    <row r="115">
      <c r="A115" t="n">
        <v>1128</v>
      </c>
      <c r="B115" t="inlineStr">
        <is>
          <t>CARRILLO PEÑALVER,JOSE</t>
        </is>
      </c>
      <c r="E115" t="n">
        <v>2026</v>
      </c>
      <c r="F115" t="n">
        <v>1</v>
      </c>
      <c r="G115" t="inlineStr">
        <is>
          <t>INDUSTRIA</t>
        </is>
      </c>
      <c r="H115" t="inlineStr">
        <is>
          <t>SALUSTIANA</t>
        </is>
      </c>
      <c r="I115" t="n">
        <v>120</v>
      </c>
      <c r="J115" t="n">
        <v>1460</v>
      </c>
      <c r="K115" t="n">
        <v>0</v>
      </c>
      <c r="L115" t="n">
        <v>1460</v>
      </c>
      <c r="M115" t="inlineStr">
        <is>
          <t>Sí</t>
        </is>
      </c>
      <c r="N115" t="inlineStr"/>
      <c r="O115" t="inlineStr">
        <is>
          <t>Informativa</t>
        </is>
      </c>
      <c r="P115" t="inlineStr">
        <is>
          <t>No interviene en el prorrateo</t>
        </is>
      </c>
    </row>
    <row r="116">
      <c r="A116" t="n">
        <v>1128</v>
      </c>
      <c r="B116" t="inlineStr">
        <is>
          <t>CARRILLO PEÑALVER,JOSE</t>
        </is>
      </c>
      <c r="E116" t="n">
        <v>2026</v>
      </c>
      <c r="F116" t="n">
        <v>1</v>
      </c>
      <c r="G116" t="inlineStr">
        <is>
          <t>INDUSTRIA</t>
        </is>
      </c>
      <c r="H116" t="inlineStr">
        <is>
          <t>SALUSTIANA</t>
        </is>
      </c>
      <c r="I116" t="n">
        <v>120</v>
      </c>
      <c r="J116" t="n">
        <v>1040</v>
      </c>
      <c r="K116" t="n">
        <v>0</v>
      </c>
      <c r="L116" t="n">
        <v>1040</v>
      </c>
      <c r="M116" t="inlineStr">
        <is>
          <t>Sí</t>
        </is>
      </c>
      <c r="N116" t="inlineStr"/>
      <c r="O116" t="inlineStr">
        <is>
          <t>Informativa</t>
        </is>
      </c>
      <c r="P116" t="inlineStr">
        <is>
          <t>No interviene en el prorrateo</t>
        </is>
      </c>
    </row>
    <row r="117">
      <c r="A117" t="n">
        <v>1128</v>
      </c>
      <c r="B117" t="inlineStr">
        <is>
          <t>CARRILLO PEÑALVER,JOSE</t>
        </is>
      </c>
      <c r="E117" t="n">
        <v>2026</v>
      </c>
      <c r="F117" t="n">
        <v>1</v>
      </c>
      <c r="G117" t="inlineStr">
        <is>
          <t>INDUSTRIA</t>
        </is>
      </c>
      <c r="H117" t="inlineStr">
        <is>
          <t>SALUSTIANA</t>
        </is>
      </c>
      <c r="I117" t="n">
        <v>120</v>
      </c>
      <c r="J117" t="n">
        <v>1520</v>
      </c>
      <c r="K117" t="n">
        <v>0</v>
      </c>
      <c r="L117" t="n">
        <v>1520</v>
      </c>
      <c r="M117" t="inlineStr">
        <is>
          <t>Sí</t>
        </is>
      </c>
      <c r="N117" t="inlineStr"/>
      <c r="O117" t="inlineStr">
        <is>
          <t>Informativa</t>
        </is>
      </c>
      <c r="P117" t="inlineStr">
        <is>
          <t>No interviene en el prorrateo</t>
        </is>
      </c>
    </row>
    <row r="118">
      <c r="A118" t="n">
        <v>1128</v>
      </c>
      <c r="B118" t="inlineStr">
        <is>
          <t>CARRILLO PEÑALVER,JOSE</t>
        </is>
      </c>
      <c r="E118" t="n">
        <v>2026</v>
      </c>
      <c r="F118" t="n">
        <v>1</v>
      </c>
      <c r="G118" t="inlineStr">
        <is>
          <t>INDUSTRIA</t>
        </is>
      </c>
      <c r="H118" t="inlineStr">
        <is>
          <t>SALUSTIANA</t>
        </is>
      </c>
      <c r="I118" t="n">
        <v>120</v>
      </c>
      <c r="J118" t="n">
        <v>1380</v>
      </c>
      <c r="K118" t="n">
        <v>0</v>
      </c>
      <c r="L118" t="n">
        <v>1380</v>
      </c>
      <c r="M118" t="inlineStr">
        <is>
          <t>Sí</t>
        </is>
      </c>
      <c r="N118" t="inlineStr"/>
      <c r="O118" t="inlineStr">
        <is>
          <t>Informativa</t>
        </is>
      </c>
      <c r="P118" t="inlineStr">
        <is>
          <t>No interviene en el prorrateo</t>
        </is>
      </c>
    </row>
    <row r="119">
      <c r="A119" t="n">
        <v>1133</v>
      </c>
      <c r="B119" t="inlineStr">
        <is>
          <t>MAYFE S.C.</t>
        </is>
      </c>
      <c r="E119" t="n">
        <v>2026</v>
      </c>
      <c r="F119" t="n">
        <v>1</v>
      </c>
      <c r="G119" t="inlineStr">
        <is>
          <t>CITRICOS</t>
        </is>
      </c>
      <c r="H119" t="inlineStr">
        <is>
          <t>SALUSTIANA</t>
        </is>
      </c>
      <c r="I119" t="n">
        <v>125</v>
      </c>
      <c r="J119" t="n">
        <v>23749</v>
      </c>
      <c r="K119" t="n">
        <v>19272</v>
      </c>
      <c r="L119" t="n">
        <v>19272</v>
      </c>
      <c r="M119" t="inlineStr">
        <is>
          <t>Sí</t>
        </is>
      </c>
      <c r="N119" t="inlineStr"/>
      <c r="O119" t="inlineStr">
        <is>
          <t>Informativa</t>
        </is>
      </c>
      <c r="P119" t="inlineStr">
        <is>
          <t>No interviene en el prorrateo</t>
        </is>
      </c>
    </row>
    <row r="120">
      <c r="A120" t="n">
        <v>1133</v>
      </c>
      <c r="B120" t="inlineStr">
        <is>
          <t>MAYFE S.C.</t>
        </is>
      </c>
      <c r="E120" t="n">
        <v>2026</v>
      </c>
      <c r="F120" t="n">
        <v>1</v>
      </c>
      <c r="G120" t="inlineStr">
        <is>
          <t>CITRICOS</t>
        </is>
      </c>
      <c r="H120" t="inlineStr">
        <is>
          <t>SALUSTIANA</t>
        </is>
      </c>
      <c r="I120" t="n">
        <v>125</v>
      </c>
      <c r="J120" t="n">
        <v>22940</v>
      </c>
      <c r="K120" t="n">
        <v>0</v>
      </c>
      <c r="L120" t="n">
        <v>22940</v>
      </c>
      <c r="M120" t="inlineStr">
        <is>
          <t>Sí</t>
        </is>
      </c>
      <c r="N120" t="inlineStr"/>
      <c r="O120" t="inlineStr">
        <is>
          <t>Informativa</t>
        </is>
      </c>
      <c r="P120" t="inlineStr">
        <is>
          <t>No interviene en el prorrateo</t>
        </is>
      </c>
    </row>
    <row r="121">
      <c r="A121" t="n">
        <v>1133</v>
      </c>
      <c r="B121" t="inlineStr">
        <is>
          <t>MAYFE S.C.</t>
        </is>
      </c>
      <c r="E121" t="n">
        <v>2026</v>
      </c>
      <c r="F121" t="n">
        <v>1</v>
      </c>
      <c r="G121" t="inlineStr">
        <is>
          <t>CITRICOS</t>
        </is>
      </c>
      <c r="H121" t="inlineStr">
        <is>
          <t>SALUSTIANA</t>
        </is>
      </c>
      <c r="I121" t="n">
        <v>125</v>
      </c>
      <c r="J121" t="n">
        <v>23160</v>
      </c>
      <c r="K121" t="n">
        <v>0</v>
      </c>
      <c r="L121" t="n">
        <v>23160</v>
      </c>
      <c r="M121" t="inlineStr">
        <is>
          <t>Sí</t>
        </is>
      </c>
      <c r="N121" t="inlineStr"/>
      <c r="O121" t="inlineStr">
        <is>
          <t>Informativa</t>
        </is>
      </c>
      <c r="P121" t="inlineStr">
        <is>
          <t>No interviene en el prorrateo</t>
        </is>
      </c>
    </row>
    <row r="122">
      <c r="A122" t="n">
        <v>1133</v>
      </c>
      <c r="B122" t="inlineStr">
        <is>
          <t>MAYFE S.C.</t>
        </is>
      </c>
      <c r="E122" t="n">
        <v>2026</v>
      </c>
      <c r="F122" t="n">
        <v>1</v>
      </c>
      <c r="G122" t="inlineStr">
        <is>
          <t>CITRICOS</t>
        </is>
      </c>
      <c r="H122" t="inlineStr">
        <is>
          <t>SALUSTIANA</t>
        </is>
      </c>
      <c r="I122" t="n">
        <v>125</v>
      </c>
      <c r="J122" t="n">
        <v>25324</v>
      </c>
      <c r="K122" t="n">
        <v>4057</v>
      </c>
      <c r="L122" t="n">
        <v>4057</v>
      </c>
      <c r="M122" t="inlineStr">
        <is>
          <t>Sí</t>
        </is>
      </c>
      <c r="N122" t="inlineStr"/>
      <c r="O122" t="inlineStr">
        <is>
          <t>Informativa</t>
        </is>
      </c>
      <c r="P122" t="inlineStr">
        <is>
          <t>No interviene en el prorrateo</t>
        </is>
      </c>
    </row>
    <row r="123">
      <c r="A123" t="n">
        <v>1133</v>
      </c>
      <c r="B123" t="inlineStr">
        <is>
          <t>MAYFE S.C.</t>
        </is>
      </c>
      <c r="E123" t="n">
        <v>2026</v>
      </c>
      <c r="F123" t="n">
        <v>1</v>
      </c>
      <c r="G123" t="inlineStr">
        <is>
          <t>CITRICOS</t>
        </is>
      </c>
      <c r="H123" t="inlineStr">
        <is>
          <t>LANE LATE</t>
        </is>
      </c>
      <c r="I123" t="n">
        <v>539</v>
      </c>
      <c r="J123" t="n">
        <v>23597</v>
      </c>
      <c r="K123" t="n">
        <v>0</v>
      </c>
      <c r="L123" t="n">
        <v>23597</v>
      </c>
      <c r="M123" t="inlineStr">
        <is>
          <t>Sí</t>
        </is>
      </c>
      <c r="N123" t="inlineStr"/>
      <c r="O123" t="inlineStr">
        <is>
          <t>Informativa</t>
        </is>
      </c>
      <c r="P123" t="inlineStr">
        <is>
          <t>No interviene en el prorrateo</t>
        </is>
      </c>
    </row>
    <row r="124">
      <c r="A124" t="n">
        <v>1133</v>
      </c>
      <c r="B124" t="inlineStr">
        <is>
          <t>MAYFE S.C.</t>
        </is>
      </c>
      <c r="E124" t="n">
        <v>2026</v>
      </c>
      <c r="F124" t="n">
        <v>1</v>
      </c>
      <c r="G124" t="inlineStr">
        <is>
          <t>CITRICOS</t>
        </is>
      </c>
      <c r="H124" t="inlineStr">
        <is>
          <t>LANE LATE</t>
        </is>
      </c>
      <c r="I124" t="n">
        <v>539</v>
      </c>
      <c r="J124" t="n">
        <v>22940</v>
      </c>
      <c r="K124" t="n">
        <v>0</v>
      </c>
      <c r="L124" t="n">
        <v>22940</v>
      </c>
      <c r="M124" t="inlineStr">
        <is>
          <t>Sí</t>
        </is>
      </c>
      <c r="N124" t="inlineStr"/>
      <c r="O124" t="inlineStr">
        <is>
          <t>Informativa</t>
        </is>
      </c>
      <c r="P124" t="inlineStr">
        <is>
          <t>No interviene en el prorrateo</t>
        </is>
      </c>
    </row>
    <row r="125">
      <c r="A125" t="n">
        <v>1133</v>
      </c>
      <c r="B125" t="inlineStr">
        <is>
          <t>MAYFE S.C.</t>
        </is>
      </c>
      <c r="E125" t="n">
        <v>2026</v>
      </c>
      <c r="F125" t="n">
        <v>1</v>
      </c>
      <c r="G125" t="inlineStr">
        <is>
          <t>CITRICOS</t>
        </is>
      </c>
      <c r="H125" t="inlineStr">
        <is>
          <t>LANE LATE</t>
        </is>
      </c>
      <c r="I125" t="n">
        <v>539</v>
      </c>
      <c r="J125" t="n">
        <v>12046</v>
      </c>
      <c r="K125" t="n">
        <v>10211</v>
      </c>
      <c r="L125" t="n">
        <v>10211</v>
      </c>
      <c r="M125" t="inlineStr">
        <is>
          <t>Sí</t>
        </is>
      </c>
      <c r="N125" t="inlineStr"/>
      <c r="O125" t="inlineStr">
        <is>
          <t>Informativa</t>
        </is>
      </c>
      <c r="P125" t="inlineStr">
        <is>
          <t>No interviene en el prorrateo</t>
        </is>
      </c>
    </row>
    <row r="126">
      <c r="A126" t="n">
        <v>1133</v>
      </c>
      <c r="B126" t="inlineStr">
        <is>
          <t>MAYFE S.C.</t>
        </is>
      </c>
      <c r="E126" t="n">
        <v>2026</v>
      </c>
      <c r="F126" t="n">
        <v>1</v>
      </c>
      <c r="G126" t="inlineStr">
        <is>
          <t>CITRICOS</t>
        </is>
      </c>
      <c r="H126" t="inlineStr">
        <is>
          <t>LANE LATE</t>
        </is>
      </c>
      <c r="I126" t="n">
        <v>539</v>
      </c>
      <c r="J126" t="n">
        <v>1619</v>
      </c>
      <c r="K126" t="n">
        <v>0</v>
      </c>
      <c r="L126" t="n">
        <v>1619</v>
      </c>
      <c r="M126" t="inlineStr">
        <is>
          <t>Sí</t>
        </is>
      </c>
      <c r="N126" t="inlineStr"/>
      <c r="O126" t="inlineStr">
        <is>
          <t>Informativa</t>
        </is>
      </c>
      <c r="P126" t="inlineStr">
        <is>
          <t>No interviene en el prorrateo</t>
        </is>
      </c>
    </row>
    <row r="127">
      <c r="A127" t="n">
        <v>1133</v>
      </c>
      <c r="B127" t="inlineStr">
        <is>
          <t>MAYFE S.C.</t>
        </is>
      </c>
      <c r="E127" t="n">
        <v>2026</v>
      </c>
      <c r="F127" t="n">
        <v>1</v>
      </c>
      <c r="G127" t="inlineStr">
        <is>
          <t>CITRICOS</t>
        </is>
      </c>
      <c r="H127" t="inlineStr">
        <is>
          <t>LANE LATE</t>
        </is>
      </c>
      <c r="I127" t="n">
        <v>124</v>
      </c>
      <c r="J127" t="n">
        <v>24793</v>
      </c>
      <c r="K127" t="n">
        <v>16967</v>
      </c>
      <c r="L127" t="n">
        <v>16967</v>
      </c>
      <c r="M127" t="inlineStr">
        <is>
          <t>Sí</t>
        </is>
      </c>
      <c r="N127" t="inlineStr"/>
      <c r="O127" t="inlineStr">
        <is>
          <t>Informativa</t>
        </is>
      </c>
      <c r="P127" t="inlineStr">
        <is>
          <t>No interviene en el prorrateo</t>
        </is>
      </c>
    </row>
    <row r="128">
      <c r="A128" t="n">
        <v>1133</v>
      </c>
      <c r="B128" t="inlineStr">
        <is>
          <t>MAYFE S.C.</t>
        </is>
      </c>
      <c r="E128" t="n">
        <v>2026</v>
      </c>
      <c r="F128" t="n">
        <v>1</v>
      </c>
      <c r="G128" t="inlineStr">
        <is>
          <t>CITRICOS</t>
        </is>
      </c>
      <c r="H128" t="inlineStr">
        <is>
          <t>LANE LATE</t>
        </is>
      </c>
      <c r="I128" t="n">
        <v>539</v>
      </c>
      <c r="J128" t="n">
        <v>6962</v>
      </c>
      <c r="K128" t="n">
        <v>0</v>
      </c>
      <c r="L128" t="n">
        <v>6962</v>
      </c>
      <c r="M128" t="inlineStr">
        <is>
          <t>Sí</t>
        </is>
      </c>
      <c r="N128" t="inlineStr"/>
      <c r="O128" t="inlineStr">
        <is>
          <t>Informativa</t>
        </is>
      </c>
      <c r="P128" t="inlineStr">
        <is>
          <t>No interviene en el prorrateo</t>
        </is>
      </c>
    </row>
    <row r="129">
      <c r="A129" t="n">
        <v>1133</v>
      </c>
      <c r="B129" t="inlineStr">
        <is>
          <t>MAYFE S.C.</t>
        </is>
      </c>
      <c r="E129" t="n">
        <v>2026</v>
      </c>
      <c r="F129" t="n">
        <v>1</v>
      </c>
      <c r="G129" t="inlineStr">
        <is>
          <t>CITRICOS</t>
        </is>
      </c>
      <c r="H129" t="inlineStr">
        <is>
          <t>LANE LATE</t>
        </is>
      </c>
      <c r="I129" t="n">
        <v>124</v>
      </c>
      <c r="J129" t="n">
        <v>11890</v>
      </c>
      <c r="K129" t="n">
        <v>9760</v>
      </c>
      <c r="L129" t="n">
        <v>9760</v>
      </c>
      <c r="M129" t="inlineStr">
        <is>
          <t>Sí</t>
        </is>
      </c>
      <c r="N129" t="inlineStr"/>
      <c r="O129" t="inlineStr">
        <is>
          <t>Informativa</t>
        </is>
      </c>
      <c r="P129" t="inlineStr">
        <is>
          <t>No interviene en el prorrateo</t>
        </is>
      </c>
    </row>
    <row r="130">
      <c r="A130" t="n">
        <v>1133</v>
      </c>
      <c r="B130" t="inlineStr">
        <is>
          <t>MAYFE S.C.</t>
        </is>
      </c>
      <c r="E130" t="n">
        <v>2026</v>
      </c>
      <c r="F130" t="n">
        <v>1</v>
      </c>
      <c r="G130" t="inlineStr">
        <is>
          <t>CITRICOS</t>
        </is>
      </c>
      <c r="H130" t="inlineStr">
        <is>
          <t>LANE LATE</t>
        </is>
      </c>
      <c r="I130" t="n">
        <v>124</v>
      </c>
      <c r="J130" t="n">
        <v>1634</v>
      </c>
      <c r="K130" t="n">
        <v>0</v>
      </c>
      <c r="L130" t="n">
        <v>1634</v>
      </c>
      <c r="M130" t="inlineStr">
        <is>
          <t>Sí</t>
        </is>
      </c>
      <c r="N130" t="inlineStr"/>
      <c r="O130" t="inlineStr">
        <is>
          <t>Informativa</t>
        </is>
      </c>
      <c r="P130" t="inlineStr">
        <is>
          <t>No interviene en el prorrateo</t>
        </is>
      </c>
    </row>
    <row r="131">
      <c r="A131" t="n">
        <v>1133</v>
      </c>
      <c r="B131" t="inlineStr">
        <is>
          <t>MAYFE S.C.</t>
        </is>
      </c>
      <c r="E131" t="n">
        <v>2026</v>
      </c>
      <c r="F131" t="n">
        <v>1</v>
      </c>
      <c r="G131" t="inlineStr">
        <is>
          <t>CITRICOS</t>
        </is>
      </c>
      <c r="H131" t="inlineStr">
        <is>
          <t>CHISLETT SUMER</t>
        </is>
      </c>
      <c r="I131" t="n">
        <v>568</v>
      </c>
      <c r="J131" t="n">
        <v>9180</v>
      </c>
      <c r="K131" t="n">
        <v>0</v>
      </c>
      <c r="L131" t="n">
        <v>9180</v>
      </c>
      <c r="M131" t="inlineStr">
        <is>
          <t>Sí</t>
        </is>
      </c>
      <c r="N131" t="inlineStr"/>
      <c r="O131" t="inlineStr">
        <is>
          <t>Informativa</t>
        </is>
      </c>
      <c r="P131" t="inlineStr">
        <is>
          <t>No interviene en el prorrateo</t>
        </is>
      </c>
    </row>
    <row r="132">
      <c r="A132" t="n">
        <v>1133</v>
      </c>
      <c r="B132" t="inlineStr">
        <is>
          <t>MAYFE S.C.</t>
        </is>
      </c>
      <c r="E132" t="n">
        <v>2026</v>
      </c>
      <c r="F132" t="n">
        <v>1</v>
      </c>
      <c r="G132" t="inlineStr">
        <is>
          <t>INDUSTRIA</t>
        </is>
      </c>
      <c r="H132" t="inlineStr">
        <is>
          <t>SALUSTIANA</t>
        </is>
      </c>
      <c r="I132" t="n">
        <v>125</v>
      </c>
      <c r="J132" t="n">
        <v>4136</v>
      </c>
      <c r="K132" t="n">
        <v>0</v>
      </c>
      <c r="L132" t="n">
        <v>4136</v>
      </c>
      <c r="M132" t="inlineStr">
        <is>
          <t>Sí</t>
        </is>
      </c>
      <c r="N132" t="inlineStr"/>
      <c r="O132" t="inlineStr">
        <is>
          <t>Informativa</t>
        </is>
      </c>
      <c r="P132" t="inlineStr">
        <is>
          <t>No interviene en el prorrateo</t>
        </is>
      </c>
    </row>
    <row r="133">
      <c r="A133" t="n">
        <v>1133</v>
      </c>
      <c r="B133" t="inlineStr">
        <is>
          <t>MAYFE S.C.</t>
        </is>
      </c>
      <c r="E133" t="n">
        <v>2026</v>
      </c>
      <c r="F133" t="n">
        <v>1</v>
      </c>
      <c r="G133" t="inlineStr">
        <is>
          <t>INDUSTRIA</t>
        </is>
      </c>
      <c r="H133" t="inlineStr">
        <is>
          <t>SALUSTIANA</t>
        </is>
      </c>
      <c r="I133" t="n">
        <v>125</v>
      </c>
      <c r="J133" t="n">
        <v>22084</v>
      </c>
      <c r="K133" t="n">
        <v>0</v>
      </c>
      <c r="L133" t="n">
        <v>22084</v>
      </c>
      <c r="M133" t="inlineStr">
        <is>
          <t>Sí</t>
        </is>
      </c>
      <c r="N133" t="inlineStr"/>
      <c r="O133" t="inlineStr">
        <is>
          <t>Informativa</t>
        </is>
      </c>
      <c r="P133" t="inlineStr">
        <is>
          <t>No interviene en el prorrateo</t>
        </is>
      </c>
    </row>
    <row r="134">
      <c r="A134" t="n">
        <v>1133</v>
      </c>
      <c r="B134" t="inlineStr">
        <is>
          <t>MAYFE S.C.</t>
        </is>
      </c>
      <c r="E134" t="n">
        <v>2026</v>
      </c>
      <c r="F134" t="n">
        <v>1</v>
      </c>
      <c r="G134" t="inlineStr">
        <is>
          <t>INDUSTRIA</t>
        </is>
      </c>
      <c r="H134" t="inlineStr">
        <is>
          <t>SALUSTIANA</t>
        </is>
      </c>
      <c r="I134" t="n">
        <v>125</v>
      </c>
      <c r="J134" t="n">
        <v>14952</v>
      </c>
      <c r="K134" t="n">
        <v>0</v>
      </c>
      <c r="L134" t="n">
        <v>14952</v>
      </c>
      <c r="M134" t="inlineStr">
        <is>
          <t>Sí</t>
        </is>
      </c>
      <c r="N134" t="inlineStr"/>
      <c r="O134" t="inlineStr">
        <is>
          <t>Informativa</t>
        </is>
      </c>
      <c r="P134" t="inlineStr">
        <is>
          <t>No interviene en el prorrateo</t>
        </is>
      </c>
    </row>
    <row r="135">
      <c r="A135" t="n">
        <v>1133</v>
      </c>
      <c r="B135" t="inlineStr">
        <is>
          <t>MAYFE S.C.</t>
        </is>
      </c>
      <c r="E135" t="n">
        <v>2026</v>
      </c>
      <c r="F135" t="n">
        <v>1</v>
      </c>
      <c r="G135" t="inlineStr">
        <is>
          <t>MANDARINA</t>
        </is>
      </c>
      <c r="H135" t="inlineStr">
        <is>
          <t>TANGO</t>
        </is>
      </c>
      <c r="I135" t="n">
        <v>524</v>
      </c>
      <c r="J135" t="n">
        <v>21076</v>
      </c>
      <c r="K135" t="n">
        <v>0</v>
      </c>
      <c r="L135" t="n">
        <v>21076</v>
      </c>
      <c r="M135" t="inlineStr">
        <is>
          <t>Sí</t>
        </is>
      </c>
      <c r="N135" t="inlineStr"/>
      <c r="O135" t="inlineStr">
        <is>
          <t>Informativa</t>
        </is>
      </c>
      <c r="P135" t="inlineStr">
        <is>
          <t>No interviene en el prorrateo</t>
        </is>
      </c>
    </row>
    <row r="136">
      <c r="A136" t="n">
        <v>1133</v>
      </c>
      <c r="B136" t="inlineStr">
        <is>
          <t>MAYFE S.C.</t>
        </is>
      </c>
      <c r="E136" t="n">
        <v>2026</v>
      </c>
      <c r="F136" t="n">
        <v>1</v>
      </c>
      <c r="G136" t="inlineStr">
        <is>
          <t>MANDARINA</t>
        </is>
      </c>
      <c r="H136" t="inlineStr">
        <is>
          <t>TANGO</t>
        </is>
      </c>
      <c r="I136" t="n">
        <v>524</v>
      </c>
      <c r="J136" t="n">
        <v>20280</v>
      </c>
      <c r="K136" t="n">
        <v>0</v>
      </c>
      <c r="L136" t="n">
        <v>20280</v>
      </c>
      <c r="M136" t="inlineStr">
        <is>
          <t>Sí</t>
        </is>
      </c>
      <c r="N136" t="inlineStr"/>
      <c r="O136" t="inlineStr">
        <is>
          <t>Informativa</t>
        </is>
      </c>
      <c r="P136" t="inlineStr">
        <is>
          <t>No interviene en el prorrateo</t>
        </is>
      </c>
    </row>
    <row r="137">
      <c r="A137" t="n">
        <v>1133</v>
      </c>
      <c r="B137" t="inlineStr">
        <is>
          <t>MAYFE S.C.</t>
        </is>
      </c>
      <c r="E137" t="n">
        <v>2026</v>
      </c>
      <c r="F137" t="n">
        <v>1</v>
      </c>
      <c r="G137" t="inlineStr">
        <is>
          <t>MANDARINA</t>
        </is>
      </c>
      <c r="H137" t="inlineStr">
        <is>
          <t>TANGO</t>
        </is>
      </c>
      <c r="I137" t="n">
        <v>524</v>
      </c>
      <c r="J137" t="n">
        <v>21256</v>
      </c>
      <c r="K137" t="n">
        <v>0</v>
      </c>
      <c r="L137" t="n">
        <v>21256</v>
      </c>
      <c r="M137" t="inlineStr">
        <is>
          <t>Sí</t>
        </is>
      </c>
      <c r="N137" t="inlineStr"/>
      <c r="O137" t="inlineStr">
        <is>
          <t>Informativa</t>
        </is>
      </c>
      <c r="P137" t="inlineStr">
        <is>
          <t>No interviene en el prorrateo</t>
        </is>
      </c>
    </row>
    <row r="138">
      <c r="A138" t="n">
        <v>1133</v>
      </c>
      <c r="B138" t="inlineStr">
        <is>
          <t>MAYFE S.C.</t>
        </is>
      </c>
      <c r="E138" t="n">
        <v>2026</v>
      </c>
      <c r="F138" t="n">
        <v>1</v>
      </c>
      <c r="G138" t="inlineStr">
        <is>
          <t>MANDARINA</t>
        </is>
      </c>
      <c r="H138" t="inlineStr">
        <is>
          <t>TANGO</t>
        </is>
      </c>
      <c r="I138" t="n">
        <v>524</v>
      </c>
      <c r="J138" t="n">
        <v>17023</v>
      </c>
      <c r="K138" t="n">
        <v>0</v>
      </c>
      <c r="L138" t="n">
        <v>17023</v>
      </c>
      <c r="M138" t="inlineStr">
        <is>
          <t>Sí</t>
        </is>
      </c>
      <c r="N138" t="inlineStr"/>
      <c r="O138" t="inlineStr">
        <is>
          <t>Informativa</t>
        </is>
      </c>
      <c r="P138" t="inlineStr">
        <is>
          <t>No interviene en el prorrateo</t>
        </is>
      </c>
    </row>
    <row r="139">
      <c r="A139" t="n">
        <v>1178</v>
      </c>
      <c r="B139" t="inlineStr">
        <is>
          <t>CALZADO GARCIA,FRANCISCO JAVIER</t>
        </is>
      </c>
      <c r="E139" t="n">
        <v>2026</v>
      </c>
      <c r="F139" t="n">
        <v>1</v>
      </c>
      <c r="G139" t="inlineStr">
        <is>
          <t>CITRICOS</t>
        </is>
      </c>
      <c r="H139" t="inlineStr">
        <is>
          <t>SALUSTIANA</t>
        </is>
      </c>
      <c r="I139" t="n">
        <v>171</v>
      </c>
      <c r="J139" t="n">
        <v>988</v>
      </c>
      <c r="K139" t="n">
        <v>0</v>
      </c>
      <c r="L139" t="n">
        <v>988</v>
      </c>
      <c r="M139" t="inlineStr">
        <is>
          <t>Sí</t>
        </is>
      </c>
      <c r="N139" t="inlineStr"/>
      <c r="O139" t="inlineStr">
        <is>
          <t>Informativa</t>
        </is>
      </c>
      <c r="P139" t="inlineStr">
        <is>
          <t>No interviene en el prorrateo</t>
        </is>
      </c>
    </row>
    <row r="140">
      <c r="A140" t="n">
        <v>1178</v>
      </c>
      <c r="B140" t="inlineStr">
        <is>
          <t>CALZADO GARCIA,FRANCISCO JAVIER</t>
        </is>
      </c>
      <c r="E140" t="n">
        <v>2026</v>
      </c>
      <c r="F140" t="n">
        <v>1</v>
      </c>
      <c r="G140" t="inlineStr">
        <is>
          <t>CITRICOS</t>
        </is>
      </c>
      <c r="H140" t="inlineStr">
        <is>
          <t>SALUSTIANA</t>
        </is>
      </c>
      <c r="I140" t="n">
        <v>171</v>
      </c>
      <c r="J140" t="n">
        <v>11795</v>
      </c>
      <c r="K140" t="n">
        <v>11427</v>
      </c>
      <c r="L140" t="n">
        <v>11427</v>
      </c>
      <c r="M140" t="inlineStr">
        <is>
          <t>Sí</t>
        </is>
      </c>
      <c r="N140" t="inlineStr"/>
      <c r="O140" t="inlineStr">
        <is>
          <t>Informativa</t>
        </is>
      </c>
      <c r="P140" t="inlineStr">
        <is>
          <t>No interviene en el prorrateo</t>
        </is>
      </c>
    </row>
    <row r="141">
      <c r="A141" t="n">
        <v>1178</v>
      </c>
      <c r="B141" t="inlineStr">
        <is>
          <t>CALZADO GARCIA,FRANCISCO JAVIER</t>
        </is>
      </c>
      <c r="E141" t="n">
        <v>2026</v>
      </c>
      <c r="F141" t="n">
        <v>1</v>
      </c>
      <c r="G141" t="inlineStr">
        <is>
          <t>CITRICOS</t>
        </is>
      </c>
      <c r="H141" t="inlineStr">
        <is>
          <t>SALUSTIANA</t>
        </is>
      </c>
      <c r="I141" t="n">
        <v>171</v>
      </c>
      <c r="J141" t="n">
        <v>11840</v>
      </c>
      <c r="K141" t="n">
        <v>0</v>
      </c>
      <c r="L141" t="n">
        <v>11840</v>
      </c>
      <c r="M141" t="inlineStr">
        <is>
          <t>Sí</t>
        </is>
      </c>
      <c r="N141" t="inlineStr"/>
      <c r="O141" t="inlineStr">
        <is>
          <t>Informativa</t>
        </is>
      </c>
      <c r="P141" t="inlineStr">
        <is>
          <t>No interviene en el prorrateo</t>
        </is>
      </c>
    </row>
    <row r="142">
      <c r="A142" t="n">
        <v>1178</v>
      </c>
      <c r="B142" t="inlineStr">
        <is>
          <t>CALZADO GARCIA,FRANCISCO JAVIER</t>
        </is>
      </c>
      <c r="E142" t="n">
        <v>2026</v>
      </c>
      <c r="F142" t="n">
        <v>1</v>
      </c>
      <c r="G142" t="inlineStr">
        <is>
          <t>CITRICOS</t>
        </is>
      </c>
      <c r="H142" t="inlineStr">
        <is>
          <t>SALUSTIANA</t>
        </is>
      </c>
      <c r="I142" t="n">
        <v>171</v>
      </c>
      <c r="J142" t="n">
        <v>12895</v>
      </c>
      <c r="K142" t="n">
        <v>997</v>
      </c>
      <c r="L142" t="n">
        <v>997</v>
      </c>
      <c r="M142" t="inlineStr">
        <is>
          <t>Sí</t>
        </is>
      </c>
      <c r="N142" t="inlineStr"/>
      <c r="O142" t="inlineStr">
        <is>
          <t>Informativa</t>
        </is>
      </c>
      <c r="P142" t="inlineStr">
        <is>
          <t>No interviene en el prorrateo</t>
        </is>
      </c>
    </row>
    <row r="143">
      <c r="A143" t="n">
        <v>1178</v>
      </c>
      <c r="B143" t="inlineStr">
        <is>
          <t>CALZADO GARCIA,FRANCISCO JAVIER</t>
        </is>
      </c>
      <c r="E143" t="n">
        <v>2026</v>
      </c>
      <c r="F143" t="n">
        <v>1</v>
      </c>
      <c r="G143" t="inlineStr">
        <is>
          <t>CITRICOS</t>
        </is>
      </c>
      <c r="H143" t="inlineStr">
        <is>
          <t>SALUSTIANA</t>
        </is>
      </c>
      <c r="I143" t="n">
        <v>171</v>
      </c>
      <c r="J143" t="n">
        <v>2940</v>
      </c>
      <c r="K143" t="n">
        <v>0</v>
      </c>
      <c r="L143" t="n">
        <v>2940</v>
      </c>
      <c r="M143" t="inlineStr">
        <is>
          <t>Sí</t>
        </is>
      </c>
      <c r="N143" t="inlineStr"/>
      <c r="O143" t="inlineStr">
        <is>
          <t>Informativa</t>
        </is>
      </c>
      <c r="P143" t="inlineStr">
        <is>
          <t>No interviene en el prorrateo</t>
        </is>
      </c>
    </row>
    <row r="144">
      <c r="A144" t="n">
        <v>1178</v>
      </c>
      <c r="B144" t="inlineStr">
        <is>
          <t>CALZADO GARCIA,FRANCISCO JAVIER</t>
        </is>
      </c>
      <c r="E144" t="n">
        <v>2026</v>
      </c>
      <c r="F144" t="n">
        <v>1</v>
      </c>
      <c r="G144" t="inlineStr">
        <is>
          <t>CITRICOS</t>
        </is>
      </c>
      <c r="H144" t="inlineStr">
        <is>
          <t>SALUSTIANA</t>
        </is>
      </c>
      <c r="I144" t="n">
        <v>171</v>
      </c>
      <c r="J144" t="n">
        <v>11915</v>
      </c>
      <c r="K144" t="n">
        <v>10306</v>
      </c>
      <c r="L144" t="n">
        <v>10306</v>
      </c>
      <c r="M144" t="inlineStr">
        <is>
          <t>Sí</t>
        </is>
      </c>
      <c r="N144" t="inlineStr"/>
      <c r="O144" t="inlineStr">
        <is>
          <t>Informativa</t>
        </is>
      </c>
      <c r="P144" t="inlineStr">
        <is>
          <t>No interviene en el prorrateo</t>
        </is>
      </c>
    </row>
    <row r="145">
      <c r="A145" t="n">
        <v>1178</v>
      </c>
      <c r="B145" t="inlineStr">
        <is>
          <t>CALZADO GARCIA,FRANCISCO JAVIER</t>
        </is>
      </c>
      <c r="E145" t="n">
        <v>2026</v>
      </c>
      <c r="F145" t="n">
        <v>1</v>
      </c>
      <c r="G145" t="inlineStr">
        <is>
          <t>CITRICOS</t>
        </is>
      </c>
      <c r="H145" t="inlineStr">
        <is>
          <t>SALUSTIANA</t>
        </is>
      </c>
      <c r="I145" t="n">
        <v>171</v>
      </c>
      <c r="J145" t="n">
        <v>11940</v>
      </c>
      <c r="K145" t="n">
        <v>0</v>
      </c>
      <c r="L145" t="n">
        <v>11940</v>
      </c>
      <c r="M145" t="inlineStr">
        <is>
          <t>Sí</t>
        </is>
      </c>
      <c r="N145" t="inlineStr"/>
      <c r="O145" t="inlineStr">
        <is>
          <t>Informativa</t>
        </is>
      </c>
      <c r="P145" t="inlineStr">
        <is>
          <t>No interviene en el prorrateo</t>
        </is>
      </c>
    </row>
    <row r="146">
      <c r="A146" t="n">
        <v>1178</v>
      </c>
      <c r="B146" t="inlineStr">
        <is>
          <t>CALZADO GARCIA,FRANCISCO JAVIER</t>
        </is>
      </c>
      <c r="E146" t="n">
        <v>2026</v>
      </c>
      <c r="F146" t="n">
        <v>1</v>
      </c>
      <c r="G146" t="inlineStr">
        <is>
          <t>CITRICOS</t>
        </is>
      </c>
      <c r="H146" t="inlineStr">
        <is>
          <t>SALUSTIANA</t>
        </is>
      </c>
      <c r="I146" t="n">
        <v>171</v>
      </c>
      <c r="J146" t="n">
        <v>11580</v>
      </c>
      <c r="K146" t="n">
        <v>11143</v>
      </c>
      <c r="L146" t="n">
        <v>11143</v>
      </c>
      <c r="M146" t="inlineStr">
        <is>
          <t>Sí</t>
        </is>
      </c>
      <c r="N146" t="inlineStr"/>
      <c r="O146" t="inlineStr">
        <is>
          <t>Informativa</t>
        </is>
      </c>
      <c r="P146" t="inlineStr">
        <is>
          <t>No interviene en el prorrateo</t>
        </is>
      </c>
    </row>
    <row r="147">
      <c r="A147" t="n">
        <v>1178</v>
      </c>
      <c r="B147" t="inlineStr">
        <is>
          <t>CALZADO GARCIA,FRANCISCO JAVIER</t>
        </is>
      </c>
      <c r="E147" t="n">
        <v>2026</v>
      </c>
      <c r="F147" t="n">
        <v>1</v>
      </c>
      <c r="G147" t="inlineStr">
        <is>
          <t>CITRICOS</t>
        </is>
      </c>
      <c r="H147" t="inlineStr">
        <is>
          <t>SALUSTIANA</t>
        </is>
      </c>
      <c r="I147" t="n">
        <v>171</v>
      </c>
      <c r="J147" t="n">
        <v>12965</v>
      </c>
      <c r="K147" t="n">
        <v>4391</v>
      </c>
      <c r="L147" t="n">
        <v>4391</v>
      </c>
      <c r="M147" t="inlineStr">
        <is>
          <t>Sí</t>
        </is>
      </c>
      <c r="N147" t="inlineStr"/>
      <c r="O147" t="inlineStr">
        <is>
          <t>Informativa</t>
        </is>
      </c>
      <c r="P147" t="inlineStr">
        <is>
          <t>No interviene en el prorrateo</t>
        </is>
      </c>
    </row>
    <row r="148">
      <c r="A148" t="n">
        <v>1178</v>
      </c>
      <c r="B148" t="inlineStr">
        <is>
          <t>CALZADO GARCIA,FRANCISCO JAVIER</t>
        </is>
      </c>
      <c r="E148" t="n">
        <v>2026</v>
      </c>
      <c r="F148" t="n">
        <v>1</v>
      </c>
      <c r="G148" t="inlineStr">
        <is>
          <t>CITRICOS</t>
        </is>
      </c>
      <c r="H148" t="inlineStr">
        <is>
          <t>SALUSTIANA</t>
        </is>
      </c>
      <c r="I148" t="n">
        <v>171</v>
      </c>
      <c r="J148" t="n">
        <v>12615</v>
      </c>
      <c r="K148" t="n">
        <v>7769</v>
      </c>
      <c r="L148" t="n">
        <v>7769</v>
      </c>
      <c r="M148" t="inlineStr">
        <is>
          <t>Sí</t>
        </is>
      </c>
      <c r="N148" t="inlineStr"/>
      <c r="O148" t="inlineStr">
        <is>
          <t>Informativa</t>
        </is>
      </c>
      <c r="P148" t="inlineStr">
        <is>
          <t>No interviene en el prorrateo</t>
        </is>
      </c>
    </row>
    <row r="149">
      <c r="A149" t="n">
        <v>1178</v>
      </c>
      <c r="B149" t="inlineStr">
        <is>
          <t>CALZADO GARCIA,FRANCISCO JAVIER</t>
        </is>
      </c>
      <c r="E149" t="n">
        <v>2026</v>
      </c>
      <c r="F149" t="n">
        <v>1</v>
      </c>
      <c r="G149" t="inlineStr">
        <is>
          <t>DIRECTO</t>
        </is>
      </c>
      <c r="H149" t="inlineStr">
        <is>
          <t>NAVEL POWEL</t>
        </is>
      </c>
      <c r="I149" t="n">
        <v>528</v>
      </c>
      <c r="J149" t="n">
        <v>13300</v>
      </c>
      <c r="K149" t="n">
        <v>0</v>
      </c>
      <c r="L149" t="n">
        <v>13300</v>
      </c>
      <c r="M149" t="inlineStr">
        <is>
          <t>Sí</t>
        </is>
      </c>
      <c r="N149" t="inlineStr"/>
      <c r="O149" t="inlineStr">
        <is>
          <t>Informativa</t>
        </is>
      </c>
      <c r="P149" t="inlineStr">
        <is>
          <t>No interviene en el prorrateo</t>
        </is>
      </c>
    </row>
    <row r="150">
      <c r="A150" t="n">
        <v>1178</v>
      </c>
      <c r="B150" t="inlineStr">
        <is>
          <t>CALZADO GARCIA,FRANCISCO JAVIER</t>
        </is>
      </c>
      <c r="E150" t="n">
        <v>2026</v>
      </c>
      <c r="F150" t="n">
        <v>1</v>
      </c>
      <c r="G150" t="inlineStr">
        <is>
          <t>DIRECTO</t>
        </is>
      </c>
      <c r="H150" t="inlineStr">
        <is>
          <t>NAVEL POWEL</t>
        </is>
      </c>
      <c r="I150" t="n">
        <v>528</v>
      </c>
      <c r="J150" t="n">
        <v>7680</v>
      </c>
      <c r="K150" t="n">
        <v>0</v>
      </c>
      <c r="L150" t="n">
        <v>7680</v>
      </c>
      <c r="M150" t="inlineStr">
        <is>
          <t>Sí</t>
        </is>
      </c>
      <c r="N150" t="inlineStr"/>
      <c r="O150" t="inlineStr">
        <is>
          <t>Informativa</t>
        </is>
      </c>
      <c r="P150" t="inlineStr">
        <is>
          <t>No interviene en el prorrateo</t>
        </is>
      </c>
    </row>
    <row r="151">
      <c r="A151" t="n">
        <v>1178</v>
      </c>
      <c r="B151" t="inlineStr">
        <is>
          <t>CALZADO GARCIA,FRANCISCO JAVIER</t>
        </is>
      </c>
      <c r="E151" t="n">
        <v>2026</v>
      </c>
      <c r="F151" t="n">
        <v>1</v>
      </c>
      <c r="G151" t="inlineStr">
        <is>
          <t>INDUSTRIA</t>
        </is>
      </c>
      <c r="H151" t="inlineStr">
        <is>
          <t>SALUSTIANA</t>
        </is>
      </c>
      <c r="I151" t="n">
        <v>171</v>
      </c>
      <c r="J151" t="n">
        <v>12985</v>
      </c>
      <c r="K151" t="n">
        <v>333</v>
      </c>
      <c r="L151" t="n">
        <v>333</v>
      </c>
      <c r="M151" t="inlineStr">
        <is>
          <t>Sí</t>
        </is>
      </c>
      <c r="N151" t="inlineStr"/>
      <c r="O151" t="inlineStr">
        <is>
          <t>Informativa</t>
        </is>
      </c>
      <c r="P151" t="inlineStr">
        <is>
          <t>No interviene en el prorrateo</t>
        </is>
      </c>
    </row>
    <row r="152">
      <c r="A152" t="n">
        <v>1178</v>
      </c>
      <c r="B152" t="inlineStr">
        <is>
          <t>CALZADO GARCIA,FRANCISCO JAVIER</t>
        </is>
      </c>
      <c r="E152" t="n">
        <v>2026</v>
      </c>
      <c r="F152" t="n">
        <v>1</v>
      </c>
      <c r="G152" t="inlineStr">
        <is>
          <t>INDUSTRIA</t>
        </is>
      </c>
      <c r="H152" t="inlineStr">
        <is>
          <t>SALUSTIANA</t>
        </is>
      </c>
      <c r="I152" t="n">
        <v>171</v>
      </c>
      <c r="J152" t="n">
        <v>11670</v>
      </c>
      <c r="K152" t="n">
        <v>437</v>
      </c>
      <c r="L152" t="n">
        <v>437</v>
      </c>
      <c r="M152" t="inlineStr">
        <is>
          <t>Sí</t>
        </is>
      </c>
      <c r="N152" t="inlineStr"/>
      <c r="O152" t="inlineStr">
        <is>
          <t>Informativa</t>
        </is>
      </c>
      <c r="P152" t="inlineStr">
        <is>
          <t>No interviene en el prorrateo</t>
        </is>
      </c>
    </row>
    <row r="153">
      <c r="A153" t="n">
        <v>1178</v>
      </c>
      <c r="B153" t="inlineStr">
        <is>
          <t>CALZADO GARCIA,FRANCISCO JAVIER</t>
        </is>
      </c>
      <c r="E153" t="n">
        <v>2026</v>
      </c>
      <c r="F153" t="n">
        <v>1</v>
      </c>
      <c r="G153" t="inlineStr">
        <is>
          <t>INDUSTRIA</t>
        </is>
      </c>
      <c r="H153" t="inlineStr">
        <is>
          <t>SALUSTIANA</t>
        </is>
      </c>
      <c r="I153" t="n">
        <v>171</v>
      </c>
      <c r="J153" t="n">
        <v>11230</v>
      </c>
      <c r="K153" t="n">
        <v>367</v>
      </c>
      <c r="L153" t="n">
        <v>367</v>
      </c>
      <c r="M153" t="inlineStr">
        <is>
          <t>Sí</t>
        </is>
      </c>
      <c r="N153" t="inlineStr"/>
      <c r="O153" t="inlineStr">
        <is>
          <t>Informativa</t>
        </is>
      </c>
      <c r="P153" t="inlineStr">
        <is>
          <t>No interviene en el prorrateo</t>
        </is>
      </c>
    </row>
    <row r="154">
      <c r="A154" t="n">
        <v>1178</v>
      </c>
      <c r="B154" t="inlineStr">
        <is>
          <t>CALZADO GARCIA,FRANCISCO JAVIER</t>
        </is>
      </c>
      <c r="E154" t="n">
        <v>2026</v>
      </c>
      <c r="F154" t="n">
        <v>1</v>
      </c>
      <c r="G154" t="inlineStr">
        <is>
          <t>INDUSTRIA</t>
        </is>
      </c>
      <c r="H154" t="inlineStr">
        <is>
          <t>SALUSTIANA</t>
        </is>
      </c>
      <c r="I154" t="n">
        <v>171</v>
      </c>
      <c r="J154" t="n">
        <v>12490</v>
      </c>
      <c r="K154" t="n">
        <v>530</v>
      </c>
      <c r="L154" t="n">
        <v>530</v>
      </c>
      <c r="M154" t="inlineStr">
        <is>
          <t>Sí</t>
        </is>
      </c>
      <c r="N154" t="inlineStr"/>
      <c r="O154" t="inlineStr">
        <is>
          <t>Informativa</t>
        </is>
      </c>
      <c r="P154" t="inlineStr">
        <is>
          <t>No interviene en el prorrateo</t>
        </is>
      </c>
    </row>
    <row r="155">
      <c r="A155" t="n">
        <v>1178</v>
      </c>
      <c r="B155" t="inlineStr">
        <is>
          <t>CALZADO GARCIA,FRANCISCO JAVIER</t>
        </is>
      </c>
      <c r="E155" t="n">
        <v>2026</v>
      </c>
      <c r="F155" t="n">
        <v>1</v>
      </c>
      <c r="G155" t="inlineStr">
        <is>
          <t>INDUSTRIA</t>
        </is>
      </c>
      <c r="H155" t="inlineStr">
        <is>
          <t>NAVEL POWEL</t>
        </is>
      </c>
      <c r="I155" t="n">
        <v>528</v>
      </c>
      <c r="J155" t="n">
        <v>518</v>
      </c>
      <c r="K155" t="n">
        <v>0</v>
      </c>
      <c r="L155" t="n">
        <v>518</v>
      </c>
      <c r="M155" t="inlineStr">
        <is>
          <t>Sí</t>
        </is>
      </c>
      <c r="N155" t="inlineStr"/>
      <c r="O155" t="inlineStr">
        <is>
          <t>Informativa</t>
        </is>
      </c>
      <c r="P155" t="inlineStr">
        <is>
          <t>No interviene en el prorrateo</t>
        </is>
      </c>
    </row>
    <row r="156">
      <c r="A156" t="n">
        <v>1178</v>
      </c>
      <c r="B156" t="inlineStr">
        <is>
          <t>CALZADO GARCIA,FRANCISCO JAVIER</t>
        </is>
      </c>
      <c r="E156" t="n">
        <v>2026</v>
      </c>
      <c r="F156" t="n">
        <v>1</v>
      </c>
      <c r="G156" t="inlineStr">
        <is>
          <t>INDUSTRIA</t>
        </is>
      </c>
      <c r="H156" t="inlineStr">
        <is>
          <t>NAVEL POWEL</t>
        </is>
      </c>
      <c r="I156" t="n">
        <v>528</v>
      </c>
      <c r="J156" t="n">
        <v>498</v>
      </c>
      <c r="K156" t="n">
        <v>0</v>
      </c>
      <c r="L156" t="n">
        <v>498</v>
      </c>
      <c r="M156" t="inlineStr">
        <is>
          <t>Sí</t>
        </is>
      </c>
      <c r="N156" t="inlineStr"/>
      <c r="O156" t="inlineStr">
        <is>
          <t>Informativa</t>
        </is>
      </c>
      <c r="P156" t="inlineStr">
        <is>
          <t>No interviene en el prorrateo</t>
        </is>
      </c>
    </row>
    <row r="157">
      <c r="A157" t="n">
        <v>1178</v>
      </c>
      <c r="B157" t="inlineStr">
        <is>
          <t>CALZADO GARCIA,FRANCISCO JAVIER</t>
        </is>
      </c>
      <c r="E157" t="n">
        <v>2026</v>
      </c>
      <c r="F157" t="n">
        <v>1</v>
      </c>
      <c r="G157" t="inlineStr">
        <is>
          <t>INDUSTRIA</t>
        </is>
      </c>
      <c r="H157" t="inlineStr">
        <is>
          <t>NAVEL POWEL</t>
        </is>
      </c>
      <c r="I157" t="n">
        <v>528</v>
      </c>
      <c r="J157" t="n">
        <v>478</v>
      </c>
      <c r="K157" t="n">
        <v>0</v>
      </c>
      <c r="L157" t="n">
        <v>478</v>
      </c>
      <c r="M157" t="inlineStr">
        <is>
          <t>Sí</t>
        </is>
      </c>
      <c r="N157" t="inlineStr"/>
      <c r="O157" t="inlineStr">
        <is>
          <t>Informativa</t>
        </is>
      </c>
      <c r="P157" t="inlineStr">
        <is>
          <t>No interviene en el prorrateo</t>
        </is>
      </c>
    </row>
    <row r="158">
      <c r="A158" t="n">
        <v>1178</v>
      </c>
      <c r="B158" t="inlineStr">
        <is>
          <t>CALZADO GARCIA,FRANCISCO JAVIER</t>
        </is>
      </c>
      <c r="E158" t="n">
        <v>2026</v>
      </c>
      <c r="F158" t="n">
        <v>1</v>
      </c>
      <c r="G158" t="inlineStr">
        <is>
          <t>INDUSTRIA</t>
        </is>
      </c>
      <c r="H158" t="inlineStr">
        <is>
          <t>NAVEL POWEL</t>
        </is>
      </c>
      <c r="I158" t="n">
        <v>528</v>
      </c>
      <c r="J158" t="n">
        <v>458</v>
      </c>
      <c r="K158" t="n">
        <v>0</v>
      </c>
      <c r="L158" t="n">
        <v>458</v>
      </c>
      <c r="M158" t="inlineStr">
        <is>
          <t>Sí</t>
        </is>
      </c>
      <c r="N158" t="inlineStr"/>
      <c r="O158" t="inlineStr">
        <is>
          <t>Informativa</t>
        </is>
      </c>
      <c r="P158" t="inlineStr">
        <is>
          <t>No interviene en el prorrateo</t>
        </is>
      </c>
    </row>
    <row r="159">
      <c r="A159" t="n">
        <v>1178</v>
      </c>
      <c r="B159" t="inlineStr">
        <is>
          <t>CALZADO GARCIA,FRANCISCO JAVIER</t>
        </is>
      </c>
      <c r="E159" t="n">
        <v>2026</v>
      </c>
      <c r="F159" t="n">
        <v>1</v>
      </c>
      <c r="G159" t="inlineStr">
        <is>
          <t>MANDARINA</t>
        </is>
      </c>
      <c r="H159" t="inlineStr">
        <is>
          <t>TANGO</t>
        </is>
      </c>
      <c r="I159" t="n">
        <v>641</v>
      </c>
      <c r="J159" t="n">
        <v>21416</v>
      </c>
      <c r="K159" t="n">
        <v>0</v>
      </c>
      <c r="L159" t="n">
        <v>21416</v>
      </c>
      <c r="M159" t="inlineStr">
        <is>
          <t>Sí</t>
        </is>
      </c>
      <c r="N159" t="inlineStr"/>
      <c r="O159" t="inlineStr">
        <is>
          <t>Informativa</t>
        </is>
      </c>
      <c r="P159" t="inlineStr">
        <is>
          <t>No interviene en el prorrateo</t>
        </is>
      </c>
    </row>
    <row r="160">
      <c r="A160" t="n">
        <v>1178</v>
      </c>
      <c r="B160" t="inlineStr">
        <is>
          <t>CALZADO GARCIA,FRANCISCO JAVIER</t>
        </is>
      </c>
      <c r="E160" t="n">
        <v>2026</v>
      </c>
      <c r="F160" t="n">
        <v>1</v>
      </c>
      <c r="G160" t="inlineStr">
        <is>
          <t>MANDARINA</t>
        </is>
      </c>
      <c r="H160" t="inlineStr">
        <is>
          <t>TANGO</t>
        </is>
      </c>
      <c r="I160" t="n">
        <v>641</v>
      </c>
      <c r="J160" t="n">
        <v>21136</v>
      </c>
      <c r="K160" t="n">
        <v>0</v>
      </c>
      <c r="L160" t="n">
        <v>21136</v>
      </c>
      <c r="M160" t="inlineStr">
        <is>
          <t>Sí</t>
        </is>
      </c>
      <c r="N160" t="inlineStr"/>
      <c r="O160" t="inlineStr">
        <is>
          <t>Informativa</t>
        </is>
      </c>
      <c r="P160" t="inlineStr">
        <is>
          <t>No interviene en el prorrateo</t>
        </is>
      </c>
    </row>
    <row r="161">
      <c r="A161" t="n">
        <v>1178</v>
      </c>
      <c r="B161" t="inlineStr">
        <is>
          <t>CALZADO GARCIA,FRANCISCO JAVIER</t>
        </is>
      </c>
      <c r="E161" t="n">
        <v>2026</v>
      </c>
      <c r="F161" t="n">
        <v>1</v>
      </c>
      <c r="G161" t="inlineStr">
        <is>
          <t>MANDARINA</t>
        </is>
      </c>
      <c r="H161" t="inlineStr">
        <is>
          <t>TANGO</t>
        </is>
      </c>
      <c r="I161" t="n">
        <v>641</v>
      </c>
      <c r="J161" t="n">
        <v>10616</v>
      </c>
      <c r="K161" t="n">
        <v>0</v>
      </c>
      <c r="L161" t="n">
        <v>10616</v>
      </c>
      <c r="M161" t="inlineStr">
        <is>
          <t>Sí</t>
        </is>
      </c>
      <c r="N161" t="inlineStr"/>
      <c r="O161" t="inlineStr">
        <is>
          <t>Informativa</t>
        </is>
      </c>
      <c r="P161" t="inlineStr">
        <is>
          <t>No interviene en el prorrateo</t>
        </is>
      </c>
    </row>
    <row r="162">
      <c r="A162" t="n">
        <v>1202</v>
      </c>
      <c r="B162" t="inlineStr">
        <is>
          <t>FUENTES HINOJOSA,MANUEL</t>
        </is>
      </c>
      <c r="E162" t="n">
        <v>2026</v>
      </c>
      <c r="F162" t="n">
        <v>1</v>
      </c>
      <c r="G162" t="inlineStr">
        <is>
          <t>CITRICOS</t>
        </is>
      </c>
      <c r="H162" t="inlineStr">
        <is>
          <t>SALUSTIANA</t>
        </is>
      </c>
      <c r="I162" t="n">
        <v>162</v>
      </c>
      <c r="J162" t="n">
        <v>24710</v>
      </c>
      <c r="K162" t="n">
        <v>10150</v>
      </c>
      <c r="L162" t="n">
        <v>10150</v>
      </c>
      <c r="M162" t="inlineStr">
        <is>
          <t>Sí</t>
        </is>
      </c>
      <c r="N162" t="inlineStr"/>
      <c r="O162" t="inlineStr">
        <is>
          <t>Informativa</t>
        </is>
      </c>
      <c r="P162" t="inlineStr">
        <is>
          <t>No interviene en el prorrateo</t>
        </is>
      </c>
    </row>
    <row r="163">
      <c r="A163" t="n">
        <v>1202</v>
      </c>
      <c r="B163" t="inlineStr">
        <is>
          <t>FUENTES HINOJOSA,MANUEL</t>
        </is>
      </c>
      <c r="E163" t="n">
        <v>2026</v>
      </c>
      <c r="F163" t="n">
        <v>1</v>
      </c>
      <c r="G163" t="inlineStr">
        <is>
          <t>CITRICOS</t>
        </is>
      </c>
      <c r="H163" t="inlineStr">
        <is>
          <t>SALUSTIANA</t>
        </is>
      </c>
      <c r="I163" t="n">
        <v>162</v>
      </c>
      <c r="J163" t="n">
        <v>9270</v>
      </c>
      <c r="K163" t="n">
        <v>7489</v>
      </c>
      <c r="L163" t="n">
        <v>7489</v>
      </c>
      <c r="M163" t="inlineStr">
        <is>
          <t>Sí</t>
        </is>
      </c>
      <c r="N163" t="inlineStr"/>
      <c r="O163" t="inlineStr">
        <is>
          <t>Informativa</t>
        </is>
      </c>
      <c r="P163" t="inlineStr">
        <is>
          <t>No interviene en el prorrateo</t>
        </is>
      </c>
    </row>
    <row r="164">
      <c r="A164" t="n">
        <v>1202</v>
      </c>
      <c r="B164" t="inlineStr">
        <is>
          <t>FUENTES HINOJOSA,MANUEL</t>
        </is>
      </c>
      <c r="E164" t="n">
        <v>2026</v>
      </c>
      <c r="F164" t="n">
        <v>1</v>
      </c>
      <c r="G164" t="inlineStr">
        <is>
          <t>CITRICOS</t>
        </is>
      </c>
      <c r="H164" t="inlineStr">
        <is>
          <t>SALUSTIANA</t>
        </is>
      </c>
      <c r="I164" t="n">
        <v>162</v>
      </c>
      <c r="J164" t="n">
        <v>25025</v>
      </c>
      <c r="K164" t="n">
        <v>7105</v>
      </c>
      <c r="L164" t="n">
        <v>7105</v>
      </c>
      <c r="M164" t="inlineStr">
        <is>
          <t>Sí</t>
        </is>
      </c>
      <c r="N164" t="inlineStr"/>
      <c r="O164" t="inlineStr">
        <is>
          <t>Informativa</t>
        </is>
      </c>
      <c r="P164" t="inlineStr">
        <is>
          <t>No interviene en el prorrateo</t>
        </is>
      </c>
    </row>
    <row r="165">
      <c r="A165" t="n">
        <v>1202</v>
      </c>
      <c r="B165" t="inlineStr">
        <is>
          <t>FUENTES HINOJOSA,MANUEL</t>
        </is>
      </c>
      <c r="E165" t="n">
        <v>2026</v>
      </c>
      <c r="F165" t="n">
        <v>1</v>
      </c>
      <c r="G165" t="inlineStr">
        <is>
          <t>CITRICOS</t>
        </is>
      </c>
      <c r="H165" t="inlineStr">
        <is>
          <t>SALUSTIANA</t>
        </is>
      </c>
      <c r="I165" t="n">
        <v>162</v>
      </c>
      <c r="J165" t="n">
        <v>25130</v>
      </c>
      <c r="K165" t="n">
        <v>6090</v>
      </c>
      <c r="L165" t="n">
        <v>6090</v>
      </c>
      <c r="M165" t="inlineStr">
        <is>
          <t>Sí</t>
        </is>
      </c>
      <c r="N165" t="inlineStr"/>
      <c r="O165" t="inlineStr">
        <is>
          <t>Informativa</t>
        </is>
      </c>
      <c r="P165" t="inlineStr">
        <is>
          <t>No interviene en el prorrateo</t>
        </is>
      </c>
    </row>
    <row r="166">
      <c r="A166" t="n">
        <v>1202</v>
      </c>
      <c r="B166" t="inlineStr">
        <is>
          <t>FUENTES HINOJOSA,MANUEL</t>
        </is>
      </c>
      <c r="E166" t="n">
        <v>2026</v>
      </c>
      <c r="F166" t="n">
        <v>1</v>
      </c>
      <c r="G166" t="inlineStr">
        <is>
          <t>INDUSTRIA</t>
        </is>
      </c>
      <c r="H166" t="inlineStr">
        <is>
          <t>SALUSTIANA</t>
        </is>
      </c>
      <c r="I166" t="n">
        <v>162</v>
      </c>
      <c r="J166" t="n">
        <v>7625</v>
      </c>
      <c r="K166" t="n">
        <v>171</v>
      </c>
      <c r="L166" t="n">
        <v>171</v>
      </c>
      <c r="M166" t="inlineStr">
        <is>
          <t>Sí</t>
        </is>
      </c>
      <c r="N166" t="inlineStr"/>
      <c r="O166" t="inlineStr">
        <is>
          <t>Informativa</t>
        </is>
      </c>
      <c r="P166" t="inlineStr">
        <is>
          <t>No interviene en el prorrateo</t>
        </is>
      </c>
    </row>
    <row r="167">
      <c r="A167" t="n">
        <v>1219</v>
      </c>
      <c r="B167" t="inlineStr">
        <is>
          <t>LORA BUIZA,GREGORIO</t>
        </is>
      </c>
      <c r="E167" t="n">
        <v>2026</v>
      </c>
      <c r="F167" t="n">
        <v>1</v>
      </c>
      <c r="G167" t="inlineStr">
        <is>
          <t>CITRICOS</t>
        </is>
      </c>
      <c r="H167" t="inlineStr">
        <is>
          <t>SALUSTIANA</t>
        </is>
      </c>
      <c r="I167" t="n">
        <v>165</v>
      </c>
      <c r="J167" t="n">
        <v>8147</v>
      </c>
      <c r="K167" t="n">
        <v>3679</v>
      </c>
      <c r="L167" t="n">
        <v>3679</v>
      </c>
      <c r="M167" t="inlineStr">
        <is>
          <t>Sí</t>
        </is>
      </c>
      <c r="N167" t="inlineStr"/>
      <c r="O167" t="inlineStr">
        <is>
          <t>Informativa</t>
        </is>
      </c>
      <c r="P167" t="inlineStr">
        <is>
          <t>No interviene en el prorrateo</t>
        </is>
      </c>
    </row>
    <row r="168">
      <c r="A168" t="n">
        <v>1219</v>
      </c>
      <c r="B168" t="inlineStr">
        <is>
          <t>LORA BUIZA,GREGORIO</t>
        </is>
      </c>
      <c r="E168" t="n">
        <v>2026</v>
      </c>
      <c r="F168" t="n">
        <v>1</v>
      </c>
      <c r="G168" t="inlineStr">
        <is>
          <t>INDUSTRIA</t>
        </is>
      </c>
      <c r="H168" t="inlineStr">
        <is>
          <t>SALUSTIANA</t>
        </is>
      </c>
      <c r="I168" t="n">
        <v>165</v>
      </c>
      <c r="J168" t="n">
        <v>3593</v>
      </c>
      <c r="K168" t="n">
        <v>0</v>
      </c>
      <c r="L168" t="n">
        <v>3593</v>
      </c>
      <c r="M168" t="inlineStr">
        <is>
          <t>Sí</t>
        </is>
      </c>
      <c r="N168" t="inlineStr"/>
      <c r="O168" t="inlineStr">
        <is>
          <t>Informativa</t>
        </is>
      </c>
      <c r="P168" t="inlineStr">
        <is>
          <t>No interviene en el prorrateo</t>
        </is>
      </c>
    </row>
    <row r="169">
      <c r="A169" t="n">
        <v>1251</v>
      </c>
      <c r="B169" t="inlineStr">
        <is>
          <t>DURAN ALMENARA,ANGELES</t>
        </is>
      </c>
      <c r="E169" t="n">
        <v>2026</v>
      </c>
      <c r="F169" t="n">
        <v>1</v>
      </c>
      <c r="G169" t="inlineStr">
        <is>
          <t>CITRICOS</t>
        </is>
      </c>
      <c r="H169" t="inlineStr">
        <is>
          <t>SALUSTIANA</t>
        </is>
      </c>
      <c r="I169" t="n">
        <v>182</v>
      </c>
      <c r="J169" t="n">
        <v>11378</v>
      </c>
      <c r="K169" t="n">
        <v>0</v>
      </c>
      <c r="L169" t="n">
        <v>11378</v>
      </c>
      <c r="M169" t="inlineStr">
        <is>
          <t>Sí</t>
        </is>
      </c>
      <c r="N169" t="inlineStr"/>
      <c r="O169" t="inlineStr">
        <is>
          <t>Informativa</t>
        </is>
      </c>
      <c r="P169" t="inlineStr">
        <is>
          <t>No interviene en el prorrateo</t>
        </is>
      </c>
    </row>
    <row r="170">
      <c r="A170" t="n">
        <v>1251</v>
      </c>
      <c r="B170" t="inlineStr">
        <is>
          <t>DURAN ALMENARA,ANGELES</t>
        </is>
      </c>
      <c r="E170" t="n">
        <v>2026</v>
      </c>
      <c r="F170" t="n">
        <v>1</v>
      </c>
      <c r="G170" t="inlineStr">
        <is>
          <t>CITRICOS</t>
        </is>
      </c>
      <c r="H170" t="inlineStr">
        <is>
          <t>SALUSTIANA</t>
        </is>
      </c>
      <c r="I170" t="n">
        <v>182</v>
      </c>
      <c r="J170" t="n">
        <v>11726</v>
      </c>
      <c r="K170" t="n">
        <v>10630</v>
      </c>
      <c r="L170" t="n">
        <v>10630</v>
      </c>
      <c r="M170" t="inlineStr">
        <is>
          <t>Sí</t>
        </is>
      </c>
      <c r="N170" t="inlineStr"/>
      <c r="O170" t="inlineStr">
        <is>
          <t>Informativa</t>
        </is>
      </c>
      <c r="P170" t="inlineStr">
        <is>
          <t>No interviene en el prorrateo</t>
        </is>
      </c>
    </row>
    <row r="171">
      <c r="A171" t="n">
        <v>1251</v>
      </c>
      <c r="B171" t="inlineStr">
        <is>
          <t>DURAN ALMENARA,ANGELES</t>
        </is>
      </c>
      <c r="E171" t="n">
        <v>2026</v>
      </c>
      <c r="F171" t="n">
        <v>1</v>
      </c>
      <c r="G171" t="inlineStr">
        <is>
          <t>CITRICOS</t>
        </is>
      </c>
      <c r="H171" t="inlineStr">
        <is>
          <t>SALUSTIANA</t>
        </is>
      </c>
      <c r="I171" t="n">
        <v>182</v>
      </c>
      <c r="J171" t="n">
        <v>13710</v>
      </c>
      <c r="K171" t="n">
        <v>0</v>
      </c>
      <c r="L171" t="n">
        <v>13710</v>
      </c>
      <c r="M171" t="inlineStr">
        <is>
          <t>Sí</t>
        </is>
      </c>
      <c r="N171" t="inlineStr"/>
      <c r="O171" t="inlineStr">
        <is>
          <t>Informativa</t>
        </is>
      </c>
      <c r="P171" t="inlineStr">
        <is>
          <t>No interviene en el prorrateo</t>
        </is>
      </c>
    </row>
    <row r="172">
      <c r="A172" t="n">
        <v>1251</v>
      </c>
      <c r="B172" t="inlineStr">
        <is>
          <t>DURAN ALMENARA,ANGELES</t>
        </is>
      </c>
      <c r="E172" t="n">
        <v>2026</v>
      </c>
      <c r="F172" t="n">
        <v>1</v>
      </c>
      <c r="G172" t="inlineStr">
        <is>
          <t>CITRICOS</t>
        </is>
      </c>
      <c r="H172" t="inlineStr">
        <is>
          <t>SALUSTIANA</t>
        </is>
      </c>
      <c r="I172" t="n">
        <v>182</v>
      </c>
      <c r="J172" t="n">
        <v>991</v>
      </c>
      <c r="K172" t="n">
        <v>0</v>
      </c>
      <c r="L172" t="n">
        <v>991</v>
      </c>
      <c r="M172" t="inlineStr">
        <is>
          <t>Sí</t>
        </is>
      </c>
      <c r="N172" t="inlineStr"/>
      <c r="O172" t="inlineStr">
        <is>
          <t>Informativa</t>
        </is>
      </c>
      <c r="P172" t="inlineStr">
        <is>
          <t>No interviene en el prorrateo</t>
        </is>
      </c>
    </row>
    <row r="173">
      <c r="A173" t="n">
        <v>1251</v>
      </c>
      <c r="B173" t="inlineStr">
        <is>
          <t>DURAN ALMENARA,ANGELES</t>
        </is>
      </c>
      <c r="E173" t="n">
        <v>2026</v>
      </c>
      <c r="F173" t="n">
        <v>1</v>
      </c>
      <c r="G173" t="inlineStr">
        <is>
          <t>CITRICOS</t>
        </is>
      </c>
      <c r="H173" t="inlineStr">
        <is>
          <t>SALUSTIANA</t>
        </is>
      </c>
      <c r="I173" t="n">
        <v>182</v>
      </c>
      <c r="J173" t="n">
        <v>2605</v>
      </c>
      <c r="K173" t="n">
        <v>1825</v>
      </c>
      <c r="L173" t="n">
        <v>1825</v>
      </c>
      <c r="M173" t="inlineStr">
        <is>
          <t>Sí</t>
        </is>
      </c>
      <c r="N173" t="inlineStr"/>
      <c r="O173" t="inlineStr">
        <is>
          <t>Informativa</t>
        </is>
      </c>
      <c r="P173" t="inlineStr">
        <is>
          <t>No interviene en el prorrateo</t>
        </is>
      </c>
    </row>
    <row r="174">
      <c r="A174" t="n">
        <v>1251</v>
      </c>
      <c r="B174" t="inlineStr">
        <is>
          <t>DURAN ALMENARA,ANGELES</t>
        </is>
      </c>
      <c r="E174" t="n">
        <v>2026</v>
      </c>
      <c r="F174" t="n">
        <v>1</v>
      </c>
      <c r="G174" t="inlineStr">
        <is>
          <t>CITRICOS</t>
        </is>
      </c>
      <c r="H174" t="inlineStr">
        <is>
          <t>SALUSTIANA</t>
        </is>
      </c>
      <c r="I174" t="n">
        <v>182</v>
      </c>
      <c r="J174" t="n">
        <v>203</v>
      </c>
      <c r="K174" t="n">
        <v>0</v>
      </c>
      <c r="L174" t="n">
        <v>203</v>
      </c>
      <c r="M174" t="inlineStr">
        <is>
          <t>Sí</t>
        </is>
      </c>
      <c r="N174" t="inlineStr"/>
      <c r="O174" t="inlineStr">
        <is>
          <t>Informativa</t>
        </is>
      </c>
      <c r="P174" t="inlineStr">
        <is>
          <t>No interviene en el prorrateo</t>
        </is>
      </c>
    </row>
    <row r="175">
      <c r="A175" t="n">
        <v>1251</v>
      </c>
      <c r="B175" t="inlineStr">
        <is>
          <t>DURAN ALMENARA,ANGELES</t>
        </is>
      </c>
      <c r="E175" t="n">
        <v>2026</v>
      </c>
      <c r="F175" t="n">
        <v>1</v>
      </c>
      <c r="G175" t="inlineStr">
        <is>
          <t>DIRECTO</t>
        </is>
      </c>
      <c r="H175" t="inlineStr">
        <is>
          <t>NAVELINA</t>
        </is>
      </c>
      <c r="I175" t="n">
        <v>181</v>
      </c>
      <c r="J175" t="n">
        <v>20680</v>
      </c>
      <c r="K175" t="n">
        <v>0</v>
      </c>
      <c r="L175" t="n">
        <v>20680</v>
      </c>
      <c r="M175" t="inlineStr">
        <is>
          <t>Sí</t>
        </is>
      </c>
      <c r="N175" t="inlineStr"/>
      <c r="O175" t="inlineStr">
        <is>
          <t>Informativa</t>
        </is>
      </c>
      <c r="P175" t="inlineStr">
        <is>
          <t>No interviene en el prorrateo</t>
        </is>
      </c>
    </row>
    <row r="176">
      <c r="A176" t="n">
        <v>1251</v>
      </c>
      <c r="B176" t="inlineStr">
        <is>
          <t>DURAN ALMENARA,ANGELES</t>
        </is>
      </c>
      <c r="E176" t="n">
        <v>2026</v>
      </c>
      <c r="F176" t="n">
        <v>1</v>
      </c>
      <c r="G176" t="inlineStr">
        <is>
          <t>DIRECTO</t>
        </is>
      </c>
      <c r="H176" t="inlineStr">
        <is>
          <t>NAVELINA</t>
        </is>
      </c>
      <c r="I176" t="n">
        <v>181</v>
      </c>
      <c r="J176" t="n">
        <v>19628</v>
      </c>
      <c r="K176" t="n">
        <v>0</v>
      </c>
      <c r="L176" t="n">
        <v>19628</v>
      </c>
      <c r="M176" t="inlineStr">
        <is>
          <t>Sí</t>
        </is>
      </c>
      <c r="N176" t="inlineStr"/>
      <c r="O176" t="inlineStr">
        <is>
          <t>Informativa</t>
        </is>
      </c>
      <c r="P176" t="inlineStr">
        <is>
          <t>No interviene en el prorrateo</t>
        </is>
      </c>
    </row>
    <row r="177">
      <c r="A177" t="n">
        <v>1251</v>
      </c>
      <c r="B177" t="inlineStr">
        <is>
          <t>DURAN ALMENARA,ANGELES</t>
        </is>
      </c>
      <c r="E177" t="n">
        <v>2026</v>
      </c>
      <c r="F177" t="n">
        <v>1</v>
      </c>
      <c r="G177" t="inlineStr">
        <is>
          <t>DIRECTO</t>
        </is>
      </c>
      <c r="H177" t="inlineStr">
        <is>
          <t>NAVELINA</t>
        </is>
      </c>
      <c r="I177" t="n">
        <v>181</v>
      </c>
      <c r="J177" t="n">
        <v>11160</v>
      </c>
      <c r="K177" t="n">
        <v>0</v>
      </c>
      <c r="L177" t="n">
        <v>11160</v>
      </c>
      <c r="M177" t="inlineStr">
        <is>
          <t>Sí</t>
        </is>
      </c>
      <c r="N177" t="inlineStr"/>
      <c r="O177" t="inlineStr">
        <is>
          <t>Informativa</t>
        </is>
      </c>
      <c r="P177" t="inlineStr">
        <is>
          <t>No interviene en el prorrateo</t>
        </is>
      </c>
    </row>
    <row r="178">
      <c r="A178" t="n">
        <v>1251</v>
      </c>
      <c r="B178" t="inlineStr">
        <is>
          <t>DURAN ALMENARA,ANGELES</t>
        </is>
      </c>
      <c r="E178" t="n">
        <v>2026</v>
      </c>
      <c r="F178" t="n">
        <v>1</v>
      </c>
      <c r="G178" t="inlineStr">
        <is>
          <t>INDUSTRIA</t>
        </is>
      </c>
      <c r="H178" t="inlineStr">
        <is>
          <t>SALUSTIANA</t>
        </is>
      </c>
      <c r="I178" t="n">
        <v>182</v>
      </c>
      <c r="J178" t="n">
        <v>469</v>
      </c>
      <c r="K178" t="n">
        <v>0</v>
      </c>
      <c r="L178" t="n">
        <v>469</v>
      </c>
      <c r="M178" t="inlineStr">
        <is>
          <t>Sí</t>
        </is>
      </c>
      <c r="N178" t="inlineStr"/>
      <c r="O178" t="inlineStr">
        <is>
          <t>Informativa</t>
        </is>
      </c>
      <c r="P178" t="inlineStr">
        <is>
          <t>No interviene en el prorrateo</t>
        </is>
      </c>
    </row>
    <row r="179">
      <c r="A179" t="n">
        <v>1272</v>
      </c>
      <c r="B179" t="inlineStr">
        <is>
          <t>HERMANOS GONZALEZ ROLDAN,S.C.</t>
        </is>
      </c>
      <c r="E179" t="n">
        <v>2026</v>
      </c>
      <c r="F179" t="n">
        <v>1</v>
      </c>
      <c r="G179" t="inlineStr">
        <is>
          <t>CITRICOS</t>
        </is>
      </c>
      <c r="H179" t="inlineStr">
        <is>
          <t>NAVELINA</t>
        </is>
      </c>
      <c r="I179" t="n">
        <v>369</v>
      </c>
      <c r="J179" t="n">
        <v>9620</v>
      </c>
      <c r="K179" t="n">
        <v>0</v>
      </c>
      <c r="L179" t="n">
        <v>9620</v>
      </c>
      <c r="M179" t="inlineStr">
        <is>
          <t>Sí</t>
        </is>
      </c>
      <c r="N179" t="inlineStr"/>
      <c r="O179" t="inlineStr">
        <is>
          <t>Informativa</t>
        </is>
      </c>
      <c r="P179" t="inlineStr">
        <is>
          <t>No interviene en el prorrateo</t>
        </is>
      </c>
    </row>
    <row r="180">
      <c r="A180" t="n">
        <v>1272</v>
      </c>
      <c r="B180" t="inlineStr">
        <is>
          <t>HERMANOS GONZALEZ ROLDAN,S.C.</t>
        </is>
      </c>
      <c r="E180" t="n">
        <v>2026</v>
      </c>
      <c r="F180" t="n">
        <v>1</v>
      </c>
      <c r="G180" t="inlineStr">
        <is>
          <t>CITRICOS</t>
        </is>
      </c>
      <c r="H180" t="inlineStr">
        <is>
          <t>NEWHALL</t>
        </is>
      </c>
      <c r="I180" t="n">
        <v>234</v>
      </c>
      <c r="J180" t="n">
        <v>7440</v>
      </c>
      <c r="K180" t="n">
        <v>1976</v>
      </c>
      <c r="L180" t="n">
        <v>1976</v>
      </c>
      <c r="M180" t="inlineStr">
        <is>
          <t>Sí</t>
        </is>
      </c>
      <c r="N180" t="inlineStr"/>
      <c r="O180" t="inlineStr">
        <is>
          <t>Informativa</t>
        </is>
      </c>
      <c r="P180" t="inlineStr">
        <is>
          <t>No interviene en el prorrateo</t>
        </is>
      </c>
    </row>
    <row r="181">
      <c r="A181" t="n">
        <v>1272</v>
      </c>
      <c r="B181" t="inlineStr">
        <is>
          <t>HERMANOS GONZALEZ ROLDAN,S.C.</t>
        </is>
      </c>
      <c r="E181" t="n">
        <v>2026</v>
      </c>
      <c r="F181" t="n">
        <v>1</v>
      </c>
      <c r="G181" t="inlineStr">
        <is>
          <t>CITRICOS</t>
        </is>
      </c>
      <c r="H181" t="inlineStr">
        <is>
          <t>SALUSTIANA</t>
        </is>
      </c>
      <c r="I181" t="n">
        <v>236</v>
      </c>
      <c r="J181" t="n">
        <v>11765</v>
      </c>
      <c r="K181" t="n">
        <v>9578</v>
      </c>
      <c r="L181" t="n">
        <v>9578</v>
      </c>
      <c r="M181" t="inlineStr">
        <is>
          <t>Sí</t>
        </is>
      </c>
      <c r="N181" t="inlineStr"/>
      <c r="O181" t="inlineStr">
        <is>
          <t>Informativa</t>
        </is>
      </c>
      <c r="P181" t="inlineStr">
        <is>
          <t>No interviene en el prorrateo</t>
        </is>
      </c>
    </row>
    <row r="182">
      <c r="A182" t="n">
        <v>1272</v>
      </c>
      <c r="B182" t="inlineStr">
        <is>
          <t>HERMANOS GONZALEZ ROLDAN,S.C.</t>
        </is>
      </c>
      <c r="E182" t="n">
        <v>2026</v>
      </c>
      <c r="F182" t="n">
        <v>1</v>
      </c>
      <c r="G182" t="inlineStr">
        <is>
          <t>CITRICOS</t>
        </is>
      </c>
      <c r="H182" t="inlineStr">
        <is>
          <t>NEWHALL</t>
        </is>
      </c>
      <c r="I182" t="n">
        <v>234</v>
      </c>
      <c r="J182" t="n">
        <v>1239</v>
      </c>
      <c r="K182" t="n">
        <v>0</v>
      </c>
      <c r="L182" t="n">
        <v>1239</v>
      </c>
      <c r="M182" t="inlineStr">
        <is>
          <t>Sí</t>
        </is>
      </c>
      <c r="N182" t="inlineStr"/>
      <c r="O182" t="inlineStr">
        <is>
          <t>Informativa</t>
        </is>
      </c>
      <c r="P182" t="inlineStr">
        <is>
          <t>No interviene en el prorrateo</t>
        </is>
      </c>
    </row>
    <row r="183">
      <c r="A183" t="n">
        <v>1272</v>
      </c>
      <c r="B183" t="inlineStr">
        <is>
          <t>HERMANOS GONZALEZ ROLDAN,S.C.</t>
        </is>
      </c>
      <c r="E183" t="n">
        <v>2026</v>
      </c>
      <c r="F183" t="n">
        <v>1</v>
      </c>
      <c r="G183" t="inlineStr">
        <is>
          <t>CITRICOS</t>
        </is>
      </c>
      <c r="H183" t="inlineStr">
        <is>
          <t>SALUSTIANA</t>
        </is>
      </c>
      <c r="I183" t="n">
        <v>236</v>
      </c>
      <c r="J183" t="n">
        <v>11845</v>
      </c>
      <c r="K183" t="n">
        <v>9344</v>
      </c>
      <c r="L183" t="n">
        <v>9344</v>
      </c>
      <c r="M183" t="inlineStr">
        <is>
          <t>Sí</t>
        </is>
      </c>
      <c r="N183" t="inlineStr"/>
      <c r="O183" t="inlineStr">
        <is>
          <t>Informativa</t>
        </is>
      </c>
      <c r="P183" t="inlineStr">
        <is>
          <t>No interviene en el prorrateo</t>
        </is>
      </c>
    </row>
    <row r="184">
      <c r="A184" t="n">
        <v>1272</v>
      </c>
      <c r="B184" t="inlineStr">
        <is>
          <t>HERMANOS GONZALEZ ROLDAN,S.C.</t>
        </is>
      </c>
      <c r="E184" t="n">
        <v>2026</v>
      </c>
      <c r="F184" t="n">
        <v>1</v>
      </c>
      <c r="G184" t="inlineStr">
        <is>
          <t>CITRICOS</t>
        </is>
      </c>
      <c r="H184" t="inlineStr">
        <is>
          <t>SALUSTIANA</t>
        </is>
      </c>
      <c r="I184" t="n">
        <v>236</v>
      </c>
      <c r="J184" t="n">
        <v>11090</v>
      </c>
      <c r="K184" t="n">
        <v>9355</v>
      </c>
      <c r="L184" t="n">
        <v>9355</v>
      </c>
      <c r="M184" t="inlineStr">
        <is>
          <t>Sí</t>
        </is>
      </c>
      <c r="N184" t="inlineStr"/>
      <c r="O184" t="inlineStr">
        <is>
          <t>Informativa</t>
        </is>
      </c>
      <c r="P184" t="inlineStr">
        <is>
          <t>No interviene en el prorrateo</t>
        </is>
      </c>
    </row>
    <row r="185">
      <c r="A185" t="n">
        <v>1272</v>
      </c>
      <c r="B185" t="inlineStr">
        <is>
          <t>HERMANOS GONZALEZ ROLDAN,S.C.</t>
        </is>
      </c>
      <c r="E185" t="n">
        <v>2026</v>
      </c>
      <c r="F185" t="n">
        <v>1</v>
      </c>
      <c r="G185" t="inlineStr">
        <is>
          <t>CITRICOS</t>
        </is>
      </c>
      <c r="H185" t="inlineStr">
        <is>
          <t>NEWHALL</t>
        </is>
      </c>
      <c r="I185" t="n">
        <v>234</v>
      </c>
      <c r="J185" t="n">
        <v>7125</v>
      </c>
      <c r="K185" t="n">
        <v>4939</v>
      </c>
      <c r="L185" t="n">
        <v>4939</v>
      </c>
      <c r="M185" t="inlineStr">
        <is>
          <t>Sí</t>
        </is>
      </c>
      <c r="N185" t="inlineStr"/>
      <c r="O185" t="inlineStr">
        <is>
          <t>Informativa</t>
        </is>
      </c>
      <c r="P185" t="inlineStr">
        <is>
          <t>No interviene en el prorrateo</t>
        </is>
      </c>
    </row>
    <row r="186">
      <c r="A186" t="n">
        <v>1272</v>
      </c>
      <c r="B186" t="inlineStr">
        <is>
          <t>HERMANOS GONZALEZ ROLDAN,S.C.</t>
        </is>
      </c>
      <c r="E186" t="n">
        <v>2026</v>
      </c>
      <c r="F186" t="n">
        <v>1</v>
      </c>
      <c r="G186" t="inlineStr">
        <is>
          <t>CITRICOS</t>
        </is>
      </c>
      <c r="H186" t="inlineStr">
        <is>
          <t>SALUSTIANA</t>
        </is>
      </c>
      <c r="I186" t="n">
        <v>236</v>
      </c>
      <c r="J186" t="n">
        <v>12615</v>
      </c>
      <c r="K186" t="n">
        <v>2256</v>
      </c>
      <c r="L186" t="n">
        <v>2256</v>
      </c>
      <c r="M186" t="inlineStr">
        <is>
          <t>Sí</t>
        </is>
      </c>
      <c r="N186" t="inlineStr"/>
      <c r="O186" t="inlineStr">
        <is>
          <t>Informativa</t>
        </is>
      </c>
      <c r="P186" t="inlineStr">
        <is>
          <t>No interviene en el prorrateo</t>
        </is>
      </c>
    </row>
    <row r="187">
      <c r="A187" t="n">
        <v>1272</v>
      </c>
      <c r="B187" t="inlineStr">
        <is>
          <t>HERMANOS GONZALEZ ROLDAN,S.C.</t>
        </is>
      </c>
      <c r="E187" t="n">
        <v>2026</v>
      </c>
      <c r="F187" t="n">
        <v>1</v>
      </c>
      <c r="G187" t="inlineStr">
        <is>
          <t>CITRICOS</t>
        </is>
      </c>
      <c r="H187" t="inlineStr">
        <is>
          <t>SALUSTIANA</t>
        </is>
      </c>
      <c r="I187" t="n">
        <v>236</v>
      </c>
      <c r="J187" t="n">
        <v>24180</v>
      </c>
      <c r="K187" t="n">
        <v>15220</v>
      </c>
      <c r="L187" t="n">
        <v>15220</v>
      </c>
      <c r="M187" t="inlineStr">
        <is>
          <t>Sí</t>
        </is>
      </c>
      <c r="N187" t="inlineStr"/>
      <c r="O187" t="inlineStr">
        <is>
          <t>Informativa</t>
        </is>
      </c>
      <c r="P187" t="inlineStr">
        <is>
          <t>No interviene en el prorrateo</t>
        </is>
      </c>
    </row>
    <row r="188">
      <c r="A188" t="n">
        <v>1272</v>
      </c>
      <c r="B188" t="inlineStr">
        <is>
          <t>HERMANOS GONZALEZ ROLDAN,S.C.</t>
        </is>
      </c>
      <c r="E188" t="n">
        <v>2026</v>
      </c>
      <c r="F188" t="n">
        <v>1</v>
      </c>
      <c r="G188" t="inlineStr">
        <is>
          <t>CITRICOS</t>
        </is>
      </c>
      <c r="H188" t="inlineStr">
        <is>
          <t>SALUSTIANA</t>
        </is>
      </c>
      <c r="I188" t="n">
        <v>236</v>
      </c>
      <c r="J188" t="n">
        <v>25695</v>
      </c>
      <c r="K188" t="n">
        <v>2386</v>
      </c>
      <c r="L188" t="n">
        <v>2386</v>
      </c>
      <c r="M188" t="inlineStr">
        <is>
          <t>Sí</t>
        </is>
      </c>
      <c r="N188" t="inlineStr"/>
      <c r="O188" t="inlineStr">
        <is>
          <t>Informativa</t>
        </is>
      </c>
      <c r="P188" t="inlineStr">
        <is>
          <t>No interviene en el prorrateo</t>
        </is>
      </c>
    </row>
    <row r="189">
      <c r="A189" t="n">
        <v>1272</v>
      </c>
      <c r="B189" t="inlineStr">
        <is>
          <t>HERMANOS GONZALEZ ROLDAN,S.C.</t>
        </is>
      </c>
      <c r="E189" t="n">
        <v>2026</v>
      </c>
      <c r="F189" t="n">
        <v>1</v>
      </c>
      <c r="G189" t="inlineStr">
        <is>
          <t>CITRICOS</t>
        </is>
      </c>
      <c r="H189" t="inlineStr">
        <is>
          <t>SALUSTIANA</t>
        </is>
      </c>
      <c r="I189" t="n">
        <v>236</v>
      </c>
      <c r="J189" t="n">
        <v>25020</v>
      </c>
      <c r="K189" t="n">
        <v>7103</v>
      </c>
      <c r="L189" t="n">
        <v>7103</v>
      </c>
      <c r="M189" t="inlineStr">
        <is>
          <t>Sí</t>
        </is>
      </c>
      <c r="N189" t="inlineStr"/>
      <c r="O189" t="inlineStr">
        <is>
          <t>Informativa</t>
        </is>
      </c>
      <c r="P189" t="inlineStr">
        <is>
          <t>No interviene en el prorrateo</t>
        </is>
      </c>
    </row>
    <row r="190">
      <c r="A190" t="n">
        <v>1272</v>
      </c>
      <c r="B190" t="inlineStr">
        <is>
          <t>HERMANOS GONZALEZ ROLDAN,S.C.</t>
        </is>
      </c>
      <c r="E190" t="n">
        <v>2026</v>
      </c>
      <c r="F190" t="n">
        <v>1</v>
      </c>
      <c r="G190" t="inlineStr">
        <is>
          <t>CITRICOS</t>
        </is>
      </c>
      <c r="H190" t="inlineStr">
        <is>
          <t>SALUSTIANA</t>
        </is>
      </c>
      <c r="I190" t="n">
        <v>236</v>
      </c>
      <c r="J190" t="n">
        <v>23945</v>
      </c>
      <c r="K190" t="n">
        <v>19429</v>
      </c>
      <c r="L190" t="n">
        <v>19429</v>
      </c>
      <c r="M190" t="inlineStr">
        <is>
          <t>Sí</t>
        </is>
      </c>
      <c r="N190" t="inlineStr"/>
      <c r="O190" t="inlineStr">
        <is>
          <t>Informativa</t>
        </is>
      </c>
      <c r="P190" t="inlineStr">
        <is>
          <t>No interviene en el prorrateo</t>
        </is>
      </c>
    </row>
    <row r="191">
      <c r="A191" t="n">
        <v>1272</v>
      </c>
      <c r="B191" t="inlineStr">
        <is>
          <t>HERMANOS GONZALEZ ROLDAN,S.C.</t>
        </is>
      </c>
      <c r="E191" t="n">
        <v>2026</v>
      </c>
      <c r="F191" t="n">
        <v>1</v>
      </c>
      <c r="G191" t="inlineStr">
        <is>
          <t>CITRICOS</t>
        </is>
      </c>
      <c r="H191" t="inlineStr">
        <is>
          <t>SALUSTIANA</t>
        </is>
      </c>
      <c r="I191" t="n">
        <v>251</v>
      </c>
      <c r="J191" t="n">
        <v>22376</v>
      </c>
      <c r="K191" t="n">
        <v>6883</v>
      </c>
      <c r="L191" t="n">
        <v>6883</v>
      </c>
      <c r="M191" t="inlineStr">
        <is>
          <t>Sí</t>
        </is>
      </c>
      <c r="N191" t="inlineStr"/>
      <c r="O191" t="inlineStr">
        <is>
          <t>Informativa</t>
        </is>
      </c>
      <c r="P191" t="inlineStr">
        <is>
          <t>No interviene en el prorrateo</t>
        </is>
      </c>
    </row>
    <row r="192">
      <c r="A192" t="n">
        <v>1272</v>
      </c>
      <c r="B192" t="inlineStr">
        <is>
          <t>HERMANOS GONZALEZ ROLDAN,S.C.</t>
        </is>
      </c>
      <c r="E192" t="n">
        <v>2026</v>
      </c>
      <c r="F192" t="n">
        <v>1</v>
      </c>
      <c r="G192" t="inlineStr">
        <is>
          <t>CITRICOS</t>
        </is>
      </c>
      <c r="H192" t="inlineStr">
        <is>
          <t>SALUSTIANA</t>
        </is>
      </c>
      <c r="I192" t="n">
        <v>251</v>
      </c>
      <c r="J192" t="n">
        <v>13790</v>
      </c>
      <c r="K192" t="n">
        <v>0</v>
      </c>
      <c r="L192" t="n">
        <v>13790</v>
      </c>
      <c r="M192" t="inlineStr">
        <is>
          <t>Sí</t>
        </is>
      </c>
      <c r="N192" t="inlineStr"/>
      <c r="O192" t="inlineStr">
        <is>
          <t>Informativa</t>
        </is>
      </c>
      <c r="P192" t="inlineStr">
        <is>
          <t>No interviene en el prorrateo</t>
        </is>
      </c>
    </row>
    <row r="193">
      <c r="A193" t="n">
        <v>1272</v>
      </c>
      <c r="B193" t="inlineStr">
        <is>
          <t>HERMANOS GONZALEZ ROLDAN,S.C.</t>
        </is>
      </c>
      <c r="E193" t="n">
        <v>2026</v>
      </c>
      <c r="F193" t="n">
        <v>1</v>
      </c>
      <c r="G193" t="inlineStr">
        <is>
          <t>CITRICOS</t>
        </is>
      </c>
      <c r="H193" t="inlineStr">
        <is>
          <t>SALUSTIANA</t>
        </is>
      </c>
      <c r="I193" t="n">
        <v>251</v>
      </c>
      <c r="J193" t="n">
        <v>7922</v>
      </c>
      <c r="K193" t="n">
        <v>0</v>
      </c>
      <c r="L193" t="n">
        <v>7922</v>
      </c>
      <c r="M193" t="inlineStr">
        <is>
          <t>Sí</t>
        </is>
      </c>
      <c r="N193" t="inlineStr"/>
      <c r="O193" t="inlineStr">
        <is>
          <t>Informativa</t>
        </is>
      </c>
      <c r="P193" t="inlineStr">
        <is>
          <t>No interviene en el prorrateo</t>
        </is>
      </c>
    </row>
    <row r="194">
      <c r="A194" t="n">
        <v>1272</v>
      </c>
      <c r="B194" t="inlineStr">
        <is>
          <t>HERMANOS GONZALEZ ROLDAN,S.C.</t>
        </is>
      </c>
      <c r="E194" t="n">
        <v>2026</v>
      </c>
      <c r="F194" t="n">
        <v>1</v>
      </c>
      <c r="G194" t="inlineStr">
        <is>
          <t>CITRICOS</t>
        </is>
      </c>
      <c r="H194" t="inlineStr">
        <is>
          <t>SALUSTIANA</t>
        </is>
      </c>
      <c r="I194" t="n">
        <v>251</v>
      </c>
      <c r="J194" t="n">
        <v>21512</v>
      </c>
      <c r="K194" t="n">
        <v>13765</v>
      </c>
      <c r="L194" t="n">
        <v>13765</v>
      </c>
      <c r="M194" t="inlineStr">
        <is>
          <t>Sí</t>
        </is>
      </c>
      <c r="N194" t="inlineStr"/>
      <c r="O194" t="inlineStr">
        <is>
          <t>Informativa</t>
        </is>
      </c>
      <c r="P194" t="inlineStr">
        <is>
          <t>No interviene en el prorrateo</t>
        </is>
      </c>
    </row>
    <row r="195">
      <c r="A195" t="n">
        <v>1272</v>
      </c>
      <c r="B195" t="inlineStr">
        <is>
          <t>HERMANOS GONZALEZ ROLDAN,S.C.</t>
        </is>
      </c>
      <c r="E195" t="n">
        <v>2026</v>
      </c>
      <c r="F195" t="n">
        <v>1</v>
      </c>
      <c r="G195" t="inlineStr">
        <is>
          <t>CITRICOS</t>
        </is>
      </c>
      <c r="H195" t="inlineStr">
        <is>
          <t>LANE LATE</t>
        </is>
      </c>
      <c r="I195" t="n">
        <v>646</v>
      </c>
      <c r="J195" t="n">
        <v>22680</v>
      </c>
      <c r="K195" t="n">
        <v>0</v>
      </c>
      <c r="L195" t="n">
        <v>22680</v>
      </c>
      <c r="M195" t="inlineStr">
        <is>
          <t>Sí</t>
        </is>
      </c>
      <c r="N195" t="inlineStr"/>
      <c r="O195" t="inlineStr">
        <is>
          <t>Informativa</t>
        </is>
      </c>
      <c r="P195" t="inlineStr">
        <is>
          <t>No interviene en el prorrateo</t>
        </is>
      </c>
    </row>
    <row r="196">
      <c r="A196" t="n">
        <v>1272</v>
      </c>
      <c r="B196" t="inlineStr">
        <is>
          <t>HERMANOS GONZALEZ ROLDAN,S.C.</t>
        </is>
      </c>
      <c r="E196" t="n">
        <v>2026</v>
      </c>
      <c r="F196" t="n">
        <v>1</v>
      </c>
      <c r="G196" t="inlineStr">
        <is>
          <t>CITRICOS</t>
        </is>
      </c>
      <c r="H196" t="inlineStr">
        <is>
          <t>LANE LATE</t>
        </is>
      </c>
      <c r="I196" t="n">
        <v>646</v>
      </c>
      <c r="J196" t="n">
        <v>13670</v>
      </c>
      <c r="K196" t="n">
        <v>0</v>
      </c>
      <c r="L196" t="n">
        <v>13670</v>
      </c>
      <c r="M196" t="inlineStr">
        <is>
          <t>Sí</t>
        </is>
      </c>
      <c r="N196" t="inlineStr"/>
      <c r="O196" t="inlineStr">
        <is>
          <t>Informativa</t>
        </is>
      </c>
      <c r="P196" t="inlineStr">
        <is>
          <t>No interviene en el prorrateo</t>
        </is>
      </c>
    </row>
    <row r="197">
      <c r="A197" t="n">
        <v>1272</v>
      </c>
      <c r="B197" t="inlineStr">
        <is>
          <t>HERMANOS GONZALEZ ROLDAN,S.C.</t>
        </is>
      </c>
      <c r="E197" t="n">
        <v>2026</v>
      </c>
      <c r="F197" t="n">
        <v>1</v>
      </c>
      <c r="G197" t="inlineStr">
        <is>
          <t>CITRICOS</t>
        </is>
      </c>
      <c r="H197" t="inlineStr">
        <is>
          <t>LANE LATE</t>
        </is>
      </c>
      <c r="I197" t="n">
        <v>646</v>
      </c>
      <c r="J197" t="n">
        <v>14000</v>
      </c>
      <c r="K197" t="n">
        <v>0</v>
      </c>
      <c r="L197" t="n">
        <v>14000</v>
      </c>
      <c r="M197" t="inlineStr">
        <is>
          <t>Sí</t>
        </is>
      </c>
      <c r="N197" t="inlineStr"/>
      <c r="O197" t="inlineStr">
        <is>
          <t>Informativa</t>
        </is>
      </c>
      <c r="P197" t="inlineStr">
        <is>
          <t>No interviene en el prorrateo</t>
        </is>
      </c>
    </row>
    <row r="198">
      <c r="A198" t="n">
        <v>1272</v>
      </c>
      <c r="B198" t="inlineStr">
        <is>
          <t>HERMANOS GONZALEZ ROLDAN,S.C.</t>
        </is>
      </c>
      <c r="E198" t="n">
        <v>2026</v>
      </c>
      <c r="F198" t="n">
        <v>1</v>
      </c>
      <c r="G198" t="inlineStr">
        <is>
          <t>CITRICOS</t>
        </is>
      </c>
      <c r="H198" t="inlineStr">
        <is>
          <t>LANE LATE</t>
        </is>
      </c>
      <c r="I198" t="n">
        <v>646</v>
      </c>
      <c r="J198" t="n">
        <v>13880</v>
      </c>
      <c r="K198" t="n">
        <v>0</v>
      </c>
      <c r="L198" t="n">
        <v>13880</v>
      </c>
      <c r="M198" t="inlineStr">
        <is>
          <t>Sí</t>
        </is>
      </c>
      <c r="N198" t="inlineStr"/>
      <c r="O198" t="inlineStr">
        <is>
          <t>Informativa</t>
        </is>
      </c>
      <c r="P198" t="inlineStr">
        <is>
          <t>No interviene en el prorrateo</t>
        </is>
      </c>
    </row>
    <row r="199">
      <c r="A199" t="n">
        <v>1272</v>
      </c>
      <c r="B199" t="inlineStr">
        <is>
          <t>HERMANOS GONZALEZ ROLDAN,S.C.</t>
        </is>
      </c>
      <c r="E199" t="n">
        <v>2026</v>
      </c>
      <c r="F199" t="n">
        <v>1</v>
      </c>
      <c r="G199" t="inlineStr">
        <is>
          <t>CITRICOS</t>
        </is>
      </c>
      <c r="H199" t="inlineStr">
        <is>
          <t>LANE LATE</t>
        </is>
      </c>
      <c r="I199" t="n">
        <v>646</v>
      </c>
      <c r="J199" t="n">
        <v>11890</v>
      </c>
      <c r="K199" t="n">
        <v>0</v>
      </c>
      <c r="L199" t="n">
        <v>11890</v>
      </c>
      <c r="M199" t="inlineStr">
        <is>
          <t>Sí</t>
        </is>
      </c>
      <c r="N199" t="inlineStr"/>
      <c r="O199" t="inlineStr">
        <is>
          <t>Informativa</t>
        </is>
      </c>
      <c r="P199" t="inlineStr">
        <is>
          <t>No interviene en el prorrateo</t>
        </is>
      </c>
    </row>
    <row r="200">
      <c r="A200" t="n">
        <v>1272</v>
      </c>
      <c r="B200" t="inlineStr">
        <is>
          <t>HERMANOS GONZALEZ ROLDAN,S.C.</t>
        </is>
      </c>
      <c r="E200" t="n">
        <v>2026</v>
      </c>
      <c r="F200" t="n">
        <v>1</v>
      </c>
      <c r="G200" t="inlineStr">
        <is>
          <t>CITRICOS</t>
        </is>
      </c>
      <c r="H200" t="inlineStr">
        <is>
          <t>LANE LATE</t>
        </is>
      </c>
      <c r="I200" t="n">
        <v>646</v>
      </c>
      <c r="J200" t="n">
        <v>13810</v>
      </c>
      <c r="K200" t="n">
        <v>0</v>
      </c>
      <c r="L200" t="n">
        <v>13810</v>
      </c>
      <c r="M200" t="inlineStr">
        <is>
          <t>Sí</t>
        </is>
      </c>
      <c r="N200" t="inlineStr"/>
      <c r="O200" t="inlineStr">
        <is>
          <t>Informativa</t>
        </is>
      </c>
      <c r="P200" t="inlineStr">
        <is>
          <t>No interviene en el prorrateo</t>
        </is>
      </c>
    </row>
    <row r="201">
      <c r="A201" t="n">
        <v>1272</v>
      </c>
      <c r="B201" t="inlineStr">
        <is>
          <t>HERMANOS GONZALEZ ROLDAN,S.C.</t>
        </is>
      </c>
      <c r="E201" t="n">
        <v>2026</v>
      </c>
      <c r="F201" t="n">
        <v>1</v>
      </c>
      <c r="G201" t="inlineStr">
        <is>
          <t>CITRICOS</t>
        </is>
      </c>
      <c r="H201" t="inlineStr">
        <is>
          <t>LANE LATE</t>
        </is>
      </c>
      <c r="I201" t="n">
        <v>646</v>
      </c>
      <c r="J201" t="n">
        <v>11130</v>
      </c>
      <c r="K201" t="n">
        <v>0</v>
      </c>
      <c r="L201" t="n">
        <v>11130</v>
      </c>
      <c r="M201" t="inlineStr">
        <is>
          <t>Sí</t>
        </is>
      </c>
      <c r="N201" t="inlineStr"/>
      <c r="O201" t="inlineStr">
        <is>
          <t>Informativa</t>
        </is>
      </c>
      <c r="P201" t="inlineStr">
        <is>
          <t>No interviene en el prorrateo</t>
        </is>
      </c>
    </row>
    <row r="202">
      <c r="A202" t="n">
        <v>1272</v>
      </c>
      <c r="B202" t="inlineStr">
        <is>
          <t>HERMANOS GONZALEZ ROLDAN,S.C.</t>
        </is>
      </c>
      <c r="E202" t="n">
        <v>2026</v>
      </c>
      <c r="F202" t="n">
        <v>1</v>
      </c>
      <c r="G202" t="inlineStr">
        <is>
          <t>CITRICOS</t>
        </is>
      </c>
      <c r="H202" t="inlineStr">
        <is>
          <t>LANE LATE</t>
        </is>
      </c>
      <c r="I202" t="n">
        <v>646</v>
      </c>
      <c r="J202" t="n">
        <v>3470</v>
      </c>
      <c r="K202" t="n">
        <v>0</v>
      </c>
      <c r="L202" t="n">
        <v>3470</v>
      </c>
      <c r="M202" t="inlineStr">
        <is>
          <t>Sí</t>
        </is>
      </c>
      <c r="N202" t="inlineStr"/>
      <c r="O202" t="inlineStr">
        <is>
          <t>Informativa</t>
        </is>
      </c>
      <c r="P202" t="inlineStr">
        <is>
          <t>No interviene en el prorrateo</t>
        </is>
      </c>
    </row>
    <row r="203">
      <c r="A203" t="n">
        <v>1272</v>
      </c>
      <c r="B203" t="inlineStr">
        <is>
          <t>HERMANOS GONZALEZ ROLDAN,S.C.</t>
        </is>
      </c>
      <c r="E203" t="n">
        <v>2026</v>
      </c>
      <c r="F203" t="n">
        <v>1</v>
      </c>
      <c r="G203" t="inlineStr">
        <is>
          <t>CITRICOS</t>
        </is>
      </c>
      <c r="H203" t="inlineStr">
        <is>
          <t>LANE LATE</t>
        </is>
      </c>
      <c r="I203" t="n">
        <v>646</v>
      </c>
      <c r="J203" t="n">
        <v>14790</v>
      </c>
      <c r="K203" t="n">
        <v>12497</v>
      </c>
      <c r="L203" t="n">
        <v>12497</v>
      </c>
      <c r="M203" t="inlineStr">
        <is>
          <t>Sí</t>
        </is>
      </c>
      <c r="N203" t="inlineStr"/>
      <c r="O203" t="inlineStr">
        <is>
          <t>Informativa</t>
        </is>
      </c>
      <c r="P203" t="inlineStr">
        <is>
          <t>No interviene en el prorrateo</t>
        </is>
      </c>
    </row>
    <row r="204">
      <c r="A204" t="n">
        <v>1272</v>
      </c>
      <c r="B204" t="inlineStr">
        <is>
          <t>HERMANOS GONZALEZ ROLDAN,S.C.</t>
        </is>
      </c>
      <c r="E204" t="n">
        <v>2026</v>
      </c>
      <c r="F204" t="n">
        <v>1</v>
      </c>
      <c r="G204" t="inlineStr">
        <is>
          <t>CITRICOS</t>
        </is>
      </c>
      <c r="H204" t="inlineStr">
        <is>
          <t>LANE LATE</t>
        </is>
      </c>
      <c r="I204" t="n">
        <v>646</v>
      </c>
      <c r="J204" t="n">
        <v>14975</v>
      </c>
      <c r="K204" t="n">
        <v>9289</v>
      </c>
      <c r="L204" t="n">
        <v>9289</v>
      </c>
      <c r="M204" t="inlineStr">
        <is>
          <t>Sí</t>
        </is>
      </c>
      <c r="N204" t="inlineStr"/>
      <c r="O204" t="inlineStr">
        <is>
          <t>Informativa</t>
        </is>
      </c>
      <c r="P204" t="inlineStr">
        <is>
          <t>No interviene en el prorrateo</t>
        </is>
      </c>
    </row>
    <row r="205">
      <c r="A205" t="n">
        <v>1272</v>
      </c>
      <c r="B205" t="inlineStr">
        <is>
          <t>HERMANOS GONZALEZ ROLDAN,S.C.</t>
        </is>
      </c>
      <c r="E205" t="n">
        <v>2026</v>
      </c>
      <c r="F205" t="n">
        <v>1</v>
      </c>
      <c r="G205" t="inlineStr">
        <is>
          <t>CITRICOS</t>
        </is>
      </c>
      <c r="H205" t="inlineStr">
        <is>
          <t>LANE LATE</t>
        </is>
      </c>
      <c r="I205" t="n">
        <v>646</v>
      </c>
      <c r="J205" t="n">
        <v>15840</v>
      </c>
      <c r="K205" t="n">
        <v>2083</v>
      </c>
      <c r="L205" t="n">
        <v>2083</v>
      </c>
      <c r="M205" t="inlineStr">
        <is>
          <t>Sí</t>
        </is>
      </c>
      <c r="N205" t="inlineStr"/>
      <c r="O205" t="inlineStr">
        <is>
          <t>Informativa</t>
        </is>
      </c>
      <c r="P205" t="inlineStr">
        <is>
          <t>No interviene en el prorrateo</t>
        </is>
      </c>
    </row>
    <row r="206">
      <c r="A206" t="n">
        <v>1272</v>
      </c>
      <c r="B206" t="inlineStr">
        <is>
          <t>HERMANOS GONZALEZ ROLDAN,S.C.</t>
        </is>
      </c>
      <c r="E206" t="n">
        <v>2026</v>
      </c>
      <c r="F206" t="n">
        <v>1</v>
      </c>
      <c r="G206" t="inlineStr">
        <is>
          <t>CITRICOS</t>
        </is>
      </c>
      <c r="H206" t="inlineStr">
        <is>
          <t>LANE LATE</t>
        </is>
      </c>
      <c r="I206" t="n">
        <v>646</v>
      </c>
      <c r="J206" t="n">
        <v>14490</v>
      </c>
      <c r="K206" t="n">
        <v>0</v>
      </c>
      <c r="L206" t="n">
        <v>14490</v>
      </c>
      <c r="M206" t="inlineStr">
        <is>
          <t>Sí</t>
        </is>
      </c>
      <c r="N206" t="inlineStr"/>
      <c r="O206" t="inlineStr">
        <is>
          <t>Informativa</t>
        </is>
      </c>
      <c r="P206" t="inlineStr">
        <is>
          <t>No interviene en el prorrateo</t>
        </is>
      </c>
    </row>
    <row r="207">
      <c r="A207" t="n">
        <v>1272</v>
      </c>
      <c r="B207" t="inlineStr">
        <is>
          <t>HERMANOS GONZALEZ ROLDAN,S.C.</t>
        </is>
      </c>
      <c r="E207" t="n">
        <v>2026</v>
      </c>
      <c r="F207" t="n">
        <v>1</v>
      </c>
      <c r="G207" t="inlineStr">
        <is>
          <t>CITRICOS</t>
        </is>
      </c>
      <c r="H207" t="inlineStr">
        <is>
          <t>LANE LATE</t>
        </is>
      </c>
      <c r="I207" t="n">
        <v>646</v>
      </c>
      <c r="J207" t="n">
        <v>14480</v>
      </c>
      <c r="K207" t="n">
        <v>0</v>
      </c>
      <c r="L207" t="n">
        <v>14480</v>
      </c>
      <c r="M207" t="inlineStr">
        <is>
          <t>Sí</t>
        </is>
      </c>
      <c r="N207" t="inlineStr"/>
      <c r="O207" t="inlineStr">
        <is>
          <t>Informativa</t>
        </is>
      </c>
      <c r="P207" t="inlineStr">
        <is>
          <t>No interviene en el prorrateo</t>
        </is>
      </c>
    </row>
    <row r="208">
      <c r="A208" t="n">
        <v>1272</v>
      </c>
      <c r="B208" t="inlineStr">
        <is>
          <t>HERMANOS GONZALEZ ROLDAN,S.C.</t>
        </is>
      </c>
      <c r="E208" t="n">
        <v>2026</v>
      </c>
      <c r="F208" t="n">
        <v>1</v>
      </c>
      <c r="G208" t="inlineStr">
        <is>
          <t>CITRICOS</t>
        </is>
      </c>
      <c r="H208" t="inlineStr">
        <is>
          <t>LANE LATE</t>
        </is>
      </c>
      <c r="I208" t="n">
        <v>646</v>
      </c>
      <c r="J208" t="n">
        <v>15700</v>
      </c>
      <c r="K208" t="n">
        <v>2063</v>
      </c>
      <c r="L208" t="n">
        <v>2063</v>
      </c>
      <c r="M208" t="inlineStr">
        <is>
          <t>Sí</t>
        </is>
      </c>
      <c r="N208" t="inlineStr"/>
      <c r="O208" t="inlineStr">
        <is>
          <t>Informativa</t>
        </is>
      </c>
      <c r="P208" t="inlineStr">
        <is>
          <t>No interviene en el prorrateo</t>
        </is>
      </c>
    </row>
    <row r="209">
      <c r="A209" t="n">
        <v>1272</v>
      </c>
      <c r="B209" t="inlineStr">
        <is>
          <t>HERMANOS GONZALEZ ROLDAN,S.C.</t>
        </is>
      </c>
      <c r="E209" t="n">
        <v>2026</v>
      </c>
      <c r="F209" t="n">
        <v>1</v>
      </c>
      <c r="G209" t="inlineStr">
        <is>
          <t>CITRICOS</t>
        </is>
      </c>
      <c r="H209" t="inlineStr">
        <is>
          <t>LANE LATE</t>
        </is>
      </c>
      <c r="I209" t="n">
        <v>646</v>
      </c>
      <c r="J209" t="n">
        <v>15395</v>
      </c>
      <c r="K209" t="n">
        <v>5161</v>
      </c>
      <c r="L209" t="n">
        <v>5161</v>
      </c>
      <c r="M209" t="inlineStr">
        <is>
          <t>Sí</t>
        </is>
      </c>
      <c r="N209" t="inlineStr"/>
      <c r="O209" t="inlineStr">
        <is>
          <t>Informativa</t>
        </is>
      </c>
      <c r="P209" t="inlineStr">
        <is>
          <t>No interviene en el prorrateo</t>
        </is>
      </c>
    </row>
    <row r="210">
      <c r="A210" t="n">
        <v>1272</v>
      </c>
      <c r="B210" t="inlineStr">
        <is>
          <t>HERMANOS GONZALEZ ROLDAN,S.C.</t>
        </is>
      </c>
      <c r="E210" t="n">
        <v>2026</v>
      </c>
      <c r="F210" t="n">
        <v>1</v>
      </c>
      <c r="G210" t="inlineStr">
        <is>
          <t>CITRICOS</t>
        </is>
      </c>
      <c r="H210" t="inlineStr">
        <is>
          <t>LANE LATE</t>
        </is>
      </c>
      <c r="I210" t="n">
        <v>646</v>
      </c>
      <c r="J210" t="n">
        <v>14650</v>
      </c>
      <c r="K210" t="n">
        <v>12377</v>
      </c>
      <c r="L210" t="n">
        <v>12377</v>
      </c>
      <c r="M210" t="inlineStr">
        <is>
          <t>Sí</t>
        </is>
      </c>
      <c r="N210" t="inlineStr"/>
      <c r="O210" t="inlineStr">
        <is>
          <t>Informativa</t>
        </is>
      </c>
      <c r="P210" t="inlineStr">
        <is>
          <t>No interviene en el prorrateo</t>
        </is>
      </c>
    </row>
    <row r="211">
      <c r="A211" t="n">
        <v>1272</v>
      </c>
      <c r="B211" t="inlineStr">
        <is>
          <t>HERMANOS GONZALEZ ROLDAN,S.C.</t>
        </is>
      </c>
      <c r="E211" t="n">
        <v>2026</v>
      </c>
      <c r="F211" t="n">
        <v>1</v>
      </c>
      <c r="G211" t="inlineStr">
        <is>
          <t>CITRICOS</t>
        </is>
      </c>
      <c r="H211" t="inlineStr">
        <is>
          <t>LANE LATE</t>
        </is>
      </c>
      <c r="I211" t="n">
        <v>646</v>
      </c>
      <c r="J211" t="n">
        <v>10110</v>
      </c>
      <c r="K211" t="n">
        <v>0</v>
      </c>
      <c r="L211" t="n">
        <v>10110</v>
      </c>
      <c r="M211" t="inlineStr">
        <is>
          <t>Sí</t>
        </is>
      </c>
      <c r="N211" t="inlineStr"/>
      <c r="O211" t="inlineStr">
        <is>
          <t>Informativa</t>
        </is>
      </c>
      <c r="P211" t="inlineStr">
        <is>
          <t>No interviene en el prorrateo</t>
        </is>
      </c>
    </row>
    <row r="212">
      <c r="A212" t="n">
        <v>1272</v>
      </c>
      <c r="B212" t="inlineStr">
        <is>
          <t>HERMANOS GONZALEZ ROLDAN,S.C.</t>
        </is>
      </c>
      <c r="E212" t="n">
        <v>2026</v>
      </c>
      <c r="F212" t="n">
        <v>1</v>
      </c>
      <c r="G212" t="inlineStr">
        <is>
          <t>CITRICOS</t>
        </is>
      </c>
      <c r="H212" t="inlineStr">
        <is>
          <t>LANE LATE</t>
        </is>
      </c>
      <c r="I212" t="n">
        <v>196</v>
      </c>
      <c r="J212" t="n">
        <v>14240</v>
      </c>
      <c r="K212" t="n">
        <v>0</v>
      </c>
      <c r="L212" t="n">
        <v>14240</v>
      </c>
      <c r="M212" t="inlineStr">
        <is>
          <t>Sí</t>
        </is>
      </c>
      <c r="N212" t="inlineStr"/>
      <c r="O212" t="inlineStr">
        <is>
          <t>Informativa</t>
        </is>
      </c>
      <c r="P212" t="inlineStr">
        <is>
          <t>No interviene en el prorrateo</t>
        </is>
      </c>
    </row>
    <row r="213">
      <c r="A213" t="n">
        <v>1272</v>
      </c>
      <c r="B213" t="inlineStr">
        <is>
          <t>HERMANOS GONZALEZ ROLDAN,S.C.</t>
        </is>
      </c>
      <c r="E213" t="n">
        <v>2026</v>
      </c>
      <c r="F213" t="n">
        <v>1</v>
      </c>
      <c r="G213" t="inlineStr">
        <is>
          <t>DIRECTO</t>
        </is>
      </c>
      <c r="H213" t="inlineStr">
        <is>
          <t>LANE LATE</t>
        </is>
      </c>
      <c r="I213" t="n">
        <v>232</v>
      </c>
      <c r="J213" t="n">
        <v>22670</v>
      </c>
      <c r="K213" t="n">
        <v>0</v>
      </c>
      <c r="L213" t="n">
        <v>22670</v>
      </c>
      <c r="M213" t="inlineStr">
        <is>
          <t>Sí</t>
        </is>
      </c>
      <c r="N213" t="inlineStr"/>
      <c r="O213" t="inlineStr">
        <is>
          <t>Informativa</t>
        </is>
      </c>
      <c r="P213" t="inlineStr">
        <is>
          <t>No interviene en el prorrateo</t>
        </is>
      </c>
    </row>
    <row r="214">
      <c r="A214" t="n">
        <v>1272</v>
      </c>
      <c r="B214" t="inlineStr">
        <is>
          <t>HERMANOS GONZALEZ ROLDAN,S.C.</t>
        </is>
      </c>
      <c r="E214" t="n">
        <v>2026</v>
      </c>
      <c r="F214" t="n">
        <v>1</v>
      </c>
      <c r="G214" t="inlineStr">
        <is>
          <t>DIRECTO</t>
        </is>
      </c>
      <c r="H214" t="inlineStr">
        <is>
          <t>LANE LATE</t>
        </is>
      </c>
      <c r="I214" t="n">
        <v>232</v>
      </c>
      <c r="J214" t="n">
        <v>6992</v>
      </c>
      <c r="K214" t="n">
        <v>0</v>
      </c>
      <c r="L214" t="n">
        <v>6992</v>
      </c>
      <c r="M214" t="inlineStr">
        <is>
          <t>Sí</t>
        </is>
      </c>
      <c r="N214" t="inlineStr"/>
      <c r="O214" t="inlineStr">
        <is>
          <t>Informativa</t>
        </is>
      </c>
      <c r="P214" t="inlineStr">
        <is>
          <t>No interviene en el prorrateo</t>
        </is>
      </c>
    </row>
    <row r="215">
      <c r="A215" t="n">
        <v>1272</v>
      </c>
      <c r="B215" t="inlineStr">
        <is>
          <t>HERMANOS GONZALEZ ROLDAN,S.C.</t>
        </is>
      </c>
      <c r="E215" t="n">
        <v>2026</v>
      </c>
      <c r="F215" t="n">
        <v>1</v>
      </c>
      <c r="G215" t="inlineStr">
        <is>
          <t>DIRECTO</t>
        </is>
      </c>
      <c r="H215" t="inlineStr">
        <is>
          <t>LANE LATE</t>
        </is>
      </c>
      <c r="I215" t="n">
        <v>232</v>
      </c>
      <c r="J215" t="n">
        <v>21650</v>
      </c>
      <c r="K215" t="n">
        <v>0</v>
      </c>
      <c r="L215" t="n">
        <v>21650</v>
      </c>
      <c r="M215" t="inlineStr">
        <is>
          <t>Sí</t>
        </is>
      </c>
      <c r="N215" t="inlineStr"/>
      <c r="O215" t="inlineStr">
        <is>
          <t>Informativa</t>
        </is>
      </c>
      <c r="P215" t="inlineStr">
        <is>
          <t>No interviene en el prorrateo</t>
        </is>
      </c>
    </row>
    <row r="216">
      <c r="A216" t="n">
        <v>1272</v>
      </c>
      <c r="B216" t="inlineStr">
        <is>
          <t>HERMANOS GONZALEZ ROLDAN,S.C.</t>
        </is>
      </c>
      <c r="E216" t="n">
        <v>2026</v>
      </c>
      <c r="F216" t="n">
        <v>1</v>
      </c>
      <c r="G216" t="inlineStr">
        <is>
          <t>DIRECTO</t>
        </is>
      </c>
      <c r="H216" t="inlineStr">
        <is>
          <t>LANE LATE</t>
        </is>
      </c>
      <c r="I216" t="n">
        <v>232</v>
      </c>
      <c r="J216" t="n">
        <v>22440</v>
      </c>
      <c r="K216" t="n">
        <v>0</v>
      </c>
      <c r="L216" t="n">
        <v>22440</v>
      </c>
      <c r="M216" t="inlineStr">
        <is>
          <t>Sí</t>
        </is>
      </c>
      <c r="N216" t="inlineStr"/>
      <c r="O216" t="inlineStr">
        <is>
          <t>Informativa</t>
        </is>
      </c>
      <c r="P216" t="inlineStr">
        <is>
          <t>No interviene en el prorrateo</t>
        </is>
      </c>
    </row>
    <row r="217">
      <c r="A217" t="n">
        <v>1272</v>
      </c>
      <c r="B217" t="inlineStr">
        <is>
          <t>HERMANOS GONZALEZ ROLDAN,S.C.</t>
        </is>
      </c>
      <c r="E217" t="n">
        <v>2026</v>
      </c>
      <c r="F217" t="n">
        <v>1</v>
      </c>
      <c r="G217" t="inlineStr">
        <is>
          <t>DIRECTO</t>
        </is>
      </c>
      <c r="H217" t="inlineStr">
        <is>
          <t>LANE LATE</t>
        </is>
      </c>
      <c r="I217" t="n">
        <v>232</v>
      </c>
      <c r="J217" t="n">
        <v>22120</v>
      </c>
      <c r="K217" t="n">
        <v>0</v>
      </c>
      <c r="L217" t="n">
        <v>22120</v>
      </c>
      <c r="M217" t="inlineStr">
        <is>
          <t>Sí</t>
        </is>
      </c>
      <c r="N217" t="inlineStr"/>
      <c r="O217" t="inlineStr">
        <is>
          <t>Informativa</t>
        </is>
      </c>
      <c r="P217" t="inlineStr">
        <is>
          <t>No interviene en el prorrateo</t>
        </is>
      </c>
    </row>
    <row r="218">
      <c r="A218" t="n">
        <v>1272</v>
      </c>
      <c r="B218" t="inlineStr">
        <is>
          <t>HERMANOS GONZALEZ ROLDAN,S.C.</t>
        </is>
      </c>
      <c r="E218" t="n">
        <v>2026</v>
      </c>
      <c r="F218" t="n">
        <v>1</v>
      </c>
      <c r="G218" t="inlineStr">
        <is>
          <t>DIRECTO</t>
        </is>
      </c>
      <c r="H218" t="inlineStr">
        <is>
          <t>LANE LATE</t>
        </is>
      </c>
      <c r="I218" t="n">
        <v>232</v>
      </c>
      <c r="J218" t="n">
        <v>22760</v>
      </c>
      <c r="K218" t="n">
        <v>0</v>
      </c>
      <c r="L218" t="n">
        <v>22760</v>
      </c>
      <c r="M218" t="inlineStr">
        <is>
          <t>Sí</t>
        </is>
      </c>
      <c r="N218" t="inlineStr"/>
      <c r="O218" t="inlineStr">
        <is>
          <t>Informativa</t>
        </is>
      </c>
      <c r="P218" t="inlineStr">
        <is>
          <t>No interviene en el prorrateo</t>
        </is>
      </c>
    </row>
    <row r="219">
      <c r="A219" t="n">
        <v>1272</v>
      </c>
      <c r="B219" t="inlineStr">
        <is>
          <t>HERMANOS GONZALEZ ROLDAN,S.C.</t>
        </is>
      </c>
      <c r="E219" t="n">
        <v>2026</v>
      </c>
      <c r="F219" t="n">
        <v>1</v>
      </c>
      <c r="G219" t="inlineStr">
        <is>
          <t>DIRECTO</t>
        </is>
      </c>
      <c r="H219" t="inlineStr">
        <is>
          <t>LANE LATE</t>
        </is>
      </c>
      <c r="I219" t="n">
        <v>232</v>
      </c>
      <c r="J219" t="n">
        <v>23260</v>
      </c>
      <c r="K219" t="n">
        <v>0</v>
      </c>
      <c r="L219" t="n">
        <v>23260</v>
      </c>
      <c r="M219" t="inlineStr">
        <is>
          <t>Sí</t>
        </is>
      </c>
      <c r="N219" t="inlineStr"/>
      <c r="O219" t="inlineStr">
        <is>
          <t>Informativa</t>
        </is>
      </c>
      <c r="P219" t="inlineStr">
        <is>
          <t>No interviene en el prorrateo</t>
        </is>
      </c>
    </row>
    <row r="220">
      <c r="A220" t="n">
        <v>1272</v>
      </c>
      <c r="B220" t="inlineStr">
        <is>
          <t>HERMANOS GONZALEZ ROLDAN,S.C.</t>
        </is>
      </c>
      <c r="E220" t="n">
        <v>2026</v>
      </c>
      <c r="F220" t="n">
        <v>1</v>
      </c>
      <c r="G220" t="inlineStr">
        <is>
          <t>DIRECTO</t>
        </is>
      </c>
      <c r="H220" t="inlineStr">
        <is>
          <t>LANE LATE</t>
        </is>
      </c>
      <c r="I220" t="n">
        <v>232</v>
      </c>
      <c r="J220" t="n">
        <v>22715</v>
      </c>
      <c r="K220" t="n">
        <v>0</v>
      </c>
      <c r="L220" t="n">
        <v>22715</v>
      </c>
      <c r="M220" t="inlineStr">
        <is>
          <t>Sí</t>
        </is>
      </c>
      <c r="N220" t="inlineStr"/>
      <c r="O220" t="inlineStr">
        <is>
          <t>Informativa</t>
        </is>
      </c>
      <c r="P220" t="inlineStr">
        <is>
          <t>No interviene en el prorrateo</t>
        </is>
      </c>
    </row>
    <row r="221">
      <c r="A221" t="n">
        <v>1272</v>
      </c>
      <c r="B221" t="inlineStr">
        <is>
          <t>HERMANOS GONZALEZ ROLDAN,S.C.</t>
        </is>
      </c>
      <c r="E221" t="n">
        <v>2026</v>
      </c>
      <c r="F221" t="n">
        <v>1</v>
      </c>
      <c r="G221" t="inlineStr">
        <is>
          <t>DIRECTO</t>
        </is>
      </c>
      <c r="H221" t="inlineStr">
        <is>
          <t>LANE LATE</t>
        </is>
      </c>
      <c r="I221" t="n">
        <v>232</v>
      </c>
      <c r="J221" t="n">
        <v>22620</v>
      </c>
      <c r="K221" t="n">
        <v>0</v>
      </c>
      <c r="L221" t="n">
        <v>22620</v>
      </c>
      <c r="M221" t="inlineStr">
        <is>
          <t>Sí</t>
        </is>
      </c>
      <c r="N221" t="inlineStr"/>
      <c r="O221" t="inlineStr">
        <is>
          <t>Informativa</t>
        </is>
      </c>
      <c r="P221" t="inlineStr">
        <is>
          <t>No interviene en el prorrateo</t>
        </is>
      </c>
    </row>
    <row r="222">
      <c r="A222" t="n">
        <v>1272</v>
      </c>
      <c r="B222" t="inlineStr">
        <is>
          <t>HERMANOS GONZALEZ ROLDAN,S.C.</t>
        </is>
      </c>
      <c r="E222" t="n">
        <v>2026</v>
      </c>
      <c r="F222" t="n">
        <v>1</v>
      </c>
      <c r="G222" t="inlineStr">
        <is>
          <t>DIRECTO</t>
        </is>
      </c>
      <c r="H222" t="inlineStr">
        <is>
          <t>LANE LATE</t>
        </is>
      </c>
      <c r="I222" t="n">
        <v>232</v>
      </c>
      <c r="J222" t="n">
        <v>23640</v>
      </c>
      <c r="K222" t="n">
        <v>0</v>
      </c>
      <c r="L222" t="n">
        <v>23640</v>
      </c>
      <c r="M222" t="inlineStr">
        <is>
          <t>Sí</t>
        </is>
      </c>
      <c r="N222" t="inlineStr"/>
      <c r="O222" t="inlineStr">
        <is>
          <t>Informativa</t>
        </is>
      </c>
      <c r="P222" t="inlineStr">
        <is>
          <t>No interviene en el prorrateo</t>
        </is>
      </c>
    </row>
    <row r="223">
      <c r="A223" t="n">
        <v>1272</v>
      </c>
      <c r="B223" t="inlineStr">
        <is>
          <t>HERMANOS GONZALEZ ROLDAN,S.C.</t>
        </is>
      </c>
      <c r="E223" t="n">
        <v>2026</v>
      </c>
      <c r="F223" t="n">
        <v>1</v>
      </c>
      <c r="G223" t="inlineStr">
        <is>
          <t>DIRECTO</t>
        </is>
      </c>
      <c r="H223" t="inlineStr">
        <is>
          <t>LANE LATE</t>
        </is>
      </c>
      <c r="I223" t="n">
        <v>232</v>
      </c>
      <c r="J223" t="n">
        <v>22820</v>
      </c>
      <c r="K223" t="n">
        <v>0</v>
      </c>
      <c r="L223" t="n">
        <v>22820</v>
      </c>
      <c r="M223" t="inlineStr">
        <is>
          <t>Sí</t>
        </is>
      </c>
      <c r="N223" t="inlineStr"/>
      <c r="O223" t="inlineStr">
        <is>
          <t>Informativa</t>
        </is>
      </c>
      <c r="P223" t="inlineStr">
        <is>
          <t>No interviene en el prorrateo</t>
        </is>
      </c>
    </row>
    <row r="224">
      <c r="A224" t="n">
        <v>1272</v>
      </c>
      <c r="B224" t="inlineStr">
        <is>
          <t>HERMANOS GONZALEZ ROLDAN,S.C.</t>
        </is>
      </c>
      <c r="E224" t="n">
        <v>2026</v>
      </c>
      <c r="F224" t="n">
        <v>1</v>
      </c>
      <c r="G224" t="inlineStr">
        <is>
          <t>DIRECTO</t>
        </is>
      </c>
      <c r="H224" t="inlineStr">
        <is>
          <t>LANE LATE</t>
        </is>
      </c>
      <c r="I224" t="n">
        <v>232</v>
      </c>
      <c r="J224" t="n">
        <v>24445</v>
      </c>
      <c r="K224" t="n">
        <v>0</v>
      </c>
      <c r="L224" t="n">
        <v>24445</v>
      </c>
      <c r="M224" t="inlineStr">
        <is>
          <t>Sí</t>
        </is>
      </c>
      <c r="N224" t="inlineStr"/>
      <c r="O224" t="inlineStr">
        <is>
          <t>Informativa</t>
        </is>
      </c>
      <c r="P224" t="inlineStr">
        <is>
          <t>No interviene en el prorrateo</t>
        </is>
      </c>
    </row>
    <row r="225">
      <c r="A225" t="n">
        <v>1272</v>
      </c>
      <c r="B225" t="inlineStr">
        <is>
          <t>HERMANOS GONZALEZ ROLDAN,S.C.</t>
        </is>
      </c>
      <c r="E225" t="n">
        <v>2026</v>
      </c>
      <c r="F225" t="n">
        <v>1</v>
      </c>
      <c r="G225" t="inlineStr">
        <is>
          <t>DIRECTO</t>
        </is>
      </c>
      <c r="H225" t="inlineStr">
        <is>
          <t>LANE LATE</t>
        </is>
      </c>
      <c r="I225" t="n">
        <v>360</v>
      </c>
      <c r="J225" t="n">
        <v>12280</v>
      </c>
      <c r="K225" t="n">
        <v>0</v>
      </c>
      <c r="L225" t="n">
        <v>12280</v>
      </c>
      <c r="M225" t="inlineStr">
        <is>
          <t>Sí</t>
        </is>
      </c>
      <c r="N225" t="inlineStr"/>
      <c r="O225" t="inlineStr">
        <is>
          <t>Informativa</t>
        </is>
      </c>
      <c r="P225" t="inlineStr">
        <is>
          <t>No interviene en el prorrateo</t>
        </is>
      </c>
    </row>
    <row r="226">
      <c r="A226" t="n">
        <v>1272</v>
      </c>
      <c r="B226" t="inlineStr">
        <is>
          <t>HERMANOS GONZALEZ ROLDAN,S.C.</t>
        </is>
      </c>
      <c r="E226" t="n">
        <v>2026</v>
      </c>
      <c r="F226" t="n">
        <v>1</v>
      </c>
      <c r="G226" t="inlineStr">
        <is>
          <t>DIRECTO</t>
        </is>
      </c>
      <c r="H226" t="inlineStr">
        <is>
          <t>LANE LATE</t>
        </is>
      </c>
      <c r="I226" t="n">
        <v>360</v>
      </c>
      <c r="J226" t="n">
        <v>11940</v>
      </c>
      <c r="K226" t="n">
        <v>0</v>
      </c>
      <c r="L226" t="n">
        <v>11940</v>
      </c>
      <c r="M226" t="inlineStr">
        <is>
          <t>Sí</t>
        </is>
      </c>
      <c r="N226" t="inlineStr"/>
      <c r="O226" t="inlineStr">
        <is>
          <t>Informativa</t>
        </is>
      </c>
      <c r="P226" t="inlineStr">
        <is>
          <t>No interviene en el prorrateo</t>
        </is>
      </c>
    </row>
    <row r="227">
      <c r="A227" t="n">
        <v>1272</v>
      </c>
      <c r="B227" t="inlineStr">
        <is>
          <t>HERMANOS GONZALEZ ROLDAN,S.C.</t>
        </is>
      </c>
      <c r="E227" t="n">
        <v>2026</v>
      </c>
      <c r="F227" t="n">
        <v>1</v>
      </c>
      <c r="G227" t="inlineStr">
        <is>
          <t>DIRECTO</t>
        </is>
      </c>
      <c r="H227" t="inlineStr">
        <is>
          <t>LANE LATE</t>
        </is>
      </c>
      <c r="I227" t="n">
        <v>360</v>
      </c>
      <c r="J227" t="n">
        <v>2760</v>
      </c>
      <c r="K227" t="n">
        <v>0</v>
      </c>
      <c r="L227" t="n">
        <v>2760</v>
      </c>
      <c r="M227" t="inlineStr">
        <is>
          <t>Sí</t>
        </is>
      </c>
      <c r="N227" t="inlineStr"/>
      <c r="O227" t="inlineStr">
        <is>
          <t>Informativa</t>
        </is>
      </c>
      <c r="P227" t="inlineStr">
        <is>
          <t>No interviene en el prorrateo</t>
        </is>
      </c>
    </row>
    <row r="228">
      <c r="A228" t="n">
        <v>1272</v>
      </c>
      <c r="B228" t="inlineStr">
        <is>
          <t>HERMANOS GONZALEZ ROLDAN,S.C.</t>
        </is>
      </c>
      <c r="E228" t="n">
        <v>2026</v>
      </c>
      <c r="F228" t="n">
        <v>1</v>
      </c>
      <c r="G228" t="inlineStr">
        <is>
          <t>DIRECTO</t>
        </is>
      </c>
      <c r="H228" t="inlineStr">
        <is>
          <t>LANE LATE</t>
        </is>
      </c>
      <c r="I228" t="n">
        <v>360</v>
      </c>
      <c r="J228" t="n">
        <v>9520</v>
      </c>
      <c r="K228" t="n">
        <v>0</v>
      </c>
      <c r="L228" t="n">
        <v>9520</v>
      </c>
      <c r="M228" t="inlineStr">
        <is>
          <t>Sí</t>
        </is>
      </c>
      <c r="N228" t="inlineStr"/>
      <c r="O228" t="inlineStr">
        <is>
          <t>Informativa</t>
        </is>
      </c>
      <c r="P228" t="inlineStr">
        <is>
          <t>No interviene en el prorrateo</t>
        </is>
      </c>
    </row>
    <row r="229">
      <c r="A229" t="n">
        <v>1272</v>
      </c>
      <c r="B229" t="inlineStr">
        <is>
          <t>HERMANOS GONZALEZ ROLDAN,S.C.</t>
        </is>
      </c>
      <c r="E229" t="n">
        <v>2026</v>
      </c>
      <c r="F229" t="n">
        <v>1</v>
      </c>
      <c r="G229" t="inlineStr">
        <is>
          <t>INDUSTRIA</t>
        </is>
      </c>
      <c r="H229" t="inlineStr">
        <is>
          <t>NEWHALL</t>
        </is>
      </c>
      <c r="I229" t="n">
        <v>234</v>
      </c>
      <c r="J229" t="n">
        <v>703</v>
      </c>
      <c r="K229" t="n">
        <v>0</v>
      </c>
      <c r="L229" t="n">
        <v>703</v>
      </c>
      <c r="M229" t="inlineStr">
        <is>
          <t>Sí</t>
        </is>
      </c>
      <c r="N229" t="inlineStr"/>
      <c r="O229" t="inlineStr">
        <is>
          <t>Informativa</t>
        </is>
      </c>
      <c r="P229" t="inlineStr">
        <is>
          <t>No interviene en el prorrateo</t>
        </is>
      </c>
    </row>
    <row r="230">
      <c r="A230" t="n">
        <v>1272</v>
      </c>
      <c r="B230" t="inlineStr">
        <is>
          <t>HERMANOS GONZALEZ ROLDAN,S.C.</t>
        </is>
      </c>
      <c r="E230" t="n">
        <v>2026</v>
      </c>
      <c r="F230" t="n">
        <v>1</v>
      </c>
      <c r="G230" t="inlineStr">
        <is>
          <t>INDUSTRIA</t>
        </is>
      </c>
      <c r="H230" t="inlineStr">
        <is>
          <t>SALUSTIANA</t>
        </is>
      </c>
      <c r="I230" t="n">
        <v>236</v>
      </c>
      <c r="J230" t="n">
        <v>10915</v>
      </c>
      <c r="K230" t="n">
        <v>1560</v>
      </c>
      <c r="L230" t="n">
        <v>1560</v>
      </c>
      <c r="M230" t="inlineStr">
        <is>
          <t>Sí</t>
        </is>
      </c>
      <c r="N230" t="inlineStr"/>
      <c r="O230" t="inlineStr">
        <is>
          <t>Informativa</t>
        </is>
      </c>
      <c r="P230" t="inlineStr">
        <is>
          <t>No interviene en el prorrateo</t>
        </is>
      </c>
    </row>
    <row r="231">
      <c r="A231" t="n">
        <v>1272</v>
      </c>
      <c r="B231" t="inlineStr">
        <is>
          <t>HERMANOS GONZALEZ ROLDAN,S.C.</t>
        </is>
      </c>
      <c r="E231" t="n">
        <v>2026</v>
      </c>
      <c r="F231" t="n">
        <v>1</v>
      </c>
      <c r="G231" t="inlineStr">
        <is>
          <t>INDUSTRIA</t>
        </is>
      </c>
      <c r="H231" t="inlineStr">
        <is>
          <t>LANE LATE</t>
        </is>
      </c>
      <c r="I231" t="n">
        <v>367</v>
      </c>
      <c r="J231" t="n">
        <v>665</v>
      </c>
      <c r="K231" t="n">
        <v>0</v>
      </c>
      <c r="L231" t="n">
        <v>665</v>
      </c>
      <c r="M231" t="inlineStr">
        <is>
          <t>Sí</t>
        </is>
      </c>
      <c r="N231" t="inlineStr"/>
      <c r="O231" t="inlineStr">
        <is>
          <t>Informativa</t>
        </is>
      </c>
      <c r="P231" t="inlineStr">
        <is>
          <t>No interviene en el prorrateo</t>
        </is>
      </c>
    </row>
    <row r="232">
      <c r="A232" t="n">
        <v>1272</v>
      </c>
      <c r="B232" t="inlineStr">
        <is>
          <t>HERMANOS GONZALEZ ROLDAN,S.C.</t>
        </is>
      </c>
      <c r="E232" t="n">
        <v>2026</v>
      </c>
      <c r="F232" t="n">
        <v>1</v>
      </c>
      <c r="G232" t="inlineStr">
        <is>
          <t>INDUSTRIA</t>
        </is>
      </c>
      <c r="H232" t="inlineStr">
        <is>
          <t>LANE LATE</t>
        </is>
      </c>
      <c r="I232" t="n">
        <v>367</v>
      </c>
      <c r="J232" t="n">
        <v>290</v>
      </c>
      <c r="K232" t="n">
        <v>0</v>
      </c>
      <c r="L232" t="n">
        <v>290</v>
      </c>
      <c r="M232" t="inlineStr">
        <is>
          <t>Sí</t>
        </is>
      </c>
      <c r="N232" t="inlineStr"/>
      <c r="O232" t="inlineStr">
        <is>
          <t>Informativa</t>
        </is>
      </c>
      <c r="P232" t="inlineStr">
        <is>
          <t>No interviene en el prorrateo</t>
        </is>
      </c>
    </row>
    <row r="233">
      <c r="A233" t="n">
        <v>1272</v>
      </c>
      <c r="B233" t="inlineStr">
        <is>
          <t>HERMANOS GONZALEZ ROLDAN,S.C.</t>
        </is>
      </c>
      <c r="E233" t="n">
        <v>2026</v>
      </c>
      <c r="F233" t="n">
        <v>1</v>
      </c>
      <c r="G233" t="inlineStr">
        <is>
          <t>INDUSTRIA</t>
        </is>
      </c>
      <c r="H233" t="inlineStr">
        <is>
          <t>SALUSTIANA</t>
        </is>
      </c>
      <c r="I233" t="n">
        <v>236</v>
      </c>
      <c r="J233" t="n">
        <v>23235</v>
      </c>
      <c r="K233" t="n">
        <v>1017</v>
      </c>
      <c r="L233" t="n">
        <v>1017</v>
      </c>
      <c r="M233" t="inlineStr">
        <is>
          <t>Sí</t>
        </is>
      </c>
      <c r="N233" t="inlineStr"/>
      <c r="O233" t="inlineStr">
        <is>
          <t>Informativa</t>
        </is>
      </c>
      <c r="P233" t="inlineStr">
        <is>
          <t>No interviene en el prorrateo</t>
        </is>
      </c>
    </row>
    <row r="234">
      <c r="A234" t="n">
        <v>1272</v>
      </c>
      <c r="B234" t="inlineStr">
        <is>
          <t>HERMANOS GONZALEZ ROLDAN,S.C.</t>
        </is>
      </c>
      <c r="E234" t="n">
        <v>2026</v>
      </c>
      <c r="F234" t="n">
        <v>1</v>
      </c>
      <c r="G234" t="inlineStr">
        <is>
          <t>INDUSTRIA</t>
        </is>
      </c>
      <c r="H234" t="inlineStr">
        <is>
          <t>SALUSTIANA</t>
        </is>
      </c>
      <c r="I234" t="n">
        <v>236</v>
      </c>
      <c r="J234" t="n">
        <v>25765</v>
      </c>
      <c r="K234" t="n">
        <v>1710</v>
      </c>
      <c r="L234" t="n">
        <v>1710</v>
      </c>
      <c r="M234" t="inlineStr">
        <is>
          <t>Sí</t>
        </is>
      </c>
      <c r="N234" t="inlineStr"/>
      <c r="O234" t="inlineStr">
        <is>
          <t>Informativa</t>
        </is>
      </c>
      <c r="P234" t="inlineStr">
        <is>
          <t>No interviene en el prorrateo</t>
        </is>
      </c>
    </row>
    <row r="235">
      <c r="A235" t="n">
        <v>1316</v>
      </c>
      <c r="B235" t="inlineStr">
        <is>
          <t>JIMENA GARCIA,JUAN MANUEL</t>
        </is>
      </c>
      <c r="E235" t="n">
        <v>2026</v>
      </c>
      <c r="F235" t="n">
        <v>1</v>
      </c>
      <c r="G235" t="inlineStr">
        <is>
          <t>CITRICOS</t>
        </is>
      </c>
      <c r="H235" t="inlineStr">
        <is>
          <t>WASHINGTON</t>
        </is>
      </c>
      <c r="I235" t="n">
        <v>261</v>
      </c>
      <c r="J235" t="n">
        <v>5070</v>
      </c>
      <c r="K235" t="n">
        <v>0</v>
      </c>
      <c r="L235" t="n">
        <v>5070</v>
      </c>
      <c r="M235" t="inlineStr">
        <is>
          <t>Sí</t>
        </is>
      </c>
      <c r="N235" t="inlineStr"/>
      <c r="O235" t="inlineStr">
        <is>
          <t>Informativa</t>
        </is>
      </c>
      <c r="P235" t="inlineStr">
        <is>
          <t>No interviene en el prorrateo</t>
        </is>
      </c>
    </row>
    <row r="236">
      <c r="A236" t="n">
        <v>1316</v>
      </c>
      <c r="B236" t="inlineStr">
        <is>
          <t>JIMENA GARCIA,JUAN MANUEL</t>
        </is>
      </c>
      <c r="E236" t="n">
        <v>2026</v>
      </c>
      <c r="F236" t="n">
        <v>1</v>
      </c>
      <c r="G236" t="inlineStr">
        <is>
          <t>CITRICOS</t>
        </is>
      </c>
      <c r="H236" t="inlineStr">
        <is>
          <t>WASHINGTON</t>
        </is>
      </c>
      <c r="I236" t="n">
        <v>261</v>
      </c>
      <c r="J236" t="n">
        <v>23325</v>
      </c>
      <c r="K236" t="n">
        <v>14296</v>
      </c>
      <c r="L236" t="n">
        <v>14296</v>
      </c>
      <c r="M236" t="inlineStr">
        <is>
          <t>Sí</t>
        </is>
      </c>
      <c r="N236" t="inlineStr"/>
      <c r="O236" t="inlineStr">
        <is>
          <t>Informativa</t>
        </is>
      </c>
      <c r="P236" t="inlineStr">
        <is>
          <t>No interviene en el prorrateo</t>
        </is>
      </c>
    </row>
    <row r="237">
      <c r="A237" t="n">
        <v>1316</v>
      </c>
      <c r="B237" t="inlineStr">
        <is>
          <t>JIMENA GARCIA,JUAN MANUEL</t>
        </is>
      </c>
      <c r="E237" t="n">
        <v>2026</v>
      </c>
      <c r="F237" t="n">
        <v>1</v>
      </c>
      <c r="G237" t="inlineStr">
        <is>
          <t>CITRICOS</t>
        </is>
      </c>
      <c r="H237" t="inlineStr">
        <is>
          <t>WASHINGTON</t>
        </is>
      </c>
      <c r="I237" t="n">
        <v>261</v>
      </c>
      <c r="J237" t="n">
        <v>7486</v>
      </c>
      <c r="K237" t="n">
        <v>0</v>
      </c>
      <c r="L237" t="n">
        <v>7486</v>
      </c>
      <c r="M237" t="inlineStr">
        <is>
          <t>Sí</t>
        </is>
      </c>
      <c r="N237" t="inlineStr"/>
      <c r="O237" t="inlineStr">
        <is>
          <t>Informativa</t>
        </is>
      </c>
      <c r="P237" t="inlineStr">
        <is>
          <t>No interviene en el prorrateo</t>
        </is>
      </c>
    </row>
    <row r="238">
      <c r="A238" t="n">
        <v>1316</v>
      </c>
      <c r="B238" t="inlineStr">
        <is>
          <t>JIMENA GARCIA,JUAN MANUEL</t>
        </is>
      </c>
      <c r="E238" t="n">
        <v>2026</v>
      </c>
      <c r="F238" t="n">
        <v>1</v>
      </c>
      <c r="G238" t="inlineStr">
        <is>
          <t>CITRICOS</t>
        </is>
      </c>
      <c r="H238" t="inlineStr">
        <is>
          <t>WASHINGTON</t>
        </is>
      </c>
      <c r="I238" t="n">
        <v>261</v>
      </c>
      <c r="J238" t="n">
        <v>985</v>
      </c>
      <c r="K238" t="n">
        <v>0</v>
      </c>
      <c r="L238" t="n">
        <v>985</v>
      </c>
      <c r="M238" t="inlineStr">
        <is>
          <t>Sí</t>
        </is>
      </c>
      <c r="N238" t="inlineStr"/>
      <c r="O238" t="inlineStr">
        <is>
          <t>Informativa</t>
        </is>
      </c>
      <c r="P238" t="inlineStr">
        <is>
          <t>No interviene en el prorrateo</t>
        </is>
      </c>
    </row>
    <row r="239">
      <c r="A239" t="n">
        <v>1316</v>
      </c>
      <c r="B239" t="inlineStr">
        <is>
          <t>JIMENA GARCIA,JUAN MANUEL</t>
        </is>
      </c>
      <c r="E239" t="n">
        <v>2026</v>
      </c>
      <c r="F239" t="n">
        <v>1</v>
      </c>
      <c r="G239" t="inlineStr">
        <is>
          <t>CITRICOS</t>
        </is>
      </c>
      <c r="H239" t="inlineStr">
        <is>
          <t>SALUSTIANA</t>
        </is>
      </c>
      <c r="I239" t="n">
        <v>217</v>
      </c>
      <c r="J239" t="n">
        <v>12776</v>
      </c>
      <c r="K239" t="n">
        <v>0</v>
      </c>
      <c r="L239" t="n">
        <v>12776</v>
      </c>
      <c r="M239" t="inlineStr">
        <is>
          <t>Sí</t>
        </is>
      </c>
      <c r="N239" t="inlineStr"/>
      <c r="O239" t="inlineStr">
        <is>
          <t>Informativa</t>
        </is>
      </c>
      <c r="P239" t="inlineStr">
        <is>
          <t>No interviene en el prorrateo</t>
        </is>
      </c>
    </row>
    <row r="240">
      <c r="A240" t="n">
        <v>1316</v>
      </c>
      <c r="B240" t="inlineStr">
        <is>
          <t>JIMENA GARCIA,JUAN MANUEL</t>
        </is>
      </c>
      <c r="E240" t="n">
        <v>2026</v>
      </c>
      <c r="F240" t="n">
        <v>1</v>
      </c>
      <c r="G240" t="inlineStr">
        <is>
          <t>CITRICOS</t>
        </is>
      </c>
      <c r="H240" t="inlineStr">
        <is>
          <t>SALUSTIANA</t>
        </is>
      </c>
      <c r="I240" t="n">
        <v>217</v>
      </c>
      <c r="J240" t="n">
        <v>12120</v>
      </c>
      <c r="K240" t="n">
        <v>0</v>
      </c>
      <c r="L240" t="n">
        <v>12120</v>
      </c>
      <c r="M240" t="inlineStr">
        <is>
          <t>Sí</t>
        </is>
      </c>
      <c r="N240" t="inlineStr"/>
      <c r="O240" t="inlineStr">
        <is>
          <t>Informativa</t>
        </is>
      </c>
      <c r="P240" t="inlineStr">
        <is>
          <t>No interviene en el prorrateo</t>
        </is>
      </c>
    </row>
    <row r="241">
      <c r="A241" t="n">
        <v>1316</v>
      </c>
      <c r="B241" t="inlineStr">
        <is>
          <t>JIMENA GARCIA,JUAN MANUEL</t>
        </is>
      </c>
      <c r="E241" t="n">
        <v>2026</v>
      </c>
      <c r="F241" t="n">
        <v>1</v>
      </c>
      <c r="G241" t="inlineStr">
        <is>
          <t>CITRICOS</t>
        </is>
      </c>
      <c r="H241" t="inlineStr">
        <is>
          <t>SALUSTIANA</t>
        </is>
      </c>
      <c r="I241" t="n">
        <v>217</v>
      </c>
      <c r="J241" t="n">
        <v>21956</v>
      </c>
      <c r="K241" t="n">
        <v>18810</v>
      </c>
      <c r="L241" t="n">
        <v>18810</v>
      </c>
      <c r="M241" t="inlineStr">
        <is>
          <t>Sí</t>
        </is>
      </c>
      <c r="N241" t="inlineStr"/>
      <c r="O241" t="inlineStr">
        <is>
          <t>Informativa</t>
        </is>
      </c>
      <c r="P241" t="inlineStr">
        <is>
          <t>No interviene en el prorrateo</t>
        </is>
      </c>
    </row>
    <row r="242">
      <c r="A242" t="n">
        <v>1316</v>
      </c>
      <c r="B242" t="inlineStr">
        <is>
          <t>JIMENA GARCIA,JUAN MANUEL</t>
        </is>
      </c>
      <c r="E242" t="n">
        <v>2026</v>
      </c>
      <c r="F242" t="n">
        <v>1</v>
      </c>
      <c r="G242" t="inlineStr">
        <is>
          <t>CITRICOS</t>
        </is>
      </c>
      <c r="H242" t="inlineStr">
        <is>
          <t>SALUSTIANA</t>
        </is>
      </c>
      <c r="I242" t="n">
        <v>217</v>
      </c>
      <c r="J242" t="n">
        <v>11204</v>
      </c>
      <c r="K242" t="n">
        <v>0</v>
      </c>
      <c r="L242" t="n">
        <v>11204</v>
      </c>
      <c r="M242" t="inlineStr">
        <is>
          <t>Sí</t>
        </is>
      </c>
      <c r="N242" t="inlineStr"/>
      <c r="O242" t="inlineStr">
        <is>
          <t>Informativa</t>
        </is>
      </c>
      <c r="P242" t="inlineStr">
        <is>
          <t>No interviene en el prorrateo</t>
        </is>
      </c>
    </row>
    <row r="243">
      <c r="A243" t="n">
        <v>1316</v>
      </c>
      <c r="B243" t="inlineStr">
        <is>
          <t>JIMENA GARCIA,JUAN MANUEL</t>
        </is>
      </c>
      <c r="E243" t="n">
        <v>2026</v>
      </c>
      <c r="F243" t="n">
        <v>1</v>
      </c>
      <c r="G243" t="inlineStr">
        <is>
          <t>CITRICOS</t>
        </is>
      </c>
      <c r="H243" t="inlineStr">
        <is>
          <t>SALUSTIANA</t>
        </is>
      </c>
      <c r="I243" t="n">
        <v>217</v>
      </c>
      <c r="J243" t="n">
        <v>23792</v>
      </c>
      <c r="K243" t="n">
        <v>2822</v>
      </c>
      <c r="L243" t="n">
        <v>2822</v>
      </c>
      <c r="M243" t="inlineStr">
        <is>
          <t>Sí</t>
        </is>
      </c>
      <c r="N243" t="inlineStr"/>
      <c r="O243" t="inlineStr">
        <is>
          <t>Informativa</t>
        </is>
      </c>
      <c r="P243" t="inlineStr">
        <is>
          <t>No interviene en el prorrateo</t>
        </is>
      </c>
    </row>
    <row r="244">
      <c r="A244" t="n">
        <v>1316</v>
      </c>
      <c r="B244" t="inlineStr">
        <is>
          <t>JIMENA GARCIA,JUAN MANUEL</t>
        </is>
      </c>
      <c r="E244" t="n">
        <v>2026</v>
      </c>
      <c r="F244" t="n">
        <v>1</v>
      </c>
      <c r="G244" t="inlineStr">
        <is>
          <t>CITRICOS</t>
        </is>
      </c>
      <c r="H244" t="inlineStr">
        <is>
          <t>SALUSTIANA</t>
        </is>
      </c>
      <c r="I244" t="n">
        <v>217</v>
      </c>
      <c r="J244" t="n">
        <v>6964</v>
      </c>
      <c r="K244" t="n">
        <v>0</v>
      </c>
      <c r="L244" t="n">
        <v>6964</v>
      </c>
      <c r="M244" t="inlineStr">
        <is>
          <t>Sí</t>
        </is>
      </c>
      <c r="N244" t="inlineStr"/>
      <c r="O244" t="inlineStr">
        <is>
          <t>Informativa</t>
        </is>
      </c>
      <c r="P244" t="inlineStr">
        <is>
          <t>No interviene en el prorrateo</t>
        </is>
      </c>
    </row>
    <row r="245">
      <c r="A245" t="n">
        <v>1316</v>
      </c>
      <c r="B245" t="inlineStr">
        <is>
          <t>JIMENA GARCIA,JUAN MANUEL</t>
        </is>
      </c>
      <c r="E245" t="n">
        <v>2026</v>
      </c>
      <c r="F245" t="n">
        <v>1</v>
      </c>
      <c r="G245" t="inlineStr">
        <is>
          <t>INDUSTRIA</t>
        </is>
      </c>
      <c r="H245" t="inlineStr">
        <is>
          <t>WASHINGTON</t>
        </is>
      </c>
      <c r="I245" t="n">
        <v>261</v>
      </c>
      <c r="J245" t="n">
        <v>466</v>
      </c>
      <c r="K245" t="n">
        <v>0</v>
      </c>
      <c r="L245" t="n">
        <v>466</v>
      </c>
      <c r="M245" t="inlineStr">
        <is>
          <t>Sí</t>
        </is>
      </c>
      <c r="N245" t="inlineStr"/>
      <c r="O245" t="inlineStr">
        <is>
          <t>Informativa</t>
        </is>
      </c>
      <c r="P245" t="inlineStr">
        <is>
          <t>No interviene en el prorrateo</t>
        </is>
      </c>
    </row>
    <row r="246">
      <c r="A246" t="n">
        <v>1316</v>
      </c>
      <c r="B246" t="inlineStr">
        <is>
          <t>JIMENA GARCIA,JUAN MANUEL</t>
        </is>
      </c>
      <c r="E246" t="n">
        <v>2026</v>
      </c>
      <c r="F246" t="n">
        <v>1</v>
      </c>
      <c r="G246" t="inlineStr">
        <is>
          <t>INDUSTRIA</t>
        </is>
      </c>
      <c r="H246" t="inlineStr">
        <is>
          <t>WASHINGTON</t>
        </is>
      </c>
      <c r="I246" t="n">
        <v>261</v>
      </c>
      <c r="J246" t="n">
        <v>690</v>
      </c>
      <c r="K246" t="n">
        <v>0</v>
      </c>
      <c r="L246" t="n">
        <v>690</v>
      </c>
      <c r="M246" t="inlineStr">
        <is>
          <t>Sí</t>
        </is>
      </c>
      <c r="N246" t="inlineStr"/>
      <c r="O246" t="inlineStr">
        <is>
          <t>Informativa</t>
        </is>
      </c>
      <c r="P246" t="inlineStr">
        <is>
          <t>No interviene en el prorrateo</t>
        </is>
      </c>
    </row>
    <row r="247">
      <c r="A247" t="n">
        <v>1350</v>
      </c>
      <c r="B247" t="inlineStr">
        <is>
          <t>FAMILIA GONZALEZ LACAL S.C.</t>
        </is>
      </c>
      <c r="E247" t="n">
        <v>2026</v>
      </c>
      <c r="F247" t="n">
        <v>1</v>
      </c>
      <c r="G247" t="inlineStr">
        <is>
          <t>CITRICOS</t>
        </is>
      </c>
      <c r="H247" t="inlineStr">
        <is>
          <t>SALUSTIANA</t>
        </is>
      </c>
      <c r="I247" t="n">
        <v>241</v>
      </c>
      <c r="J247" t="n">
        <v>12225</v>
      </c>
      <c r="K247" t="n">
        <v>11110</v>
      </c>
      <c r="L247" t="n">
        <v>11110</v>
      </c>
      <c r="M247" t="inlineStr">
        <is>
          <t>Sí</t>
        </is>
      </c>
      <c r="N247" t="inlineStr"/>
      <c r="O247" t="inlineStr">
        <is>
          <t>Informativa</t>
        </is>
      </c>
      <c r="P247" t="inlineStr">
        <is>
          <t>No interviene en el prorrateo</t>
        </is>
      </c>
    </row>
    <row r="248">
      <c r="A248" t="n">
        <v>1350</v>
      </c>
      <c r="B248" t="inlineStr">
        <is>
          <t>FAMILIA GONZALEZ LACAL S.C.</t>
        </is>
      </c>
      <c r="E248" t="n">
        <v>2026</v>
      </c>
      <c r="F248" t="n">
        <v>1</v>
      </c>
      <c r="G248" t="inlineStr">
        <is>
          <t>CITRICOS</t>
        </is>
      </c>
      <c r="H248" t="inlineStr">
        <is>
          <t>SALUSTIANA</t>
        </is>
      </c>
      <c r="I248" t="n">
        <v>241</v>
      </c>
      <c r="J248" t="n">
        <v>12200</v>
      </c>
      <c r="K248" t="n">
        <v>0</v>
      </c>
      <c r="L248" t="n">
        <v>12200</v>
      </c>
      <c r="M248" t="inlineStr">
        <is>
          <t>Sí</t>
        </is>
      </c>
      <c r="N248" t="inlineStr"/>
      <c r="O248" t="inlineStr">
        <is>
          <t>Informativa</t>
        </is>
      </c>
      <c r="P248" t="inlineStr">
        <is>
          <t>No interviene en el prorrateo</t>
        </is>
      </c>
    </row>
    <row r="249">
      <c r="A249" t="n">
        <v>1350</v>
      </c>
      <c r="B249" t="inlineStr">
        <is>
          <t>FAMILIA GONZALEZ LACAL S.C.</t>
        </is>
      </c>
      <c r="E249" t="n">
        <v>2026</v>
      </c>
      <c r="F249" t="n">
        <v>1</v>
      </c>
      <c r="G249" t="inlineStr">
        <is>
          <t>CITRICOS</t>
        </is>
      </c>
      <c r="H249" t="inlineStr">
        <is>
          <t>SALUSTIANA</t>
        </is>
      </c>
      <c r="I249" t="n">
        <v>241</v>
      </c>
      <c r="J249" t="n">
        <v>13275</v>
      </c>
      <c r="K249" t="n">
        <v>1010</v>
      </c>
      <c r="L249" t="n">
        <v>1010</v>
      </c>
      <c r="M249" t="inlineStr">
        <is>
          <t>Sí</t>
        </is>
      </c>
      <c r="N249" t="inlineStr"/>
      <c r="O249" t="inlineStr">
        <is>
          <t>Informativa</t>
        </is>
      </c>
      <c r="P249" t="inlineStr">
        <is>
          <t>No interviene en el prorrateo</t>
        </is>
      </c>
    </row>
    <row r="250">
      <c r="A250" t="n">
        <v>1350</v>
      </c>
      <c r="B250" t="inlineStr">
        <is>
          <t>FAMILIA GONZALEZ LACAL S.C.</t>
        </is>
      </c>
      <c r="E250" t="n">
        <v>2026</v>
      </c>
      <c r="F250" t="n">
        <v>1</v>
      </c>
      <c r="G250" t="inlineStr">
        <is>
          <t>DIRECTO</t>
        </is>
      </c>
      <c r="H250" t="inlineStr">
        <is>
          <t>BARBERINA</t>
        </is>
      </c>
      <c r="I250" t="n">
        <v>231</v>
      </c>
      <c r="J250" t="n">
        <v>22080</v>
      </c>
      <c r="K250" t="n">
        <v>0</v>
      </c>
      <c r="L250" t="n">
        <v>22080</v>
      </c>
      <c r="M250" t="inlineStr">
        <is>
          <t>Sí</t>
        </is>
      </c>
      <c r="N250" t="inlineStr"/>
      <c r="O250" t="inlineStr">
        <is>
          <t>Informativa</t>
        </is>
      </c>
      <c r="P250" t="inlineStr">
        <is>
          <t>No interviene en el prorrateo</t>
        </is>
      </c>
    </row>
    <row r="251">
      <c r="A251" t="n">
        <v>1350</v>
      </c>
      <c r="B251" t="inlineStr">
        <is>
          <t>FAMILIA GONZALEZ LACAL S.C.</t>
        </is>
      </c>
      <c r="E251" t="n">
        <v>2026</v>
      </c>
      <c r="F251" t="n">
        <v>1</v>
      </c>
      <c r="G251" t="inlineStr">
        <is>
          <t>INDUSTRIA</t>
        </is>
      </c>
      <c r="H251" t="inlineStr">
        <is>
          <t>SALUSTIANA</t>
        </is>
      </c>
      <c r="I251" t="n">
        <v>80</v>
      </c>
      <c r="J251" t="n">
        <v>6400</v>
      </c>
      <c r="K251" t="n">
        <v>0</v>
      </c>
      <c r="L251" t="n">
        <v>6400</v>
      </c>
      <c r="M251" t="inlineStr">
        <is>
          <t>Sí</t>
        </is>
      </c>
      <c r="N251" t="inlineStr"/>
      <c r="O251" t="inlineStr">
        <is>
          <t>Informativa</t>
        </is>
      </c>
      <c r="P251" t="inlineStr">
        <is>
          <t>No interviene en el prorrateo</t>
        </is>
      </c>
    </row>
    <row r="252">
      <c r="A252" t="n">
        <v>1350</v>
      </c>
      <c r="B252" t="inlineStr">
        <is>
          <t>FAMILIA GONZALEZ LACAL S.C.</t>
        </is>
      </c>
      <c r="E252" t="n">
        <v>2026</v>
      </c>
      <c r="F252" t="n">
        <v>1</v>
      </c>
      <c r="G252" t="inlineStr">
        <is>
          <t>INDUSTRIA</t>
        </is>
      </c>
      <c r="H252" t="inlineStr">
        <is>
          <t>NEWHALL</t>
        </is>
      </c>
      <c r="I252" t="n">
        <v>79</v>
      </c>
      <c r="J252" t="n">
        <v>5200</v>
      </c>
      <c r="K252" t="n">
        <v>0</v>
      </c>
      <c r="L252" t="n">
        <v>5200</v>
      </c>
      <c r="M252" t="inlineStr">
        <is>
          <t>Sí</t>
        </is>
      </c>
      <c r="N252" t="inlineStr"/>
      <c r="O252" t="inlineStr">
        <is>
          <t>Informativa</t>
        </is>
      </c>
      <c r="P252" t="inlineStr">
        <is>
          <t>No interviene en el prorrateo</t>
        </is>
      </c>
    </row>
    <row r="253">
      <c r="A253" t="n">
        <v>1350</v>
      </c>
      <c r="B253" t="inlineStr">
        <is>
          <t>FAMILIA GONZALEZ LACAL S.C.</t>
        </is>
      </c>
      <c r="E253" t="n">
        <v>2026</v>
      </c>
      <c r="F253" t="n">
        <v>1</v>
      </c>
      <c r="G253" t="inlineStr">
        <is>
          <t>INDUSTRIA</t>
        </is>
      </c>
      <c r="H253" t="inlineStr">
        <is>
          <t>SALUSTIANA</t>
        </is>
      </c>
      <c r="I253" t="n">
        <v>241</v>
      </c>
      <c r="J253" t="n">
        <v>12500</v>
      </c>
      <c r="K253" t="n">
        <v>0</v>
      </c>
      <c r="L253" t="n">
        <v>12500</v>
      </c>
      <c r="M253" t="inlineStr">
        <is>
          <t>Sí</t>
        </is>
      </c>
      <c r="N253" t="inlineStr"/>
      <c r="O253" t="inlineStr">
        <is>
          <t>Informativa</t>
        </is>
      </c>
      <c r="P253" t="inlineStr">
        <is>
          <t>No interviene en el prorrateo</t>
        </is>
      </c>
    </row>
    <row r="254">
      <c r="A254" t="n">
        <v>1350</v>
      </c>
      <c r="B254" t="inlineStr">
        <is>
          <t>FAMILIA GONZALEZ LACAL S.C.</t>
        </is>
      </c>
      <c r="E254" t="n">
        <v>2026</v>
      </c>
      <c r="F254" t="n">
        <v>1</v>
      </c>
      <c r="G254" t="inlineStr">
        <is>
          <t>INDUSTRIA</t>
        </is>
      </c>
      <c r="H254" t="inlineStr">
        <is>
          <t>SALUSTIANA</t>
        </is>
      </c>
      <c r="I254" t="n">
        <v>241</v>
      </c>
      <c r="J254" t="n">
        <v>12472</v>
      </c>
      <c r="K254" t="n">
        <v>0</v>
      </c>
      <c r="L254" t="n">
        <v>12472</v>
      </c>
      <c r="M254" t="inlineStr">
        <is>
          <t>Sí</t>
        </is>
      </c>
      <c r="N254" t="inlineStr"/>
      <c r="O254" t="inlineStr">
        <is>
          <t>Informativa</t>
        </is>
      </c>
      <c r="P254" t="inlineStr">
        <is>
          <t>No interviene en el prorrateo</t>
        </is>
      </c>
    </row>
    <row r="255">
      <c r="A255" t="n">
        <v>1350</v>
      </c>
      <c r="B255" t="inlineStr">
        <is>
          <t>FAMILIA GONZALEZ LACAL S.C.</t>
        </is>
      </c>
      <c r="E255" t="n">
        <v>2026</v>
      </c>
      <c r="F255" t="n">
        <v>1</v>
      </c>
      <c r="G255" t="inlineStr">
        <is>
          <t>INDUSTRIA</t>
        </is>
      </c>
      <c r="H255" t="inlineStr">
        <is>
          <t>SALUSTIANA</t>
        </is>
      </c>
      <c r="I255" t="n">
        <v>80</v>
      </c>
      <c r="J255" t="n">
        <v>17620</v>
      </c>
      <c r="K255" t="n">
        <v>0</v>
      </c>
      <c r="L255" t="n">
        <v>17620</v>
      </c>
      <c r="M255" t="inlineStr">
        <is>
          <t>Sí</t>
        </is>
      </c>
      <c r="N255" t="inlineStr"/>
      <c r="O255" t="inlineStr">
        <is>
          <t>Informativa</t>
        </is>
      </c>
      <c r="P255" t="inlineStr">
        <is>
          <t>No interviene en el prorrateo</t>
        </is>
      </c>
    </row>
    <row r="256">
      <c r="A256" t="n">
        <v>1350</v>
      </c>
      <c r="B256" t="inlineStr">
        <is>
          <t>FAMILIA GONZALEZ LACAL S.C.</t>
        </is>
      </c>
      <c r="E256" t="n">
        <v>2026</v>
      </c>
      <c r="F256" t="n">
        <v>1</v>
      </c>
      <c r="G256" t="inlineStr">
        <is>
          <t>INDUSTRIA</t>
        </is>
      </c>
      <c r="H256" t="inlineStr">
        <is>
          <t>SALUSTIANA</t>
        </is>
      </c>
      <c r="I256" t="n">
        <v>80</v>
      </c>
      <c r="J256" t="n">
        <v>27300</v>
      </c>
      <c r="K256" t="n">
        <v>0</v>
      </c>
      <c r="L256" t="n">
        <v>27300</v>
      </c>
      <c r="M256" t="inlineStr">
        <is>
          <t>Sí</t>
        </is>
      </c>
      <c r="N256" t="inlineStr"/>
      <c r="O256" t="inlineStr">
        <is>
          <t>Informativa</t>
        </is>
      </c>
      <c r="P256" t="inlineStr">
        <is>
          <t>No interviene en el prorrateo</t>
        </is>
      </c>
    </row>
    <row r="257">
      <c r="A257" t="n">
        <v>1354</v>
      </c>
      <c r="B257" t="inlineStr">
        <is>
          <t>MARTIN PORTALES,ALFREDO</t>
        </is>
      </c>
      <c r="E257" t="n">
        <v>2026</v>
      </c>
      <c r="F257" t="n">
        <v>1</v>
      </c>
      <c r="G257" t="inlineStr">
        <is>
          <t>CITRICOS</t>
        </is>
      </c>
      <c r="H257" t="inlineStr">
        <is>
          <t>SALUSTIANA</t>
        </is>
      </c>
      <c r="I257" t="n">
        <v>88</v>
      </c>
      <c r="J257" t="n">
        <v>13760</v>
      </c>
      <c r="K257" t="n">
        <v>0</v>
      </c>
      <c r="L257" t="n">
        <v>13760</v>
      </c>
      <c r="M257" t="inlineStr">
        <is>
          <t>Sí</t>
        </is>
      </c>
      <c r="N257" t="inlineStr"/>
      <c r="O257" t="inlineStr">
        <is>
          <t>Informativa</t>
        </is>
      </c>
      <c r="P257" t="inlineStr">
        <is>
          <t>No interviene en el prorrateo</t>
        </is>
      </c>
    </row>
    <row r="258">
      <c r="A258" t="n">
        <v>1354</v>
      </c>
      <c r="B258" t="inlineStr">
        <is>
          <t>MARTIN PORTALES,ALFREDO</t>
        </is>
      </c>
      <c r="E258" t="n">
        <v>2026</v>
      </c>
      <c r="F258" t="n">
        <v>1</v>
      </c>
      <c r="G258" t="inlineStr">
        <is>
          <t>CITRICOS</t>
        </is>
      </c>
      <c r="H258" t="inlineStr">
        <is>
          <t>SALUSTIANA</t>
        </is>
      </c>
      <c r="I258" t="n">
        <v>88</v>
      </c>
      <c r="J258" t="n">
        <v>13915</v>
      </c>
      <c r="K258" t="n">
        <v>12922</v>
      </c>
      <c r="L258" t="n">
        <v>12922</v>
      </c>
      <c r="M258" t="inlineStr">
        <is>
          <t>Sí</t>
        </is>
      </c>
      <c r="N258" t="inlineStr"/>
      <c r="O258" t="inlineStr">
        <is>
          <t>Informativa</t>
        </is>
      </c>
      <c r="P258" t="inlineStr">
        <is>
          <t>No interviene en el prorrateo</t>
        </is>
      </c>
    </row>
    <row r="259">
      <c r="A259" t="n">
        <v>1354</v>
      </c>
      <c r="B259" t="inlineStr">
        <is>
          <t>MARTIN PORTALES,ALFREDO</t>
        </is>
      </c>
      <c r="E259" t="n">
        <v>2026</v>
      </c>
      <c r="F259" t="n">
        <v>1</v>
      </c>
      <c r="G259" t="inlineStr">
        <is>
          <t>CITRICOS</t>
        </is>
      </c>
      <c r="H259" t="inlineStr">
        <is>
          <t>SALUSTIANA</t>
        </is>
      </c>
      <c r="I259" t="n">
        <v>88</v>
      </c>
      <c r="J259" t="n">
        <v>13650</v>
      </c>
      <c r="K259" t="n">
        <v>0</v>
      </c>
      <c r="L259" t="n">
        <v>13650</v>
      </c>
      <c r="M259" t="inlineStr">
        <is>
          <t>Sí</t>
        </is>
      </c>
      <c r="N259" t="inlineStr"/>
      <c r="O259" t="inlineStr">
        <is>
          <t>Informativa</t>
        </is>
      </c>
      <c r="P259" t="inlineStr">
        <is>
          <t>No interviene en el prorrateo</t>
        </is>
      </c>
    </row>
    <row r="260">
      <c r="A260" t="n">
        <v>1354</v>
      </c>
      <c r="B260" t="inlineStr">
        <is>
          <t>MARTIN PORTALES,ALFREDO</t>
        </is>
      </c>
      <c r="E260" t="n">
        <v>2026</v>
      </c>
      <c r="F260" t="n">
        <v>1</v>
      </c>
      <c r="G260" t="inlineStr">
        <is>
          <t>CITRICOS</t>
        </is>
      </c>
      <c r="H260" t="inlineStr">
        <is>
          <t>SALUSTIANA</t>
        </is>
      </c>
      <c r="I260" t="n">
        <v>88</v>
      </c>
      <c r="J260" t="n">
        <v>14079</v>
      </c>
      <c r="K260" t="n">
        <v>12946</v>
      </c>
      <c r="L260" t="n">
        <v>12946</v>
      </c>
      <c r="M260" t="inlineStr">
        <is>
          <t>Sí</t>
        </is>
      </c>
      <c r="N260" t="inlineStr"/>
      <c r="O260" t="inlineStr">
        <is>
          <t>Informativa</t>
        </is>
      </c>
      <c r="P260" t="inlineStr">
        <is>
          <t>No interviene en el prorrateo</t>
        </is>
      </c>
    </row>
    <row r="261">
      <c r="A261" t="n">
        <v>1354</v>
      </c>
      <c r="B261" t="inlineStr">
        <is>
          <t>MARTIN PORTALES,ALFREDO</t>
        </is>
      </c>
      <c r="E261" t="n">
        <v>2026</v>
      </c>
      <c r="F261" t="n">
        <v>1</v>
      </c>
      <c r="G261" t="inlineStr">
        <is>
          <t>CITRICOS</t>
        </is>
      </c>
      <c r="H261" t="inlineStr">
        <is>
          <t>SALUSTIANA</t>
        </is>
      </c>
      <c r="I261" t="n">
        <v>88</v>
      </c>
      <c r="J261" t="n">
        <v>22510</v>
      </c>
      <c r="K261" t="n">
        <v>21552</v>
      </c>
      <c r="L261" t="n">
        <v>21552</v>
      </c>
      <c r="M261" t="inlineStr">
        <is>
          <t>Sí</t>
        </is>
      </c>
      <c r="N261" t="inlineStr"/>
      <c r="O261" t="inlineStr">
        <is>
          <t>Informativa</t>
        </is>
      </c>
      <c r="P261" t="inlineStr">
        <is>
          <t>No interviene en el prorrateo</t>
        </is>
      </c>
    </row>
    <row r="262">
      <c r="A262" t="n">
        <v>1354</v>
      </c>
      <c r="B262" t="inlineStr">
        <is>
          <t>MARTIN PORTALES,ALFREDO</t>
        </is>
      </c>
      <c r="E262" t="n">
        <v>2026</v>
      </c>
      <c r="F262" t="n">
        <v>1</v>
      </c>
      <c r="G262" t="inlineStr">
        <is>
          <t>CITRICOS</t>
        </is>
      </c>
      <c r="H262" t="inlineStr">
        <is>
          <t>SALUSTIANA</t>
        </is>
      </c>
      <c r="I262" t="n">
        <v>88</v>
      </c>
      <c r="J262" t="n">
        <v>22550</v>
      </c>
      <c r="K262" t="n">
        <v>21680</v>
      </c>
      <c r="L262" t="n">
        <v>21680</v>
      </c>
      <c r="M262" t="inlineStr">
        <is>
          <t>Sí</t>
        </is>
      </c>
      <c r="N262" t="inlineStr"/>
      <c r="O262" t="inlineStr">
        <is>
          <t>Informativa</t>
        </is>
      </c>
      <c r="P262" t="inlineStr">
        <is>
          <t>No interviene en el prorrateo</t>
        </is>
      </c>
    </row>
    <row r="263">
      <c r="A263" t="n">
        <v>1354</v>
      </c>
      <c r="B263" t="inlineStr">
        <is>
          <t>MARTIN PORTALES,ALFREDO</t>
        </is>
      </c>
      <c r="E263" t="n">
        <v>2026</v>
      </c>
      <c r="F263" t="n">
        <v>1</v>
      </c>
      <c r="G263" t="inlineStr">
        <is>
          <t>CITRICOS</t>
        </is>
      </c>
      <c r="H263" t="inlineStr">
        <is>
          <t>SALUSTIANA</t>
        </is>
      </c>
      <c r="I263" t="n">
        <v>88</v>
      </c>
      <c r="J263" t="n">
        <v>11490</v>
      </c>
      <c r="K263" t="n">
        <v>11230</v>
      </c>
      <c r="L263" t="n">
        <v>11230</v>
      </c>
      <c r="M263" t="inlineStr">
        <is>
          <t>Sí</t>
        </is>
      </c>
      <c r="N263" t="inlineStr"/>
      <c r="O263" t="inlineStr">
        <is>
          <t>Informativa</t>
        </is>
      </c>
      <c r="P263" t="inlineStr">
        <is>
          <t>No interviene en el prorrateo</t>
        </is>
      </c>
    </row>
    <row r="264">
      <c r="A264" t="n">
        <v>1354</v>
      </c>
      <c r="B264" t="inlineStr">
        <is>
          <t>MARTIN PORTALES,ALFREDO</t>
        </is>
      </c>
      <c r="E264" t="n">
        <v>2026</v>
      </c>
      <c r="F264" t="n">
        <v>1</v>
      </c>
      <c r="G264" t="inlineStr">
        <is>
          <t>CITRICOS</t>
        </is>
      </c>
      <c r="H264" t="inlineStr">
        <is>
          <t>SALUSTIANA</t>
        </is>
      </c>
      <c r="I264" t="n">
        <v>88</v>
      </c>
      <c r="J264" t="n">
        <v>13960</v>
      </c>
      <c r="K264" t="n">
        <v>0</v>
      </c>
      <c r="L264" t="n">
        <v>13960</v>
      </c>
      <c r="M264" t="inlineStr">
        <is>
          <t>Sí</t>
        </is>
      </c>
      <c r="N264" t="inlineStr"/>
      <c r="O264" t="inlineStr">
        <is>
          <t>Informativa</t>
        </is>
      </c>
      <c r="P264" t="inlineStr">
        <is>
          <t>No interviene en el prorrateo</t>
        </is>
      </c>
    </row>
    <row r="265">
      <c r="A265" t="n">
        <v>1354</v>
      </c>
      <c r="B265" t="inlineStr">
        <is>
          <t>MARTIN PORTALES,ALFREDO</t>
        </is>
      </c>
      <c r="E265" t="n">
        <v>2026</v>
      </c>
      <c r="F265" t="n">
        <v>1</v>
      </c>
      <c r="G265" t="inlineStr">
        <is>
          <t>CITRICOS</t>
        </is>
      </c>
      <c r="H265" t="inlineStr">
        <is>
          <t>SALUSTIANA</t>
        </is>
      </c>
      <c r="I265" t="n">
        <v>88</v>
      </c>
      <c r="J265" t="n">
        <v>23285</v>
      </c>
      <c r="K265" t="n">
        <v>0</v>
      </c>
      <c r="L265" t="n">
        <v>23285</v>
      </c>
      <c r="M265" t="inlineStr">
        <is>
          <t>Sí</t>
        </is>
      </c>
      <c r="N265" t="inlineStr"/>
      <c r="O265" t="inlineStr">
        <is>
          <t>Informativa</t>
        </is>
      </c>
      <c r="P265" t="inlineStr">
        <is>
          <t>No interviene en el prorrateo</t>
        </is>
      </c>
    </row>
    <row r="266">
      <c r="A266" t="n">
        <v>1354</v>
      </c>
      <c r="B266" t="inlineStr">
        <is>
          <t>MARTIN PORTALES,ALFREDO</t>
        </is>
      </c>
      <c r="E266" t="n">
        <v>2026</v>
      </c>
      <c r="F266" t="n">
        <v>1</v>
      </c>
      <c r="G266" t="inlineStr">
        <is>
          <t>CITRICOS</t>
        </is>
      </c>
      <c r="H266" t="inlineStr">
        <is>
          <t>SALUSTIANA</t>
        </is>
      </c>
      <c r="I266" t="n">
        <v>88</v>
      </c>
      <c r="J266" t="n">
        <v>5400</v>
      </c>
      <c r="K266" t="n">
        <v>3027</v>
      </c>
      <c r="L266" t="n">
        <v>3027</v>
      </c>
      <c r="M266" t="inlineStr">
        <is>
          <t>Sí</t>
        </is>
      </c>
      <c r="N266" t="inlineStr"/>
      <c r="O266" t="inlineStr">
        <is>
          <t>Informativa</t>
        </is>
      </c>
      <c r="P266" t="inlineStr">
        <is>
          <t>No interviene en el prorrateo</t>
        </is>
      </c>
    </row>
    <row r="267">
      <c r="A267" t="n">
        <v>1354</v>
      </c>
      <c r="B267" t="inlineStr">
        <is>
          <t>MARTIN PORTALES,ALFREDO</t>
        </is>
      </c>
      <c r="E267" t="n">
        <v>2026</v>
      </c>
      <c r="F267" t="n">
        <v>1</v>
      </c>
      <c r="G267" t="inlineStr">
        <is>
          <t>INDUSTRIA</t>
        </is>
      </c>
      <c r="H267" t="inlineStr">
        <is>
          <t>SALUSTIANA</t>
        </is>
      </c>
      <c r="I267" t="n">
        <v>88</v>
      </c>
      <c r="J267" t="n">
        <v>15175</v>
      </c>
      <c r="K267" t="n">
        <v>888</v>
      </c>
      <c r="L267" t="n">
        <v>888</v>
      </c>
      <c r="M267" t="inlineStr">
        <is>
          <t>Sí</t>
        </is>
      </c>
      <c r="N267" t="inlineStr"/>
      <c r="O267" t="inlineStr">
        <is>
          <t>Informativa</t>
        </is>
      </c>
      <c r="P267" t="inlineStr">
        <is>
          <t>No interviene en el prorrateo</t>
        </is>
      </c>
    </row>
    <row r="268">
      <c r="A268" t="n">
        <v>1354</v>
      </c>
      <c r="B268" t="inlineStr">
        <is>
          <t>MARTIN PORTALES,ALFREDO</t>
        </is>
      </c>
      <c r="E268" t="n">
        <v>2026</v>
      </c>
      <c r="F268" t="n">
        <v>1</v>
      </c>
      <c r="G268" t="inlineStr">
        <is>
          <t>INDUSTRIA</t>
        </is>
      </c>
      <c r="H268" t="inlineStr">
        <is>
          <t>SALUSTIANA</t>
        </is>
      </c>
      <c r="I268" t="n">
        <v>88</v>
      </c>
      <c r="J268" t="n">
        <v>15339</v>
      </c>
      <c r="K268" t="n">
        <v>1028</v>
      </c>
      <c r="L268" t="n">
        <v>1028</v>
      </c>
      <c r="M268" t="inlineStr">
        <is>
          <t>Sí</t>
        </is>
      </c>
      <c r="N268" t="inlineStr"/>
      <c r="O268" t="inlineStr">
        <is>
          <t>Informativa</t>
        </is>
      </c>
      <c r="P268" t="inlineStr">
        <is>
          <t>No interviene en el prorrateo</t>
        </is>
      </c>
    </row>
    <row r="269">
      <c r="A269" t="n">
        <v>1354</v>
      </c>
      <c r="B269" t="inlineStr">
        <is>
          <t>MARTIN PORTALES,ALFREDO</t>
        </is>
      </c>
      <c r="E269" t="n">
        <v>2026</v>
      </c>
      <c r="F269" t="n">
        <v>1</v>
      </c>
      <c r="G269" t="inlineStr">
        <is>
          <t>INDUSTRIA</t>
        </is>
      </c>
      <c r="H269" t="inlineStr">
        <is>
          <t>SALUSTIANA</t>
        </is>
      </c>
      <c r="I269" t="n">
        <v>88</v>
      </c>
      <c r="J269" t="n">
        <v>24715</v>
      </c>
      <c r="K269" t="n">
        <v>853</v>
      </c>
      <c r="L269" t="n">
        <v>853</v>
      </c>
      <c r="M269" t="inlineStr">
        <is>
          <t>Sí</t>
        </is>
      </c>
      <c r="N269" t="inlineStr"/>
      <c r="O269" t="inlineStr">
        <is>
          <t>Informativa</t>
        </is>
      </c>
      <c r="P269" t="inlineStr">
        <is>
          <t>No interviene en el prorrateo</t>
        </is>
      </c>
    </row>
    <row r="270">
      <c r="A270" t="n">
        <v>1354</v>
      </c>
      <c r="B270" t="inlineStr">
        <is>
          <t>MARTIN PORTALES,ALFREDO</t>
        </is>
      </c>
      <c r="E270" t="n">
        <v>2026</v>
      </c>
      <c r="F270" t="n">
        <v>1</v>
      </c>
      <c r="G270" t="inlineStr">
        <is>
          <t>INDUSTRIA</t>
        </is>
      </c>
      <c r="H270" t="inlineStr">
        <is>
          <t>SALUSTIANA</t>
        </is>
      </c>
      <c r="I270" t="n">
        <v>88</v>
      </c>
      <c r="J270" t="n">
        <v>24755</v>
      </c>
      <c r="K270" t="n">
        <v>765</v>
      </c>
      <c r="L270" t="n">
        <v>765</v>
      </c>
      <c r="M270" t="inlineStr">
        <is>
          <t>Sí</t>
        </is>
      </c>
      <c r="N270" t="inlineStr"/>
      <c r="O270" t="inlineStr">
        <is>
          <t>Informativa</t>
        </is>
      </c>
      <c r="P270" t="inlineStr">
        <is>
          <t>No interviene en el prorrateo</t>
        </is>
      </c>
    </row>
    <row r="271">
      <c r="A271" t="n">
        <v>1354</v>
      </c>
      <c r="B271" t="inlineStr">
        <is>
          <t>MARTIN PORTALES,ALFREDO</t>
        </is>
      </c>
      <c r="E271" t="n">
        <v>2026</v>
      </c>
      <c r="F271" t="n">
        <v>1</v>
      </c>
      <c r="G271" t="inlineStr">
        <is>
          <t>INDUSTRIA</t>
        </is>
      </c>
      <c r="H271" t="inlineStr">
        <is>
          <t>SALUSTIANA</t>
        </is>
      </c>
      <c r="I271" t="n">
        <v>88</v>
      </c>
      <c r="J271" t="n">
        <v>11385</v>
      </c>
      <c r="K271" t="n">
        <v>190</v>
      </c>
      <c r="L271" t="n">
        <v>190</v>
      </c>
      <c r="M271" t="inlineStr">
        <is>
          <t>Sí</t>
        </is>
      </c>
      <c r="N271" t="inlineStr"/>
      <c r="O271" t="inlineStr">
        <is>
          <t>Informativa</t>
        </is>
      </c>
      <c r="P271" t="inlineStr">
        <is>
          <t>No interviene en el prorrateo</t>
        </is>
      </c>
    </row>
    <row r="272">
      <c r="A272" t="n">
        <v>1354</v>
      </c>
      <c r="B272" t="inlineStr">
        <is>
          <t>MARTIN PORTALES,ALFREDO</t>
        </is>
      </c>
      <c r="E272" t="n">
        <v>2026</v>
      </c>
      <c r="F272" t="n">
        <v>1</v>
      </c>
      <c r="G272" t="inlineStr">
        <is>
          <t>INDUSTRIA</t>
        </is>
      </c>
      <c r="H272" t="inlineStr">
        <is>
          <t>SALUSTIANA</t>
        </is>
      </c>
      <c r="I272" t="n">
        <v>88</v>
      </c>
      <c r="J272" t="n">
        <v>4140</v>
      </c>
      <c r="K272" t="n">
        <v>1253</v>
      </c>
      <c r="L272" t="n">
        <v>1253</v>
      </c>
      <c r="M272" t="inlineStr">
        <is>
          <t>Sí</t>
        </is>
      </c>
      <c r="N272" t="inlineStr"/>
      <c r="O272" t="inlineStr">
        <is>
          <t>Informativa</t>
        </is>
      </c>
      <c r="P272" t="inlineStr">
        <is>
          <t>No interviene en el prorrateo</t>
        </is>
      </c>
    </row>
    <row r="273">
      <c r="A273" t="n">
        <v>1355</v>
      </c>
      <c r="B273" t="inlineStr">
        <is>
          <t>CANO MANZANARES,JUAN ANTONIO</t>
        </is>
      </c>
      <c r="E273" t="n">
        <v>2026</v>
      </c>
      <c r="F273" t="n">
        <v>1</v>
      </c>
      <c r="G273" t="inlineStr">
        <is>
          <t>CITRICOS</t>
        </is>
      </c>
      <c r="H273" t="inlineStr">
        <is>
          <t>SALUSTIANA</t>
        </is>
      </c>
      <c r="I273" t="n">
        <v>555</v>
      </c>
      <c r="J273" t="n">
        <v>13720</v>
      </c>
      <c r="K273" t="n">
        <v>0</v>
      </c>
      <c r="L273" t="n">
        <v>13720</v>
      </c>
      <c r="M273" t="inlineStr">
        <is>
          <t>Sí</t>
        </is>
      </c>
      <c r="N273" t="inlineStr"/>
      <c r="O273" t="inlineStr">
        <is>
          <t>Informativa</t>
        </is>
      </c>
      <c r="P273" t="inlineStr">
        <is>
          <t>No interviene en el prorrateo</t>
        </is>
      </c>
    </row>
    <row r="274">
      <c r="A274" t="n">
        <v>1355</v>
      </c>
      <c r="B274" t="inlineStr">
        <is>
          <t>CANO MANZANARES,JUAN ANTONIO</t>
        </is>
      </c>
      <c r="E274" t="n">
        <v>2026</v>
      </c>
      <c r="F274" t="n">
        <v>1</v>
      </c>
      <c r="G274" t="inlineStr">
        <is>
          <t>CITRICOS</t>
        </is>
      </c>
      <c r="H274" t="inlineStr">
        <is>
          <t>SALUSTIANA</t>
        </is>
      </c>
      <c r="I274" t="n">
        <v>555</v>
      </c>
      <c r="J274" t="n">
        <v>13860</v>
      </c>
      <c r="K274" t="n">
        <v>0</v>
      </c>
      <c r="L274" t="n">
        <v>13860</v>
      </c>
      <c r="M274" t="inlineStr">
        <is>
          <t>Sí</t>
        </is>
      </c>
      <c r="N274" t="inlineStr"/>
      <c r="O274" t="inlineStr">
        <is>
          <t>Informativa</t>
        </is>
      </c>
      <c r="P274" t="inlineStr">
        <is>
          <t>No interviene en el prorrateo</t>
        </is>
      </c>
    </row>
    <row r="275">
      <c r="A275" t="n">
        <v>1355</v>
      </c>
      <c r="B275" t="inlineStr">
        <is>
          <t>CANO MANZANARES,JUAN ANTONIO</t>
        </is>
      </c>
      <c r="E275" t="n">
        <v>2026</v>
      </c>
      <c r="F275" t="n">
        <v>1</v>
      </c>
      <c r="G275" t="inlineStr">
        <is>
          <t>CITRICOS</t>
        </is>
      </c>
      <c r="H275" t="inlineStr">
        <is>
          <t>SALUSTIANA</t>
        </is>
      </c>
      <c r="I275" t="n">
        <v>555</v>
      </c>
      <c r="J275" t="n">
        <v>13664</v>
      </c>
      <c r="K275" t="n">
        <v>0</v>
      </c>
      <c r="L275" t="n">
        <v>13664</v>
      </c>
      <c r="M275" t="inlineStr">
        <is>
          <t>Sí</t>
        </is>
      </c>
      <c r="N275" t="inlineStr"/>
      <c r="O275" t="inlineStr">
        <is>
          <t>Informativa</t>
        </is>
      </c>
      <c r="P275" t="inlineStr">
        <is>
          <t>No interviene en el prorrateo</t>
        </is>
      </c>
    </row>
    <row r="276">
      <c r="A276" t="n">
        <v>1355</v>
      </c>
      <c r="B276" t="inlineStr">
        <is>
          <t>CANO MANZANARES,JUAN ANTONIO</t>
        </is>
      </c>
      <c r="E276" t="n">
        <v>2026</v>
      </c>
      <c r="F276" t="n">
        <v>1</v>
      </c>
      <c r="G276" t="inlineStr">
        <is>
          <t>CITRICOS</t>
        </is>
      </c>
      <c r="H276" t="inlineStr">
        <is>
          <t>SALUSTIANA</t>
        </is>
      </c>
      <c r="I276" t="n">
        <v>555</v>
      </c>
      <c r="J276" t="n">
        <v>9074</v>
      </c>
      <c r="K276" t="n">
        <v>8650</v>
      </c>
      <c r="L276" t="n">
        <v>8650</v>
      </c>
      <c r="M276" t="inlineStr">
        <is>
          <t>Sí</t>
        </is>
      </c>
      <c r="N276" t="inlineStr"/>
      <c r="O276" t="inlineStr">
        <is>
          <t>Informativa</t>
        </is>
      </c>
      <c r="P276" t="inlineStr">
        <is>
          <t>No interviene en el prorrateo</t>
        </is>
      </c>
    </row>
    <row r="277">
      <c r="A277" t="n">
        <v>1355</v>
      </c>
      <c r="B277" t="inlineStr">
        <is>
          <t>CANO MANZANARES,JUAN ANTONIO</t>
        </is>
      </c>
      <c r="E277" t="n">
        <v>2026</v>
      </c>
      <c r="F277" t="n">
        <v>1</v>
      </c>
      <c r="G277" t="inlineStr">
        <is>
          <t>CITRICOS</t>
        </is>
      </c>
      <c r="H277" t="inlineStr">
        <is>
          <t>SALUSTIANA</t>
        </is>
      </c>
      <c r="I277" t="n">
        <v>555</v>
      </c>
      <c r="J277" t="n">
        <v>14176</v>
      </c>
      <c r="K277" t="n">
        <v>13061</v>
      </c>
      <c r="L277" t="n">
        <v>13061</v>
      </c>
      <c r="M277" t="inlineStr">
        <is>
          <t>Sí</t>
        </is>
      </c>
      <c r="N277" t="inlineStr"/>
      <c r="O277" t="inlineStr">
        <is>
          <t>Informativa</t>
        </is>
      </c>
      <c r="P277" t="inlineStr">
        <is>
          <t>No interviene en el prorrateo</t>
        </is>
      </c>
    </row>
    <row r="278">
      <c r="A278" t="n">
        <v>1355</v>
      </c>
      <c r="B278" t="inlineStr">
        <is>
          <t>CANO MANZANARES,JUAN ANTONIO</t>
        </is>
      </c>
      <c r="E278" t="n">
        <v>2026</v>
      </c>
      <c r="F278" t="n">
        <v>1</v>
      </c>
      <c r="G278" t="inlineStr">
        <is>
          <t>CITRICOS</t>
        </is>
      </c>
      <c r="H278" t="inlineStr">
        <is>
          <t>SALUSTIANA</t>
        </is>
      </c>
      <c r="I278" t="n">
        <v>555</v>
      </c>
      <c r="J278" t="n">
        <v>1010</v>
      </c>
      <c r="K278" t="n">
        <v>0</v>
      </c>
      <c r="L278" t="n">
        <v>1010</v>
      </c>
      <c r="M278" t="inlineStr">
        <is>
          <t>Sí</t>
        </is>
      </c>
      <c r="N278" t="inlineStr"/>
      <c r="O278" t="inlineStr">
        <is>
          <t>Informativa</t>
        </is>
      </c>
      <c r="P278" t="inlineStr">
        <is>
          <t>No interviene en el prorrateo</t>
        </is>
      </c>
    </row>
    <row r="279">
      <c r="A279" t="n">
        <v>1355</v>
      </c>
      <c r="B279" t="inlineStr">
        <is>
          <t>CANO MANZANARES,JUAN ANTONIO</t>
        </is>
      </c>
      <c r="E279" t="n">
        <v>2026</v>
      </c>
      <c r="F279" t="n">
        <v>1</v>
      </c>
      <c r="G279" t="inlineStr">
        <is>
          <t>CITRICOS</t>
        </is>
      </c>
      <c r="H279" t="inlineStr">
        <is>
          <t>SALUSTIANA</t>
        </is>
      </c>
      <c r="I279" t="n">
        <v>555</v>
      </c>
      <c r="J279" t="n">
        <v>12157</v>
      </c>
      <c r="K279" t="n">
        <v>11227</v>
      </c>
      <c r="L279" t="n">
        <v>11227</v>
      </c>
      <c r="M279" t="inlineStr">
        <is>
          <t>Sí</t>
        </is>
      </c>
      <c r="N279" t="inlineStr"/>
      <c r="O279" t="inlineStr">
        <is>
          <t>Informativa</t>
        </is>
      </c>
      <c r="P279" t="inlineStr">
        <is>
          <t>No interviene en el prorrateo</t>
        </is>
      </c>
    </row>
    <row r="280">
      <c r="A280" t="n">
        <v>1355</v>
      </c>
      <c r="B280" t="inlineStr">
        <is>
          <t>CANO MANZANARES,JUAN ANTONIO</t>
        </is>
      </c>
      <c r="E280" t="n">
        <v>2026</v>
      </c>
      <c r="F280" t="n">
        <v>1</v>
      </c>
      <c r="G280" t="inlineStr">
        <is>
          <t>CITRICOS</t>
        </is>
      </c>
      <c r="H280" t="inlineStr">
        <is>
          <t>SALUSTIANA</t>
        </is>
      </c>
      <c r="I280" t="n">
        <v>555</v>
      </c>
      <c r="J280" t="n">
        <v>14604</v>
      </c>
      <c r="K280" t="n">
        <v>10234</v>
      </c>
      <c r="L280" t="n">
        <v>10234</v>
      </c>
      <c r="M280" t="inlineStr">
        <is>
          <t>Sí</t>
        </is>
      </c>
      <c r="N280" t="inlineStr"/>
      <c r="O280" t="inlineStr">
        <is>
          <t>Informativa</t>
        </is>
      </c>
      <c r="P280" t="inlineStr">
        <is>
          <t>No interviene en el prorrateo</t>
        </is>
      </c>
    </row>
    <row r="281">
      <c r="A281" t="n">
        <v>1355</v>
      </c>
      <c r="B281" t="inlineStr">
        <is>
          <t>CANO MANZANARES,JUAN ANTONIO</t>
        </is>
      </c>
      <c r="E281" t="n">
        <v>2026</v>
      </c>
      <c r="F281" t="n">
        <v>1</v>
      </c>
      <c r="G281" t="inlineStr">
        <is>
          <t>CITRICOS</t>
        </is>
      </c>
      <c r="H281" t="inlineStr">
        <is>
          <t>SALUSTIANA</t>
        </is>
      </c>
      <c r="I281" t="n">
        <v>555</v>
      </c>
      <c r="J281" t="n">
        <v>3950</v>
      </c>
      <c r="K281" t="n">
        <v>0</v>
      </c>
      <c r="L281" t="n">
        <v>3950</v>
      </c>
      <c r="M281" t="inlineStr">
        <is>
          <t>Sí</t>
        </is>
      </c>
      <c r="N281" t="inlineStr"/>
      <c r="O281" t="inlineStr">
        <is>
          <t>Informativa</t>
        </is>
      </c>
      <c r="P281" t="inlineStr">
        <is>
          <t>No interviene en el prorrateo</t>
        </is>
      </c>
    </row>
    <row r="282">
      <c r="A282" t="n">
        <v>1355</v>
      </c>
      <c r="B282" t="inlineStr">
        <is>
          <t>CANO MANZANARES,JUAN ANTONIO</t>
        </is>
      </c>
      <c r="E282" t="n">
        <v>2026</v>
      </c>
      <c r="F282" t="n">
        <v>1</v>
      </c>
      <c r="G282" t="inlineStr">
        <is>
          <t>CITRICOS</t>
        </is>
      </c>
      <c r="H282" t="inlineStr">
        <is>
          <t>SALUSTIANA</t>
        </is>
      </c>
      <c r="I282" t="n">
        <v>555</v>
      </c>
      <c r="J282" t="n">
        <v>13501</v>
      </c>
      <c r="K282" t="n">
        <v>12949</v>
      </c>
      <c r="L282" t="n">
        <v>12949</v>
      </c>
      <c r="M282" t="inlineStr">
        <is>
          <t>Sí</t>
        </is>
      </c>
      <c r="N282" t="inlineStr"/>
      <c r="O282" t="inlineStr">
        <is>
          <t>Informativa</t>
        </is>
      </c>
      <c r="P282" t="inlineStr">
        <is>
          <t>No interviene en el prorrateo</t>
        </is>
      </c>
    </row>
    <row r="283">
      <c r="A283" t="n">
        <v>1355</v>
      </c>
      <c r="B283" t="inlineStr">
        <is>
          <t>CANO MANZANARES,JUAN ANTONIO</t>
        </is>
      </c>
      <c r="E283" t="n">
        <v>2026</v>
      </c>
      <c r="F283" t="n">
        <v>1</v>
      </c>
      <c r="G283" t="inlineStr">
        <is>
          <t>CITRICOS</t>
        </is>
      </c>
      <c r="H283" t="inlineStr">
        <is>
          <t>SALUSTIANA</t>
        </is>
      </c>
      <c r="I283" t="n">
        <v>555</v>
      </c>
      <c r="J283" t="n">
        <v>12900</v>
      </c>
      <c r="K283" t="n">
        <v>0</v>
      </c>
      <c r="L283" t="n">
        <v>12900</v>
      </c>
      <c r="M283" t="inlineStr">
        <is>
          <t>Sí</t>
        </is>
      </c>
      <c r="N283" t="inlineStr"/>
      <c r="O283" t="inlineStr">
        <is>
          <t>Informativa</t>
        </is>
      </c>
      <c r="P283" t="inlineStr">
        <is>
          <t>No interviene en el prorrateo</t>
        </is>
      </c>
    </row>
    <row r="284">
      <c r="A284" t="n">
        <v>1355</v>
      </c>
      <c r="B284" t="inlineStr">
        <is>
          <t>CANO MANZANARES,JUAN ANTONIO</t>
        </is>
      </c>
      <c r="E284" t="n">
        <v>2026</v>
      </c>
      <c r="F284" t="n">
        <v>1</v>
      </c>
      <c r="G284" t="inlineStr">
        <is>
          <t>CITRICOS</t>
        </is>
      </c>
      <c r="H284" t="inlineStr">
        <is>
          <t>SALUSTIANA</t>
        </is>
      </c>
      <c r="I284" t="n">
        <v>555</v>
      </c>
      <c r="J284" t="n">
        <v>13856</v>
      </c>
      <c r="K284" t="n">
        <v>13051</v>
      </c>
      <c r="L284" t="n">
        <v>13051</v>
      </c>
      <c r="M284" t="inlineStr">
        <is>
          <t>Sí</t>
        </is>
      </c>
      <c r="N284" t="inlineStr"/>
      <c r="O284" t="inlineStr">
        <is>
          <t>Informativa</t>
        </is>
      </c>
      <c r="P284" t="inlineStr">
        <is>
          <t>No interviene en el prorrateo</t>
        </is>
      </c>
    </row>
    <row r="285">
      <c r="A285" t="n">
        <v>1355</v>
      </c>
      <c r="B285" t="inlineStr">
        <is>
          <t>CANO MANZANARES,JUAN ANTONIO</t>
        </is>
      </c>
      <c r="E285" t="n">
        <v>2026</v>
      </c>
      <c r="F285" t="n">
        <v>1</v>
      </c>
      <c r="G285" t="inlineStr">
        <is>
          <t>CITRICOS</t>
        </is>
      </c>
      <c r="H285" t="inlineStr">
        <is>
          <t>SALUSTIANA</t>
        </is>
      </c>
      <c r="I285" t="n">
        <v>555</v>
      </c>
      <c r="J285" t="n">
        <v>13900</v>
      </c>
      <c r="K285" t="n">
        <v>0</v>
      </c>
      <c r="L285" t="n">
        <v>13900</v>
      </c>
      <c r="M285" t="inlineStr">
        <is>
          <t>Sí</t>
        </is>
      </c>
      <c r="N285" t="inlineStr"/>
      <c r="O285" t="inlineStr">
        <is>
          <t>Informativa</t>
        </is>
      </c>
      <c r="P285" t="inlineStr">
        <is>
          <t>No interviene en el prorrateo</t>
        </is>
      </c>
    </row>
    <row r="286">
      <c r="A286" t="n">
        <v>1355</v>
      </c>
      <c r="B286" t="inlineStr">
        <is>
          <t>CANO MANZANARES,JUAN ANTONIO</t>
        </is>
      </c>
      <c r="E286" t="n">
        <v>2026</v>
      </c>
      <c r="F286" t="n">
        <v>1</v>
      </c>
      <c r="G286" t="inlineStr">
        <is>
          <t>CITRICOS</t>
        </is>
      </c>
      <c r="H286" t="inlineStr">
        <is>
          <t>SALUSTIANA</t>
        </is>
      </c>
      <c r="I286" t="n">
        <v>555</v>
      </c>
      <c r="J286" t="n">
        <v>14521</v>
      </c>
      <c r="K286" t="n">
        <v>8905</v>
      </c>
      <c r="L286" t="n">
        <v>8905</v>
      </c>
      <c r="M286" t="inlineStr">
        <is>
          <t>Sí</t>
        </is>
      </c>
      <c r="N286" t="inlineStr"/>
      <c r="O286" t="inlineStr">
        <is>
          <t>Informativa</t>
        </is>
      </c>
      <c r="P286" t="inlineStr">
        <is>
          <t>No interviene en el prorrateo</t>
        </is>
      </c>
    </row>
    <row r="287">
      <c r="A287" t="n">
        <v>1355</v>
      </c>
      <c r="B287" t="inlineStr">
        <is>
          <t>CANO MANZANARES,JUAN ANTONIO</t>
        </is>
      </c>
      <c r="E287" t="n">
        <v>2026</v>
      </c>
      <c r="F287" t="n">
        <v>1</v>
      </c>
      <c r="G287" t="inlineStr">
        <is>
          <t>CITRICOS</t>
        </is>
      </c>
      <c r="H287" t="inlineStr">
        <is>
          <t>SALUSTIANA</t>
        </is>
      </c>
      <c r="I287" t="n">
        <v>555</v>
      </c>
      <c r="J287" t="n">
        <v>15498</v>
      </c>
      <c r="K287" t="n">
        <v>2194</v>
      </c>
      <c r="L287" t="n">
        <v>2194</v>
      </c>
      <c r="M287" t="inlineStr">
        <is>
          <t>Sí</t>
        </is>
      </c>
      <c r="N287" t="inlineStr"/>
      <c r="O287" t="inlineStr">
        <is>
          <t>Informativa</t>
        </is>
      </c>
      <c r="P287" t="inlineStr">
        <is>
          <t>No interviene en el prorrateo</t>
        </is>
      </c>
    </row>
    <row r="288">
      <c r="A288" t="n">
        <v>1355</v>
      </c>
      <c r="B288" t="inlineStr">
        <is>
          <t>CANO MANZANARES,JUAN ANTONIO</t>
        </is>
      </c>
      <c r="E288" t="n">
        <v>2026</v>
      </c>
      <c r="F288" t="n">
        <v>1</v>
      </c>
      <c r="G288" t="inlineStr">
        <is>
          <t>CITRICOS</t>
        </is>
      </c>
      <c r="H288" t="inlineStr">
        <is>
          <t>SALUSTIANA</t>
        </is>
      </c>
      <c r="I288" t="n">
        <v>555</v>
      </c>
      <c r="J288" t="n">
        <v>14446</v>
      </c>
      <c r="K288" t="n">
        <v>10972</v>
      </c>
      <c r="L288" t="n">
        <v>10972</v>
      </c>
      <c r="M288" t="inlineStr">
        <is>
          <t>Sí</t>
        </is>
      </c>
      <c r="N288" t="inlineStr"/>
      <c r="O288" t="inlineStr">
        <is>
          <t>Informativa</t>
        </is>
      </c>
      <c r="P288" t="inlineStr">
        <is>
          <t>No interviene en el prorrateo</t>
        </is>
      </c>
    </row>
    <row r="289">
      <c r="A289" t="n">
        <v>1355</v>
      </c>
      <c r="B289" t="inlineStr">
        <is>
          <t>CANO MANZANARES,JUAN ANTONIO</t>
        </is>
      </c>
      <c r="E289" t="n">
        <v>2026</v>
      </c>
      <c r="F289" t="n">
        <v>1</v>
      </c>
      <c r="G289" t="inlineStr">
        <is>
          <t>CITRICOS</t>
        </is>
      </c>
      <c r="H289" t="inlineStr">
        <is>
          <t>SALUSTIANA</t>
        </is>
      </c>
      <c r="I289" t="n">
        <v>555</v>
      </c>
      <c r="J289" t="n">
        <v>15007</v>
      </c>
      <c r="K289" t="n">
        <v>4995</v>
      </c>
      <c r="L289" t="n">
        <v>4995</v>
      </c>
      <c r="M289" t="inlineStr">
        <is>
          <t>Sí</t>
        </is>
      </c>
      <c r="N289" t="inlineStr"/>
      <c r="O289" t="inlineStr">
        <is>
          <t>Informativa</t>
        </is>
      </c>
      <c r="P289" t="inlineStr">
        <is>
          <t>No interviene en el prorrateo</t>
        </is>
      </c>
    </row>
    <row r="290">
      <c r="A290" t="n">
        <v>1355</v>
      </c>
      <c r="B290" t="inlineStr">
        <is>
          <t>CANO MANZANARES,JUAN ANTONIO</t>
        </is>
      </c>
      <c r="E290" t="n">
        <v>2026</v>
      </c>
      <c r="F290" t="n">
        <v>1</v>
      </c>
      <c r="G290" t="inlineStr">
        <is>
          <t>CITRICOS</t>
        </is>
      </c>
      <c r="H290" t="inlineStr">
        <is>
          <t>SALUSTIANA</t>
        </is>
      </c>
      <c r="I290" t="n">
        <v>555</v>
      </c>
      <c r="J290" t="n">
        <v>13792</v>
      </c>
      <c r="K290" t="n">
        <v>13601</v>
      </c>
      <c r="L290" t="n">
        <v>13601</v>
      </c>
      <c r="M290" t="inlineStr">
        <is>
          <t>Sí</t>
        </is>
      </c>
      <c r="N290" t="inlineStr"/>
      <c r="O290" t="inlineStr">
        <is>
          <t>Informativa</t>
        </is>
      </c>
      <c r="P290" t="inlineStr">
        <is>
          <t>No interviene en el prorrateo</t>
        </is>
      </c>
    </row>
    <row r="291">
      <c r="A291" t="n">
        <v>1355</v>
      </c>
      <c r="B291" t="inlineStr">
        <is>
          <t>CANO MANZANARES,JUAN ANTONIO</t>
        </is>
      </c>
      <c r="E291" t="n">
        <v>2026</v>
      </c>
      <c r="F291" t="n">
        <v>1</v>
      </c>
      <c r="G291" t="inlineStr">
        <is>
          <t>CITRICOS</t>
        </is>
      </c>
      <c r="H291" t="inlineStr">
        <is>
          <t>SALUSTIANA</t>
        </is>
      </c>
      <c r="I291" t="n">
        <v>555</v>
      </c>
      <c r="J291" t="n">
        <v>13208</v>
      </c>
      <c r="K291" t="n">
        <v>0</v>
      </c>
      <c r="L291" t="n">
        <v>13208</v>
      </c>
      <c r="M291" t="inlineStr">
        <is>
          <t>Sí</t>
        </is>
      </c>
      <c r="N291" t="inlineStr"/>
      <c r="O291" t="inlineStr">
        <is>
          <t>Informativa</t>
        </is>
      </c>
      <c r="P291" t="inlineStr">
        <is>
          <t>No interviene en el prorrateo</t>
        </is>
      </c>
    </row>
    <row r="292">
      <c r="A292" t="n">
        <v>1355</v>
      </c>
      <c r="B292" t="inlineStr">
        <is>
          <t>CANO MANZANARES,JUAN ANTONIO</t>
        </is>
      </c>
      <c r="E292" t="n">
        <v>2026</v>
      </c>
      <c r="F292" t="n">
        <v>1</v>
      </c>
      <c r="G292" t="inlineStr">
        <is>
          <t>CITRICOS</t>
        </is>
      </c>
      <c r="H292" t="inlineStr">
        <is>
          <t>SALUSTIANA</t>
        </is>
      </c>
      <c r="I292" t="n">
        <v>555</v>
      </c>
      <c r="J292" t="n">
        <v>2596</v>
      </c>
      <c r="K292" t="n">
        <v>0</v>
      </c>
      <c r="L292" t="n">
        <v>2596</v>
      </c>
      <c r="M292" t="inlineStr">
        <is>
          <t>Sí</t>
        </is>
      </c>
      <c r="N292" t="inlineStr"/>
      <c r="O292" t="inlineStr">
        <is>
          <t>Informativa</t>
        </is>
      </c>
      <c r="P292" t="inlineStr">
        <is>
          <t>No interviene en el prorrateo</t>
        </is>
      </c>
    </row>
    <row r="293">
      <c r="A293" t="n">
        <v>1355</v>
      </c>
      <c r="B293" t="inlineStr">
        <is>
          <t>CANO MANZANARES,JUAN ANTONIO</t>
        </is>
      </c>
      <c r="E293" t="n">
        <v>2026</v>
      </c>
      <c r="F293" t="n">
        <v>1</v>
      </c>
      <c r="G293" t="inlineStr">
        <is>
          <t>CITRICOS</t>
        </is>
      </c>
      <c r="H293" t="inlineStr">
        <is>
          <t>SALUSTIANA</t>
        </is>
      </c>
      <c r="I293" t="n">
        <v>555</v>
      </c>
      <c r="J293" t="n">
        <v>14208</v>
      </c>
      <c r="K293" t="n">
        <v>7495</v>
      </c>
      <c r="L293" t="n">
        <v>7495</v>
      </c>
      <c r="M293" t="inlineStr">
        <is>
          <t>Sí</t>
        </is>
      </c>
      <c r="N293" t="inlineStr"/>
      <c r="O293" t="inlineStr">
        <is>
          <t>Informativa</t>
        </is>
      </c>
      <c r="P293" t="inlineStr">
        <is>
          <t>No interviene en el prorrateo</t>
        </is>
      </c>
    </row>
    <row r="294">
      <c r="A294" t="n">
        <v>1355</v>
      </c>
      <c r="B294" t="inlineStr">
        <is>
          <t>CANO MANZANARES,JUAN ANTONIO</t>
        </is>
      </c>
      <c r="E294" t="n">
        <v>2026</v>
      </c>
      <c r="F294" t="n">
        <v>1</v>
      </c>
      <c r="G294" t="inlineStr">
        <is>
          <t>CITRICOS</t>
        </is>
      </c>
      <c r="H294" t="inlineStr">
        <is>
          <t>SALUSTIANA</t>
        </is>
      </c>
      <c r="I294" t="n">
        <v>555</v>
      </c>
      <c r="J294" t="n">
        <v>14424</v>
      </c>
      <c r="K294" t="n">
        <v>5829</v>
      </c>
      <c r="L294" t="n">
        <v>5829</v>
      </c>
      <c r="M294" t="inlineStr">
        <is>
          <t>Sí</t>
        </is>
      </c>
      <c r="N294" t="inlineStr"/>
      <c r="O294" t="inlineStr">
        <is>
          <t>Informativa</t>
        </is>
      </c>
      <c r="P294" t="inlineStr">
        <is>
          <t>No interviene en el prorrateo</t>
        </is>
      </c>
    </row>
    <row r="295">
      <c r="A295" t="n">
        <v>1355</v>
      </c>
      <c r="B295" t="inlineStr">
        <is>
          <t>CANO MANZANARES,JUAN ANTONIO</t>
        </is>
      </c>
      <c r="E295" t="n">
        <v>2026</v>
      </c>
      <c r="F295" t="n">
        <v>1</v>
      </c>
      <c r="G295" t="inlineStr">
        <is>
          <t>CITRICOS</t>
        </is>
      </c>
      <c r="H295" t="inlineStr">
        <is>
          <t>SALUSTIANA</t>
        </is>
      </c>
      <c r="I295" t="n">
        <v>555</v>
      </c>
      <c r="J295" t="n">
        <v>887</v>
      </c>
      <c r="K295" t="n">
        <v>0</v>
      </c>
      <c r="L295" t="n">
        <v>887</v>
      </c>
      <c r="M295" t="inlineStr">
        <is>
          <t>Sí</t>
        </is>
      </c>
      <c r="N295" t="inlineStr"/>
      <c r="O295" t="inlineStr">
        <is>
          <t>Informativa</t>
        </is>
      </c>
      <c r="P295" t="inlineStr">
        <is>
          <t>No interviene en el prorrateo</t>
        </is>
      </c>
    </row>
    <row r="296">
      <c r="A296" t="n">
        <v>1355</v>
      </c>
      <c r="B296" t="inlineStr">
        <is>
          <t>CANO MANZANARES,JUAN ANTONIO</t>
        </is>
      </c>
      <c r="E296" t="n">
        <v>2026</v>
      </c>
      <c r="F296" t="n">
        <v>1</v>
      </c>
      <c r="G296" t="inlineStr">
        <is>
          <t>INDUSTRIA</t>
        </is>
      </c>
      <c r="H296" t="inlineStr">
        <is>
          <t>SALUSTIANA</t>
        </is>
      </c>
      <c r="I296" t="n">
        <v>555</v>
      </c>
      <c r="J296" t="n">
        <v>8962</v>
      </c>
      <c r="K296" t="n">
        <v>370</v>
      </c>
      <c r="L296" t="n">
        <v>370</v>
      </c>
      <c r="M296" t="inlineStr">
        <is>
          <t>Sí</t>
        </is>
      </c>
      <c r="N296" t="inlineStr"/>
      <c r="O296" t="inlineStr">
        <is>
          <t>Informativa</t>
        </is>
      </c>
      <c r="P296" t="inlineStr">
        <is>
          <t>No interviene en el prorrateo</t>
        </is>
      </c>
    </row>
    <row r="297">
      <c r="A297" t="n">
        <v>1355</v>
      </c>
      <c r="B297" t="inlineStr">
        <is>
          <t>CANO MANZANARES,JUAN ANTONIO</t>
        </is>
      </c>
      <c r="E297" t="n">
        <v>2026</v>
      </c>
      <c r="F297" t="n">
        <v>1</v>
      </c>
      <c r="G297" t="inlineStr">
        <is>
          <t>INDUSTRIA</t>
        </is>
      </c>
      <c r="H297" t="inlineStr">
        <is>
          <t>SALUSTIANA</t>
        </is>
      </c>
      <c r="I297" t="n">
        <v>555</v>
      </c>
      <c r="J297" t="n">
        <v>814</v>
      </c>
      <c r="K297" t="n">
        <v>0</v>
      </c>
      <c r="L297" t="n">
        <v>814</v>
      </c>
      <c r="M297" t="inlineStr">
        <is>
          <t>Sí</t>
        </is>
      </c>
      <c r="N297" t="inlineStr"/>
      <c r="O297" t="inlineStr">
        <is>
          <t>Informativa</t>
        </is>
      </c>
      <c r="P297" t="inlineStr">
        <is>
          <t>No interviene en el prorrateo</t>
        </is>
      </c>
    </row>
    <row r="298">
      <c r="A298" t="n">
        <v>1355</v>
      </c>
      <c r="B298" t="inlineStr">
        <is>
          <t>CANO MANZANARES,JUAN ANTONIO</t>
        </is>
      </c>
      <c r="E298" t="n">
        <v>2026</v>
      </c>
      <c r="F298" t="n">
        <v>1</v>
      </c>
      <c r="G298" t="inlineStr">
        <is>
          <t>INDUSTRIA</t>
        </is>
      </c>
      <c r="H298" t="inlineStr">
        <is>
          <t>SALUSTIANA</t>
        </is>
      </c>
      <c r="I298" t="n">
        <v>555</v>
      </c>
      <c r="J298" t="n">
        <v>13339</v>
      </c>
      <c r="K298" t="n">
        <v>471</v>
      </c>
      <c r="L298" t="n">
        <v>471</v>
      </c>
      <c r="M298" t="inlineStr">
        <is>
          <t>Sí</t>
        </is>
      </c>
      <c r="N298" t="inlineStr"/>
      <c r="O298" t="inlineStr">
        <is>
          <t>Informativa</t>
        </is>
      </c>
      <c r="P298" t="inlineStr">
        <is>
          <t>No interviene en el prorrateo</t>
        </is>
      </c>
    </row>
    <row r="299">
      <c r="A299" t="n">
        <v>1355</v>
      </c>
      <c r="B299" t="inlineStr">
        <is>
          <t>CANO MANZANARES,JUAN ANTONIO</t>
        </is>
      </c>
      <c r="E299" t="n">
        <v>2026</v>
      </c>
      <c r="F299" t="n">
        <v>1</v>
      </c>
      <c r="G299" t="inlineStr">
        <is>
          <t>INDUSTRIA</t>
        </is>
      </c>
      <c r="H299" t="inlineStr">
        <is>
          <t>SALUSTIANA</t>
        </is>
      </c>
      <c r="I299" t="n">
        <v>555</v>
      </c>
      <c r="J299" t="n">
        <v>13624</v>
      </c>
      <c r="K299" t="n">
        <v>689</v>
      </c>
      <c r="L299" t="n">
        <v>689</v>
      </c>
      <c r="M299" t="inlineStr">
        <is>
          <t>Sí</t>
        </is>
      </c>
      <c r="N299" t="inlineStr"/>
      <c r="O299" t="inlineStr">
        <is>
          <t>Informativa</t>
        </is>
      </c>
      <c r="P299" t="inlineStr">
        <is>
          <t>No interviene en el prorrateo</t>
        </is>
      </c>
    </row>
    <row r="300">
      <c r="A300" t="n">
        <v>1355</v>
      </c>
      <c r="B300" t="inlineStr">
        <is>
          <t>CANO MANZANARES,JUAN ANTONIO</t>
        </is>
      </c>
      <c r="E300" t="n">
        <v>2026</v>
      </c>
      <c r="F300" t="n">
        <v>1</v>
      </c>
      <c r="G300" t="inlineStr">
        <is>
          <t>INDUSTRIA</t>
        </is>
      </c>
      <c r="H300" t="inlineStr">
        <is>
          <t>SALUSTIANA</t>
        </is>
      </c>
      <c r="I300" t="n">
        <v>555</v>
      </c>
      <c r="J300" t="n">
        <v>13924</v>
      </c>
      <c r="K300" t="n">
        <v>874</v>
      </c>
      <c r="L300" t="n">
        <v>874</v>
      </c>
      <c r="M300" t="inlineStr">
        <is>
          <t>Sí</t>
        </is>
      </c>
      <c r="N300" t="inlineStr"/>
      <c r="O300" t="inlineStr">
        <is>
          <t>Informativa</t>
        </is>
      </c>
      <c r="P300" t="inlineStr">
        <is>
          <t>No interviene en el prorrateo</t>
        </is>
      </c>
    </row>
    <row r="301">
      <c r="A301" t="n">
        <v>1355</v>
      </c>
      <c r="B301" t="inlineStr">
        <is>
          <t>CANO MANZANARES,JUAN ANTONIO</t>
        </is>
      </c>
      <c r="E301" t="n">
        <v>2026</v>
      </c>
      <c r="F301" t="n">
        <v>1</v>
      </c>
      <c r="G301" t="inlineStr">
        <is>
          <t>MANDARINA</t>
        </is>
      </c>
      <c r="H301" t="inlineStr">
        <is>
          <t>TANGO</t>
        </is>
      </c>
      <c r="I301" t="n">
        <v>606</v>
      </c>
      <c r="J301" t="n">
        <v>20360</v>
      </c>
      <c r="K301" t="n">
        <v>0</v>
      </c>
      <c r="L301" t="n">
        <v>20360</v>
      </c>
      <c r="M301" t="inlineStr">
        <is>
          <t>Sí</t>
        </is>
      </c>
      <c r="N301" t="inlineStr"/>
      <c r="O301" t="inlineStr">
        <is>
          <t>Informativa</t>
        </is>
      </c>
      <c r="P301" t="inlineStr">
        <is>
          <t>No interviene en el prorrateo</t>
        </is>
      </c>
    </row>
    <row r="302">
      <c r="A302" t="n">
        <v>1355</v>
      </c>
      <c r="B302" t="inlineStr">
        <is>
          <t>CANO MANZANARES,JUAN ANTONIO</t>
        </is>
      </c>
      <c r="E302" t="n">
        <v>2026</v>
      </c>
      <c r="F302" t="n">
        <v>1</v>
      </c>
      <c r="G302" t="inlineStr">
        <is>
          <t>MANDARINA</t>
        </is>
      </c>
      <c r="H302" t="inlineStr">
        <is>
          <t>TANGO</t>
        </is>
      </c>
      <c r="I302" t="n">
        <v>606</v>
      </c>
      <c r="J302" t="n">
        <v>20470</v>
      </c>
      <c r="K302" t="n">
        <v>0</v>
      </c>
      <c r="L302" t="n">
        <v>20470</v>
      </c>
      <c r="M302" t="inlineStr">
        <is>
          <t>Sí</t>
        </is>
      </c>
      <c r="N302" t="inlineStr"/>
      <c r="O302" t="inlineStr">
        <is>
          <t>Informativa</t>
        </is>
      </c>
      <c r="P302" t="inlineStr">
        <is>
          <t>No interviene en el prorrateo</t>
        </is>
      </c>
    </row>
    <row r="303">
      <c r="A303" t="n">
        <v>1355</v>
      </c>
      <c r="B303" t="inlineStr">
        <is>
          <t>CANO MANZANARES,JUAN ANTONIO</t>
        </is>
      </c>
      <c r="E303" t="n">
        <v>2026</v>
      </c>
      <c r="F303" t="n">
        <v>1</v>
      </c>
      <c r="G303" t="inlineStr">
        <is>
          <t>MANDARINA</t>
        </is>
      </c>
      <c r="H303" t="inlineStr">
        <is>
          <t>TANGO</t>
        </is>
      </c>
      <c r="I303" t="n">
        <v>606</v>
      </c>
      <c r="J303" t="n">
        <v>21692</v>
      </c>
      <c r="K303" t="n">
        <v>0</v>
      </c>
      <c r="L303" t="n">
        <v>21692</v>
      </c>
      <c r="M303" t="inlineStr">
        <is>
          <t>Sí</t>
        </is>
      </c>
      <c r="N303" t="inlineStr"/>
      <c r="O303" t="inlineStr">
        <is>
          <t>Informativa</t>
        </is>
      </c>
      <c r="P303" t="inlineStr">
        <is>
          <t>No interviene en el prorrateo</t>
        </is>
      </c>
    </row>
    <row r="304">
      <c r="A304" t="n">
        <v>1355</v>
      </c>
      <c r="B304" t="inlineStr">
        <is>
          <t>CANO MANZANARES,JUAN ANTONIO</t>
        </is>
      </c>
      <c r="E304" t="n">
        <v>2026</v>
      </c>
      <c r="F304" t="n">
        <v>1</v>
      </c>
      <c r="G304" t="inlineStr">
        <is>
          <t>MANDARINA</t>
        </is>
      </c>
      <c r="H304" t="inlineStr">
        <is>
          <t>TANGO</t>
        </is>
      </c>
      <c r="I304" t="n">
        <v>606</v>
      </c>
      <c r="J304" t="n">
        <v>20836</v>
      </c>
      <c r="K304" t="n">
        <v>0</v>
      </c>
      <c r="L304" t="n">
        <v>20836</v>
      </c>
      <c r="M304" t="inlineStr">
        <is>
          <t>Sí</t>
        </is>
      </c>
      <c r="N304" t="inlineStr"/>
      <c r="O304" t="inlineStr">
        <is>
          <t>Informativa</t>
        </is>
      </c>
      <c r="P304" t="inlineStr">
        <is>
          <t>No interviene en el prorrateo</t>
        </is>
      </c>
    </row>
    <row r="305">
      <c r="A305" t="n">
        <v>1355</v>
      </c>
      <c r="B305" t="inlineStr">
        <is>
          <t>CANO MANZANARES,JUAN ANTONIO</t>
        </is>
      </c>
      <c r="E305" t="n">
        <v>2026</v>
      </c>
      <c r="F305" t="n">
        <v>1</v>
      </c>
      <c r="G305" t="inlineStr">
        <is>
          <t>MANDARINA</t>
        </is>
      </c>
      <c r="H305" t="inlineStr">
        <is>
          <t>TANGO</t>
        </is>
      </c>
      <c r="I305" t="n">
        <v>606</v>
      </c>
      <c r="J305" t="n">
        <v>20156</v>
      </c>
      <c r="K305" t="n">
        <v>0</v>
      </c>
      <c r="L305" t="n">
        <v>20156</v>
      </c>
      <c r="M305" t="inlineStr">
        <is>
          <t>Sí</t>
        </is>
      </c>
      <c r="N305" t="inlineStr"/>
      <c r="O305" t="inlineStr">
        <is>
          <t>Informativa</t>
        </is>
      </c>
      <c r="P305" t="inlineStr">
        <is>
          <t>No interviene en el prorrateo</t>
        </is>
      </c>
    </row>
    <row r="306">
      <c r="A306" t="n">
        <v>1355</v>
      </c>
      <c r="B306" t="inlineStr">
        <is>
          <t>CANO MANZANARES,JUAN ANTONIO</t>
        </is>
      </c>
      <c r="E306" t="n">
        <v>2026</v>
      </c>
      <c r="F306" t="n">
        <v>1</v>
      </c>
      <c r="G306" t="inlineStr">
        <is>
          <t>MANDARINA</t>
        </is>
      </c>
      <c r="H306" t="inlineStr">
        <is>
          <t>TANGO</t>
        </is>
      </c>
      <c r="I306" t="n">
        <v>606</v>
      </c>
      <c r="J306" t="n">
        <v>20648</v>
      </c>
      <c r="K306" t="n">
        <v>0</v>
      </c>
      <c r="L306" t="n">
        <v>20648</v>
      </c>
      <c r="M306" t="inlineStr">
        <is>
          <t>Sí</t>
        </is>
      </c>
      <c r="N306" t="inlineStr"/>
      <c r="O306" t="inlineStr">
        <is>
          <t>Informativa</t>
        </is>
      </c>
      <c r="P306" t="inlineStr">
        <is>
          <t>No interviene en el prorrateo</t>
        </is>
      </c>
    </row>
    <row r="307">
      <c r="A307" t="n">
        <v>1355</v>
      </c>
      <c r="B307" t="inlineStr">
        <is>
          <t>CANO MANZANARES,JUAN ANTONIO</t>
        </is>
      </c>
      <c r="E307" t="n">
        <v>2026</v>
      </c>
      <c r="F307" t="n">
        <v>1</v>
      </c>
      <c r="G307" t="inlineStr">
        <is>
          <t>MANDARINA</t>
        </is>
      </c>
      <c r="H307" t="inlineStr">
        <is>
          <t>TANGO</t>
        </is>
      </c>
      <c r="I307" t="n">
        <v>606</v>
      </c>
      <c r="J307" t="n">
        <v>17488</v>
      </c>
      <c r="K307" t="n">
        <v>0</v>
      </c>
      <c r="L307" t="n">
        <v>17488</v>
      </c>
      <c r="M307" t="inlineStr">
        <is>
          <t>Sí</t>
        </is>
      </c>
      <c r="N307" t="inlineStr"/>
      <c r="O307" t="inlineStr">
        <is>
          <t>Informativa</t>
        </is>
      </c>
      <c r="P307" t="inlineStr">
        <is>
          <t>No interviene en el prorrateo</t>
        </is>
      </c>
    </row>
    <row r="308">
      <c r="A308" t="n">
        <v>1374</v>
      </c>
      <c r="B308" t="inlineStr">
        <is>
          <t>MORENO SANCHEZ,JOSE ANTONIO</t>
        </is>
      </c>
      <c r="E308" t="n">
        <v>2026</v>
      </c>
      <c r="F308" t="n">
        <v>1</v>
      </c>
      <c r="G308" t="inlineStr">
        <is>
          <t>CITRICOS</t>
        </is>
      </c>
      <c r="H308" t="inlineStr">
        <is>
          <t>SALUSTIANA</t>
        </is>
      </c>
      <c r="I308" t="n">
        <v>526</v>
      </c>
      <c r="J308" t="n">
        <v>12010</v>
      </c>
      <c r="K308" t="n">
        <v>9807</v>
      </c>
      <c r="L308" t="n">
        <v>9807</v>
      </c>
      <c r="M308" t="inlineStr">
        <is>
          <t>Sí</t>
        </is>
      </c>
      <c r="N308" t="inlineStr"/>
      <c r="O308" t="inlineStr">
        <is>
          <t>Informativa</t>
        </is>
      </c>
      <c r="P308" t="inlineStr">
        <is>
          <t>No interviene en el prorrateo</t>
        </is>
      </c>
    </row>
    <row r="309">
      <c r="A309" t="n">
        <v>1374</v>
      </c>
      <c r="B309" t="inlineStr">
        <is>
          <t>MORENO SANCHEZ,JOSE ANTONIO</t>
        </is>
      </c>
      <c r="E309" t="n">
        <v>2026</v>
      </c>
      <c r="F309" t="n">
        <v>1</v>
      </c>
      <c r="G309" t="inlineStr">
        <is>
          <t>CITRICOS</t>
        </is>
      </c>
      <c r="H309" t="inlineStr">
        <is>
          <t>SALUSTIANA</t>
        </is>
      </c>
      <c r="I309" t="n">
        <v>526</v>
      </c>
      <c r="J309" t="n">
        <v>11900</v>
      </c>
      <c r="K309" t="n">
        <v>9018</v>
      </c>
      <c r="L309" t="n">
        <v>9018</v>
      </c>
      <c r="M309" t="inlineStr">
        <is>
          <t>Sí</t>
        </is>
      </c>
      <c r="N309" t="inlineStr"/>
      <c r="O309" t="inlineStr">
        <is>
          <t>Informativa</t>
        </is>
      </c>
      <c r="P309" t="inlineStr">
        <is>
          <t>No interviene en el prorrateo</t>
        </is>
      </c>
    </row>
    <row r="310">
      <c r="A310" t="n">
        <v>1374</v>
      </c>
      <c r="B310" t="inlineStr">
        <is>
          <t>MORENO SANCHEZ,JOSE ANTONIO</t>
        </is>
      </c>
      <c r="E310" t="n">
        <v>2026</v>
      </c>
      <c r="F310" t="n">
        <v>1</v>
      </c>
      <c r="G310" t="inlineStr">
        <is>
          <t>CITRICOS</t>
        </is>
      </c>
      <c r="H310" t="inlineStr">
        <is>
          <t>SALUSTIANA</t>
        </is>
      </c>
      <c r="I310" t="n">
        <v>526</v>
      </c>
      <c r="J310" t="n">
        <v>11860</v>
      </c>
      <c r="K310" t="n">
        <v>0</v>
      </c>
      <c r="L310" t="n">
        <v>11860</v>
      </c>
      <c r="M310" t="inlineStr">
        <is>
          <t>Sí</t>
        </is>
      </c>
      <c r="N310" t="inlineStr"/>
      <c r="O310" t="inlineStr">
        <is>
          <t>Informativa</t>
        </is>
      </c>
      <c r="P310" t="inlineStr">
        <is>
          <t>No interviene en el prorrateo</t>
        </is>
      </c>
    </row>
    <row r="311">
      <c r="A311" t="n">
        <v>1374</v>
      </c>
      <c r="B311" t="inlineStr">
        <is>
          <t>MORENO SANCHEZ,JOSE ANTONIO</t>
        </is>
      </c>
      <c r="E311" t="n">
        <v>2026</v>
      </c>
      <c r="F311" t="n">
        <v>1</v>
      </c>
      <c r="G311" t="inlineStr">
        <is>
          <t>CITRICOS</t>
        </is>
      </c>
      <c r="H311" t="inlineStr">
        <is>
          <t>SALUSTIANA</t>
        </is>
      </c>
      <c r="I311" t="n">
        <v>526</v>
      </c>
      <c r="J311" t="n">
        <v>12445</v>
      </c>
      <c r="K311" t="n">
        <v>9785</v>
      </c>
      <c r="L311" t="n">
        <v>9785</v>
      </c>
      <c r="M311" t="inlineStr">
        <is>
          <t>Sí</t>
        </is>
      </c>
      <c r="N311" t="inlineStr"/>
      <c r="O311" t="inlineStr">
        <is>
          <t>Informativa</t>
        </is>
      </c>
      <c r="P311" t="inlineStr">
        <is>
          <t>No interviene en el prorrateo</t>
        </is>
      </c>
    </row>
    <row r="312">
      <c r="A312" t="n">
        <v>1374</v>
      </c>
      <c r="B312" t="inlineStr">
        <is>
          <t>MORENO SANCHEZ,JOSE ANTONIO</t>
        </is>
      </c>
      <c r="E312" t="n">
        <v>2026</v>
      </c>
      <c r="F312" t="n">
        <v>1</v>
      </c>
      <c r="G312" t="inlineStr">
        <is>
          <t>CITRICOS</t>
        </is>
      </c>
      <c r="H312" t="inlineStr">
        <is>
          <t>SALUSTIANA</t>
        </is>
      </c>
      <c r="I312" t="n">
        <v>526</v>
      </c>
      <c r="J312" t="n">
        <v>14709</v>
      </c>
      <c r="K312" t="n">
        <v>11229</v>
      </c>
      <c r="L312" t="n">
        <v>11229</v>
      </c>
      <c r="M312" t="inlineStr">
        <is>
          <t>Sí</t>
        </is>
      </c>
      <c r="N312" t="inlineStr"/>
      <c r="O312" t="inlineStr">
        <is>
          <t>Informativa</t>
        </is>
      </c>
      <c r="P312" t="inlineStr">
        <is>
          <t>No interviene en el prorrateo</t>
        </is>
      </c>
    </row>
    <row r="313">
      <c r="A313" t="n">
        <v>1374</v>
      </c>
      <c r="B313" t="inlineStr">
        <is>
          <t>MORENO SANCHEZ,JOSE ANTONIO</t>
        </is>
      </c>
      <c r="E313" t="n">
        <v>2026</v>
      </c>
      <c r="F313" t="n">
        <v>1</v>
      </c>
      <c r="G313" t="inlineStr">
        <is>
          <t>INDUSTRIA</t>
        </is>
      </c>
      <c r="H313" t="inlineStr">
        <is>
          <t>SALUSTIANA</t>
        </is>
      </c>
      <c r="I313" t="n">
        <v>526</v>
      </c>
      <c r="J313" t="n">
        <v>12850</v>
      </c>
      <c r="K313" t="n">
        <v>1993</v>
      </c>
      <c r="L313" t="n">
        <v>1993</v>
      </c>
      <c r="M313" t="inlineStr">
        <is>
          <t>Sí</t>
        </is>
      </c>
      <c r="N313" t="inlineStr"/>
      <c r="O313" t="inlineStr">
        <is>
          <t>Informativa</t>
        </is>
      </c>
      <c r="P313" t="inlineStr">
        <is>
          <t>No interviene en el prorrateo</t>
        </is>
      </c>
    </row>
    <row r="314">
      <c r="A314" t="n">
        <v>1374</v>
      </c>
      <c r="B314" t="inlineStr">
        <is>
          <t>MORENO SANCHEZ,JOSE ANTONIO</t>
        </is>
      </c>
      <c r="E314" t="n">
        <v>2026</v>
      </c>
      <c r="F314" t="n">
        <v>1</v>
      </c>
      <c r="G314" t="inlineStr">
        <is>
          <t>INDUSTRIA</t>
        </is>
      </c>
      <c r="H314" t="inlineStr">
        <is>
          <t>SALUSTIANA</t>
        </is>
      </c>
      <c r="I314" t="n">
        <v>526</v>
      </c>
      <c r="J314" t="n">
        <v>11340</v>
      </c>
      <c r="K314" t="n">
        <v>2602</v>
      </c>
      <c r="L314" t="n">
        <v>2602</v>
      </c>
      <c r="M314" t="inlineStr">
        <is>
          <t>Sí</t>
        </is>
      </c>
      <c r="N314" t="inlineStr"/>
      <c r="O314" t="inlineStr">
        <is>
          <t>Informativa</t>
        </is>
      </c>
      <c r="P314" t="inlineStr">
        <is>
          <t>No interviene en el prorrateo</t>
        </is>
      </c>
    </row>
    <row r="315">
      <c r="A315" t="n">
        <v>1374</v>
      </c>
      <c r="B315" t="inlineStr">
        <is>
          <t>MORENO SANCHEZ,JOSE ANTONIO</t>
        </is>
      </c>
      <c r="E315" t="n">
        <v>2026</v>
      </c>
      <c r="F315" t="n">
        <v>1</v>
      </c>
      <c r="G315" t="inlineStr">
        <is>
          <t>INDUSTRIA</t>
        </is>
      </c>
      <c r="H315" t="inlineStr">
        <is>
          <t>SALUSTIANA</t>
        </is>
      </c>
      <c r="I315" t="n">
        <v>526</v>
      </c>
      <c r="J315" t="n">
        <v>11955</v>
      </c>
      <c r="K315" t="n">
        <v>2415</v>
      </c>
      <c r="L315" t="n">
        <v>2415</v>
      </c>
      <c r="M315" t="inlineStr">
        <is>
          <t>Sí</t>
        </is>
      </c>
      <c r="N315" t="inlineStr"/>
      <c r="O315" t="inlineStr">
        <is>
          <t>Informativa</t>
        </is>
      </c>
      <c r="P315" t="inlineStr">
        <is>
          <t>No interviene en el prorrateo</t>
        </is>
      </c>
    </row>
    <row r="316">
      <c r="A316" t="n">
        <v>1374</v>
      </c>
      <c r="B316" t="inlineStr">
        <is>
          <t>MORENO SANCHEZ,JOSE ANTONIO</t>
        </is>
      </c>
      <c r="E316" t="n">
        <v>2026</v>
      </c>
      <c r="F316" t="n">
        <v>1</v>
      </c>
      <c r="G316" t="inlineStr">
        <is>
          <t>INDUSTRIA</t>
        </is>
      </c>
      <c r="H316" t="inlineStr">
        <is>
          <t>SALUSTIANA</t>
        </is>
      </c>
      <c r="I316" t="n">
        <v>526</v>
      </c>
      <c r="J316" t="n">
        <v>15549</v>
      </c>
      <c r="K316" t="n">
        <v>3165</v>
      </c>
      <c r="L316" t="n">
        <v>3165</v>
      </c>
      <c r="M316" t="inlineStr">
        <is>
          <t>Sí</t>
        </is>
      </c>
      <c r="N316" t="inlineStr"/>
      <c r="O316" t="inlineStr">
        <is>
          <t>Informativa</t>
        </is>
      </c>
      <c r="P316" t="inlineStr">
        <is>
          <t>No interviene en el prorrateo</t>
        </is>
      </c>
    </row>
    <row r="317">
      <c r="A317" t="n">
        <v>1374</v>
      </c>
      <c r="B317" t="inlineStr">
        <is>
          <t>MORENO SANCHEZ,JOSE ANTONIO</t>
        </is>
      </c>
      <c r="E317" t="n">
        <v>2026</v>
      </c>
      <c r="F317" t="n">
        <v>1</v>
      </c>
      <c r="G317" t="inlineStr">
        <is>
          <t>INDUSTRIA</t>
        </is>
      </c>
      <c r="H317" t="inlineStr">
        <is>
          <t>SALUSTIANA</t>
        </is>
      </c>
      <c r="I317" t="n">
        <v>526</v>
      </c>
      <c r="J317" t="n">
        <v>720</v>
      </c>
      <c r="K317" t="n">
        <v>0</v>
      </c>
      <c r="L317" t="n">
        <v>720</v>
      </c>
      <c r="M317" t="inlineStr">
        <is>
          <t>Sí</t>
        </is>
      </c>
      <c r="N317" t="inlineStr"/>
      <c r="O317" t="inlineStr">
        <is>
          <t>Informativa</t>
        </is>
      </c>
      <c r="P317" t="inlineStr">
        <is>
          <t>No interviene en el prorrateo</t>
        </is>
      </c>
    </row>
    <row r="318">
      <c r="A318" t="n">
        <v>1374</v>
      </c>
      <c r="B318" t="inlineStr">
        <is>
          <t>MORENO SANCHEZ,JOSE ANTONIO</t>
        </is>
      </c>
      <c r="E318" t="n">
        <v>2026</v>
      </c>
      <c r="F318" t="n">
        <v>1</v>
      </c>
      <c r="G318" t="inlineStr">
        <is>
          <t>INDUSTRIA</t>
        </is>
      </c>
      <c r="H318" t="inlineStr">
        <is>
          <t>SALUSTIANA</t>
        </is>
      </c>
      <c r="I318" t="n">
        <v>526</v>
      </c>
      <c r="J318" t="n">
        <v>360</v>
      </c>
      <c r="K318" t="n">
        <v>0</v>
      </c>
      <c r="L318" t="n">
        <v>360</v>
      </c>
      <c r="M318" t="inlineStr">
        <is>
          <t>Sí</t>
        </is>
      </c>
      <c r="N318" t="inlineStr"/>
      <c r="O318" t="inlineStr">
        <is>
          <t>Informativa</t>
        </is>
      </c>
      <c r="P318" t="inlineStr">
        <is>
          <t>No interviene en el prorrateo</t>
        </is>
      </c>
    </row>
    <row r="319">
      <c r="A319" t="n">
        <v>1374</v>
      </c>
      <c r="B319" t="inlineStr">
        <is>
          <t>MORENO SANCHEZ,JOSE ANTONIO</t>
        </is>
      </c>
      <c r="E319" t="n">
        <v>2026</v>
      </c>
      <c r="F319" t="n">
        <v>1</v>
      </c>
      <c r="G319" t="inlineStr">
        <is>
          <t>INDUSTRIA</t>
        </is>
      </c>
      <c r="H319" t="inlineStr">
        <is>
          <t>SALUSTIANA</t>
        </is>
      </c>
      <c r="I319" t="n">
        <v>526</v>
      </c>
      <c r="J319" t="n">
        <v>530</v>
      </c>
      <c r="K319" t="n">
        <v>0</v>
      </c>
      <c r="L319" t="n">
        <v>530</v>
      </c>
      <c r="M319" t="inlineStr">
        <is>
          <t>Sí</t>
        </is>
      </c>
      <c r="N319" t="inlineStr"/>
      <c r="O319" t="inlineStr">
        <is>
          <t>Informativa</t>
        </is>
      </c>
      <c r="P319" t="inlineStr">
        <is>
          <t>No interviene en el prorrateo</t>
        </is>
      </c>
    </row>
    <row r="320">
      <c r="A320" t="n">
        <v>1389</v>
      </c>
      <c r="B320" t="inlineStr">
        <is>
          <t>AGRICOLA HUERTA LA MEJORA S.C.</t>
        </is>
      </c>
      <c r="E320" t="n">
        <v>2026</v>
      </c>
      <c r="F320" t="n">
        <v>1</v>
      </c>
      <c r="G320" t="inlineStr">
        <is>
          <t>CITRICOS</t>
        </is>
      </c>
      <c r="H320" t="inlineStr">
        <is>
          <t>SALUSTIANA</t>
        </is>
      </c>
      <c r="I320" t="n">
        <v>559</v>
      </c>
      <c r="J320" t="n">
        <v>14050</v>
      </c>
      <c r="K320" t="n">
        <v>0</v>
      </c>
      <c r="L320" t="n">
        <v>14050</v>
      </c>
      <c r="M320" t="inlineStr">
        <is>
          <t>Sí</t>
        </is>
      </c>
      <c r="N320" t="inlineStr"/>
      <c r="O320" t="inlineStr">
        <is>
          <t>Informativa</t>
        </is>
      </c>
      <c r="P320" t="inlineStr">
        <is>
          <t>No interviene en el prorrateo</t>
        </is>
      </c>
    </row>
    <row r="321">
      <c r="A321" t="n">
        <v>1389</v>
      </c>
      <c r="B321" t="inlineStr">
        <is>
          <t>AGRICOLA HUERTA LA MEJORA S.C.</t>
        </is>
      </c>
      <c r="E321" t="n">
        <v>2026</v>
      </c>
      <c r="F321" t="n">
        <v>1</v>
      </c>
      <c r="G321" t="inlineStr">
        <is>
          <t>CITRICOS</t>
        </is>
      </c>
      <c r="H321" t="inlineStr">
        <is>
          <t>SALUSTIANA</t>
        </is>
      </c>
      <c r="I321" t="n">
        <v>559</v>
      </c>
      <c r="J321" t="n">
        <v>14330</v>
      </c>
      <c r="K321" t="n">
        <v>0</v>
      </c>
      <c r="L321" t="n">
        <v>14330</v>
      </c>
      <c r="M321" t="inlineStr">
        <is>
          <t>Sí</t>
        </is>
      </c>
      <c r="N321" t="inlineStr"/>
      <c r="O321" t="inlineStr">
        <is>
          <t>Informativa</t>
        </is>
      </c>
      <c r="P321" t="inlineStr">
        <is>
          <t>No interviene en el prorrateo</t>
        </is>
      </c>
    </row>
    <row r="322">
      <c r="A322" t="n">
        <v>1389</v>
      </c>
      <c r="B322" t="inlineStr">
        <is>
          <t>AGRICOLA HUERTA LA MEJORA S.C.</t>
        </is>
      </c>
      <c r="E322" t="n">
        <v>2026</v>
      </c>
      <c r="F322" t="n">
        <v>1</v>
      </c>
      <c r="G322" t="inlineStr">
        <is>
          <t>CITRICOS</t>
        </is>
      </c>
      <c r="H322" t="inlineStr">
        <is>
          <t>SALUSTIANA</t>
        </is>
      </c>
      <c r="I322" t="n">
        <v>559</v>
      </c>
      <c r="J322" t="n">
        <v>5610</v>
      </c>
      <c r="K322" t="n">
        <v>0</v>
      </c>
      <c r="L322" t="n">
        <v>5610</v>
      </c>
      <c r="M322" t="inlineStr">
        <is>
          <t>Sí</t>
        </is>
      </c>
      <c r="N322" t="inlineStr"/>
      <c r="O322" t="inlineStr">
        <is>
          <t>Informativa</t>
        </is>
      </c>
      <c r="P322" t="inlineStr">
        <is>
          <t>No interviene en el prorrateo</t>
        </is>
      </c>
    </row>
    <row r="323">
      <c r="A323" t="n">
        <v>1389</v>
      </c>
      <c r="B323" t="inlineStr">
        <is>
          <t>AGRICOLA HUERTA LA MEJORA S.C.</t>
        </is>
      </c>
      <c r="E323" t="n">
        <v>2026</v>
      </c>
      <c r="F323" t="n">
        <v>1</v>
      </c>
      <c r="G323" t="inlineStr">
        <is>
          <t>CITRICOS</t>
        </is>
      </c>
      <c r="H323" t="inlineStr">
        <is>
          <t>SALUSTIANA</t>
        </is>
      </c>
      <c r="I323" t="n">
        <v>559</v>
      </c>
      <c r="J323" t="n">
        <v>13850</v>
      </c>
      <c r="K323" t="n">
        <v>0</v>
      </c>
      <c r="L323" t="n">
        <v>13850</v>
      </c>
      <c r="M323" t="inlineStr">
        <is>
          <t>Sí</t>
        </is>
      </c>
      <c r="N323" t="inlineStr"/>
      <c r="O323" t="inlineStr">
        <is>
          <t>Informativa</t>
        </is>
      </c>
      <c r="P323" t="inlineStr">
        <is>
          <t>No interviene en el prorrateo</t>
        </is>
      </c>
    </row>
    <row r="324">
      <c r="A324" t="n">
        <v>1389</v>
      </c>
      <c r="B324" t="inlineStr">
        <is>
          <t>AGRICOLA HUERTA LA MEJORA S.C.</t>
        </is>
      </c>
      <c r="E324" t="n">
        <v>2026</v>
      </c>
      <c r="F324" t="n">
        <v>1</v>
      </c>
      <c r="G324" t="inlineStr">
        <is>
          <t>CITRICOS</t>
        </is>
      </c>
      <c r="H324" t="inlineStr">
        <is>
          <t>LANE LATE</t>
        </is>
      </c>
      <c r="I324" t="n">
        <v>561</v>
      </c>
      <c r="J324" t="n">
        <v>8160</v>
      </c>
      <c r="K324" t="n">
        <v>0</v>
      </c>
      <c r="L324" t="n">
        <v>8160</v>
      </c>
      <c r="M324" t="inlineStr">
        <is>
          <t>Sí</t>
        </is>
      </c>
      <c r="N324" t="inlineStr"/>
      <c r="O324" t="inlineStr">
        <is>
          <t>Informativa</t>
        </is>
      </c>
      <c r="P324" t="inlineStr">
        <is>
          <t>No interviene en el prorrateo</t>
        </is>
      </c>
    </row>
    <row r="325">
      <c r="A325" t="n">
        <v>1395</v>
      </c>
      <c r="B325" t="inlineStr">
        <is>
          <t>AGRICOLA HERMANOS BUIZA S.C.</t>
        </is>
      </c>
      <c r="E325" t="n">
        <v>2026</v>
      </c>
      <c r="F325" t="n">
        <v>1</v>
      </c>
      <c r="G325" t="inlineStr">
        <is>
          <t>CITRICOS</t>
        </is>
      </c>
      <c r="H325" t="inlineStr">
        <is>
          <t>SALUSTIANA</t>
        </is>
      </c>
      <c r="I325" t="n">
        <v>654</v>
      </c>
      <c r="J325" t="n">
        <v>10320</v>
      </c>
      <c r="K325" t="n">
        <v>0</v>
      </c>
      <c r="L325" t="n">
        <v>10320</v>
      </c>
      <c r="M325" t="inlineStr">
        <is>
          <t>Sí</t>
        </is>
      </c>
      <c r="N325" t="inlineStr"/>
      <c r="O325" t="inlineStr">
        <is>
          <t>Informativa</t>
        </is>
      </c>
      <c r="P325" t="inlineStr">
        <is>
          <t>No interviene en el prorrateo</t>
        </is>
      </c>
    </row>
    <row r="326">
      <c r="A326" t="n">
        <v>1395</v>
      </c>
      <c r="B326" t="inlineStr">
        <is>
          <t>AGRICOLA HERMANOS BUIZA S.C.</t>
        </is>
      </c>
      <c r="E326" t="n">
        <v>2026</v>
      </c>
      <c r="F326" t="n">
        <v>1</v>
      </c>
      <c r="G326" t="inlineStr">
        <is>
          <t>CITRICOS</t>
        </is>
      </c>
      <c r="H326" t="inlineStr">
        <is>
          <t>SALUSTIANA</t>
        </is>
      </c>
      <c r="I326" t="n">
        <v>654</v>
      </c>
      <c r="J326" t="n">
        <v>12560</v>
      </c>
      <c r="K326" t="n">
        <v>0</v>
      </c>
      <c r="L326" t="n">
        <v>12560</v>
      </c>
      <c r="M326" t="inlineStr">
        <is>
          <t>Sí</t>
        </is>
      </c>
      <c r="N326" t="inlineStr"/>
      <c r="O326" t="inlineStr">
        <is>
          <t>Informativa</t>
        </is>
      </c>
      <c r="P326" t="inlineStr">
        <is>
          <t>No interviene en el prorrateo</t>
        </is>
      </c>
    </row>
    <row r="327">
      <c r="A327" t="n">
        <v>1395</v>
      </c>
      <c r="B327" t="inlineStr">
        <is>
          <t>AGRICOLA HERMANOS BUIZA S.C.</t>
        </is>
      </c>
      <c r="E327" t="n">
        <v>2026</v>
      </c>
      <c r="F327" t="n">
        <v>1</v>
      </c>
      <c r="G327" t="inlineStr">
        <is>
          <t>CITRICOS</t>
        </is>
      </c>
      <c r="H327" t="inlineStr">
        <is>
          <t>NAVELINA</t>
        </is>
      </c>
      <c r="I327" t="n">
        <v>653</v>
      </c>
      <c r="J327" t="n">
        <v>13077</v>
      </c>
      <c r="K327" t="n">
        <v>7322</v>
      </c>
      <c r="L327" t="n">
        <v>7322</v>
      </c>
      <c r="M327" t="inlineStr">
        <is>
          <t>Sí</t>
        </is>
      </c>
      <c r="N327" t="inlineStr"/>
      <c r="O327" t="inlineStr">
        <is>
          <t>Informativa</t>
        </is>
      </c>
      <c r="P327" t="inlineStr">
        <is>
          <t>No interviene en el prorrateo</t>
        </is>
      </c>
    </row>
    <row r="328">
      <c r="A328" t="n">
        <v>1395</v>
      </c>
      <c r="B328" t="inlineStr">
        <is>
          <t>AGRICOLA HERMANOS BUIZA S.C.</t>
        </is>
      </c>
      <c r="E328" t="n">
        <v>2026</v>
      </c>
      <c r="F328" t="n">
        <v>1</v>
      </c>
      <c r="G328" t="inlineStr">
        <is>
          <t>CITRICOS</t>
        </is>
      </c>
      <c r="H328" t="inlineStr">
        <is>
          <t>NAVELINA</t>
        </is>
      </c>
      <c r="I328" t="n">
        <v>653</v>
      </c>
      <c r="J328" t="n">
        <v>10930</v>
      </c>
      <c r="K328" t="n">
        <v>4120</v>
      </c>
      <c r="L328" t="n">
        <v>4120</v>
      </c>
      <c r="M328" t="inlineStr">
        <is>
          <t>Sí</t>
        </is>
      </c>
      <c r="N328" t="inlineStr"/>
      <c r="O328" t="inlineStr">
        <is>
          <t>Informativa</t>
        </is>
      </c>
      <c r="P328" t="inlineStr">
        <is>
          <t>No interviene en el prorrateo</t>
        </is>
      </c>
    </row>
    <row r="329">
      <c r="A329" t="n">
        <v>1395</v>
      </c>
      <c r="B329" t="inlineStr">
        <is>
          <t>AGRICOLA HERMANOS BUIZA S.C.</t>
        </is>
      </c>
      <c r="E329" t="n">
        <v>2026</v>
      </c>
      <c r="F329" t="n">
        <v>1</v>
      </c>
      <c r="G329" t="inlineStr">
        <is>
          <t>CITRICOS</t>
        </is>
      </c>
      <c r="H329" t="inlineStr">
        <is>
          <t>NAVELINA</t>
        </is>
      </c>
      <c r="I329" t="n">
        <v>653</v>
      </c>
      <c r="J329" t="n">
        <v>8636</v>
      </c>
      <c r="K329" t="n">
        <v>7668</v>
      </c>
      <c r="L329" t="n">
        <v>7668</v>
      </c>
      <c r="M329" t="inlineStr">
        <is>
          <t>Sí</t>
        </is>
      </c>
      <c r="N329" t="inlineStr"/>
      <c r="O329" t="inlineStr">
        <is>
          <t>Informativa</t>
        </is>
      </c>
      <c r="P329" t="inlineStr">
        <is>
          <t>No interviene en el prorrateo</t>
        </is>
      </c>
    </row>
    <row r="330">
      <c r="A330" t="n">
        <v>1395</v>
      </c>
      <c r="B330" t="inlineStr">
        <is>
          <t>AGRICOLA HERMANOS BUIZA S.C.</t>
        </is>
      </c>
      <c r="E330" t="n">
        <v>2026</v>
      </c>
      <c r="F330" t="n">
        <v>1</v>
      </c>
      <c r="G330" t="inlineStr">
        <is>
          <t>CITRICOS</t>
        </is>
      </c>
      <c r="H330" t="inlineStr">
        <is>
          <t>NAVELINA</t>
        </is>
      </c>
      <c r="I330" t="n">
        <v>653</v>
      </c>
      <c r="J330" t="n">
        <v>10721</v>
      </c>
      <c r="K330" t="n">
        <v>8788</v>
      </c>
      <c r="L330" t="n">
        <v>8788</v>
      </c>
      <c r="M330" t="inlineStr">
        <is>
          <t>Sí</t>
        </is>
      </c>
      <c r="N330" t="inlineStr"/>
      <c r="O330" t="inlineStr">
        <is>
          <t>Informativa</t>
        </is>
      </c>
      <c r="P330" t="inlineStr">
        <is>
          <t>No interviene en el prorrateo</t>
        </is>
      </c>
    </row>
    <row r="331">
      <c r="A331" t="n">
        <v>1395</v>
      </c>
      <c r="B331" t="inlineStr">
        <is>
          <t>AGRICOLA HERMANOS BUIZA S.C.</t>
        </is>
      </c>
      <c r="E331" t="n">
        <v>2026</v>
      </c>
      <c r="F331" t="n">
        <v>1</v>
      </c>
      <c r="G331" t="inlineStr">
        <is>
          <t>CITRICOS</t>
        </is>
      </c>
      <c r="H331" t="inlineStr">
        <is>
          <t>NAVELINA</t>
        </is>
      </c>
      <c r="I331" t="n">
        <v>653</v>
      </c>
      <c r="J331" t="n">
        <v>10120</v>
      </c>
      <c r="K331" t="n">
        <v>0</v>
      </c>
      <c r="L331" t="n">
        <v>10120</v>
      </c>
      <c r="M331" t="inlineStr">
        <is>
          <t>Sí</t>
        </is>
      </c>
      <c r="N331" t="inlineStr"/>
      <c r="O331" t="inlineStr">
        <is>
          <t>Informativa</t>
        </is>
      </c>
      <c r="P331" t="inlineStr">
        <is>
          <t>No interviene en el prorrateo</t>
        </is>
      </c>
    </row>
    <row r="332">
      <c r="A332" t="n">
        <v>1395</v>
      </c>
      <c r="B332" t="inlineStr">
        <is>
          <t>AGRICOLA HERMANOS BUIZA S.C.</t>
        </is>
      </c>
      <c r="E332" t="n">
        <v>2026</v>
      </c>
      <c r="F332" t="n">
        <v>1</v>
      </c>
      <c r="G332" t="inlineStr">
        <is>
          <t>CITRICOS</t>
        </is>
      </c>
      <c r="H332" t="inlineStr">
        <is>
          <t>NAVELINA</t>
        </is>
      </c>
      <c r="I332" t="n">
        <v>653</v>
      </c>
      <c r="J332" t="n">
        <v>10260</v>
      </c>
      <c r="K332" t="n">
        <v>0</v>
      </c>
      <c r="L332" t="n">
        <v>10260</v>
      </c>
      <c r="M332" t="inlineStr">
        <is>
          <t>Sí</t>
        </is>
      </c>
      <c r="N332" t="inlineStr"/>
      <c r="O332" t="inlineStr">
        <is>
          <t>Informativa</t>
        </is>
      </c>
      <c r="P332" t="inlineStr">
        <is>
          <t>No interviene en el prorrateo</t>
        </is>
      </c>
    </row>
    <row r="333">
      <c r="A333" t="n">
        <v>1395</v>
      </c>
      <c r="B333" t="inlineStr">
        <is>
          <t>AGRICOLA HERMANOS BUIZA S.C.</t>
        </is>
      </c>
      <c r="E333" t="n">
        <v>2026</v>
      </c>
      <c r="F333" t="n">
        <v>1</v>
      </c>
      <c r="G333" t="inlineStr">
        <is>
          <t>CITRICOS</t>
        </is>
      </c>
      <c r="H333" t="inlineStr">
        <is>
          <t>NAVELINA</t>
        </is>
      </c>
      <c r="I333" t="n">
        <v>653</v>
      </c>
      <c r="J333" t="n">
        <v>10500</v>
      </c>
      <c r="K333" t="n">
        <v>0</v>
      </c>
      <c r="L333" t="n">
        <v>10500</v>
      </c>
      <c r="M333" t="inlineStr">
        <is>
          <t>Sí</t>
        </is>
      </c>
      <c r="N333" t="inlineStr"/>
      <c r="O333" t="inlineStr">
        <is>
          <t>Informativa</t>
        </is>
      </c>
      <c r="P333" t="inlineStr">
        <is>
          <t>No interviene en el prorrateo</t>
        </is>
      </c>
    </row>
    <row r="334">
      <c r="A334" t="n">
        <v>1395</v>
      </c>
      <c r="B334" t="inlineStr">
        <is>
          <t>AGRICOLA HERMANOS BUIZA S.C.</t>
        </is>
      </c>
      <c r="E334" t="n">
        <v>2026</v>
      </c>
      <c r="F334" t="n">
        <v>1</v>
      </c>
      <c r="G334" t="inlineStr">
        <is>
          <t>CITRICOS</t>
        </is>
      </c>
      <c r="H334" t="inlineStr">
        <is>
          <t>NAVELINA</t>
        </is>
      </c>
      <c r="I334" t="n">
        <v>653</v>
      </c>
      <c r="J334" t="n">
        <v>10160</v>
      </c>
      <c r="K334" t="n">
        <v>0</v>
      </c>
      <c r="L334" t="n">
        <v>10160</v>
      </c>
      <c r="M334" t="inlineStr">
        <is>
          <t>Sí</t>
        </is>
      </c>
      <c r="N334" t="inlineStr"/>
      <c r="O334" t="inlineStr">
        <is>
          <t>Informativa</t>
        </is>
      </c>
      <c r="P334" t="inlineStr">
        <is>
          <t>No interviene en el prorrateo</t>
        </is>
      </c>
    </row>
    <row r="335">
      <c r="A335" t="n">
        <v>1395</v>
      </c>
      <c r="B335" t="inlineStr">
        <is>
          <t>AGRICOLA HERMANOS BUIZA S.C.</t>
        </is>
      </c>
      <c r="E335" t="n">
        <v>2026</v>
      </c>
      <c r="F335" t="n">
        <v>1</v>
      </c>
      <c r="G335" t="inlineStr">
        <is>
          <t>CITRICOS</t>
        </is>
      </c>
      <c r="H335" t="inlineStr">
        <is>
          <t>NAVELINA</t>
        </is>
      </c>
      <c r="I335" t="n">
        <v>653</v>
      </c>
      <c r="J335" t="n">
        <v>10280</v>
      </c>
      <c r="K335" t="n">
        <v>0</v>
      </c>
      <c r="L335" t="n">
        <v>10280</v>
      </c>
      <c r="M335" t="inlineStr">
        <is>
          <t>Sí</t>
        </is>
      </c>
      <c r="N335" t="inlineStr"/>
      <c r="O335" t="inlineStr">
        <is>
          <t>Informativa</t>
        </is>
      </c>
      <c r="P335" t="inlineStr">
        <is>
          <t>No interviene en el prorrateo</t>
        </is>
      </c>
    </row>
    <row r="336">
      <c r="A336" t="n">
        <v>1395</v>
      </c>
      <c r="B336" t="inlineStr">
        <is>
          <t>AGRICOLA HERMANOS BUIZA S.C.</t>
        </is>
      </c>
      <c r="E336" t="n">
        <v>2026</v>
      </c>
      <c r="F336" t="n">
        <v>1</v>
      </c>
      <c r="G336" t="inlineStr">
        <is>
          <t>CITRICOS</t>
        </is>
      </c>
      <c r="H336" t="inlineStr">
        <is>
          <t>NAVELINA</t>
        </is>
      </c>
      <c r="I336" t="n">
        <v>653</v>
      </c>
      <c r="J336" t="n">
        <v>10400</v>
      </c>
      <c r="K336" t="n">
        <v>0</v>
      </c>
      <c r="L336" t="n">
        <v>10400</v>
      </c>
      <c r="M336" t="inlineStr">
        <is>
          <t>Sí</t>
        </is>
      </c>
      <c r="N336" t="inlineStr"/>
      <c r="O336" t="inlineStr">
        <is>
          <t>Informativa</t>
        </is>
      </c>
      <c r="P336" t="inlineStr">
        <is>
          <t>No interviene en el prorrateo</t>
        </is>
      </c>
    </row>
    <row r="337">
      <c r="A337" t="n">
        <v>1395</v>
      </c>
      <c r="B337" t="inlineStr">
        <is>
          <t>AGRICOLA HERMANOS BUIZA S.C.</t>
        </is>
      </c>
      <c r="E337" t="n">
        <v>2026</v>
      </c>
      <c r="F337" t="n">
        <v>1</v>
      </c>
      <c r="G337" t="inlineStr">
        <is>
          <t>CITRICOS</t>
        </is>
      </c>
      <c r="H337" t="inlineStr">
        <is>
          <t>NAVELINA</t>
        </is>
      </c>
      <c r="I337" t="n">
        <v>653</v>
      </c>
      <c r="J337" t="n">
        <v>2116</v>
      </c>
      <c r="K337" t="n">
        <v>0</v>
      </c>
      <c r="L337" t="n">
        <v>2116</v>
      </c>
      <c r="M337" t="inlineStr">
        <is>
          <t>Sí</t>
        </is>
      </c>
      <c r="N337" t="inlineStr"/>
      <c r="O337" t="inlineStr">
        <is>
          <t>Informativa</t>
        </is>
      </c>
      <c r="P337" t="inlineStr">
        <is>
          <t>No interviene en el prorrateo</t>
        </is>
      </c>
    </row>
    <row r="338">
      <c r="A338" t="n">
        <v>1395</v>
      </c>
      <c r="B338" t="inlineStr">
        <is>
          <t>AGRICOLA HERMANOS BUIZA S.C.</t>
        </is>
      </c>
      <c r="E338" t="n">
        <v>2026</v>
      </c>
      <c r="F338" t="n">
        <v>1</v>
      </c>
      <c r="G338" t="inlineStr">
        <is>
          <t>CITRICOS</t>
        </is>
      </c>
      <c r="H338" t="inlineStr">
        <is>
          <t>NAVELINA</t>
        </is>
      </c>
      <c r="I338" t="n">
        <v>653</v>
      </c>
      <c r="J338" t="n">
        <v>12480</v>
      </c>
      <c r="K338" t="n">
        <v>0</v>
      </c>
      <c r="L338" t="n">
        <v>12480</v>
      </c>
      <c r="M338" t="inlineStr">
        <is>
          <t>Sí</t>
        </is>
      </c>
      <c r="N338" t="inlineStr"/>
      <c r="O338" t="inlineStr">
        <is>
          <t>Informativa</t>
        </is>
      </c>
      <c r="P338" t="inlineStr">
        <is>
          <t>No interviene en el prorrateo</t>
        </is>
      </c>
    </row>
    <row r="339">
      <c r="A339" t="n">
        <v>1395</v>
      </c>
      <c r="B339" t="inlineStr">
        <is>
          <t>AGRICOLA HERMANOS BUIZA S.C.</t>
        </is>
      </c>
      <c r="E339" t="n">
        <v>2026</v>
      </c>
      <c r="F339" t="n">
        <v>1</v>
      </c>
      <c r="G339" t="inlineStr">
        <is>
          <t>CITRICOS</t>
        </is>
      </c>
      <c r="H339" t="inlineStr">
        <is>
          <t>NAVELINA</t>
        </is>
      </c>
      <c r="I339" t="n">
        <v>653</v>
      </c>
      <c r="J339" t="n">
        <v>4322</v>
      </c>
      <c r="K339" t="n">
        <v>3827</v>
      </c>
      <c r="L339" t="n">
        <v>3827</v>
      </c>
      <c r="M339" t="inlineStr">
        <is>
          <t>Sí</t>
        </is>
      </c>
      <c r="N339" t="inlineStr"/>
      <c r="O339" t="inlineStr">
        <is>
          <t>Informativa</t>
        </is>
      </c>
      <c r="P339" t="inlineStr">
        <is>
          <t>No interviene en el prorrateo</t>
        </is>
      </c>
    </row>
    <row r="340">
      <c r="A340" t="n">
        <v>1395</v>
      </c>
      <c r="B340" t="inlineStr">
        <is>
          <t>AGRICOLA HERMANOS BUIZA S.C.</t>
        </is>
      </c>
      <c r="E340" t="n">
        <v>2026</v>
      </c>
      <c r="F340" t="n">
        <v>1</v>
      </c>
      <c r="G340" t="inlineStr">
        <is>
          <t>CITRICOS</t>
        </is>
      </c>
      <c r="H340" t="inlineStr">
        <is>
          <t>NAVELINA</t>
        </is>
      </c>
      <c r="I340" t="n">
        <v>653</v>
      </c>
      <c r="J340" t="n">
        <v>12432</v>
      </c>
      <c r="K340" t="n">
        <v>0</v>
      </c>
      <c r="L340" t="n">
        <v>12432</v>
      </c>
      <c r="M340" t="inlineStr">
        <is>
          <t>Sí</t>
        </is>
      </c>
      <c r="N340" t="inlineStr"/>
      <c r="O340" t="inlineStr">
        <is>
          <t>Informativa</t>
        </is>
      </c>
      <c r="P340" t="inlineStr">
        <is>
          <t>No interviene en el prorrateo</t>
        </is>
      </c>
    </row>
    <row r="341">
      <c r="A341" t="n">
        <v>1395</v>
      </c>
      <c r="B341" t="inlineStr">
        <is>
          <t>AGRICOLA HERMANOS BUIZA S.C.</t>
        </is>
      </c>
      <c r="E341" t="n">
        <v>2026</v>
      </c>
      <c r="F341" t="n">
        <v>1</v>
      </c>
      <c r="G341" t="inlineStr">
        <is>
          <t>CITRICOS</t>
        </is>
      </c>
      <c r="H341" t="inlineStr">
        <is>
          <t>NAVELINA</t>
        </is>
      </c>
      <c r="I341" t="n">
        <v>653</v>
      </c>
      <c r="J341" t="n">
        <v>13707</v>
      </c>
      <c r="K341" t="n">
        <v>1046</v>
      </c>
      <c r="L341" t="n">
        <v>1046</v>
      </c>
      <c r="M341" t="inlineStr">
        <is>
          <t>Sí</t>
        </is>
      </c>
      <c r="N341" t="inlineStr"/>
      <c r="O341" t="inlineStr">
        <is>
          <t>Informativa</t>
        </is>
      </c>
      <c r="P341" t="inlineStr">
        <is>
          <t>No interviene en el prorrateo</t>
        </is>
      </c>
    </row>
    <row r="342">
      <c r="A342" t="n">
        <v>1395</v>
      </c>
      <c r="B342" t="inlineStr">
        <is>
          <t>AGRICOLA HERMANOS BUIZA S.C.</t>
        </is>
      </c>
      <c r="E342" t="n">
        <v>2026</v>
      </c>
      <c r="F342" t="n">
        <v>1</v>
      </c>
      <c r="G342" t="inlineStr">
        <is>
          <t>CITRICOS</t>
        </is>
      </c>
      <c r="H342" t="inlineStr">
        <is>
          <t>NAVELINA</t>
        </is>
      </c>
      <c r="I342" t="n">
        <v>653</v>
      </c>
      <c r="J342" t="n">
        <v>10465</v>
      </c>
      <c r="K342" t="n">
        <v>10105</v>
      </c>
      <c r="L342" t="n">
        <v>10105</v>
      </c>
      <c r="M342" t="inlineStr">
        <is>
          <t>Sí</t>
        </is>
      </c>
      <c r="N342" t="inlineStr"/>
      <c r="O342" t="inlineStr">
        <is>
          <t>Informativa</t>
        </is>
      </c>
      <c r="P342" t="inlineStr">
        <is>
          <t>No interviene en el prorrateo</t>
        </is>
      </c>
    </row>
    <row r="343">
      <c r="A343" t="n">
        <v>1395</v>
      </c>
      <c r="B343" t="inlineStr">
        <is>
          <t>AGRICOLA HERMANOS BUIZA S.C.</t>
        </is>
      </c>
      <c r="E343" t="n">
        <v>2026</v>
      </c>
      <c r="F343" t="n">
        <v>1</v>
      </c>
      <c r="G343" t="inlineStr">
        <is>
          <t>CITRICOS</t>
        </is>
      </c>
      <c r="H343" t="inlineStr">
        <is>
          <t>NAVELINA</t>
        </is>
      </c>
      <c r="I343" t="n">
        <v>653</v>
      </c>
      <c r="J343" t="n">
        <v>12340</v>
      </c>
      <c r="K343" t="n">
        <v>0</v>
      </c>
      <c r="L343" t="n">
        <v>12340</v>
      </c>
      <c r="M343" t="inlineStr">
        <is>
          <t>Sí</t>
        </is>
      </c>
      <c r="N343" t="inlineStr"/>
      <c r="O343" t="inlineStr">
        <is>
          <t>Informativa</t>
        </is>
      </c>
      <c r="P343" t="inlineStr">
        <is>
          <t>No interviene en el prorrateo</t>
        </is>
      </c>
    </row>
    <row r="344">
      <c r="A344" t="n">
        <v>1395</v>
      </c>
      <c r="B344" t="inlineStr">
        <is>
          <t>AGRICOLA HERMANOS BUIZA S.C.</t>
        </is>
      </c>
      <c r="E344" t="n">
        <v>2026</v>
      </c>
      <c r="F344" t="n">
        <v>1</v>
      </c>
      <c r="G344" t="inlineStr">
        <is>
          <t>CITRICOS</t>
        </is>
      </c>
      <c r="H344" t="inlineStr">
        <is>
          <t>NAVELINA</t>
        </is>
      </c>
      <c r="I344" t="n">
        <v>653</v>
      </c>
      <c r="J344" t="n">
        <v>10440</v>
      </c>
      <c r="K344" t="n">
        <v>0</v>
      </c>
      <c r="L344" t="n">
        <v>10440</v>
      </c>
      <c r="M344" t="inlineStr">
        <is>
          <t>Sí</t>
        </is>
      </c>
      <c r="N344" t="inlineStr"/>
      <c r="O344" t="inlineStr">
        <is>
          <t>Informativa</t>
        </is>
      </c>
      <c r="P344" t="inlineStr">
        <is>
          <t>No interviene en el prorrateo</t>
        </is>
      </c>
    </row>
    <row r="345">
      <c r="A345" t="n">
        <v>1395</v>
      </c>
      <c r="B345" t="inlineStr">
        <is>
          <t>AGRICOLA HERMANOS BUIZA S.C.</t>
        </is>
      </c>
      <c r="E345" t="n">
        <v>2026</v>
      </c>
      <c r="F345" t="n">
        <v>1</v>
      </c>
      <c r="G345" t="inlineStr">
        <is>
          <t>CITRICOS</t>
        </is>
      </c>
      <c r="H345" t="inlineStr">
        <is>
          <t>NAVELINA</t>
        </is>
      </c>
      <c r="I345" t="n">
        <v>653</v>
      </c>
      <c r="J345" t="n">
        <v>8680</v>
      </c>
      <c r="K345" t="n">
        <v>0</v>
      </c>
      <c r="L345" t="n">
        <v>8680</v>
      </c>
      <c r="M345" t="inlineStr">
        <is>
          <t>Sí</t>
        </is>
      </c>
      <c r="N345" t="inlineStr"/>
      <c r="O345" t="inlineStr">
        <is>
          <t>Informativa</t>
        </is>
      </c>
      <c r="P345" t="inlineStr">
        <is>
          <t>No interviene en el prorrateo</t>
        </is>
      </c>
    </row>
    <row r="346">
      <c r="A346" t="n">
        <v>1395</v>
      </c>
      <c r="B346" t="inlineStr">
        <is>
          <t>AGRICOLA HERMANOS BUIZA S.C.</t>
        </is>
      </c>
      <c r="E346" t="n">
        <v>2026</v>
      </c>
      <c r="F346" t="n">
        <v>1</v>
      </c>
      <c r="G346" t="inlineStr">
        <is>
          <t>CITRICOS</t>
        </is>
      </c>
      <c r="H346" t="inlineStr">
        <is>
          <t>NAVELINA</t>
        </is>
      </c>
      <c r="I346" t="n">
        <v>653</v>
      </c>
      <c r="J346" t="n">
        <v>10448</v>
      </c>
      <c r="K346" t="n">
        <v>0</v>
      </c>
      <c r="L346" t="n">
        <v>10448</v>
      </c>
      <c r="M346" t="inlineStr">
        <is>
          <t>Sí</t>
        </is>
      </c>
      <c r="N346" t="inlineStr"/>
      <c r="O346" t="inlineStr">
        <is>
          <t>Informativa</t>
        </is>
      </c>
      <c r="P346" t="inlineStr">
        <is>
          <t>No interviene en el prorrateo</t>
        </is>
      </c>
    </row>
    <row r="347">
      <c r="A347" t="n">
        <v>1395</v>
      </c>
      <c r="B347" t="inlineStr">
        <is>
          <t>AGRICOLA HERMANOS BUIZA S.C.</t>
        </is>
      </c>
      <c r="E347" t="n">
        <v>2026</v>
      </c>
      <c r="F347" t="n">
        <v>1</v>
      </c>
      <c r="G347" t="inlineStr">
        <is>
          <t>CITRICOS</t>
        </is>
      </c>
      <c r="H347" t="inlineStr">
        <is>
          <t>NAVELINA</t>
        </is>
      </c>
      <c r="I347" t="n">
        <v>653</v>
      </c>
      <c r="J347" t="n">
        <v>10328</v>
      </c>
      <c r="K347" t="n">
        <v>0</v>
      </c>
      <c r="L347" t="n">
        <v>10328</v>
      </c>
      <c r="M347" t="inlineStr">
        <is>
          <t>Sí</t>
        </is>
      </c>
      <c r="N347" t="inlineStr"/>
      <c r="O347" t="inlineStr">
        <is>
          <t>Informativa</t>
        </is>
      </c>
      <c r="P347" t="inlineStr">
        <is>
          <t>No interviene en el prorrateo</t>
        </is>
      </c>
    </row>
    <row r="348">
      <c r="A348" t="n">
        <v>1395</v>
      </c>
      <c r="B348" t="inlineStr">
        <is>
          <t>AGRICOLA HERMANOS BUIZA S.C.</t>
        </is>
      </c>
      <c r="E348" t="n">
        <v>2026</v>
      </c>
      <c r="F348" t="n">
        <v>1</v>
      </c>
      <c r="G348" t="inlineStr">
        <is>
          <t>CITRICOS</t>
        </is>
      </c>
      <c r="H348" t="inlineStr">
        <is>
          <t>NAVELINA</t>
        </is>
      </c>
      <c r="I348" t="n">
        <v>653</v>
      </c>
      <c r="J348" t="n">
        <v>9564</v>
      </c>
      <c r="K348" t="n">
        <v>852</v>
      </c>
      <c r="L348" t="n">
        <v>852</v>
      </c>
      <c r="M348" t="inlineStr">
        <is>
          <t>Sí</t>
        </is>
      </c>
      <c r="N348" t="inlineStr"/>
      <c r="O348" t="inlineStr">
        <is>
          <t>Informativa</t>
        </is>
      </c>
      <c r="P348" t="inlineStr">
        <is>
          <t>No interviene en el prorrateo</t>
        </is>
      </c>
    </row>
    <row r="349">
      <c r="A349" t="n">
        <v>1395</v>
      </c>
      <c r="B349" t="inlineStr">
        <is>
          <t>AGRICOLA HERMANOS BUIZA S.C.</t>
        </is>
      </c>
      <c r="E349" t="n">
        <v>2026</v>
      </c>
      <c r="F349" t="n">
        <v>1</v>
      </c>
      <c r="G349" t="inlineStr">
        <is>
          <t>CITRICOS</t>
        </is>
      </c>
      <c r="H349" t="inlineStr">
        <is>
          <t>NAVELINA</t>
        </is>
      </c>
      <c r="I349" t="n">
        <v>653</v>
      </c>
      <c r="J349" t="n">
        <v>8658</v>
      </c>
      <c r="K349" t="n">
        <v>0</v>
      </c>
      <c r="L349" t="n">
        <v>8658</v>
      </c>
      <c r="M349" t="inlineStr">
        <is>
          <t>Sí</t>
        </is>
      </c>
      <c r="N349" t="inlineStr"/>
      <c r="O349" t="inlineStr">
        <is>
          <t>Informativa</t>
        </is>
      </c>
      <c r="P349" t="inlineStr">
        <is>
          <t>No interviene en el prorrateo</t>
        </is>
      </c>
    </row>
    <row r="350">
      <c r="A350" t="n">
        <v>1395</v>
      </c>
      <c r="B350" t="inlineStr">
        <is>
          <t>AGRICOLA HERMANOS BUIZA S.C.</t>
        </is>
      </c>
      <c r="E350" t="n">
        <v>2026</v>
      </c>
      <c r="F350" t="n">
        <v>1</v>
      </c>
      <c r="G350" t="inlineStr">
        <is>
          <t>CITRICOS</t>
        </is>
      </c>
      <c r="H350" t="inlineStr">
        <is>
          <t>NAVELINA</t>
        </is>
      </c>
      <c r="I350" t="n">
        <v>653</v>
      </c>
      <c r="J350" t="n">
        <v>10510</v>
      </c>
      <c r="K350" t="n">
        <v>8495</v>
      </c>
      <c r="L350" t="n">
        <v>8495</v>
      </c>
      <c r="M350" t="inlineStr">
        <is>
          <t>Sí</t>
        </is>
      </c>
      <c r="N350" t="inlineStr"/>
      <c r="O350" t="inlineStr">
        <is>
          <t>Informativa</t>
        </is>
      </c>
      <c r="P350" t="inlineStr">
        <is>
          <t>No interviene en el prorrateo</t>
        </is>
      </c>
    </row>
    <row r="351">
      <c r="A351" t="n">
        <v>1395</v>
      </c>
      <c r="B351" t="inlineStr">
        <is>
          <t>AGRICOLA HERMANOS BUIZA S.C.</t>
        </is>
      </c>
      <c r="E351" t="n">
        <v>2026</v>
      </c>
      <c r="F351" t="n">
        <v>1</v>
      </c>
      <c r="G351" t="inlineStr">
        <is>
          <t>CITRICOS</t>
        </is>
      </c>
      <c r="H351" t="inlineStr">
        <is>
          <t>NAVELINA</t>
        </is>
      </c>
      <c r="I351" t="n">
        <v>653</v>
      </c>
      <c r="J351" t="n">
        <v>1799</v>
      </c>
      <c r="K351" t="n">
        <v>0</v>
      </c>
      <c r="L351" t="n">
        <v>1799</v>
      </c>
      <c r="M351" t="inlineStr">
        <is>
          <t>Sí</t>
        </is>
      </c>
      <c r="N351" t="inlineStr"/>
      <c r="O351" t="inlineStr">
        <is>
          <t>Informativa</t>
        </is>
      </c>
      <c r="P351" t="inlineStr">
        <is>
          <t>No interviene en el prorrateo</t>
        </is>
      </c>
    </row>
    <row r="352">
      <c r="A352" t="n">
        <v>1395</v>
      </c>
      <c r="B352" t="inlineStr">
        <is>
          <t>AGRICOLA HERMANOS BUIZA S.C.</t>
        </is>
      </c>
      <c r="E352" t="n">
        <v>2026</v>
      </c>
      <c r="F352" t="n">
        <v>1</v>
      </c>
      <c r="G352" t="inlineStr">
        <is>
          <t>CITRICOS</t>
        </is>
      </c>
      <c r="H352" t="inlineStr">
        <is>
          <t>NAVELINA</t>
        </is>
      </c>
      <c r="I352" t="n">
        <v>653</v>
      </c>
      <c r="J352" t="n">
        <v>10480</v>
      </c>
      <c r="K352" t="n">
        <v>0</v>
      </c>
      <c r="L352" t="n">
        <v>10480</v>
      </c>
      <c r="M352" t="inlineStr">
        <is>
          <t>Sí</t>
        </is>
      </c>
      <c r="N352" t="inlineStr"/>
      <c r="O352" t="inlineStr">
        <is>
          <t>Informativa</t>
        </is>
      </c>
      <c r="P352" t="inlineStr">
        <is>
          <t>No interviene en el prorrateo</t>
        </is>
      </c>
    </row>
    <row r="353">
      <c r="A353" t="n">
        <v>1395</v>
      </c>
      <c r="B353" t="inlineStr">
        <is>
          <t>AGRICOLA HERMANOS BUIZA S.C.</t>
        </is>
      </c>
      <c r="E353" t="n">
        <v>2026</v>
      </c>
      <c r="F353" t="n">
        <v>1</v>
      </c>
      <c r="G353" t="inlineStr">
        <is>
          <t>CITRICOS</t>
        </is>
      </c>
      <c r="H353" t="inlineStr">
        <is>
          <t>NAVELINA</t>
        </is>
      </c>
      <c r="I353" t="n">
        <v>653</v>
      </c>
      <c r="J353" t="n">
        <v>10720</v>
      </c>
      <c r="K353" t="n">
        <v>6180</v>
      </c>
      <c r="L353" t="n">
        <v>6180</v>
      </c>
      <c r="M353" t="inlineStr">
        <is>
          <t>Sí</t>
        </is>
      </c>
      <c r="N353" t="inlineStr"/>
      <c r="O353" t="inlineStr">
        <is>
          <t>Informativa</t>
        </is>
      </c>
      <c r="P353" t="inlineStr">
        <is>
          <t>No interviene en el prorrateo</t>
        </is>
      </c>
    </row>
    <row r="354">
      <c r="A354" t="n">
        <v>1395</v>
      </c>
      <c r="B354" t="inlineStr">
        <is>
          <t>AGRICOLA HERMANOS BUIZA S.C.</t>
        </is>
      </c>
      <c r="E354" t="n">
        <v>2026</v>
      </c>
      <c r="F354" t="n">
        <v>1</v>
      </c>
      <c r="G354" t="inlineStr">
        <is>
          <t>CITRICOS</t>
        </is>
      </c>
      <c r="H354" t="inlineStr">
        <is>
          <t>NAVELINA</t>
        </is>
      </c>
      <c r="I354" t="n">
        <v>653</v>
      </c>
      <c r="J354" t="n">
        <v>10430</v>
      </c>
      <c r="K354" t="n">
        <v>0</v>
      </c>
      <c r="L354" t="n">
        <v>10430</v>
      </c>
      <c r="M354" t="inlineStr">
        <is>
          <t>Sí</t>
        </is>
      </c>
      <c r="N354" t="inlineStr"/>
      <c r="O354" t="inlineStr">
        <is>
          <t>Informativa</t>
        </is>
      </c>
      <c r="P354" t="inlineStr">
        <is>
          <t>No interviene en el prorrateo</t>
        </is>
      </c>
    </row>
    <row r="355">
      <c r="A355" t="n">
        <v>1395</v>
      </c>
      <c r="B355" t="inlineStr">
        <is>
          <t>AGRICOLA HERMANOS BUIZA S.C.</t>
        </is>
      </c>
      <c r="E355" t="n">
        <v>2026</v>
      </c>
      <c r="F355" t="n">
        <v>1</v>
      </c>
      <c r="G355" t="inlineStr">
        <is>
          <t>CITRICOS</t>
        </is>
      </c>
      <c r="H355" t="inlineStr">
        <is>
          <t>NAVELINA</t>
        </is>
      </c>
      <c r="I355" t="n">
        <v>653</v>
      </c>
      <c r="J355" t="n">
        <v>11421</v>
      </c>
      <c r="K355" t="n">
        <v>1758</v>
      </c>
      <c r="L355" t="n">
        <v>1758</v>
      </c>
      <c r="M355" t="inlineStr">
        <is>
          <t>Sí</t>
        </is>
      </c>
      <c r="N355" t="inlineStr"/>
      <c r="O355" t="inlineStr">
        <is>
          <t>Informativa</t>
        </is>
      </c>
      <c r="P355" t="inlineStr">
        <is>
          <t>No interviene en el prorrateo</t>
        </is>
      </c>
    </row>
    <row r="356">
      <c r="A356" t="n">
        <v>1395</v>
      </c>
      <c r="B356" t="inlineStr">
        <is>
          <t>AGRICOLA HERMANOS BUIZA S.C.</t>
        </is>
      </c>
      <c r="E356" t="n">
        <v>2026</v>
      </c>
      <c r="F356" t="n">
        <v>1</v>
      </c>
      <c r="G356" t="inlineStr">
        <is>
          <t>CITRICOS</t>
        </is>
      </c>
      <c r="H356" t="inlineStr">
        <is>
          <t>NAVELINA</t>
        </is>
      </c>
      <c r="I356" t="n">
        <v>653</v>
      </c>
      <c r="J356" t="n">
        <v>13392</v>
      </c>
      <c r="K356" t="n">
        <v>4184</v>
      </c>
      <c r="L356" t="n">
        <v>4184</v>
      </c>
      <c r="M356" t="inlineStr">
        <is>
          <t>Sí</t>
        </is>
      </c>
      <c r="N356" t="inlineStr"/>
      <c r="O356" t="inlineStr">
        <is>
          <t>Informativa</t>
        </is>
      </c>
      <c r="P356" t="inlineStr">
        <is>
          <t>No interviene en el prorrateo</t>
        </is>
      </c>
    </row>
    <row r="357">
      <c r="A357" t="n">
        <v>1395</v>
      </c>
      <c r="B357" t="inlineStr">
        <is>
          <t>AGRICOLA HERMANOS BUIZA S.C.</t>
        </is>
      </c>
      <c r="E357" t="n">
        <v>2026</v>
      </c>
      <c r="F357" t="n">
        <v>1</v>
      </c>
      <c r="G357" t="inlineStr">
        <is>
          <t>CITRICOS</t>
        </is>
      </c>
      <c r="H357" t="inlineStr">
        <is>
          <t>NAVELINA</t>
        </is>
      </c>
      <c r="I357" t="n">
        <v>653</v>
      </c>
      <c r="J357" t="n">
        <v>6250</v>
      </c>
      <c r="K357" t="n">
        <v>0</v>
      </c>
      <c r="L357" t="n">
        <v>6250</v>
      </c>
      <c r="M357" t="inlineStr">
        <is>
          <t>Sí</t>
        </is>
      </c>
      <c r="N357" t="inlineStr"/>
      <c r="O357" t="inlineStr">
        <is>
          <t>Informativa</t>
        </is>
      </c>
      <c r="P357" t="inlineStr">
        <is>
          <t>No interviene en el prorrateo</t>
        </is>
      </c>
    </row>
    <row r="358">
      <c r="A358" t="n">
        <v>1395</v>
      </c>
      <c r="B358" t="inlineStr">
        <is>
          <t>AGRICOLA HERMANOS BUIZA S.C.</t>
        </is>
      </c>
      <c r="E358" t="n">
        <v>2026</v>
      </c>
      <c r="F358" t="n">
        <v>1</v>
      </c>
      <c r="G358" t="inlineStr">
        <is>
          <t>CITRICOS</t>
        </is>
      </c>
      <c r="H358" t="inlineStr">
        <is>
          <t>NAVELINA</t>
        </is>
      </c>
      <c r="I358" t="n">
        <v>653</v>
      </c>
      <c r="J358" t="n">
        <v>441</v>
      </c>
      <c r="K358" t="n">
        <v>0</v>
      </c>
      <c r="L358" t="n">
        <v>441</v>
      </c>
      <c r="M358" t="inlineStr">
        <is>
          <t>Sí</t>
        </is>
      </c>
      <c r="N358" t="inlineStr"/>
      <c r="O358" t="inlineStr">
        <is>
          <t>Informativa</t>
        </is>
      </c>
      <c r="P358" t="inlineStr">
        <is>
          <t>No interviene en el prorrateo</t>
        </is>
      </c>
    </row>
    <row r="359">
      <c r="A359" t="n">
        <v>1395</v>
      </c>
      <c r="B359" t="inlineStr">
        <is>
          <t>AGRICOLA HERMANOS BUIZA S.C.</t>
        </is>
      </c>
      <c r="E359" t="n">
        <v>2026</v>
      </c>
      <c r="F359" t="n">
        <v>1</v>
      </c>
      <c r="G359" t="inlineStr">
        <is>
          <t>CITRICOS</t>
        </is>
      </c>
      <c r="H359" t="inlineStr">
        <is>
          <t>SALUSTIANA</t>
        </is>
      </c>
      <c r="I359" t="n">
        <v>654</v>
      </c>
      <c r="J359" t="n">
        <v>10660</v>
      </c>
      <c r="K359" t="n">
        <v>0</v>
      </c>
      <c r="L359" t="n">
        <v>10660</v>
      </c>
      <c r="M359" t="inlineStr">
        <is>
          <t>Sí</t>
        </is>
      </c>
      <c r="N359" t="inlineStr"/>
      <c r="O359" t="inlineStr">
        <is>
          <t>Informativa</t>
        </is>
      </c>
      <c r="P359" t="inlineStr">
        <is>
          <t>No interviene en el prorrateo</t>
        </is>
      </c>
    </row>
    <row r="360">
      <c r="A360" t="n">
        <v>1395</v>
      </c>
      <c r="B360" t="inlineStr">
        <is>
          <t>AGRICOLA HERMANOS BUIZA S.C.</t>
        </is>
      </c>
      <c r="E360" t="n">
        <v>2026</v>
      </c>
      <c r="F360" t="n">
        <v>1</v>
      </c>
      <c r="G360" t="inlineStr">
        <is>
          <t>CITRICOS</t>
        </is>
      </c>
      <c r="H360" t="inlineStr">
        <is>
          <t>SALUSTIANA</t>
        </is>
      </c>
      <c r="I360" t="n">
        <v>654</v>
      </c>
      <c r="J360" t="n">
        <v>14400</v>
      </c>
      <c r="K360" t="n">
        <v>0</v>
      </c>
      <c r="L360" t="n">
        <v>14400</v>
      </c>
      <c r="M360" t="inlineStr">
        <is>
          <t>Sí</t>
        </is>
      </c>
      <c r="N360" t="inlineStr"/>
      <c r="O360" t="inlineStr">
        <is>
          <t>Informativa</t>
        </is>
      </c>
      <c r="P360" t="inlineStr">
        <is>
          <t>No interviene en el prorrateo</t>
        </is>
      </c>
    </row>
    <row r="361">
      <c r="A361" t="n">
        <v>1395</v>
      </c>
      <c r="B361" t="inlineStr">
        <is>
          <t>AGRICOLA HERMANOS BUIZA S.C.</t>
        </is>
      </c>
      <c r="E361" t="n">
        <v>2026</v>
      </c>
      <c r="F361" t="n">
        <v>1</v>
      </c>
      <c r="G361" t="inlineStr">
        <is>
          <t>CITRICOS</t>
        </is>
      </c>
      <c r="H361" t="inlineStr">
        <is>
          <t>SALUSTIANA</t>
        </is>
      </c>
      <c r="I361" t="n">
        <v>654</v>
      </c>
      <c r="J361" t="n">
        <v>10160</v>
      </c>
      <c r="K361" t="n">
        <v>0</v>
      </c>
      <c r="L361" t="n">
        <v>10160</v>
      </c>
      <c r="M361" t="inlineStr">
        <is>
          <t>Sí</t>
        </is>
      </c>
      <c r="N361" t="inlineStr"/>
      <c r="O361" t="inlineStr">
        <is>
          <t>Informativa</t>
        </is>
      </c>
      <c r="P361" t="inlineStr">
        <is>
          <t>No interviene en el prorrateo</t>
        </is>
      </c>
    </row>
    <row r="362">
      <c r="A362" t="n">
        <v>1395</v>
      </c>
      <c r="B362" t="inlineStr">
        <is>
          <t>AGRICOLA HERMANOS BUIZA S.C.</t>
        </is>
      </c>
      <c r="E362" t="n">
        <v>2026</v>
      </c>
      <c r="F362" t="n">
        <v>1</v>
      </c>
      <c r="G362" t="inlineStr">
        <is>
          <t>CITRICOS</t>
        </is>
      </c>
      <c r="H362" t="inlineStr">
        <is>
          <t>SALUSTIANA</t>
        </is>
      </c>
      <c r="I362" t="n">
        <v>654</v>
      </c>
      <c r="J362" t="n">
        <v>10240</v>
      </c>
      <c r="K362" t="n">
        <v>0</v>
      </c>
      <c r="L362" t="n">
        <v>10240</v>
      </c>
      <c r="M362" t="inlineStr">
        <is>
          <t>Sí</t>
        </is>
      </c>
      <c r="N362" t="inlineStr"/>
      <c r="O362" t="inlineStr">
        <is>
          <t>Informativa</t>
        </is>
      </c>
      <c r="P362" t="inlineStr">
        <is>
          <t>No interviene en el prorrateo</t>
        </is>
      </c>
    </row>
    <row r="363">
      <c r="A363" t="n">
        <v>1395</v>
      </c>
      <c r="B363" t="inlineStr">
        <is>
          <t>AGRICOLA HERMANOS BUIZA S.C.</t>
        </is>
      </c>
      <c r="E363" t="n">
        <v>2026</v>
      </c>
      <c r="F363" t="n">
        <v>1</v>
      </c>
      <c r="G363" t="inlineStr">
        <is>
          <t>CITRICOS</t>
        </is>
      </c>
      <c r="H363" t="inlineStr">
        <is>
          <t>SALUSTIANA</t>
        </is>
      </c>
      <c r="I363" t="n">
        <v>654</v>
      </c>
      <c r="J363" t="n">
        <v>14220</v>
      </c>
      <c r="K363" t="n">
        <v>0</v>
      </c>
      <c r="L363" t="n">
        <v>14220</v>
      </c>
      <c r="M363" t="inlineStr">
        <is>
          <t>Sí</t>
        </is>
      </c>
      <c r="N363" t="inlineStr"/>
      <c r="O363" t="inlineStr">
        <is>
          <t>Informativa</t>
        </is>
      </c>
      <c r="P363" t="inlineStr">
        <is>
          <t>No interviene en el prorrateo</t>
        </is>
      </c>
    </row>
    <row r="364">
      <c r="A364" t="n">
        <v>1395</v>
      </c>
      <c r="B364" t="inlineStr">
        <is>
          <t>AGRICOLA HERMANOS BUIZA S.C.</t>
        </is>
      </c>
      <c r="E364" t="n">
        <v>2026</v>
      </c>
      <c r="F364" t="n">
        <v>1</v>
      </c>
      <c r="G364" t="inlineStr">
        <is>
          <t>CITRICOS</t>
        </is>
      </c>
      <c r="H364" t="inlineStr">
        <is>
          <t>SALUSTIANA</t>
        </is>
      </c>
      <c r="I364" t="n">
        <v>654</v>
      </c>
      <c r="J364" t="n">
        <v>14120</v>
      </c>
      <c r="K364" t="n">
        <v>0</v>
      </c>
      <c r="L364" t="n">
        <v>14120</v>
      </c>
      <c r="M364" t="inlineStr">
        <is>
          <t>Sí</t>
        </is>
      </c>
      <c r="N364" t="inlineStr"/>
      <c r="O364" t="inlineStr">
        <is>
          <t>Informativa</t>
        </is>
      </c>
      <c r="P364" t="inlineStr">
        <is>
          <t>No interviene en el prorrateo</t>
        </is>
      </c>
    </row>
    <row r="365">
      <c r="A365" t="n">
        <v>1395</v>
      </c>
      <c r="B365" t="inlineStr">
        <is>
          <t>AGRICOLA HERMANOS BUIZA S.C.</t>
        </is>
      </c>
      <c r="E365" t="n">
        <v>2026</v>
      </c>
      <c r="F365" t="n">
        <v>1</v>
      </c>
      <c r="G365" t="inlineStr">
        <is>
          <t>CITRICOS</t>
        </is>
      </c>
      <c r="H365" t="inlineStr">
        <is>
          <t>SALUSTIANA</t>
        </is>
      </c>
      <c r="I365" t="n">
        <v>654</v>
      </c>
      <c r="J365" t="n">
        <v>8650</v>
      </c>
      <c r="K365" t="n">
        <v>0</v>
      </c>
      <c r="L365" t="n">
        <v>8650</v>
      </c>
      <c r="M365" t="inlineStr">
        <is>
          <t>Sí</t>
        </is>
      </c>
      <c r="N365" t="inlineStr"/>
      <c r="O365" t="inlineStr">
        <is>
          <t>Informativa</t>
        </is>
      </c>
      <c r="P365" t="inlineStr">
        <is>
          <t>No interviene en el prorrateo</t>
        </is>
      </c>
    </row>
    <row r="366">
      <c r="A366" t="n">
        <v>1395</v>
      </c>
      <c r="B366" t="inlineStr">
        <is>
          <t>AGRICOLA HERMANOS BUIZA S.C.</t>
        </is>
      </c>
      <c r="E366" t="n">
        <v>2026</v>
      </c>
      <c r="F366" t="n">
        <v>1</v>
      </c>
      <c r="G366" t="inlineStr">
        <is>
          <t>CITRICOS</t>
        </is>
      </c>
      <c r="H366" t="inlineStr">
        <is>
          <t>SALUSTIANA</t>
        </is>
      </c>
      <c r="I366" t="n">
        <v>654</v>
      </c>
      <c r="J366" t="n">
        <v>10140</v>
      </c>
      <c r="K366" t="n">
        <v>9405</v>
      </c>
      <c r="L366" t="n">
        <v>9405</v>
      </c>
      <c r="M366" t="inlineStr">
        <is>
          <t>Sí</t>
        </is>
      </c>
      <c r="N366" t="inlineStr"/>
      <c r="O366" t="inlineStr">
        <is>
          <t>Informativa</t>
        </is>
      </c>
      <c r="P366" t="inlineStr">
        <is>
          <t>No interviene en el prorrateo</t>
        </is>
      </c>
    </row>
    <row r="367">
      <c r="A367" t="n">
        <v>1395</v>
      </c>
      <c r="B367" t="inlineStr">
        <is>
          <t>AGRICOLA HERMANOS BUIZA S.C.</t>
        </is>
      </c>
      <c r="E367" t="n">
        <v>2026</v>
      </c>
      <c r="F367" t="n">
        <v>1</v>
      </c>
      <c r="G367" t="inlineStr">
        <is>
          <t>DIRECTO</t>
        </is>
      </c>
      <c r="H367" t="inlineStr">
        <is>
          <t>NAVEL POWEL</t>
        </is>
      </c>
      <c r="I367" t="n">
        <v>542</v>
      </c>
      <c r="J367" t="n">
        <v>20800</v>
      </c>
      <c r="K367" t="n">
        <v>0</v>
      </c>
      <c r="L367" t="n">
        <v>20800</v>
      </c>
      <c r="M367" t="inlineStr">
        <is>
          <t>Sí</t>
        </is>
      </c>
      <c r="N367" t="inlineStr"/>
      <c r="O367" t="inlineStr">
        <is>
          <t>Informativa</t>
        </is>
      </c>
      <c r="P367" t="inlineStr">
        <is>
          <t>No interviene en el prorrateo</t>
        </is>
      </c>
    </row>
    <row r="368">
      <c r="A368" t="n">
        <v>1395</v>
      </c>
      <c r="B368" t="inlineStr">
        <is>
          <t>AGRICOLA HERMANOS BUIZA S.C.</t>
        </is>
      </c>
      <c r="E368" t="n">
        <v>2026</v>
      </c>
      <c r="F368" t="n">
        <v>1</v>
      </c>
      <c r="G368" t="inlineStr">
        <is>
          <t>DIRECTO</t>
        </is>
      </c>
      <c r="H368" t="inlineStr">
        <is>
          <t>NAVEL POWEL</t>
        </is>
      </c>
      <c r="I368" t="n">
        <v>542</v>
      </c>
      <c r="J368" t="n">
        <v>20840</v>
      </c>
      <c r="K368" t="n">
        <v>0</v>
      </c>
      <c r="L368" t="n">
        <v>20840</v>
      </c>
      <c r="M368" t="inlineStr">
        <is>
          <t>Sí</t>
        </is>
      </c>
      <c r="N368" t="inlineStr"/>
      <c r="O368" t="inlineStr">
        <is>
          <t>Informativa</t>
        </is>
      </c>
      <c r="P368" t="inlineStr">
        <is>
          <t>No interviene en el prorrateo</t>
        </is>
      </c>
    </row>
    <row r="369">
      <c r="A369" t="n">
        <v>1395</v>
      </c>
      <c r="B369" t="inlineStr">
        <is>
          <t>AGRICOLA HERMANOS BUIZA S.C.</t>
        </is>
      </c>
      <c r="E369" t="n">
        <v>2026</v>
      </c>
      <c r="F369" t="n">
        <v>1</v>
      </c>
      <c r="G369" t="inlineStr">
        <is>
          <t>DIRECTO</t>
        </is>
      </c>
      <c r="H369" t="inlineStr">
        <is>
          <t>NAVEL POWEL</t>
        </is>
      </c>
      <c r="I369" t="n">
        <v>542</v>
      </c>
      <c r="J369" t="n">
        <v>26740</v>
      </c>
      <c r="K369" t="n">
        <v>0</v>
      </c>
      <c r="L369" t="n">
        <v>26740</v>
      </c>
      <c r="M369" t="inlineStr">
        <is>
          <t>Sí</t>
        </is>
      </c>
      <c r="N369" t="inlineStr"/>
      <c r="O369" t="inlineStr">
        <is>
          <t>Informativa</t>
        </is>
      </c>
      <c r="P369" t="inlineStr">
        <is>
          <t>No interviene en el prorrateo</t>
        </is>
      </c>
    </row>
    <row r="370">
      <c r="A370" t="n">
        <v>1395</v>
      </c>
      <c r="B370" t="inlineStr">
        <is>
          <t>AGRICOLA HERMANOS BUIZA S.C.</t>
        </is>
      </c>
      <c r="E370" t="n">
        <v>2026</v>
      </c>
      <c r="F370" t="n">
        <v>1</v>
      </c>
      <c r="G370" t="inlineStr">
        <is>
          <t>INDUSTRIA</t>
        </is>
      </c>
      <c r="H370" t="inlineStr">
        <is>
          <t>NAVELINA</t>
        </is>
      </c>
      <c r="I370" t="n">
        <v>653</v>
      </c>
      <c r="J370" t="n">
        <v>11445</v>
      </c>
      <c r="K370" t="n">
        <v>325</v>
      </c>
      <c r="L370" t="n">
        <v>325</v>
      </c>
      <c r="M370" t="inlineStr">
        <is>
          <t>Sí</t>
        </is>
      </c>
      <c r="N370" t="inlineStr"/>
      <c r="O370" t="inlineStr">
        <is>
          <t>Informativa</t>
        </is>
      </c>
      <c r="P370" t="inlineStr">
        <is>
          <t>No interviene en el prorrateo</t>
        </is>
      </c>
    </row>
    <row r="371">
      <c r="A371" t="n">
        <v>1411</v>
      </c>
      <c r="B371" t="inlineStr">
        <is>
          <t>HERMANOS PEÑA GRIÑAN S.C.</t>
        </is>
      </c>
      <c r="E371" t="n">
        <v>2026</v>
      </c>
      <c r="F371" t="n">
        <v>1</v>
      </c>
      <c r="G371" t="inlineStr">
        <is>
          <t>CITRICOS</t>
        </is>
      </c>
      <c r="H371" t="inlineStr">
        <is>
          <t>SALUSTIANA</t>
        </is>
      </c>
      <c r="I371" t="n">
        <v>1009</v>
      </c>
      <c r="J371" t="n">
        <v>24900</v>
      </c>
      <c r="K371" t="n">
        <v>8286</v>
      </c>
      <c r="L371" t="n">
        <v>8286</v>
      </c>
      <c r="M371" t="inlineStr">
        <is>
          <t>Sí</t>
        </is>
      </c>
      <c r="N371" t="inlineStr"/>
      <c r="O371" t="inlineStr">
        <is>
          <t>Informativa</t>
        </is>
      </c>
      <c r="P371" t="inlineStr">
        <is>
          <t>No interviene en el prorrateo</t>
        </is>
      </c>
    </row>
    <row r="372">
      <c r="A372" t="n">
        <v>1411</v>
      </c>
      <c r="B372" t="inlineStr">
        <is>
          <t>HERMANOS PEÑA GRIÑAN S.C.</t>
        </is>
      </c>
      <c r="E372" t="n">
        <v>2026</v>
      </c>
      <c r="F372" t="n">
        <v>1</v>
      </c>
      <c r="G372" t="inlineStr">
        <is>
          <t>CITRICOS</t>
        </is>
      </c>
      <c r="H372" t="inlineStr">
        <is>
          <t>NAVELINA</t>
        </is>
      </c>
      <c r="I372" t="n">
        <v>1008</v>
      </c>
      <c r="J372" t="n">
        <v>8551</v>
      </c>
      <c r="K372" t="n">
        <v>0</v>
      </c>
      <c r="L372" t="n">
        <v>8551</v>
      </c>
      <c r="M372" t="inlineStr">
        <is>
          <t>Sí</t>
        </is>
      </c>
      <c r="N372" t="inlineStr"/>
      <c r="O372" t="inlineStr">
        <is>
          <t>Informativa</t>
        </is>
      </c>
      <c r="P372" t="inlineStr">
        <is>
          <t>No interviene en el prorrateo</t>
        </is>
      </c>
    </row>
    <row r="373">
      <c r="A373" t="n">
        <v>1411</v>
      </c>
      <c r="B373" t="inlineStr">
        <is>
          <t>HERMANOS PEÑA GRIÑAN S.C.</t>
        </is>
      </c>
      <c r="E373" t="n">
        <v>2026</v>
      </c>
      <c r="F373" t="n">
        <v>1</v>
      </c>
      <c r="G373" t="inlineStr">
        <is>
          <t>CITRICOS</t>
        </is>
      </c>
      <c r="H373" t="inlineStr">
        <is>
          <t>NAVELINA</t>
        </is>
      </c>
      <c r="I373" t="n">
        <v>1008</v>
      </c>
      <c r="J373" t="n">
        <v>23125</v>
      </c>
      <c r="K373" t="n">
        <v>17563</v>
      </c>
      <c r="L373" t="n">
        <v>17563</v>
      </c>
      <c r="M373" t="inlineStr">
        <is>
          <t>Sí</t>
        </is>
      </c>
      <c r="N373" t="inlineStr"/>
      <c r="O373" t="inlineStr">
        <is>
          <t>Informativa</t>
        </is>
      </c>
      <c r="P373" t="inlineStr">
        <is>
          <t>No interviene en el prorrateo</t>
        </is>
      </c>
    </row>
    <row r="374">
      <c r="A374" t="n">
        <v>1411</v>
      </c>
      <c r="B374" t="inlineStr">
        <is>
          <t>HERMANOS PEÑA GRIÑAN S.C.</t>
        </is>
      </c>
      <c r="E374" t="n">
        <v>2026</v>
      </c>
      <c r="F374" t="n">
        <v>1</v>
      </c>
      <c r="G374" t="inlineStr">
        <is>
          <t>CITRICOS</t>
        </is>
      </c>
      <c r="H374" t="inlineStr">
        <is>
          <t>SALUSTIANA</t>
        </is>
      </c>
      <c r="I374" t="n">
        <v>1009</v>
      </c>
      <c r="J374" t="n">
        <v>25285</v>
      </c>
      <c r="K374" t="n">
        <v>4488</v>
      </c>
      <c r="L374" t="n">
        <v>4488</v>
      </c>
      <c r="M374" t="inlineStr">
        <is>
          <t>Sí</t>
        </is>
      </c>
      <c r="N374" t="inlineStr"/>
      <c r="O374" t="inlineStr">
        <is>
          <t>Informativa</t>
        </is>
      </c>
      <c r="P374" t="inlineStr">
        <is>
          <t>No interviene en el prorrateo</t>
        </is>
      </c>
    </row>
    <row r="375">
      <c r="A375" t="n">
        <v>1411</v>
      </c>
      <c r="B375" t="inlineStr">
        <is>
          <t>HERMANOS PEÑA GRIÑAN S.C.</t>
        </is>
      </c>
      <c r="E375" t="n">
        <v>2026</v>
      </c>
      <c r="F375" t="n">
        <v>1</v>
      </c>
      <c r="G375" t="inlineStr">
        <is>
          <t>CITRICOS</t>
        </is>
      </c>
      <c r="H375" t="inlineStr">
        <is>
          <t>NAVELINA</t>
        </is>
      </c>
      <c r="I375" t="n">
        <v>1008</v>
      </c>
      <c r="J375" t="n">
        <v>24030</v>
      </c>
      <c r="K375" t="n">
        <v>16314</v>
      </c>
      <c r="L375" t="n">
        <v>16314</v>
      </c>
      <c r="M375" t="inlineStr">
        <is>
          <t>Sí</t>
        </is>
      </c>
      <c r="N375" t="inlineStr"/>
      <c r="O375" t="inlineStr">
        <is>
          <t>Informativa</t>
        </is>
      </c>
      <c r="P375" t="inlineStr">
        <is>
          <t>No interviene en el prorrateo</t>
        </is>
      </c>
    </row>
    <row r="376">
      <c r="A376" t="n">
        <v>1411</v>
      </c>
      <c r="B376" t="inlineStr">
        <is>
          <t>HERMANOS PEÑA GRIÑAN S.C.</t>
        </is>
      </c>
      <c r="E376" t="n">
        <v>2026</v>
      </c>
      <c r="F376" t="n">
        <v>1</v>
      </c>
      <c r="G376" t="inlineStr">
        <is>
          <t>CITRICOS</t>
        </is>
      </c>
      <c r="H376" t="inlineStr">
        <is>
          <t>NAVELINA</t>
        </is>
      </c>
      <c r="I376" t="n">
        <v>1008</v>
      </c>
      <c r="J376" t="n">
        <v>2215</v>
      </c>
      <c r="K376" t="n">
        <v>0</v>
      </c>
      <c r="L376" t="n">
        <v>2215</v>
      </c>
      <c r="M376" t="inlineStr">
        <is>
          <t>Sí</t>
        </is>
      </c>
      <c r="N376" t="inlineStr"/>
      <c r="O376" t="inlineStr">
        <is>
          <t>Informativa</t>
        </is>
      </c>
      <c r="P376" t="inlineStr">
        <is>
          <t>No interviene en el prorrateo</t>
        </is>
      </c>
    </row>
    <row r="377">
      <c r="A377" t="n">
        <v>1411</v>
      </c>
      <c r="B377" t="inlineStr">
        <is>
          <t>HERMANOS PEÑA GRIÑAN S.C.</t>
        </is>
      </c>
      <c r="E377" t="n">
        <v>2026</v>
      </c>
      <c r="F377" t="n">
        <v>1</v>
      </c>
      <c r="G377" t="inlineStr">
        <is>
          <t>CITRICOS</t>
        </is>
      </c>
      <c r="H377" t="inlineStr">
        <is>
          <t>WASHINGTON</t>
        </is>
      </c>
      <c r="I377" t="n">
        <v>1010</v>
      </c>
      <c r="J377" t="n">
        <v>23664</v>
      </c>
      <c r="K377" t="n">
        <v>2580</v>
      </c>
      <c r="L377" t="n">
        <v>2580</v>
      </c>
      <c r="M377" t="inlineStr">
        <is>
          <t>Sí</t>
        </is>
      </c>
      <c r="N377" t="inlineStr"/>
      <c r="O377" t="inlineStr">
        <is>
          <t>Informativa</t>
        </is>
      </c>
      <c r="P377" t="inlineStr">
        <is>
          <t>No interviene en el prorrateo</t>
        </is>
      </c>
    </row>
    <row r="378">
      <c r="A378" t="n">
        <v>1411</v>
      </c>
      <c r="B378" t="inlineStr">
        <is>
          <t>HERMANOS PEÑA GRIÑAN S.C.</t>
        </is>
      </c>
      <c r="E378" t="n">
        <v>2026</v>
      </c>
      <c r="F378" t="n">
        <v>1</v>
      </c>
      <c r="G378" t="inlineStr">
        <is>
          <t>CITRICOS</t>
        </is>
      </c>
      <c r="H378" t="inlineStr">
        <is>
          <t>NAVELINA</t>
        </is>
      </c>
      <c r="I378" t="n">
        <v>1008</v>
      </c>
      <c r="J378" t="n">
        <v>7403</v>
      </c>
      <c r="K378" t="n">
        <v>0</v>
      </c>
      <c r="L378" t="n">
        <v>7403</v>
      </c>
      <c r="M378" t="inlineStr">
        <is>
          <t>Sí</t>
        </is>
      </c>
      <c r="N378" t="inlineStr"/>
      <c r="O378" t="inlineStr">
        <is>
          <t>Informativa</t>
        </is>
      </c>
      <c r="P378" t="inlineStr">
        <is>
          <t>No interviene en el prorrateo</t>
        </is>
      </c>
    </row>
    <row r="379">
      <c r="A379" t="n">
        <v>1411</v>
      </c>
      <c r="B379" t="inlineStr">
        <is>
          <t>HERMANOS PEÑA GRIÑAN S.C.</t>
        </is>
      </c>
      <c r="E379" t="n">
        <v>2026</v>
      </c>
      <c r="F379" t="n">
        <v>1</v>
      </c>
      <c r="G379" t="inlineStr">
        <is>
          <t>CITRICOS</t>
        </is>
      </c>
      <c r="H379" t="inlineStr">
        <is>
          <t>NAVELINA</t>
        </is>
      </c>
      <c r="I379" t="n">
        <v>1008</v>
      </c>
      <c r="J379" t="n">
        <v>21710</v>
      </c>
      <c r="K379" t="n">
        <v>16142</v>
      </c>
      <c r="L379" t="n">
        <v>16142</v>
      </c>
      <c r="M379" t="inlineStr">
        <is>
          <t>Sí</t>
        </is>
      </c>
      <c r="N379" t="inlineStr"/>
      <c r="O379" t="inlineStr">
        <is>
          <t>Informativa</t>
        </is>
      </c>
      <c r="P379" t="inlineStr">
        <is>
          <t>No interviene en el prorrateo</t>
        </is>
      </c>
    </row>
    <row r="380">
      <c r="A380" t="n">
        <v>1411</v>
      </c>
      <c r="B380" t="inlineStr">
        <is>
          <t>HERMANOS PEÑA GRIÑAN S.C.</t>
        </is>
      </c>
      <c r="E380" t="n">
        <v>2026</v>
      </c>
      <c r="F380" t="n">
        <v>1</v>
      </c>
      <c r="G380" t="inlineStr">
        <is>
          <t>CITRICOS</t>
        </is>
      </c>
      <c r="H380" t="inlineStr">
        <is>
          <t>WASHINGTON</t>
        </is>
      </c>
      <c r="I380" t="n">
        <v>1010</v>
      </c>
      <c r="J380" t="n">
        <v>23384</v>
      </c>
      <c r="K380" t="n">
        <v>6019</v>
      </c>
      <c r="L380" t="n">
        <v>6019</v>
      </c>
      <c r="M380" t="inlineStr">
        <is>
          <t>Sí</t>
        </is>
      </c>
      <c r="N380" t="inlineStr"/>
      <c r="O380" t="inlineStr">
        <is>
          <t>Informativa</t>
        </is>
      </c>
      <c r="P380" t="inlineStr">
        <is>
          <t>No interviene en el prorrateo</t>
        </is>
      </c>
    </row>
    <row r="381">
      <c r="A381" t="n">
        <v>1411</v>
      </c>
      <c r="B381" t="inlineStr">
        <is>
          <t>HERMANOS PEÑA GRIÑAN S.C.</t>
        </is>
      </c>
      <c r="E381" t="n">
        <v>2026</v>
      </c>
      <c r="F381" t="n">
        <v>1</v>
      </c>
      <c r="G381" t="inlineStr">
        <is>
          <t>CITRICOS</t>
        </is>
      </c>
      <c r="H381" t="inlineStr">
        <is>
          <t>SALUSTIANA</t>
        </is>
      </c>
      <c r="I381" t="n">
        <v>1009</v>
      </c>
      <c r="J381" t="n">
        <v>22150</v>
      </c>
      <c r="K381" t="n">
        <v>15509</v>
      </c>
      <c r="L381" t="n">
        <v>15509</v>
      </c>
      <c r="M381" t="inlineStr">
        <is>
          <t>Sí</t>
        </is>
      </c>
      <c r="N381" t="inlineStr"/>
      <c r="O381" t="inlineStr">
        <is>
          <t>Informativa</t>
        </is>
      </c>
      <c r="P381" t="inlineStr">
        <is>
          <t>No interviene en el prorrateo</t>
        </is>
      </c>
    </row>
    <row r="382">
      <c r="A382" t="n">
        <v>1411</v>
      </c>
      <c r="B382" t="inlineStr">
        <is>
          <t>HERMANOS PEÑA GRIÑAN S.C.</t>
        </is>
      </c>
      <c r="E382" t="n">
        <v>2026</v>
      </c>
      <c r="F382" t="n">
        <v>1</v>
      </c>
      <c r="G382" t="inlineStr">
        <is>
          <t>CITRICOS</t>
        </is>
      </c>
      <c r="H382" t="inlineStr">
        <is>
          <t>NAVELINA</t>
        </is>
      </c>
      <c r="I382" t="n">
        <v>1008</v>
      </c>
      <c r="J382" t="n">
        <v>3989</v>
      </c>
      <c r="K382" t="n">
        <v>0</v>
      </c>
      <c r="L382" t="n">
        <v>3989</v>
      </c>
      <c r="M382" t="inlineStr">
        <is>
          <t>Sí</t>
        </is>
      </c>
      <c r="N382" t="inlineStr"/>
      <c r="O382" t="inlineStr">
        <is>
          <t>Informativa</t>
        </is>
      </c>
      <c r="P382" t="inlineStr">
        <is>
          <t>No interviene en el prorrateo</t>
        </is>
      </c>
    </row>
    <row r="383">
      <c r="A383" t="n">
        <v>1411</v>
      </c>
      <c r="B383" t="inlineStr">
        <is>
          <t>HERMANOS PEÑA GRIÑAN S.C.</t>
        </is>
      </c>
      <c r="E383" t="n">
        <v>2026</v>
      </c>
      <c r="F383" t="n">
        <v>1</v>
      </c>
      <c r="G383" t="inlineStr">
        <is>
          <t>CITRICOS</t>
        </is>
      </c>
      <c r="H383" t="inlineStr">
        <is>
          <t>NAVELINA</t>
        </is>
      </c>
      <c r="I383" t="n">
        <v>1008</v>
      </c>
      <c r="J383" t="n">
        <v>25560</v>
      </c>
      <c r="K383" t="n">
        <v>3058</v>
      </c>
      <c r="L383" t="n">
        <v>3058</v>
      </c>
      <c r="M383" t="inlineStr">
        <is>
          <t>Sí</t>
        </is>
      </c>
      <c r="N383" t="inlineStr"/>
      <c r="O383" t="inlineStr">
        <is>
          <t>Informativa</t>
        </is>
      </c>
      <c r="P383" t="inlineStr">
        <is>
          <t>No interviene en el prorrateo</t>
        </is>
      </c>
    </row>
    <row r="384">
      <c r="A384" t="n">
        <v>1411</v>
      </c>
      <c r="B384" t="inlineStr">
        <is>
          <t>HERMANOS PEÑA GRIÑAN S.C.</t>
        </is>
      </c>
      <c r="E384" t="n">
        <v>2026</v>
      </c>
      <c r="F384" t="n">
        <v>1</v>
      </c>
      <c r="G384" t="inlineStr">
        <is>
          <t>CITRICOS</t>
        </is>
      </c>
      <c r="H384" t="inlineStr">
        <is>
          <t>NAVELINA</t>
        </is>
      </c>
      <c r="I384" t="n">
        <v>1008</v>
      </c>
      <c r="J384" t="n">
        <v>848</v>
      </c>
      <c r="K384" t="n">
        <v>0</v>
      </c>
      <c r="L384" t="n">
        <v>848</v>
      </c>
      <c r="M384" t="inlineStr">
        <is>
          <t>Sí</t>
        </is>
      </c>
      <c r="N384" t="inlineStr"/>
      <c r="O384" t="inlineStr">
        <is>
          <t>Informativa</t>
        </is>
      </c>
      <c r="P384" t="inlineStr">
        <is>
          <t>No interviene en el prorrateo</t>
        </is>
      </c>
    </row>
    <row r="385">
      <c r="A385" t="n">
        <v>1411</v>
      </c>
      <c r="B385" t="inlineStr">
        <is>
          <t>HERMANOS PEÑA GRIÑAN S.C.</t>
        </is>
      </c>
      <c r="E385" t="n">
        <v>2026</v>
      </c>
      <c r="F385" t="n">
        <v>1</v>
      </c>
      <c r="G385" t="inlineStr">
        <is>
          <t>CITRICOS</t>
        </is>
      </c>
      <c r="H385" t="inlineStr">
        <is>
          <t>NAVELINA</t>
        </is>
      </c>
      <c r="I385" t="n">
        <v>1008</v>
      </c>
      <c r="J385" t="n">
        <v>15665</v>
      </c>
      <c r="K385" t="n">
        <v>12826</v>
      </c>
      <c r="L385" t="n">
        <v>12826</v>
      </c>
      <c r="M385" t="inlineStr">
        <is>
          <t>Sí</t>
        </is>
      </c>
      <c r="N385" t="inlineStr"/>
      <c r="O385" t="inlineStr">
        <is>
          <t>Informativa</t>
        </is>
      </c>
      <c r="P385" t="inlineStr">
        <is>
          <t>No interviene en el prorrateo</t>
        </is>
      </c>
    </row>
    <row r="386">
      <c r="A386" t="n">
        <v>1411</v>
      </c>
      <c r="B386" t="inlineStr">
        <is>
          <t>HERMANOS PEÑA GRIÑAN S.C.</t>
        </is>
      </c>
      <c r="E386" t="n">
        <v>2026</v>
      </c>
      <c r="F386" t="n">
        <v>1</v>
      </c>
      <c r="G386" t="inlineStr">
        <is>
          <t>CITRICOS</t>
        </is>
      </c>
      <c r="H386" t="inlineStr">
        <is>
          <t>NAVELINA</t>
        </is>
      </c>
      <c r="I386" t="n">
        <v>1008</v>
      </c>
      <c r="J386" t="n">
        <v>623</v>
      </c>
      <c r="K386" t="n">
        <v>0</v>
      </c>
      <c r="L386" t="n">
        <v>623</v>
      </c>
      <c r="M386" t="inlineStr">
        <is>
          <t>Sí</t>
        </is>
      </c>
      <c r="N386" t="inlineStr"/>
      <c r="O386" t="inlineStr">
        <is>
          <t>Informativa</t>
        </is>
      </c>
      <c r="P386" t="inlineStr">
        <is>
          <t>No interviene en el prorrateo</t>
        </is>
      </c>
    </row>
    <row r="387">
      <c r="A387" t="n">
        <v>1411</v>
      </c>
      <c r="B387" t="inlineStr">
        <is>
          <t>HERMANOS PEÑA GRIÑAN S.C.</t>
        </is>
      </c>
      <c r="E387" t="n">
        <v>2026</v>
      </c>
      <c r="F387" t="n">
        <v>1</v>
      </c>
      <c r="G387" t="inlineStr">
        <is>
          <t>CITRICOS</t>
        </is>
      </c>
      <c r="H387" t="inlineStr">
        <is>
          <t>SALUSTIANA</t>
        </is>
      </c>
      <c r="I387" t="n">
        <v>1009</v>
      </c>
      <c r="J387" t="n">
        <v>23841</v>
      </c>
      <c r="K387" t="n">
        <v>7001</v>
      </c>
      <c r="L387" t="n">
        <v>7001</v>
      </c>
      <c r="M387" t="inlineStr">
        <is>
          <t>Sí</t>
        </is>
      </c>
      <c r="N387" t="inlineStr"/>
      <c r="O387" t="inlineStr">
        <is>
          <t>Informativa</t>
        </is>
      </c>
      <c r="P387" t="inlineStr">
        <is>
          <t>No interviene en el prorrateo</t>
        </is>
      </c>
    </row>
    <row r="388">
      <c r="A388" t="n">
        <v>1411</v>
      </c>
      <c r="B388" t="inlineStr">
        <is>
          <t>HERMANOS PEÑA GRIÑAN S.C.</t>
        </is>
      </c>
      <c r="E388" t="n">
        <v>2026</v>
      </c>
      <c r="F388" t="n">
        <v>1</v>
      </c>
      <c r="G388" t="inlineStr">
        <is>
          <t>CITRICOS</t>
        </is>
      </c>
      <c r="H388" t="inlineStr">
        <is>
          <t>SALUSTIANA</t>
        </is>
      </c>
      <c r="I388" t="n">
        <v>1009</v>
      </c>
      <c r="J388" t="n">
        <v>1776</v>
      </c>
      <c r="K388" t="n">
        <v>0</v>
      </c>
      <c r="L388" t="n">
        <v>1776</v>
      </c>
      <c r="M388" t="inlineStr">
        <is>
          <t>Sí</t>
        </is>
      </c>
      <c r="N388" t="inlineStr"/>
      <c r="O388" t="inlineStr">
        <is>
          <t>Informativa</t>
        </is>
      </c>
      <c r="P388" t="inlineStr">
        <is>
          <t>No interviene en el prorrateo</t>
        </is>
      </c>
    </row>
    <row r="389">
      <c r="A389" t="n">
        <v>1411</v>
      </c>
      <c r="B389" t="inlineStr">
        <is>
          <t>HERMANOS PEÑA GRIÑAN S.C.</t>
        </is>
      </c>
      <c r="E389" t="n">
        <v>2026</v>
      </c>
      <c r="F389" t="n">
        <v>1</v>
      </c>
      <c r="G389" t="inlineStr">
        <is>
          <t>CITRICOS</t>
        </is>
      </c>
      <c r="H389" t="inlineStr">
        <is>
          <t>NAVELINA</t>
        </is>
      </c>
      <c r="I389" t="n">
        <v>1008</v>
      </c>
      <c r="J389" t="n">
        <v>4016</v>
      </c>
      <c r="K389" t="n">
        <v>0</v>
      </c>
      <c r="L389" t="n">
        <v>4016</v>
      </c>
      <c r="M389" t="inlineStr">
        <is>
          <t>Sí</t>
        </is>
      </c>
      <c r="N389" t="inlineStr"/>
      <c r="O389" t="inlineStr">
        <is>
          <t>Informativa</t>
        </is>
      </c>
      <c r="P389" t="inlineStr">
        <is>
          <t>No interviene en el prorrateo</t>
        </is>
      </c>
    </row>
    <row r="390">
      <c r="A390" t="n">
        <v>1411</v>
      </c>
      <c r="B390" t="inlineStr">
        <is>
          <t>HERMANOS PEÑA GRIÑAN S.C.</t>
        </is>
      </c>
      <c r="E390" t="n">
        <v>2026</v>
      </c>
      <c r="F390" t="n">
        <v>1</v>
      </c>
      <c r="G390" t="inlineStr">
        <is>
          <t>CITRICOS</t>
        </is>
      </c>
      <c r="H390" t="inlineStr">
        <is>
          <t>NAVELINA</t>
        </is>
      </c>
      <c r="I390" t="n">
        <v>1008</v>
      </c>
      <c r="J390" t="n">
        <v>25210</v>
      </c>
      <c r="K390" t="n">
        <v>6457</v>
      </c>
      <c r="L390" t="n">
        <v>6457</v>
      </c>
      <c r="M390" t="inlineStr">
        <is>
          <t>Sí</t>
        </is>
      </c>
      <c r="N390" t="inlineStr"/>
      <c r="O390" t="inlineStr">
        <is>
          <t>Informativa</t>
        </is>
      </c>
      <c r="P390" t="inlineStr">
        <is>
          <t>No interviene en el prorrateo</t>
        </is>
      </c>
    </row>
    <row r="391">
      <c r="A391" t="n">
        <v>1411</v>
      </c>
      <c r="B391" t="inlineStr">
        <is>
          <t>HERMANOS PEÑA GRIÑAN S.C.</t>
        </is>
      </c>
      <c r="E391" t="n">
        <v>2026</v>
      </c>
      <c r="F391" t="n">
        <v>1</v>
      </c>
      <c r="G391" t="inlineStr">
        <is>
          <t>CITRICOS</t>
        </is>
      </c>
      <c r="H391" t="inlineStr">
        <is>
          <t>NAVELINA</t>
        </is>
      </c>
      <c r="I391" t="n">
        <v>1008</v>
      </c>
      <c r="J391" t="n">
        <v>25035</v>
      </c>
      <c r="K391" t="n">
        <v>8156</v>
      </c>
      <c r="L391" t="n">
        <v>8156</v>
      </c>
      <c r="M391" t="inlineStr">
        <is>
          <t>Sí</t>
        </is>
      </c>
      <c r="N391" t="inlineStr"/>
      <c r="O391" t="inlineStr">
        <is>
          <t>Informativa</t>
        </is>
      </c>
      <c r="P391" t="inlineStr">
        <is>
          <t>No interviene en el prorrateo</t>
        </is>
      </c>
    </row>
    <row r="392">
      <c r="A392" t="n">
        <v>1411</v>
      </c>
      <c r="B392" t="inlineStr">
        <is>
          <t>HERMANOS PEÑA GRIÑAN S.C.</t>
        </is>
      </c>
      <c r="E392" t="n">
        <v>2026</v>
      </c>
      <c r="F392" t="n">
        <v>1</v>
      </c>
      <c r="G392" t="inlineStr">
        <is>
          <t>CITRICOS</t>
        </is>
      </c>
      <c r="H392" t="inlineStr">
        <is>
          <t>SALUSTIANA</t>
        </is>
      </c>
      <c r="I392" t="n">
        <v>1009</v>
      </c>
      <c r="J392" t="n">
        <v>23630</v>
      </c>
      <c r="K392" t="n">
        <v>21142</v>
      </c>
      <c r="L392" t="n">
        <v>21142</v>
      </c>
      <c r="M392" t="inlineStr">
        <is>
          <t>Sí</t>
        </is>
      </c>
      <c r="N392" t="inlineStr"/>
      <c r="O392" t="inlineStr">
        <is>
          <t>Informativa</t>
        </is>
      </c>
      <c r="P392" t="inlineStr">
        <is>
          <t>No interviene en el prorrateo</t>
        </is>
      </c>
    </row>
    <row r="393">
      <c r="A393" t="n">
        <v>1411</v>
      </c>
      <c r="B393" t="inlineStr">
        <is>
          <t>HERMANOS PEÑA GRIÑAN S.C.</t>
        </is>
      </c>
      <c r="E393" t="n">
        <v>2026</v>
      </c>
      <c r="F393" t="n">
        <v>1</v>
      </c>
      <c r="G393" t="inlineStr">
        <is>
          <t>CITRICOS</t>
        </is>
      </c>
      <c r="H393" t="inlineStr">
        <is>
          <t>SALUSTIANA</t>
        </is>
      </c>
      <c r="I393" t="n">
        <v>1009</v>
      </c>
      <c r="J393" t="n">
        <v>22861</v>
      </c>
      <c r="K393" t="n">
        <v>19349</v>
      </c>
      <c r="L393" t="n">
        <v>19349</v>
      </c>
      <c r="M393" t="inlineStr">
        <is>
          <t>Sí</t>
        </is>
      </c>
      <c r="N393" t="inlineStr"/>
      <c r="O393" t="inlineStr">
        <is>
          <t>Informativa</t>
        </is>
      </c>
      <c r="P393" t="inlineStr">
        <is>
          <t>No interviene en el prorrateo</t>
        </is>
      </c>
    </row>
    <row r="394">
      <c r="A394" t="n">
        <v>1411</v>
      </c>
      <c r="B394" t="inlineStr">
        <is>
          <t>HERMANOS PEÑA GRIÑAN S.C.</t>
        </is>
      </c>
      <c r="E394" t="n">
        <v>2026</v>
      </c>
      <c r="F394" t="n">
        <v>1</v>
      </c>
      <c r="G394" t="inlineStr">
        <is>
          <t>CITRICOS</t>
        </is>
      </c>
      <c r="H394" t="inlineStr">
        <is>
          <t>SALUSTIANA</t>
        </is>
      </c>
      <c r="I394" t="n">
        <v>1009</v>
      </c>
      <c r="J394" t="n">
        <v>1274</v>
      </c>
      <c r="K394" t="n">
        <v>0</v>
      </c>
      <c r="L394" t="n">
        <v>1274</v>
      </c>
      <c r="M394" t="inlineStr">
        <is>
          <t>Sí</t>
        </is>
      </c>
      <c r="N394" t="inlineStr"/>
      <c r="O394" t="inlineStr">
        <is>
          <t>Informativa</t>
        </is>
      </c>
      <c r="P394" t="inlineStr">
        <is>
          <t>No interviene en el prorrateo</t>
        </is>
      </c>
    </row>
    <row r="395">
      <c r="A395" t="n">
        <v>1411</v>
      </c>
      <c r="B395" t="inlineStr">
        <is>
          <t>HERMANOS PEÑA GRIÑAN S.C.</t>
        </is>
      </c>
      <c r="E395" t="n">
        <v>2026</v>
      </c>
      <c r="F395" t="n">
        <v>1</v>
      </c>
      <c r="G395" t="inlineStr">
        <is>
          <t>CITRICOS</t>
        </is>
      </c>
      <c r="H395" t="inlineStr">
        <is>
          <t>NAVELINA</t>
        </is>
      </c>
      <c r="I395" t="n">
        <v>1008</v>
      </c>
      <c r="J395" t="n">
        <v>23290</v>
      </c>
      <c r="K395" t="n">
        <v>9197</v>
      </c>
      <c r="L395" t="n">
        <v>9197</v>
      </c>
      <c r="M395" t="inlineStr">
        <is>
          <t>Sí</t>
        </is>
      </c>
      <c r="N395" t="inlineStr"/>
      <c r="O395" t="inlineStr">
        <is>
          <t>Informativa</t>
        </is>
      </c>
      <c r="P395" t="inlineStr">
        <is>
          <t>No interviene en el prorrateo</t>
        </is>
      </c>
    </row>
    <row r="396">
      <c r="A396" t="n">
        <v>1411</v>
      </c>
      <c r="B396" t="inlineStr">
        <is>
          <t>HERMANOS PEÑA GRIÑAN S.C.</t>
        </is>
      </c>
      <c r="E396" t="n">
        <v>2026</v>
      </c>
      <c r="F396" t="n">
        <v>1</v>
      </c>
      <c r="G396" t="inlineStr">
        <is>
          <t>CITRICOS</t>
        </is>
      </c>
      <c r="H396" t="inlineStr">
        <is>
          <t>NAVELINA</t>
        </is>
      </c>
      <c r="I396" t="n">
        <v>1008</v>
      </c>
      <c r="J396" t="n">
        <v>2097</v>
      </c>
      <c r="K396" t="n">
        <v>0</v>
      </c>
      <c r="L396" t="n">
        <v>2097</v>
      </c>
      <c r="M396" t="inlineStr">
        <is>
          <t>Sí</t>
        </is>
      </c>
      <c r="N396" t="inlineStr"/>
      <c r="O396" t="inlineStr">
        <is>
          <t>Informativa</t>
        </is>
      </c>
      <c r="P396" t="inlineStr">
        <is>
          <t>No interviene en el prorrateo</t>
        </is>
      </c>
    </row>
    <row r="397">
      <c r="A397" t="n">
        <v>1411</v>
      </c>
      <c r="B397" t="inlineStr">
        <is>
          <t>HERMANOS PEÑA GRIÑAN S.C.</t>
        </is>
      </c>
      <c r="E397" t="n">
        <v>2026</v>
      </c>
      <c r="F397" t="n">
        <v>1</v>
      </c>
      <c r="G397" t="inlineStr">
        <is>
          <t>CITRICOS</t>
        </is>
      </c>
      <c r="H397" t="inlineStr">
        <is>
          <t>NAVELINA</t>
        </is>
      </c>
      <c r="I397" t="n">
        <v>1008</v>
      </c>
      <c r="J397" t="n">
        <v>5728</v>
      </c>
      <c r="K397" t="n">
        <v>0</v>
      </c>
      <c r="L397" t="n">
        <v>5728</v>
      </c>
      <c r="M397" t="inlineStr">
        <is>
          <t>Sí</t>
        </is>
      </c>
      <c r="N397" t="inlineStr"/>
      <c r="O397" t="inlineStr">
        <is>
          <t>Informativa</t>
        </is>
      </c>
      <c r="P397" t="inlineStr">
        <is>
          <t>No interviene en el prorrateo</t>
        </is>
      </c>
    </row>
    <row r="398">
      <c r="A398" t="n">
        <v>1411</v>
      </c>
      <c r="B398" t="inlineStr">
        <is>
          <t>HERMANOS PEÑA GRIÑAN S.C.</t>
        </is>
      </c>
      <c r="E398" t="n">
        <v>2026</v>
      </c>
      <c r="F398" t="n">
        <v>1</v>
      </c>
      <c r="G398" t="inlineStr">
        <is>
          <t>INDUSTRIA</t>
        </is>
      </c>
      <c r="H398" t="inlineStr">
        <is>
          <t>SALUSTIANA</t>
        </is>
      </c>
      <c r="I398" t="n">
        <v>1009</v>
      </c>
      <c r="J398" t="n">
        <v>670</v>
      </c>
      <c r="K398" t="n">
        <v>0</v>
      </c>
      <c r="L398" t="n">
        <v>670</v>
      </c>
      <c r="M398" t="inlineStr">
        <is>
          <t>Sí</t>
        </is>
      </c>
      <c r="N398" t="inlineStr"/>
      <c r="O398" t="inlineStr">
        <is>
          <t>Informativa</t>
        </is>
      </c>
      <c r="P398" t="inlineStr">
        <is>
          <t>No interviene en el prorrateo</t>
        </is>
      </c>
    </row>
    <row r="399">
      <c r="A399" t="n">
        <v>1411</v>
      </c>
      <c r="B399" t="inlineStr">
        <is>
          <t>HERMANOS PEÑA GRIÑAN S.C.</t>
        </is>
      </c>
      <c r="E399" t="n">
        <v>2026</v>
      </c>
      <c r="F399" t="n">
        <v>1</v>
      </c>
      <c r="G399" t="inlineStr">
        <is>
          <t>INDUSTRIA</t>
        </is>
      </c>
      <c r="H399" t="inlineStr">
        <is>
          <t>NAVELINA</t>
        </is>
      </c>
      <c r="I399" t="n">
        <v>1008</v>
      </c>
      <c r="J399" t="n">
        <v>1330</v>
      </c>
      <c r="K399" t="n">
        <v>0</v>
      </c>
      <c r="L399" t="n">
        <v>1330</v>
      </c>
      <c r="M399" t="inlineStr">
        <is>
          <t>Sí</t>
        </is>
      </c>
      <c r="N399" t="inlineStr"/>
      <c r="O399" t="inlineStr">
        <is>
          <t>Informativa</t>
        </is>
      </c>
      <c r="P399" t="inlineStr">
        <is>
          <t>No interviene en el prorrateo</t>
        </is>
      </c>
    </row>
    <row r="400">
      <c r="A400" t="n">
        <v>1411</v>
      </c>
      <c r="B400" t="inlineStr">
        <is>
          <t>HERMANOS PEÑA GRIÑAN S.C.</t>
        </is>
      </c>
      <c r="E400" t="n">
        <v>2026</v>
      </c>
      <c r="F400" t="n">
        <v>1</v>
      </c>
      <c r="G400" t="inlineStr">
        <is>
          <t>INDUSTRIA</t>
        </is>
      </c>
      <c r="H400" t="inlineStr">
        <is>
          <t>NAVELINA</t>
        </is>
      </c>
      <c r="I400" t="n">
        <v>1008</v>
      </c>
      <c r="J400" t="n">
        <v>22075</v>
      </c>
      <c r="K400" t="n">
        <v>5037</v>
      </c>
      <c r="L400" t="n">
        <v>5037</v>
      </c>
      <c r="M400" t="inlineStr">
        <is>
          <t>Sí</t>
        </is>
      </c>
      <c r="N400" t="inlineStr"/>
      <c r="O400" t="inlineStr">
        <is>
          <t>Informativa</t>
        </is>
      </c>
      <c r="P400" t="inlineStr">
        <is>
          <t>No interviene en el prorrateo</t>
        </is>
      </c>
    </row>
    <row r="401">
      <c r="A401" t="n">
        <v>1411</v>
      </c>
      <c r="B401" t="inlineStr">
        <is>
          <t>HERMANOS PEÑA GRIÑAN S.C.</t>
        </is>
      </c>
      <c r="E401" t="n">
        <v>2026</v>
      </c>
      <c r="F401" t="n">
        <v>1</v>
      </c>
      <c r="G401" t="inlineStr">
        <is>
          <t>INDUSTRIA</t>
        </is>
      </c>
      <c r="H401" t="inlineStr">
        <is>
          <t>NAVELINA</t>
        </is>
      </c>
      <c r="I401" t="n">
        <v>1008</v>
      </c>
      <c r="J401" t="n">
        <v>4035</v>
      </c>
      <c r="K401" t="n">
        <v>0</v>
      </c>
      <c r="L401" t="n">
        <v>4035</v>
      </c>
      <c r="M401" t="inlineStr">
        <is>
          <t>Sí</t>
        </is>
      </c>
      <c r="N401" t="inlineStr"/>
      <c r="O401" t="inlineStr">
        <is>
          <t>Informativa</t>
        </is>
      </c>
      <c r="P401" t="inlineStr">
        <is>
          <t>No interviene en el prorrateo</t>
        </is>
      </c>
    </row>
    <row r="402">
      <c r="A402" t="n">
        <v>1411</v>
      </c>
      <c r="B402" t="inlineStr">
        <is>
          <t>HERMANOS PEÑA GRIÑAN S.C.</t>
        </is>
      </c>
      <c r="E402" t="n">
        <v>2026</v>
      </c>
      <c r="F402" t="n">
        <v>1</v>
      </c>
      <c r="G402" t="inlineStr">
        <is>
          <t>INDUSTRIA</t>
        </is>
      </c>
      <c r="H402" t="inlineStr">
        <is>
          <t>NAVELINA</t>
        </is>
      </c>
      <c r="I402" t="n">
        <v>1008</v>
      </c>
      <c r="J402" t="n">
        <v>665</v>
      </c>
      <c r="K402" t="n">
        <v>0</v>
      </c>
      <c r="L402" t="n">
        <v>665</v>
      </c>
      <c r="M402" t="inlineStr">
        <is>
          <t>Sí</t>
        </is>
      </c>
      <c r="N402" t="inlineStr"/>
      <c r="O402" t="inlineStr">
        <is>
          <t>Informativa</t>
        </is>
      </c>
      <c r="P402" t="inlineStr">
        <is>
          <t>No interviene en el prorrateo</t>
        </is>
      </c>
    </row>
    <row r="403">
      <c r="A403" t="n">
        <v>1411</v>
      </c>
      <c r="B403" t="inlineStr">
        <is>
          <t>HERMANOS PEÑA GRIÑAN S.C.</t>
        </is>
      </c>
      <c r="E403" t="n">
        <v>2026</v>
      </c>
      <c r="F403" t="n">
        <v>1</v>
      </c>
      <c r="G403" t="inlineStr">
        <is>
          <t>INDUSTRIA</t>
        </is>
      </c>
      <c r="H403" t="inlineStr">
        <is>
          <t>WASHINGTON</t>
        </is>
      </c>
      <c r="I403" t="n">
        <v>1010</v>
      </c>
      <c r="J403" t="n">
        <v>5410</v>
      </c>
      <c r="K403" t="n">
        <v>0</v>
      </c>
      <c r="L403" t="n">
        <v>5410</v>
      </c>
      <c r="M403" t="inlineStr">
        <is>
          <t>Sí</t>
        </is>
      </c>
      <c r="N403" t="inlineStr"/>
      <c r="O403" t="inlineStr">
        <is>
          <t>Informativa</t>
        </is>
      </c>
      <c r="P403" t="inlineStr">
        <is>
          <t>No interviene en el prorrateo</t>
        </is>
      </c>
    </row>
    <row r="404">
      <c r="A404" t="n">
        <v>1411</v>
      </c>
      <c r="B404" t="inlineStr">
        <is>
          <t>HERMANOS PEÑA GRIÑAN S.C.</t>
        </is>
      </c>
      <c r="E404" t="n">
        <v>2026</v>
      </c>
      <c r="F404" t="n">
        <v>1</v>
      </c>
      <c r="G404" t="inlineStr">
        <is>
          <t>INDUSTRIA</t>
        </is>
      </c>
      <c r="H404" t="inlineStr">
        <is>
          <t>NAVELINA</t>
        </is>
      </c>
      <c r="I404" t="n">
        <v>1008</v>
      </c>
      <c r="J404" t="n">
        <v>20202</v>
      </c>
      <c r="K404" t="n">
        <v>4930</v>
      </c>
      <c r="L404" t="n">
        <v>4930</v>
      </c>
      <c r="M404" t="inlineStr">
        <is>
          <t>Sí</t>
        </is>
      </c>
      <c r="N404" t="inlineStr"/>
      <c r="O404" t="inlineStr">
        <is>
          <t>Informativa</t>
        </is>
      </c>
      <c r="P404" t="inlineStr">
        <is>
          <t>No interviene en el prorrateo</t>
        </is>
      </c>
    </row>
    <row r="405">
      <c r="A405" t="n">
        <v>1411</v>
      </c>
      <c r="B405" t="inlineStr">
        <is>
          <t>HERMANOS PEÑA GRIÑAN S.C.</t>
        </is>
      </c>
      <c r="E405" t="n">
        <v>2026</v>
      </c>
      <c r="F405" t="n">
        <v>1</v>
      </c>
      <c r="G405" t="inlineStr">
        <is>
          <t>INDUSTRIA</t>
        </is>
      </c>
      <c r="H405" t="inlineStr">
        <is>
          <t>NAVELINA</t>
        </is>
      </c>
      <c r="I405" t="n">
        <v>1008</v>
      </c>
      <c r="J405" t="n">
        <v>446</v>
      </c>
      <c r="K405" t="n">
        <v>0</v>
      </c>
      <c r="L405" t="n">
        <v>446</v>
      </c>
      <c r="M405" t="inlineStr">
        <is>
          <t>Sí</t>
        </is>
      </c>
      <c r="N405" t="inlineStr"/>
      <c r="O405" t="inlineStr">
        <is>
          <t>Informativa</t>
        </is>
      </c>
      <c r="P405" t="inlineStr">
        <is>
          <t>No interviene en el prorrateo</t>
        </is>
      </c>
    </row>
    <row r="406">
      <c r="A406" t="n">
        <v>1411</v>
      </c>
      <c r="B406" t="inlineStr">
        <is>
          <t>HERMANOS PEÑA GRIÑAN S.C.</t>
        </is>
      </c>
      <c r="E406" t="n">
        <v>2026</v>
      </c>
      <c r="F406" t="n">
        <v>1</v>
      </c>
      <c r="G406" t="inlineStr">
        <is>
          <t>INDUSTRIA</t>
        </is>
      </c>
      <c r="H406" t="inlineStr">
        <is>
          <t>SALUSTIANA</t>
        </is>
      </c>
      <c r="I406" t="n">
        <v>1009</v>
      </c>
      <c r="J406" t="n">
        <v>1352</v>
      </c>
      <c r="K406" t="n">
        <v>0</v>
      </c>
      <c r="L406" t="n">
        <v>1352</v>
      </c>
      <c r="M406" t="inlineStr">
        <is>
          <t>Sí</t>
        </is>
      </c>
      <c r="N406" t="inlineStr"/>
      <c r="O406" t="inlineStr">
        <is>
          <t>Informativa</t>
        </is>
      </c>
      <c r="P406" t="inlineStr">
        <is>
          <t>No interviene en el prorrateo</t>
        </is>
      </c>
    </row>
    <row r="407">
      <c r="A407" t="n">
        <v>1411</v>
      </c>
      <c r="B407" t="inlineStr">
        <is>
          <t>HERMANOS PEÑA GRIÑAN S.C.</t>
        </is>
      </c>
      <c r="E407" t="n">
        <v>2026</v>
      </c>
      <c r="F407" t="n">
        <v>1</v>
      </c>
      <c r="G407" t="inlineStr">
        <is>
          <t>INDUSTRIA</t>
        </is>
      </c>
      <c r="H407" t="inlineStr">
        <is>
          <t>NAVELINA</t>
        </is>
      </c>
      <c r="I407" t="n">
        <v>1008</v>
      </c>
      <c r="J407" t="n">
        <v>24920</v>
      </c>
      <c r="K407" t="n">
        <v>0</v>
      </c>
      <c r="L407" t="n">
        <v>24920</v>
      </c>
      <c r="M407" t="inlineStr">
        <is>
          <t>Sí</t>
        </is>
      </c>
      <c r="N407" t="inlineStr"/>
      <c r="O407" t="inlineStr">
        <is>
          <t>Informativa</t>
        </is>
      </c>
      <c r="P407" t="inlineStr">
        <is>
          <t>No interviene en el prorrateo</t>
        </is>
      </c>
    </row>
    <row r="408">
      <c r="A408" t="n">
        <v>1411</v>
      </c>
      <c r="B408" t="inlineStr">
        <is>
          <t>HERMANOS PEÑA GRIÑAN S.C.</t>
        </is>
      </c>
      <c r="E408" t="n">
        <v>2026</v>
      </c>
      <c r="F408" t="n">
        <v>1</v>
      </c>
      <c r="G408" t="inlineStr">
        <is>
          <t>INDUSTRIA</t>
        </is>
      </c>
      <c r="H408" t="inlineStr">
        <is>
          <t>NAVELINA</t>
        </is>
      </c>
      <c r="I408" t="n">
        <v>1008</v>
      </c>
      <c r="J408" t="n">
        <v>4938</v>
      </c>
      <c r="K408" t="n">
        <v>0</v>
      </c>
      <c r="L408" t="n">
        <v>4938</v>
      </c>
      <c r="M408" t="inlineStr">
        <is>
          <t>Sí</t>
        </is>
      </c>
      <c r="N408" t="inlineStr"/>
      <c r="O408" t="inlineStr">
        <is>
          <t>Informativa</t>
        </is>
      </c>
      <c r="P408" t="inlineStr">
        <is>
          <t>No interviene en el prorrateo</t>
        </is>
      </c>
    </row>
    <row r="409">
      <c r="A409" t="n">
        <v>1411</v>
      </c>
      <c r="B409" t="inlineStr">
        <is>
          <t>HERMANOS PEÑA GRIÑAN S.C.</t>
        </is>
      </c>
      <c r="E409" t="n">
        <v>2026</v>
      </c>
      <c r="F409" t="n">
        <v>1</v>
      </c>
      <c r="G409" t="inlineStr">
        <is>
          <t>INDUSTRIA</t>
        </is>
      </c>
      <c r="H409" t="inlineStr">
        <is>
          <t>NAVELINA</t>
        </is>
      </c>
      <c r="I409" t="n">
        <v>1008</v>
      </c>
      <c r="J409" t="n">
        <v>1710</v>
      </c>
      <c r="K409" t="n">
        <v>0</v>
      </c>
      <c r="L409" t="n">
        <v>1710</v>
      </c>
      <c r="M409" t="inlineStr">
        <is>
          <t>Sí</t>
        </is>
      </c>
      <c r="N409" t="inlineStr"/>
      <c r="O409" t="inlineStr">
        <is>
          <t>Informativa</t>
        </is>
      </c>
      <c r="P409" t="inlineStr">
        <is>
          <t>No interviene en el prorrateo</t>
        </is>
      </c>
    </row>
    <row r="410">
      <c r="A410" t="n">
        <v>1411</v>
      </c>
      <c r="B410" t="inlineStr">
        <is>
          <t>HERMANOS PEÑA GRIÑAN S.C.</t>
        </is>
      </c>
      <c r="E410" t="n">
        <v>2026</v>
      </c>
      <c r="F410" t="n">
        <v>1</v>
      </c>
      <c r="G410" t="inlineStr">
        <is>
          <t>INDUSTRIA</t>
        </is>
      </c>
      <c r="H410" t="inlineStr">
        <is>
          <t>NAVELINA</t>
        </is>
      </c>
      <c r="I410" t="n">
        <v>1008</v>
      </c>
      <c r="J410" t="n">
        <v>223</v>
      </c>
      <c r="K410" t="n">
        <v>0</v>
      </c>
      <c r="L410" t="n">
        <v>223</v>
      </c>
      <c r="M410" t="inlineStr">
        <is>
          <t>Sí</t>
        </is>
      </c>
      <c r="N410" t="inlineStr"/>
      <c r="O410" t="inlineStr">
        <is>
          <t>Informativa</t>
        </is>
      </c>
      <c r="P410" t="inlineStr">
        <is>
          <t>No interviene en el prorrateo</t>
        </is>
      </c>
    </row>
    <row r="411">
      <c r="A411" t="n">
        <v>1411</v>
      </c>
      <c r="B411" t="inlineStr">
        <is>
          <t>HERMANOS PEÑA GRIÑAN S.C.</t>
        </is>
      </c>
      <c r="E411" t="n">
        <v>2026</v>
      </c>
      <c r="F411" t="n">
        <v>1</v>
      </c>
      <c r="G411" t="inlineStr">
        <is>
          <t>INDUSTRIA</t>
        </is>
      </c>
      <c r="H411" t="inlineStr">
        <is>
          <t>SALUSTIANA</t>
        </is>
      </c>
      <c r="I411" t="n">
        <v>1009</v>
      </c>
      <c r="J411" t="n">
        <v>1048</v>
      </c>
      <c r="K411" t="n">
        <v>0</v>
      </c>
      <c r="L411" t="n">
        <v>1048</v>
      </c>
      <c r="M411" t="inlineStr">
        <is>
          <t>Sí</t>
        </is>
      </c>
      <c r="N411" t="inlineStr"/>
      <c r="O411" t="inlineStr">
        <is>
          <t>Informativa</t>
        </is>
      </c>
      <c r="P411" t="inlineStr">
        <is>
          <t>No interviene en el prorrateo</t>
        </is>
      </c>
    </row>
    <row r="412">
      <c r="A412" t="n">
        <v>1411</v>
      </c>
      <c r="B412" t="inlineStr">
        <is>
          <t>HERMANOS PEÑA GRIÑAN S.C.</t>
        </is>
      </c>
      <c r="E412" t="n">
        <v>2026</v>
      </c>
      <c r="F412" t="n">
        <v>1</v>
      </c>
      <c r="G412" t="inlineStr">
        <is>
          <t>INDUSTRIA</t>
        </is>
      </c>
      <c r="H412" t="inlineStr">
        <is>
          <t>NAVELINA</t>
        </is>
      </c>
      <c r="I412" t="n">
        <v>1008</v>
      </c>
      <c r="J412" t="n">
        <v>8419</v>
      </c>
      <c r="K412" t="n">
        <v>0</v>
      </c>
      <c r="L412" t="n">
        <v>8419</v>
      </c>
      <c r="M412" t="inlineStr">
        <is>
          <t>Sí</t>
        </is>
      </c>
      <c r="N412" t="inlineStr"/>
      <c r="O412" t="inlineStr">
        <is>
          <t>Informativa</t>
        </is>
      </c>
      <c r="P412" t="inlineStr">
        <is>
          <t>No interviene en el prorrateo</t>
        </is>
      </c>
    </row>
    <row r="413">
      <c r="A413" t="n">
        <v>1411</v>
      </c>
      <c r="B413" t="inlineStr">
        <is>
          <t>HERMANOS PEÑA GRIÑAN S.C.</t>
        </is>
      </c>
      <c r="E413" t="n">
        <v>2026</v>
      </c>
      <c r="F413" t="n">
        <v>1</v>
      </c>
      <c r="G413" t="inlineStr">
        <is>
          <t>INDUSTRIA</t>
        </is>
      </c>
      <c r="H413" t="inlineStr">
        <is>
          <t>SALUSTIANA</t>
        </is>
      </c>
      <c r="I413" t="n">
        <v>1009</v>
      </c>
      <c r="J413" t="n">
        <v>24715</v>
      </c>
      <c r="K413" t="n">
        <v>2243</v>
      </c>
      <c r="L413" t="n">
        <v>2243</v>
      </c>
      <c r="M413" t="inlineStr">
        <is>
          <t>Sí</t>
        </is>
      </c>
      <c r="N413" t="inlineStr"/>
      <c r="O413" t="inlineStr">
        <is>
          <t>Informativa</t>
        </is>
      </c>
      <c r="P413" t="inlineStr">
        <is>
          <t>No interviene en el prorrateo</t>
        </is>
      </c>
    </row>
    <row r="414">
      <c r="A414" t="n">
        <v>1411</v>
      </c>
      <c r="B414" t="inlineStr">
        <is>
          <t>HERMANOS PEÑA GRIÑAN S.C.</t>
        </is>
      </c>
      <c r="E414" t="n">
        <v>2026</v>
      </c>
      <c r="F414" t="n">
        <v>1</v>
      </c>
      <c r="G414" t="inlineStr">
        <is>
          <t>INDUSTRIA</t>
        </is>
      </c>
      <c r="H414" t="inlineStr">
        <is>
          <t>SALUSTIANA</t>
        </is>
      </c>
      <c r="I414" t="n">
        <v>1009</v>
      </c>
      <c r="J414" t="n">
        <v>2040</v>
      </c>
      <c r="K414" t="n">
        <v>0</v>
      </c>
      <c r="L414" t="n">
        <v>2040</v>
      </c>
      <c r="M414" t="inlineStr">
        <is>
          <t>Sí</t>
        </is>
      </c>
      <c r="N414" t="inlineStr"/>
      <c r="O414" t="inlineStr">
        <is>
          <t>Informativa</t>
        </is>
      </c>
      <c r="P414" t="inlineStr">
        <is>
          <t>No interviene en el prorrateo</t>
        </is>
      </c>
    </row>
    <row r="415">
      <c r="A415" t="n">
        <v>1411</v>
      </c>
      <c r="B415" t="inlineStr">
        <is>
          <t>HERMANOS PEÑA GRIÑAN S.C.</t>
        </is>
      </c>
      <c r="E415" t="n">
        <v>2026</v>
      </c>
      <c r="F415" t="n">
        <v>1</v>
      </c>
      <c r="G415" t="inlineStr">
        <is>
          <t>INDUSTRIA</t>
        </is>
      </c>
      <c r="H415" t="inlineStr">
        <is>
          <t>NAVELINA</t>
        </is>
      </c>
      <c r="I415" t="n">
        <v>1008</v>
      </c>
      <c r="J415" t="n">
        <v>4478</v>
      </c>
      <c r="K415" t="n">
        <v>0</v>
      </c>
      <c r="L415" t="n">
        <v>4478</v>
      </c>
      <c r="M415" t="inlineStr">
        <is>
          <t>Sí</t>
        </is>
      </c>
      <c r="N415" t="inlineStr"/>
      <c r="O415" t="inlineStr">
        <is>
          <t>Informativa</t>
        </is>
      </c>
      <c r="P415" t="inlineStr">
        <is>
          <t>No interviene en el prorrateo</t>
        </is>
      </c>
    </row>
    <row r="416">
      <c r="A416" t="n">
        <v>1411</v>
      </c>
      <c r="B416" t="inlineStr">
        <is>
          <t>HERMANOS PEÑA GRIÑAN S.C.</t>
        </is>
      </c>
      <c r="E416" t="n">
        <v>2026</v>
      </c>
      <c r="F416" t="n">
        <v>1</v>
      </c>
      <c r="G416" t="inlineStr">
        <is>
          <t>INDUSTRIA</t>
        </is>
      </c>
      <c r="H416" t="inlineStr">
        <is>
          <t>NAVELINA</t>
        </is>
      </c>
      <c r="I416" t="n">
        <v>1008</v>
      </c>
      <c r="J416" t="n">
        <v>412</v>
      </c>
      <c r="K416" t="n">
        <v>0</v>
      </c>
      <c r="L416" t="n">
        <v>412</v>
      </c>
      <c r="M416" t="inlineStr">
        <is>
          <t>Sí</t>
        </is>
      </c>
      <c r="N416" t="inlineStr"/>
      <c r="O416" t="inlineStr">
        <is>
          <t>Informativa</t>
        </is>
      </c>
      <c r="P416" t="inlineStr">
        <is>
          <t>No interviene en el prorrateo</t>
        </is>
      </c>
    </row>
    <row r="417">
      <c r="A417" t="n">
        <v>1411</v>
      </c>
      <c r="B417" t="inlineStr">
        <is>
          <t>HERMANOS PEÑA GRIÑAN S.C.</t>
        </is>
      </c>
      <c r="E417" t="n">
        <v>2026</v>
      </c>
      <c r="F417" t="n">
        <v>1</v>
      </c>
      <c r="G417" t="inlineStr">
        <is>
          <t>INDUSTRIA</t>
        </is>
      </c>
      <c r="H417" t="inlineStr">
        <is>
          <t>SALUSTIANA</t>
        </is>
      </c>
      <c r="I417" t="n">
        <v>1009</v>
      </c>
      <c r="J417" t="n">
        <v>12432</v>
      </c>
      <c r="K417" t="n">
        <v>11896</v>
      </c>
      <c r="L417" t="n">
        <v>11896</v>
      </c>
      <c r="M417" t="inlineStr">
        <is>
          <t>Sí</t>
        </is>
      </c>
      <c r="N417" t="inlineStr"/>
      <c r="O417" t="inlineStr">
        <is>
          <t>Informativa</t>
        </is>
      </c>
      <c r="P417" t="inlineStr">
        <is>
          <t>No interviene en el prorrateo</t>
        </is>
      </c>
    </row>
    <row r="418">
      <c r="A418" t="n">
        <v>1411</v>
      </c>
      <c r="B418" t="inlineStr">
        <is>
          <t>HERMANOS PEÑA GRIÑAN S.C.</t>
        </is>
      </c>
      <c r="E418" t="n">
        <v>2026</v>
      </c>
      <c r="F418" t="n">
        <v>1</v>
      </c>
      <c r="G418" t="inlineStr">
        <is>
          <t>INDUSTRIA</t>
        </is>
      </c>
      <c r="H418" t="inlineStr">
        <is>
          <t>SALUSTIANA</t>
        </is>
      </c>
      <c r="I418" t="n">
        <v>1009</v>
      </c>
      <c r="J418" t="n">
        <v>446</v>
      </c>
      <c r="K418" t="n">
        <v>0</v>
      </c>
      <c r="L418" t="n">
        <v>446</v>
      </c>
      <c r="M418" t="inlineStr">
        <is>
          <t>Sí</t>
        </is>
      </c>
      <c r="N418" t="inlineStr"/>
      <c r="O418" t="inlineStr">
        <is>
          <t>Informativa</t>
        </is>
      </c>
      <c r="P418" t="inlineStr">
        <is>
          <t>No interviene en el prorrateo</t>
        </is>
      </c>
    </row>
    <row r="419">
      <c r="A419" t="n">
        <v>1419</v>
      </c>
      <c r="B419" t="inlineStr">
        <is>
          <t>MORAL GARCIA,JOSE ANTONIO</t>
        </is>
      </c>
      <c r="E419" t="n">
        <v>2026</v>
      </c>
      <c r="F419" t="n">
        <v>1</v>
      </c>
      <c r="G419" t="inlineStr">
        <is>
          <t>CITRICOS</t>
        </is>
      </c>
      <c r="H419" t="inlineStr">
        <is>
          <t>NAVELINA</t>
        </is>
      </c>
      <c r="I419" t="n">
        <v>688</v>
      </c>
      <c r="J419" t="n">
        <v>5030</v>
      </c>
      <c r="K419" t="n">
        <v>0</v>
      </c>
      <c r="L419" t="n">
        <v>5030</v>
      </c>
      <c r="M419" t="inlineStr">
        <is>
          <t>Sí</t>
        </is>
      </c>
      <c r="N419" t="inlineStr"/>
      <c r="O419" t="inlineStr">
        <is>
          <t>Informativa</t>
        </is>
      </c>
      <c r="P419" t="inlineStr">
        <is>
          <t>No interviene en el prorrateo</t>
        </is>
      </c>
    </row>
    <row r="420">
      <c r="A420" t="n">
        <v>1419</v>
      </c>
      <c r="B420" t="inlineStr">
        <is>
          <t>MORAL GARCIA,JOSE ANTONIO</t>
        </is>
      </c>
      <c r="E420" t="n">
        <v>2026</v>
      </c>
      <c r="F420" t="n">
        <v>1</v>
      </c>
      <c r="G420" t="inlineStr">
        <is>
          <t>CITRICOS</t>
        </is>
      </c>
      <c r="H420" t="inlineStr">
        <is>
          <t>SALUSTIANA</t>
        </is>
      </c>
      <c r="I420" t="n">
        <v>655</v>
      </c>
      <c r="J420" t="n">
        <v>10310</v>
      </c>
      <c r="K420" t="n">
        <v>0</v>
      </c>
      <c r="L420" t="n">
        <v>10310</v>
      </c>
      <c r="M420" t="inlineStr">
        <is>
          <t>Sí</t>
        </is>
      </c>
      <c r="N420" t="inlineStr"/>
      <c r="O420" t="inlineStr">
        <is>
          <t>Informativa</t>
        </is>
      </c>
      <c r="P420" t="inlineStr">
        <is>
          <t>No interviene en el prorrateo</t>
        </is>
      </c>
    </row>
    <row r="421">
      <c r="A421" t="n">
        <v>1419</v>
      </c>
      <c r="B421" t="inlineStr">
        <is>
          <t>MORAL GARCIA,JOSE ANTONIO</t>
        </is>
      </c>
      <c r="E421" t="n">
        <v>2026</v>
      </c>
      <c r="F421" t="n">
        <v>1</v>
      </c>
      <c r="G421" t="inlineStr">
        <is>
          <t>CITRICOS</t>
        </is>
      </c>
      <c r="H421" t="inlineStr">
        <is>
          <t>SALUSTIANA</t>
        </is>
      </c>
      <c r="I421" t="n">
        <v>655</v>
      </c>
      <c r="J421" t="n">
        <v>12640</v>
      </c>
      <c r="K421" t="n">
        <v>0</v>
      </c>
      <c r="L421" t="n">
        <v>12640</v>
      </c>
      <c r="M421" t="inlineStr">
        <is>
          <t>Sí</t>
        </is>
      </c>
      <c r="N421" t="inlineStr"/>
      <c r="O421" t="inlineStr">
        <is>
          <t>Informativa</t>
        </is>
      </c>
      <c r="P421" t="inlineStr">
        <is>
          <t>No interviene en el prorrateo</t>
        </is>
      </c>
    </row>
    <row r="422">
      <c r="A422" t="n">
        <v>1419</v>
      </c>
      <c r="B422" t="inlineStr">
        <is>
          <t>MORAL GARCIA,JOSE ANTONIO</t>
        </is>
      </c>
      <c r="E422" t="n">
        <v>2026</v>
      </c>
      <c r="F422" t="n">
        <v>1</v>
      </c>
      <c r="G422" t="inlineStr">
        <is>
          <t>CITRICOS</t>
        </is>
      </c>
      <c r="H422" t="inlineStr">
        <is>
          <t>SALUSTIANA</t>
        </is>
      </c>
      <c r="I422" t="n">
        <v>655</v>
      </c>
      <c r="J422" t="n">
        <v>14300</v>
      </c>
      <c r="K422" t="n">
        <v>0</v>
      </c>
      <c r="L422" t="n">
        <v>14300</v>
      </c>
      <c r="M422" t="inlineStr">
        <is>
          <t>Sí</t>
        </is>
      </c>
      <c r="N422" t="inlineStr"/>
      <c r="O422" t="inlineStr">
        <is>
          <t>Informativa</t>
        </is>
      </c>
      <c r="P422" t="inlineStr">
        <is>
          <t>No interviene en el prorrateo</t>
        </is>
      </c>
    </row>
    <row r="423">
      <c r="A423" t="n">
        <v>1419</v>
      </c>
      <c r="B423" t="inlineStr">
        <is>
          <t>MORAL GARCIA,JOSE ANTONIO</t>
        </is>
      </c>
      <c r="E423" t="n">
        <v>2026</v>
      </c>
      <c r="F423" t="n">
        <v>1</v>
      </c>
      <c r="G423" t="inlineStr">
        <is>
          <t>CITRICOS</t>
        </is>
      </c>
      <c r="H423" t="inlineStr">
        <is>
          <t>SALUSTIANA</t>
        </is>
      </c>
      <c r="I423" t="n">
        <v>655</v>
      </c>
      <c r="J423" t="n">
        <v>10260</v>
      </c>
      <c r="K423" t="n">
        <v>0</v>
      </c>
      <c r="L423" t="n">
        <v>10260</v>
      </c>
      <c r="M423" t="inlineStr">
        <is>
          <t>Sí</t>
        </is>
      </c>
      <c r="N423" t="inlineStr"/>
      <c r="O423" t="inlineStr">
        <is>
          <t>Informativa</t>
        </is>
      </c>
      <c r="P423" t="inlineStr">
        <is>
          <t>No interviene en el prorrateo</t>
        </is>
      </c>
    </row>
    <row r="424">
      <c r="A424" t="n">
        <v>1419</v>
      </c>
      <c r="B424" t="inlineStr">
        <is>
          <t>MORAL GARCIA,JOSE ANTONIO</t>
        </is>
      </c>
      <c r="E424" t="n">
        <v>2026</v>
      </c>
      <c r="F424" t="n">
        <v>1</v>
      </c>
      <c r="G424" t="inlineStr">
        <is>
          <t>CITRICOS</t>
        </is>
      </c>
      <c r="H424" t="inlineStr">
        <is>
          <t>SALUSTIANA</t>
        </is>
      </c>
      <c r="I424" t="n">
        <v>655</v>
      </c>
      <c r="J424" t="n">
        <v>10290</v>
      </c>
      <c r="K424" t="n">
        <v>0</v>
      </c>
      <c r="L424" t="n">
        <v>10290</v>
      </c>
      <c r="M424" t="inlineStr">
        <is>
          <t>Sí</t>
        </is>
      </c>
      <c r="N424" t="inlineStr"/>
      <c r="O424" t="inlineStr">
        <is>
          <t>Informativa</t>
        </is>
      </c>
      <c r="P424" t="inlineStr">
        <is>
          <t>No interviene en el prorrateo</t>
        </is>
      </c>
    </row>
    <row r="425">
      <c r="A425" t="n">
        <v>1419</v>
      </c>
      <c r="B425" t="inlineStr">
        <is>
          <t>MORAL GARCIA,JOSE ANTONIO</t>
        </is>
      </c>
      <c r="E425" t="n">
        <v>2026</v>
      </c>
      <c r="F425" t="n">
        <v>1</v>
      </c>
      <c r="G425" t="inlineStr">
        <is>
          <t>CITRICOS</t>
        </is>
      </c>
      <c r="H425" t="inlineStr">
        <is>
          <t>SALUSTIANA</t>
        </is>
      </c>
      <c r="I425" t="n">
        <v>655</v>
      </c>
      <c r="J425" t="n">
        <v>11996</v>
      </c>
      <c r="K425" t="n">
        <v>0</v>
      </c>
      <c r="L425" t="n">
        <v>11996</v>
      </c>
      <c r="M425" t="inlineStr">
        <is>
          <t>Sí</t>
        </is>
      </c>
      <c r="N425" t="inlineStr"/>
      <c r="O425" t="inlineStr">
        <is>
          <t>Informativa</t>
        </is>
      </c>
      <c r="P425" t="inlineStr">
        <is>
          <t>No interviene en el prorrateo</t>
        </is>
      </c>
    </row>
    <row r="426">
      <c r="A426" t="n">
        <v>1419</v>
      </c>
      <c r="B426" t="inlineStr">
        <is>
          <t>MORAL GARCIA,JOSE ANTONIO</t>
        </is>
      </c>
      <c r="E426" t="n">
        <v>2026</v>
      </c>
      <c r="F426" t="n">
        <v>1</v>
      </c>
      <c r="G426" t="inlineStr">
        <is>
          <t>CITRICOS</t>
        </is>
      </c>
      <c r="H426" t="inlineStr">
        <is>
          <t>SALUSTIANA</t>
        </is>
      </c>
      <c r="I426" t="n">
        <v>655</v>
      </c>
      <c r="J426" t="n">
        <v>10120</v>
      </c>
      <c r="K426" t="n">
        <v>0</v>
      </c>
      <c r="L426" t="n">
        <v>10120</v>
      </c>
      <c r="M426" t="inlineStr">
        <is>
          <t>Sí</t>
        </is>
      </c>
      <c r="N426" t="inlineStr"/>
      <c r="O426" t="inlineStr">
        <is>
          <t>Informativa</t>
        </is>
      </c>
      <c r="P426" t="inlineStr">
        <is>
          <t>No interviene en el prorrateo</t>
        </is>
      </c>
    </row>
    <row r="427">
      <c r="A427" t="n">
        <v>1419</v>
      </c>
      <c r="B427" t="inlineStr">
        <is>
          <t>MORAL GARCIA,JOSE ANTONIO</t>
        </is>
      </c>
      <c r="E427" t="n">
        <v>2026</v>
      </c>
      <c r="F427" t="n">
        <v>1</v>
      </c>
      <c r="G427" t="inlineStr">
        <is>
          <t>CITRICOS</t>
        </is>
      </c>
      <c r="H427" t="inlineStr">
        <is>
          <t>SALUSTIANA</t>
        </is>
      </c>
      <c r="I427" t="n">
        <v>655</v>
      </c>
      <c r="J427" t="n">
        <v>14260</v>
      </c>
      <c r="K427" t="n">
        <v>0</v>
      </c>
      <c r="L427" t="n">
        <v>14260</v>
      </c>
      <c r="M427" t="inlineStr">
        <is>
          <t>Sí</t>
        </is>
      </c>
      <c r="N427" t="inlineStr"/>
      <c r="O427" t="inlineStr">
        <is>
          <t>Informativa</t>
        </is>
      </c>
      <c r="P427" t="inlineStr">
        <is>
          <t>No interviene en el prorrateo</t>
        </is>
      </c>
    </row>
    <row r="428">
      <c r="A428" t="n">
        <v>1419</v>
      </c>
      <c r="B428" t="inlineStr">
        <is>
          <t>MORAL GARCIA,JOSE ANTONIO</t>
        </is>
      </c>
      <c r="E428" t="n">
        <v>2026</v>
      </c>
      <c r="F428" t="n">
        <v>1</v>
      </c>
      <c r="G428" t="inlineStr">
        <is>
          <t>CITRICOS</t>
        </is>
      </c>
      <c r="H428" t="inlineStr">
        <is>
          <t>SALUSTIANA</t>
        </is>
      </c>
      <c r="I428" t="n">
        <v>655</v>
      </c>
      <c r="J428" t="n">
        <v>14150</v>
      </c>
      <c r="K428" t="n">
        <v>0</v>
      </c>
      <c r="L428" t="n">
        <v>14150</v>
      </c>
      <c r="M428" t="inlineStr">
        <is>
          <t>Sí</t>
        </is>
      </c>
      <c r="N428" t="inlineStr"/>
      <c r="O428" t="inlineStr">
        <is>
          <t>Informativa</t>
        </is>
      </c>
      <c r="P428" t="inlineStr">
        <is>
          <t>No interviene en el prorrateo</t>
        </is>
      </c>
    </row>
    <row r="429">
      <c r="A429" t="n">
        <v>1419</v>
      </c>
      <c r="B429" t="inlineStr">
        <is>
          <t>MORAL GARCIA,JOSE ANTONIO</t>
        </is>
      </c>
      <c r="E429" t="n">
        <v>2026</v>
      </c>
      <c r="F429" t="n">
        <v>1</v>
      </c>
      <c r="G429" t="inlineStr">
        <is>
          <t>CITRICOS</t>
        </is>
      </c>
      <c r="H429" t="inlineStr">
        <is>
          <t>SALUSTIANA</t>
        </is>
      </c>
      <c r="I429" t="n">
        <v>655</v>
      </c>
      <c r="J429" t="n">
        <v>5930</v>
      </c>
      <c r="K429" t="n">
        <v>0</v>
      </c>
      <c r="L429" t="n">
        <v>5930</v>
      </c>
      <c r="M429" t="inlineStr">
        <is>
          <t>Sí</t>
        </is>
      </c>
      <c r="N429" t="inlineStr"/>
      <c r="O429" t="inlineStr">
        <is>
          <t>Informativa</t>
        </is>
      </c>
      <c r="P429" t="inlineStr">
        <is>
          <t>No interviene en el prorrateo</t>
        </is>
      </c>
    </row>
    <row r="430">
      <c r="A430" t="n">
        <v>1419</v>
      </c>
      <c r="B430" t="inlineStr">
        <is>
          <t>MORAL GARCIA,JOSE ANTONIO</t>
        </is>
      </c>
      <c r="E430" t="n">
        <v>2026</v>
      </c>
      <c r="F430" t="n">
        <v>1</v>
      </c>
      <c r="G430" t="inlineStr">
        <is>
          <t>CITRICOS</t>
        </is>
      </c>
      <c r="H430" t="inlineStr">
        <is>
          <t>SALUSTIANA</t>
        </is>
      </c>
      <c r="I430" t="n">
        <v>655</v>
      </c>
      <c r="J430" t="n">
        <v>665</v>
      </c>
      <c r="K430" t="n">
        <v>0</v>
      </c>
      <c r="L430" t="n">
        <v>665</v>
      </c>
      <c r="M430" t="inlineStr">
        <is>
          <t>Sí</t>
        </is>
      </c>
      <c r="N430" t="inlineStr"/>
      <c r="O430" t="inlineStr">
        <is>
          <t>Informativa</t>
        </is>
      </c>
      <c r="P430" t="inlineStr">
        <is>
          <t>No interviene en el prorrateo</t>
        </is>
      </c>
    </row>
    <row r="431">
      <c r="A431" t="n">
        <v>1421</v>
      </c>
      <c r="B431" t="inlineStr">
        <is>
          <t>GARCIA GONZALEZ,ISIDORA</t>
        </is>
      </c>
      <c r="E431" t="n">
        <v>2026</v>
      </c>
      <c r="F431" t="n">
        <v>1</v>
      </c>
      <c r="G431" t="inlineStr">
        <is>
          <t>CITRICOS</t>
        </is>
      </c>
      <c r="H431" t="inlineStr">
        <is>
          <t>SALUSTIANA</t>
        </is>
      </c>
      <c r="I431" t="n">
        <v>85</v>
      </c>
      <c r="J431" t="n">
        <v>12480</v>
      </c>
      <c r="K431" t="n">
        <v>0</v>
      </c>
      <c r="L431" t="n">
        <v>12480</v>
      </c>
      <c r="M431" t="inlineStr">
        <is>
          <t>Sí</t>
        </is>
      </c>
      <c r="N431" t="inlineStr"/>
      <c r="O431" t="inlineStr">
        <is>
          <t>Informativa</t>
        </is>
      </c>
      <c r="P431" t="inlineStr">
        <is>
          <t>No interviene en el prorrateo</t>
        </is>
      </c>
    </row>
    <row r="432">
      <c r="A432" t="n">
        <v>1421</v>
      </c>
      <c r="B432" t="inlineStr">
        <is>
          <t>GARCIA GONZALEZ,ISIDORA</t>
        </is>
      </c>
      <c r="E432" t="n">
        <v>2026</v>
      </c>
      <c r="F432" t="n">
        <v>1</v>
      </c>
      <c r="G432" t="inlineStr">
        <is>
          <t>CITRICOS</t>
        </is>
      </c>
      <c r="H432" t="inlineStr">
        <is>
          <t>SALUSTIANA</t>
        </is>
      </c>
      <c r="I432" t="n">
        <v>85</v>
      </c>
      <c r="J432" t="n">
        <v>13165</v>
      </c>
      <c r="K432" t="n">
        <v>8875</v>
      </c>
      <c r="L432" t="n">
        <v>8875</v>
      </c>
      <c r="M432" t="inlineStr">
        <is>
          <t>Sí</t>
        </is>
      </c>
      <c r="N432" t="inlineStr"/>
      <c r="O432" t="inlineStr">
        <is>
          <t>Informativa</t>
        </is>
      </c>
      <c r="P432" t="inlineStr">
        <is>
          <t>No interviene en el prorrateo</t>
        </is>
      </c>
    </row>
    <row r="433">
      <c r="A433" t="n">
        <v>1421</v>
      </c>
      <c r="B433" t="inlineStr">
        <is>
          <t>GARCIA GONZALEZ,ISIDORA</t>
        </is>
      </c>
      <c r="E433" t="n">
        <v>2026</v>
      </c>
      <c r="F433" t="n">
        <v>1</v>
      </c>
      <c r="G433" t="inlineStr">
        <is>
          <t>CITRICOS</t>
        </is>
      </c>
      <c r="H433" t="inlineStr">
        <is>
          <t>SALUSTIANA</t>
        </is>
      </c>
      <c r="I433" t="n">
        <v>85</v>
      </c>
      <c r="J433" t="n">
        <v>13655</v>
      </c>
      <c r="K433" t="n">
        <v>3905</v>
      </c>
      <c r="L433" t="n">
        <v>3905</v>
      </c>
      <c r="M433" t="inlineStr">
        <is>
          <t>Sí</t>
        </is>
      </c>
      <c r="N433" t="inlineStr"/>
      <c r="O433" t="inlineStr">
        <is>
          <t>Informativa</t>
        </is>
      </c>
      <c r="P433" t="inlineStr">
        <is>
          <t>No interviene en el prorrateo</t>
        </is>
      </c>
    </row>
    <row r="434">
      <c r="A434" t="n">
        <v>1421</v>
      </c>
      <c r="B434" t="inlineStr">
        <is>
          <t>GARCIA GONZALEZ,ISIDORA</t>
        </is>
      </c>
      <c r="E434" t="n">
        <v>2026</v>
      </c>
      <c r="F434" t="n">
        <v>1</v>
      </c>
      <c r="G434" t="inlineStr">
        <is>
          <t>CITRICOS</t>
        </is>
      </c>
      <c r="H434" t="inlineStr">
        <is>
          <t>SALUSTIANA</t>
        </is>
      </c>
      <c r="I434" t="n">
        <v>85</v>
      </c>
      <c r="J434" t="n">
        <v>11615</v>
      </c>
      <c r="K434" t="n">
        <v>0</v>
      </c>
      <c r="L434" t="n">
        <v>11615</v>
      </c>
      <c r="M434" t="inlineStr">
        <is>
          <t>Sí</t>
        </is>
      </c>
      <c r="N434" t="inlineStr"/>
      <c r="O434" t="inlineStr">
        <is>
          <t>Informativa</t>
        </is>
      </c>
      <c r="P434" t="inlineStr">
        <is>
          <t>No interviene en el prorrateo</t>
        </is>
      </c>
    </row>
    <row r="435">
      <c r="A435" t="n">
        <v>1443</v>
      </c>
      <c r="B435" t="inlineStr">
        <is>
          <t>TOMENO SUAREZ,ALBERTO</t>
        </is>
      </c>
      <c r="E435" t="n">
        <v>2026</v>
      </c>
      <c r="F435" t="n">
        <v>1</v>
      </c>
      <c r="G435" t="inlineStr">
        <is>
          <t>CITRICOS</t>
        </is>
      </c>
      <c r="H435" t="inlineStr">
        <is>
          <t>NAVELINA</t>
        </is>
      </c>
      <c r="I435" t="n">
        <v>42</v>
      </c>
      <c r="J435" t="n">
        <v>23260</v>
      </c>
      <c r="K435" t="n">
        <v>0</v>
      </c>
      <c r="L435" t="n">
        <v>23260</v>
      </c>
      <c r="M435" t="inlineStr">
        <is>
          <t>Sí</t>
        </is>
      </c>
      <c r="N435" t="inlineStr"/>
      <c r="O435" t="inlineStr">
        <is>
          <t>Informativa</t>
        </is>
      </c>
      <c r="P435" t="inlineStr">
        <is>
          <t>No interviene en el prorrateo</t>
        </is>
      </c>
    </row>
    <row r="436">
      <c r="A436" t="n">
        <v>1443</v>
      </c>
      <c r="B436" t="inlineStr">
        <is>
          <t>TOMENO SUAREZ,ALBERTO</t>
        </is>
      </c>
      <c r="E436" t="n">
        <v>2026</v>
      </c>
      <c r="F436" t="n">
        <v>1</v>
      </c>
      <c r="G436" t="inlineStr">
        <is>
          <t>CITRICOS</t>
        </is>
      </c>
      <c r="H436" t="inlineStr">
        <is>
          <t>NAVELINA</t>
        </is>
      </c>
      <c r="I436" t="n">
        <v>42</v>
      </c>
      <c r="J436" t="n">
        <v>11350</v>
      </c>
      <c r="K436" t="n">
        <v>10850</v>
      </c>
      <c r="L436" t="n">
        <v>10850</v>
      </c>
      <c r="M436" t="inlineStr">
        <is>
          <t>Sí</t>
        </is>
      </c>
      <c r="N436" t="inlineStr"/>
      <c r="O436" t="inlineStr">
        <is>
          <t>Informativa</t>
        </is>
      </c>
      <c r="P436" t="inlineStr">
        <is>
          <t>No interviene en el prorrateo</t>
        </is>
      </c>
    </row>
    <row r="437">
      <c r="A437" t="n">
        <v>1443</v>
      </c>
      <c r="B437" t="inlineStr">
        <is>
          <t>TOMENO SUAREZ,ALBERTO</t>
        </is>
      </c>
      <c r="E437" t="n">
        <v>2026</v>
      </c>
      <c r="F437" t="n">
        <v>1</v>
      </c>
      <c r="G437" t="inlineStr">
        <is>
          <t>CITRICOS</t>
        </is>
      </c>
      <c r="H437" t="inlineStr">
        <is>
          <t>NAVELINA</t>
        </is>
      </c>
      <c r="I437" t="n">
        <v>42</v>
      </c>
      <c r="J437" t="n">
        <v>23130</v>
      </c>
      <c r="K437" t="n">
        <v>16814</v>
      </c>
      <c r="L437" t="n">
        <v>16814</v>
      </c>
      <c r="M437" t="inlineStr">
        <is>
          <t>Sí</t>
        </is>
      </c>
      <c r="N437" t="inlineStr"/>
      <c r="O437" t="inlineStr">
        <is>
          <t>Informativa</t>
        </is>
      </c>
      <c r="P437" t="inlineStr">
        <is>
          <t>No interviene en el prorrateo</t>
        </is>
      </c>
    </row>
    <row r="438">
      <c r="A438" t="n">
        <v>1443</v>
      </c>
      <c r="B438" t="inlineStr">
        <is>
          <t>TOMENO SUAREZ,ALBERTO</t>
        </is>
      </c>
      <c r="E438" t="n">
        <v>2026</v>
      </c>
      <c r="F438" t="n">
        <v>1</v>
      </c>
      <c r="G438" t="inlineStr">
        <is>
          <t>CITRICOS</t>
        </is>
      </c>
      <c r="H438" t="inlineStr">
        <is>
          <t>NAVELINA</t>
        </is>
      </c>
      <c r="I438" t="n">
        <v>42</v>
      </c>
      <c r="J438" t="n">
        <v>24425</v>
      </c>
      <c r="K438" t="n">
        <v>4616</v>
      </c>
      <c r="L438" t="n">
        <v>4616</v>
      </c>
      <c r="M438" t="inlineStr">
        <is>
          <t>Sí</t>
        </is>
      </c>
      <c r="N438" t="inlineStr"/>
      <c r="O438" t="inlineStr">
        <is>
          <t>Informativa</t>
        </is>
      </c>
      <c r="P438" t="inlineStr">
        <is>
          <t>No interviene en el prorrateo</t>
        </is>
      </c>
    </row>
    <row r="439">
      <c r="A439" t="n">
        <v>1443</v>
      </c>
      <c r="B439" t="inlineStr">
        <is>
          <t>TOMENO SUAREZ,ALBERTO</t>
        </is>
      </c>
      <c r="E439" t="n">
        <v>2026</v>
      </c>
      <c r="F439" t="n">
        <v>1</v>
      </c>
      <c r="G439" t="inlineStr">
        <is>
          <t>CITRICOS</t>
        </is>
      </c>
      <c r="H439" t="inlineStr">
        <is>
          <t>SALUSTIANA</t>
        </is>
      </c>
      <c r="I439" t="n">
        <v>46</v>
      </c>
      <c r="J439" t="n">
        <v>11800</v>
      </c>
      <c r="K439" t="n">
        <v>8040</v>
      </c>
      <c r="L439" t="n">
        <v>8040</v>
      </c>
      <c r="M439" t="inlineStr">
        <is>
          <t>Sí</t>
        </is>
      </c>
      <c r="N439" t="inlineStr"/>
      <c r="O439" t="inlineStr">
        <is>
          <t>Informativa</t>
        </is>
      </c>
      <c r="P439" t="inlineStr">
        <is>
          <t>No interviene en el prorrateo</t>
        </is>
      </c>
    </row>
    <row r="440">
      <c r="A440" t="n">
        <v>1443</v>
      </c>
      <c r="B440" t="inlineStr">
        <is>
          <t>TOMENO SUAREZ,ALBERTO</t>
        </is>
      </c>
      <c r="E440" t="n">
        <v>2026</v>
      </c>
      <c r="F440" t="n">
        <v>1</v>
      </c>
      <c r="G440" t="inlineStr">
        <is>
          <t>CITRICOS</t>
        </is>
      </c>
      <c r="H440" t="inlineStr">
        <is>
          <t>SALUSTIANA</t>
        </is>
      </c>
      <c r="I440" t="n">
        <v>46</v>
      </c>
      <c r="J440" t="n">
        <v>12784</v>
      </c>
      <c r="K440" t="n">
        <v>818</v>
      </c>
      <c r="L440" t="n">
        <v>818</v>
      </c>
      <c r="M440" t="inlineStr">
        <is>
          <t>Sí</t>
        </is>
      </c>
      <c r="N440" t="inlineStr"/>
      <c r="O440" t="inlineStr">
        <is>
          <t>Informativa</t>
        </is>
      </c>
      <c r="P440" t="inlineStr">
        <is>
          <t>No interviene en el prorrateo</t>
        </is>
      </c>
    </row>
    <row r="441">
      <c r="A441" t="n">
        <v>1443</v>
      </c>
      <c r="B441" t="inlineStr">
        <is>
          <t>TOMENO SUAREZ,ALBERTO</t>
        </is>
      </c>
      <c r="E441" t="n">
        <v>2026</v>
      </c>
      <c r="F441" t="n">
        <v>1</v>
      </c>
      <c r="G441" t="inlineStr">
        <is>
          <t>CITRICOS</t>
        </is>
      </c>
      <c r="H441" t="inlineStr">
        <is>
          <t>SALUSTIANA</t>
        </is>
      </c>
      <c r="I441" t="n">
        <v>46</v>
      </c>
      <c r="J441" t="n">
        <v>12416</v>
      </c>
      <c r="K441" t="n">
        <v>3216</v>
      </c>
      <c r="L441" t="n">
        <v>3216</v>
      </c>
      <c r="M441" t="inlineStr">
        <is>
          <t>Sí</t>
        </is>
      </c>
      <c r="N441" t="inlineStr"/>
      <c r="O441" t="inlineStr">
        <is>
          <t>Informativa</t>
        </is>
      </c>
      <c r="P441" t="inlineStr">
        <is>
          <t>No interviene en el prorrateo</t>
        </is>
      </c>
    </row>
    <row r="442">
      <c r="A442" t="n">
        <v>1443</v>
      </c>
      <c r="B442" t="inlineStr">
        <is>
          <t>TOMENO SUAREZ,ALBERTO</t>
        </is>
      </c>
      <c r="E442" t="n">
        <v>2026</v>
      </c>
      <c r="F442" t="n">
        <v>1</v>
      </c>
      <c r="G442" t="inlineStr">
        <is>
          <t>CITRICOS</t>
        </is>
      </c>
      <c r="H442" t="inlineStr">
        <is>
          <t>SALUSTIANA</t>
        </is>
      </c>
      <c r="I442" t="n">
        <v>46</v>
      </c>
      <c r="J442" t="n">
        <v>11542</v>
      </c>
      <c r="K442" t="n">
        <v>10220</v>
      </c>
      <c r="L442" t="n">
        <v>10220</v>
      </c>
      <c r="M442" t="inlineStr">
        <is>
          <t>Sí</t>
        </is>
      </c>
      <c r="N442" t="inlineStr"/>
      <c r="O442" t="inlineStr">
        <is>
          <t>Informativa</t>
        </is>
      </c>
      <c r="P442" t="inlineStr">
        <is>
          <t>No interviene en el prorrateo</t>
        </is>
      </c>
    </row>
    <row r="443">
      <c r="A443" t="n">
        <v>1443</v>
      </c>
      <c r="B443" t="inlineStr">
        <is>
          <t>TOMENO SUAREZ,ALBERTO</t>
        </is>
      </c>
      <c r="E443" t="n">
        <v>2026</v>
      </c>
      <c r="F443" t="n">
        <v>1</v>
      </c>
      <c r="G443" t="inlineStr">
        <is>
          <t>CITRICOS</t>
        </is>
      </c>
      <c r="H443" t="inlineStr">
        <is>
          <t>SALUSTIANA</t>
        </is>
      </c>
      <c r="I443" t="n">
        <v>46</v>
      </c>
      <c r="J443" t="n">
        <v>11928</v>
      </c>
      <c r="K443" t="n">
        <v>0</v>
      </c>
      <c r="L443" t="n">
        <v>11928</v>
      </c>
      <c r="M443" t="inlineStr">
        <is>
          <t>Sí</t>
        </is>
      </c>
      <c r="N443" t="inlineStr"/>
      <c r="O443" t="inlineStr">
        <is>
          <t>Informativa</t>
        </is>
      </c>
      <c r="P443" t="inlineStr">
        <is>
          <t>No interviene en el prorrateo</t>
        </is>
      </c>
    </row>
    <row r="444">
      <c r="A444" t="n">
        <v>1443</v>
      </c>
      <c r="B444" t="inlineStr">
        <is>
          <t>TOMENO SUAREZ,ALBERTO</t>
        </is>
      </c>
      <c r="E444" t="n">
        <v>2026</v>
      </c>
      <c r="F444" t="n">
        <v>1</v>
      </c>
      <c r="G444" t="inlineStr">
        <is>
          <t>INDUSTRIA</t>
        </is>
      </c>
      <c r="H444" t="inlineStr">
        <is>
          <t>NAVELINA</t>
        </is>
      </c>
      <c r="I444" t="n">
        <v>42</v>
      </c>
      <c r="J444" t="n">
        <v>22360</v>
      </c>
      <c r="K444" t="n">
        <v>1070</v>
      </c>
      <c r="L444" t="n">
        <v>1070</v>
      </c>
      <c r="M444" t="inlineStr">
        <is>
          <t>Sí</t>
        </is>
      </c>
      <c r="N444" t="inlineStr"/>
      <c r="O444" t="inlineStr">
        <is>
          <t>Informativa</t>
        </is>
      </c>
      <c r="P444" t="inlineStr">
        <is>
          <t>No interviene en el prorrateo</t>
        </is>
      </c>
    </row>
    <row r="445">
      <c r="A445" t="n">
        <v>1443</v>
      </c>
      <c r="B445" t="inlineStr">
        <is>
          <t>TOMENO SUAREZ,ALBERTO</t>
        </is>
      </c>
      <c r="E445" t="n">
        <v>2026</v>
      </c>
      <c r="F445" t="n">
        <v>1</v>
      </c>
      <c r="G445" t="inlineStr">
        <is>
          <t>INDUSTRIA</t>
        </is>
      </c>
      <c r="H445" t="inlineStr">
        <is>
          <t>NAVELINA</t>
        </is>
      </c>
      <c r="I445" t="n">
        <v>42</v>
      </c>
      <c r="J445" t="n">
        <v>9985</v>
      </c>
      <c r="K445" t="n">
        <v>430</v>
      </c>
      <c r="L445" t="n">
        <v>430</v>
      </c>
      <c r="M445" t="inlineStr">
        <is>
          <t>Sí</t>
        </is>
      </c>
      <c r="N445" t="inlineStr"/>
      <c r="O445" t="inlineStr">
        <is>
          <t>Informativa</t>
        </is>
      </c>
      <c r="P445" t="inlineStr">
        <is>
          <t>No interviene en el prorrateo</t>
        </is>
      </c>
    </row>
    <row r="446">
      <c r="A446" t="n">
        <v>1443</v>
      </c>
      <c r="B446" t="inlineStr">
        <is>
          <t>TOMENO SUAREZ,ALBERTO</t>
        </is>
      </c>
      <c r="E446" t="n">
        <v>2026</v>
      </c>
      <c r="F446" t="n">
        <v>1</v>
      </c>
      <c r="G446" t="inlineStr">
        <is>
          <t>INDUSTRIA</t>
        </is>
      </c>
      <c r="H446" t="inlineStr">
        <is>
          <t>SALUSTIANA</t>
        </is>
      </c>
      <c r="I446" t="n">
        <v>46</v>
      </c>
      <c r="J446" t="n">
        <v>11322</v>
      </c>
      <c r="K446" t="n">
        <v>342</v>
      </c>
      <c r="L446" t="n">
        <v>342</v>
      </c>
      <c r="M446" t="inlineStr">
        <is>
          <t>Sí</t>
        </is>
      </c>
      <c r="N446" t="inlineStr"/>
      <c r="O446" t="inlineStr">
        <is>
          <t>Informativa</t>
        </is>
      </c>
      <c r="P446" t="inlineStr">
        <is>
          <t>No interviene en el prorrateo</t>
        </is>
      </c>
    </row>
    <row r="447">
      <c r="A447" t="n">
        <v>1443</v>
      </c>
      <c r="B447" t="inlineStr">
        <is>
          <t>TOMENO SUAREZ,ALBERTO</t>
        </is>
      </c>
      <c r="E447" t="n">
        <v>2026</v>
      </c>
      <c r="F447" t="n">
        <v>1</v>
      </c>
      <c r="G447" t="inlineStr">
        <is>
          <t>MANDARINA</t>
        </is>
      </c>
      <c r="H447" t="inlineStr">
        <is>
          <t>NADORCOTT</t>
        </is>
      </c>
      <c r="I447" t="n">
        <v>612</v>
      </c>
      <c r="J447" t="n">
        <v>11996</v>
      </c>
      <c r="K447" t="n">
        <v>6402</v>
      </c>
      <c r="L447" t="n">
        <v>6402</v>
      </c>
      <c r="M447" t="inlineStr">
        <is>
          <t>Sí</t>
        </is>
      </c>
      <c r="N447" t="inlineStr"/>
      <c r="O447" t="inlineStr">
        <is>
          <t>Informativa</t>
        </is>
      </c>
      <c r="P447" t="inlineStr">
        <is>
          <t>No interviene en el prorrateo</t>
        </is>
      </c>
    </row>
    <row r="448">
      <c r="A448" t="n">
        <v>1443</v>
      </c>
      <c r="B448" t="inlineStr">
        <is>
          <t>TOMENO SUAREZ,ALBERTO</t>
        </is>
      </c>
      <c r="E448" t="n">
        <v>2026</v>
      </c>
      <c r="F448" t="n">
        <v>1</v>
      </c>
      <c r="G448" t="inlineStr">
        <is>
          <t>MANDARINA</t>
        </is>
      </c>
      <c r="H448" t="inlineStr">
        <is>
          <t>NADORCOTT</t>
        </is>
      </c>
      <c r="I448" t="n">
        <v>612</v>
      </c>
      <c r="J448" t="n">
        <v>11112</v>
      </c>
      <c r="K448" t="n">
        <v>0</v>
      </c>
      <c r="L448" t="n">
        <v>11112</v>
      </c>
      <c r="M448" t="inlineStr">
        <is>
          <t>Sí</t>
        </is>
      </c>
      <c r="N448" t="inlineStr"/>
      <c r="O448" t="inlineStr">
        <is>
          <t>Informativa</t>
        </is>
      </c>
      <c r="P448" t="inlineStr">
        <is>
          <t>No interviene en el prorrateo</t>
        </is>
      </c>
    </row>
    <row r="449">
      <c r="A449" t="n">
        <v>1443</v>
      </c>
      <c r="B449" t="inlineStr">
        <is>
          <t>TOMENO SUAREZ,ALBERTO</t>
        </is>
      </c>
      <c r="E449" t="n">
        <v>2026</v>
      </c>
      <c r="F449" t="n">
        <v>1</v>
      </c>
      <c r="G449" t="inlineStr">
        <is>
          <t>MANDARINA</t>
        </is>
      </c>
      <c r="H449" t="inlineStr">
        <is>
          <t>NADORCOTT</t>
        </is>
      </c>
      <c r="I449" t="n">
        <v>612</v>
      </c>
      <c r="J449" t="n">
        <v>12260</v>
      </c>
      <c r="K449" t="n">
        <v>4802</v>
      </c>
      <c r="L449" t="n">
        <v>4802</v>
      </c>
      <c r="M449" t="inlineStr">
        <is>
          <t>Sí</t>
        </is>
      </c>
      <c r="N449" t="inlineStr"/>
      <c r="O449" t="inlineStr">
        <is>
          <t>Informativa</t>
        </is>
      </c>
      <c r="P449" t="inlineStr">
        <is>
          <t>No interviene en el prorrateo</t>
        </is>
      </c>
    </row>
    <row r="450">
      <c r="A450" t="n">
        <v>1443</v>
      </c>
      <c r="B450" t="inlineStr">
        <is>
          <t>TOMENO SUAREZ,ALBERTO</t>
        </is>
      </c>
      <c r="E450" t="n">
        <v>2026</v>
      </c>
      <c r="F450" t="n">
        <v>1</v>
      </c>
      <c r="G450" t="inlineStr">
        <is>
          <t>MANDARINA</t>
        </is>
      </c>
      <c r="H450" t="inlineStr">
        <is>
          <t>NADORCOTT</t>
        </is>
      </c>
      <c r="I450" t="n">
        <v>612</v>
      </c>
      <c r="J450" t="n">
        <v>11644</v>
      </c>
      <c r="K450" t="n">
        <v>0</v>
      </c>
      <c r="L450" t="n">
        <v>11644</v>
      </c>
      <c r="M450" t="inlineStr">
        <is>
          <t>Sí</t>
        </is>
      </c>
      <c r="N450" t="inlineStr"/>
      <c r="O450" t="inlineStr">
        <is>
          <t>Informativa</t>
        </is>
      </c>
      <c r="P450" t="inlineStr">
        <is>
          <t>No interviene en el prorrateo</t>
        </is>
      </c>
    </row>
    <row r="451">
      <c r="A451" t="n">
        <v>1443</v>
      </c>
      <c r="B451" t="inlineStr">
        <is>
          <t>TOMENO SUAREZ,ALBERTO</t>
        </is>
      </c>
      <c r="E451" t="n">
        <v>2026</v>
      </c>
      <c r="F451" t="n">
        <v>1</v>
      </c>
      <c r="G451" t="inlineStr">
        <is>
          <t>MANDARINA</t>
        </is>
      </c>
      <c r="H451" t="inlineStr">
        <is>
          <t>NADORCOTT</t>
        </is>
      </c>
      <c r="I451" t="n">
        <v>612</v>
      </c>
      <c r="J451" t="n">
        <v>11904</v>
      </c>
      <c r="K451" t="n">
        <v>7228</v>
      </c>
      <c r="L451" t="n">
        <v>7228</v>
      </c>
      <c r="M451" t="inlineStr">
        <is>
          <t>Sí</t>
        </is>
      </c>
      <c r="N451" t="inlineStr"/>
      <c r="O451" t="inlineStr">
        <is>
          <t>Informativa</t>
        </is>
      </c>
      <c r="P451" t="inlineStr">
        <is>
          <t>No interviene en el prorrateo</t>
        </is>
      </c>
    </row>
    <row r="452">
      <c r="A452" t="n">
        <v>1443</v>
      </c>
      <c r="B452" t="inlineStr">
        <is>
          <t>TOMENO SUAREZ,ALBERTO</t>
        </is>
      </c>
      <c r="E452" t="n">
        <v>2026</v>
      </c>
      <c r="F452" t="n">
        <v>1</v>
      </c>
      <c r="G452" t="inlineStr">
        <is>
          <t>MANDARINA</t>
        </is>
      </c>
      <c r="H452" t="inlineStr">
        <is>
          <t>NADORCOTT</t>
        </is>
      </c>
      <c r="I452" t="n">
        <v>612</v>
      </c>
      <c r="J452" t="n">
        <v>12432</v>
      </c>
      <c r="K452" t="n">
        <v>4016</v>
      </c>
      <c r="L452" t="n">
        <v>4016</v>
      </c>
      <c r="M452" t="inlineStr">
        <is>
          <t>Sí</t>
        </is>
      </c>
      <c r="N452" t="inlineStr"/>
      <c r="O452" t="inlineStr">
        <is>
          <t>Informativa</t>
        </is>
      </c>
      <c r="P452" t="inlineStr">
        <is>
          <t>No interviene en el prorrateo</t>
        </is>
      </c>
    </row>
    <row r="453">
      <c r="A453" t="n">
        <v>1443</v>
      </c>
      <c r="B453" t="inlineStr">
        <is>
          <t>TOMENO SUAREZ,ALBERTO</t>
        </is>
      </c>
      <c r="E453" t="n">
        <v>2026</v>
      </c>
      <c r="F453" t="n">
        <v>1</v>
      </c>
      <c r="G453" t="inlineStr">
        <is>
          <t>MANDARINA</t>
        </is>
      </c>
      <c r="H453" t="inlineStr">
        <is>
          <t>NADORCOTT</t>
        </is>
      </c>
      <c r="I453" t="n">
        <v>612</v>
      </c>
      <c r="J453" t="n">
        <v>11412</v>
      </c>
      <c r="K453" t="n">
        <v>0</v>
      </c>
      <c r="L453" t="n">
        <v>11412</v>
      </c>
      <c r="M453" t="inlineStr">
        <is>
          <t>Sí</t>
        </is>
      </c>
      <c r="N453" t="inlineStr"/>
      <c r="O453" t="inlineStr">
        <is>
          <t>Informativa</t>
        </is>
      </c>
      <c r="P453" t="inlineStr">
        <is>
          <t>No interviene en el prorrateo</t>
        </is>
      </c>
    </row>
    <row r="454">
      <c r="A454" t="n">
        <v>1443</v>
      </c>
      <c r="B454" t="inlineStr">
        <is>
          <t>TOMENO SUAREZ,ALBERTO</t>
        </is>
      </c>
      <c r="E454" t="n">
        <v>2026</v>
      </c>
      <c r="F454" t="n">
        <v>1</v>
      </c>
      <c r="G454" t="inlineStr">
        <is>
          <t>MANDARINA</t>
        </is>
      </c>
      <c r="H454" t="inlineStr">
        <is>
          <t>NADORCOTT</t>
        </is>
      </c>
      <c r="I454" t="n">
        <v>612</v>
      </c>
      <c r="J454" t="n">
        <v>11150</v>
      </c>
      <c r="K454" t="n">
        <v>0</v>
      </c>
      <c r="L454" t="n">
        <v>11150</v>
      </c>
      <c r="M454" t="inlineStr">
        <is>
          <t>Sí</t>
        </is>
      </c>
      <c r="N454" t="inlineStr"/>
      <c r="O454" t="inlineStr">
        <is>
          <t>Informativa</t>
        </is>
      </c>
      <c r="P454" t="inlineStr">
        <is>
          <t>No interviene en el prorrateo</t>
        </is>
      </c>
    </row>
    <row r="455">
      <c r="A455" t="n">
        <v>1443</v>
      </c>
      <c r="B455" t="inlineStr">
        <is>
          <t>TOMENO SUAREZ,ALBERTO</t>
        </is>
      </c>
      <c r="E455" t="n">
        <v>2026</v>
      </c>
      <c r="F455" t="n">
        <v>1</v>
      </c>
      <c r="G455" t="inlineStr">
        <is>
          <t>MANDARINA</t>
        </is>
      </c>
      <c r="H455" t="inlineStr">
        <is>
          <t>TANGO</t>
        </is>
      </c>
      <c r="I455" t="n">
        <v>611</v>
      </c>
      <c r="J455" t="n">
        <v>20660</v>
      </c>
      <c r="K455" t="n">
        <v>0</v>
      </c>
      <c r="L455" t="n">
        <v>20660</v>
      </c>
      <c r="M455" t="inlineStr">
        <is>
          <t>Sí</t>
        </is>
      </c>
      <c r="N455" t="inlineStr"/>
      <c r="O455" t="inlineStr">
        <is>
          <t>Informativa</t>
        </is>
      </c>
      <c r="P455" t="inlineStr">
        <is>
          <t>No interviene en el prorrateo</t>
        </is>
      </c>
    </row>
    <row r="456">
      <c r="A456" t="n">
        <v>1443</v>
      </c>
      <c r="B456" t="inlineStr">
        <is>
          <t>TOMENO SUAREZ,ALBERTO</t>
        </is>
      </c>
      <c r="E456" t="n">
        <v>2026</v>
      </c>
      <c r="F456" t="n">
        <v>1</v>
      </c>
      <c r="G456" t="inlineStr">
        <is>
          <t>MANDARINA</t>
        </is>
      </c>
      <c r="H456" t="inlineStr">
        <is>
          <t>NADORCOTT</t>
        </is>
      </c>
      <c r="I456" t="n">
        <v>612</v>
      </c>
      <c r="J456" t="n">
        <v>12028</v>
      </c>
      <c r="K456" t="n">
        <v>5739</v>
      </c>
      <c r="L456" t="n">
        <v>5739</v>
      </c>
      <c r="M456" t="inlineStr">
        <is>
          <t>Sí</t>
        </is>
      </c>
      <c r="N456" t="inlineStr"/>
      <c r="O456" t="inlineStr">
        <is>
          <t>Informativa</t>
        </is>
      </c>
      <c r="P456" t="inlineStr">
        <is>
          <t>No interviene en el prorrateo</t>
        </is>
      </c>
    </row>
    <row r="457">
      <c r="A457" t="n">
        <v>1443</v>
      </c>
      <c r="B457" t="inlineStr">
        <is>
          <t>TOMENO SUAREZ,ALBERTO</t>
        </is>
      </c>
      <c r="E457" t="n">
        <v>2026</v>
      </c>
      <c r="F457" t="n">
        <v>1</v>
      </c>
      <c r="G457" t="inlineStr">
        <is>
          <t>MANDARINA</t>
        </is>
      </c>
      <c r="H457" t="inlineStr">
        <is>
          <t>NADORCOTT</t>
        </is>
      </c>
      <c r="I457" t="n">
        <v>612</v>
      </c>
      <c r="J457" t="n">
        <v>5365</v>
      </c>
      <c r="K457" t="n">
        <v>0</v>
      </c>
      <c r="L457" t="n">
        <v>5365</v>
      </c>
      <c r="M457" t="inlineStr">
        <is>
          <t>Sí</t>
        </is>
      </c>
      <c r="N457" t="inlineStr"/>
      <c r="O457" t="inlineStr">
        <is>
          <t>Informativa</t>
        </is>
      </c>
      <c r="P457" t="inlineStr">
        <is>
          <t>No interviene en el prorrateo</t>
        </is>
      </c>
    </row>
    <row r="458">
      <c r="A458" t="n">
        <v>1443</v>
      </c>
      <c r="B458" t="inlineStr">
        <is>
          <t>TOMENO SUAREZ,ALBERTO</t>
        </is>
      </c>
      <c r="E458" t="n">
        <v>2026</v>
      </c>
      <c r="F458" t="n">
        <v>1</v>
      </c>
      <c r="G458" t="inlineStr">
        <is>
          <t>MANDARINA</t>
        </is>
      </c>
      <c r="H458" t="inlineStr">
        <is>
          <t>NADORCOTT</t>
        </is>
      </c>
      <c r="I458" t="n">
        <v>612</v>
      </c>
      <c r="J458" t="n">
        <v>10248</v>
      </c>
      <c r="K458" t="n">
        <v>3064</v>
      </c>
      <c r="L458" t="n">
        <v>3064</v>
      </c>
      <c r="M458" t="inlineStr">
        <is>
          <t>Sí</t>
        </is>
      </c>
      <c r="N458" t="inlineStr"/>
      <c r="O458" t="inlineStr">
        <is>
          <t>Informativa</t>
        </is>
      </c>
      <c r="P458" t="inlineStr">
        <is>
          <t>No interviene en el prorrateo</t>
        </is>
      </c>
    </row>
    <row r="459">
      <c r="A459" t="n">
        <v>1443</v>
      </c>
      <c r="B459" t="inlineStr">
        <is>
          <t>TOMENO SUAREZ,ALBERTO</t>
        </is>
      </c>
      <c r="E459" t="n">
        <v>2026</v>
      </c>
      <c r="F459" t="n">
        <v>1</v>
      </c>
      <c r="G459" t="inlineStr">
        <is>
          <t>MANDARINA</t>
        </is>
      </c>
      <c r="H459" t="inlineStr">
        <is>
          <t>NADORCOTT</t>
        </is>
      </c>
      <c r="I459" t="n">
        <v>612</v>
      </c>
      <c r="J459" t="n">
        <v>9720</v>
      </c>
      <c r="K459" t="n">
        <v>6128</v>
      </c>
      <c r="L459" t="n">
        <v>6128</v>
      </c>
      <c r="M459" t="inlineStr">
        <is>
          <t>Sí</t>
        </is>
      </c>
      <c r="N459" t="inlineStr"/>
      <c r="O459" t="inlineStr">
        <is>
          <t>Informativa</t>
        </is>
      </c>
      <c r="P459" t="inlineStr">
        <is>
          <t>No interviene en el prorrateo</t>
        </is>
      </c>
    </row>
    <row r="460">
      <c r="A460" t="n">
        <v>1443</v>
      </c>
      <c r="B460" t="inlineStr">
        <is>
          <t>TOMENO SUAREZ,ALBERTO</t>
        </is>
      </c>
      <c r="E460" t="n">
        <v>2026</v>
      </c>
      <c r="F460" t="n">
        <v>1</v>
      </c>
      <c r="G460" t="inlineStr">
        <is>
          <t>MANDARINA</t>
        </is>
      </c>
      <c r="H460" t="inlineStr">
        <is>
          <t>NADORCOTT</t>
        </is>
      </c>
      <c r="I460" t="n">
        <v>612</v>
      </c>
      <c r="J460" t="n">
        <v>19192</v>
      </c>
      <c r="K460" t="n">
        <v>0</v>
      </c>
      <c r="L460" t="n">
        <v>19192</v>
      </c>
      <c r="M460" t="inlineStr">
        <is>
          <t>Sí</t>
        </is>
      </c>
      <c r="N460" t="inlineStr"/>
      <c r="O460" t="inlineStr">
        <is>
          <t>Informativa</t>
        </is>
      </c>
      <c r="P460" t="inlineStr">
        <is>
          <t>No interviene en el prorrateo</t>
        </is>
      </c>
    </row>
    <row r="461">
      <c r="A461" t="n">
        <v>1443</v>
      </c>
      <c r="B461" t="inlineStr">
        <is>
          <t>TOMENO SUAREZ,ALBERTO</t>
        </is>
      </c>
      <c r="E461" t="n">
        <v>2026</v>
      </c>
      <c r="F461" t="n">
        <v>1</v>
      </c>
      <c r="G461" t="inlineStr">
        <is>
          <t>MANDARINA</t>
        </is>
      </c>
      <c r="H461" t="inlineStr">
        <is>
          <t>NADORCOTT</t>
        </is>
      </c>
      <c r="I461" t="n">
        <v>612</v>
      </c>
      <c r="J461" t="n">
        <v>11744</v>
      </c>
      <c r="K461" t="n">
        <v>0</v>
      </c>
      <c r="L461" t="n">
        <v>11744</v>
      </c>
      <c r="M461" t="inlineStr">
        <is>
          <t>Sí</t>
        </is>
      </c>
      <c r="N461" t="inlineStr"/>
      <c r="O461" t="inlineStr">
        <is>
          <t>Informativa</t>
        </is>
      </c>
      <c r="P461" t="inlineStr">
        <is>
          <t>No interviene en el prorrateo</t>
        </is>
      </c>
    </row>
    <row r="462">
      <c r="A462" t="n">
        <v>1443</v>
      </c>
      <c r="B462" t="inlineStr">
        <is>
          <t>TOMENO SUAREZ,ALBERTO</t>
        </is>
      </c>
      <c r="E462" t="n">
        <v>2026</v>
      </c>
      <c r="F462" t="n">
        <v>1</v>
      </c>
      <c r="G462" t="inlineStr">
        <is>
          <t>MANDARINA</t>
        </is>
      </c>
      <c r="H462" t="inlineStr">
        <is>
          <t>TANGO</t>
        </is>
      </c>
      <c r="I462" t="n">
        <v>611</v>
      </c>
      <c r="J462" t="n">
        <v>17520</v>
      </c>
      <c r="K462" t="n">
        <v>0</v>
      </c>
      <c r="L462" t="n">
        <v>17520</v>
      </c>
      <c r="M462" t="inlineStr">
        <is>
          <t>Sí</t>
        </is>
      </c>
      <c r="N462" t="inlineStr"/>
      <c r="O462" t="inlineStr">
        <is>
          <t>Informativa</t>
        </is>
      </c>
      <c r="P462" t="inlineStr">
        <is>
          <t>No interviene en el prorrateo</t>
        </is>
      </c>
    </row>
    <row r="463">
      <c r="A463" t="n">
        <v>1443</v>
      </c>
      <c r="B463" t="inlineStr">
        <is>
          <t>TOMENO SUAREZ,ALBERTO</t>
        </is>
      </c>
      <c r="E463" t="n">
        <v>2026</v>
      </c>
      <c r="F463" t="n">
        <v>1</v>
      </c>
      <c r="G463" t="inlineStr">
        <is>
          <t>MANDARINA</t>
        </is>
      </c>
      <c r="H463" t="inlineStr">
        <is>
          <t>NADORCOTT</t>
        </is>
      </c>
      <c r="I463" t="n">
        <v>612</v>
      </c>
      <c r="J463" t="n">
        <v>12980</v>
      </c>
      <c r="K463" t="n">
        <v>4211</v>
      </c>
      <c r="L463" t="n">
        <v>4211</v>
      </c>
      <c r="M463" t="inlineStr">
        <is>
          <t>Sí</t>
        </is>
      </c>
      <c r="N463" t="inlineStr"/>
      <c r="O463" t="inlineStr">
        <is>
          <t>Informativa</t>
        </is>
      </c>
      <c r="P463" t="inlineStr">
        <is>
          <t>No interviene en el prorrateo</t>
        </is>
      </c>
    </row>
    <row r="464">
      <c r="A464" t="n">
        <v>1443</v>
      </c>
      <c r="B464" t="inlineStr">
        <is>
          <t>TOMENO SUAREZ,ALBERTO</t>
        </is>
      </c>
      <c r="E464" t="n">
        <v>2026</v>
      </c>
      <c r="F464" t="n">
        <v>1</v>
      </c>
      <c r="G464" t="inlineStr">
        <is>
          <t>MANDARINA</t>
        </is>
      </c>
      <c r="H464" t="inlineStr">
        <is>
          <t>TANGO</t>
        </is>
      </c>
      <c r="I464" t="n">
        <v>611</v>
      </c>
      <c r="J464" t="n">
        <v>20160</v>
      </c>
      <c r="K464" t="n">
        <v>0</v>
      </c>
      <c r="L464" t="n">
        <v>20160</v>
      </c>
      <c r="M464" t="inlineStr">
        <is>
          <t>Sí</t>
        </is>
      </c>
      <c r="N464" t="inlineStr"/>
      <c r="O464" t="inlineStr">
        <is>
          <t>Informativa</t>
        </is>
      </c>
      <c r="P464" t="inlineStr">
        <is>
          <t>No interviene en el prorrateo</t>
        </is>
      </c>
    </row>
    <row r="465">
      <c r="A465" t="n">
        <v>1443</v>
      </c>
      <c r="B465" t="inlineStr">
        <is>
          <t>TOMENO SUAREZ,ALBERTO</t>
        </is>
      </c>
      <c r="E465" t="n">
        <v>2026</v>
      </c>
      <c r="F465" t="n">
        <v>1</v>
      </c>
      <c r="G465" t="inlineStr">
        <is>
          <t>MANDARINA</t>
        </is>
      </c>
      <c r="H465" t="inlineStr">
        <is>
          <t>TANGO</t>
        </is>
      </c>
      <c r="I465" t="n">
        <v>611</v>
      </c>
      <c r="J465" t="n">
        <v>19656</v>
      </c>
      <c r="K465" t="n">
        <v>0</v>
      </c>
      <c r="L465" t="n">
        <v>19656</v>
      </c>
      <c r="M465" t="inlineStr">
        <is>
          <t>Sí</t>
        </is>
      </c>
      <c r="N465" t="inlineStr"/>
      <c r="O465" t="inlineStr">
        <is>
          <t>Informativa</t>
        </is>
      </c>
      <c r="P465" t="inlineStr">
        <is>
          <t>No interviene en el prorrateo</t>
        </is>
      </c>
    </row>
    <row r="466">
      <c r="A466" t="n">
        <v>1443</v>
      </c>
      <c r="B466" t="inlineStr">
        <is>
          <t>TOMENO SUAREZ,ALBERTO</t>
        </is>
      </c>
      <c r="E466" t="n">
        <v>2026</v>
      </c>
      <c r="F466" t="n">
        <v>1</v>
      </c>
      <c r="G466" t="inlineStr">
        <is>
          <t>MANDARINA</t>
        </is>
      </c>
      <c r="H466" t="inlineStr">
        <is>
          <t>NADORCOTT</t>
        </is>
      </c>
      <c r="I466" t="n">
        <v>612</v>
      </c>
      <c r="J466" t="n">
        <v>19462</v>
      </c>
      <c r="K466" t="n">
        <v>0</v>
      </c>
      <c r="L466" t="n">
        <v>19462</v>
      </c>
      <c r="M466" t="inlineStr">
        <is>
          <t>Sí</t>
        </is>
      </c>
      <c r="N466" t="inlineStr"/>
      <c r="O466" t="inlineStr">
        <is>
          <t>Informativa</t>
        </is>
      </c>
      <c r="P466" t="inlineStr">
        <is>
          <t>No interviene en el prorrateo</t>
        </is>
      </c>
    </row>
    <row r="467">
      <c r="A467" t="n">
        <v>1443</v>
      </c>
      <c r="B467" t="inlineStr">
        <is>
          <t>TOMENO SUAREZ,ALBERTO</t>
        </is>
      </c>
      <c r="E467" t="n">
        <v>2026</v>
      </c>
      <c r="F467" t="n">
        <v>1</v>
      </c>
      <c r="G467" t="inlineStr">
        <is>
          <t>MANDARINA</t>
        </is>
      </c>
      <c r="H467" t="inlineStr">
        <is>
          <t>NADORCOTT</t>
        </is>
      </c>
      <c r="I467" t="n">
        <v>612</v>
      </c>
      <c r="J467" t="n">
        <v>17956</v>
      </c>
      <c r="K467" t="n">
        <v>0</v>
      </c>
      <c r="L467" t="n">
        <v>17956</v>
      </c>
      <c r="M467" t="inlineStr">
        <is>
          <t>Sí</t>
        </is>
      </c>
      <c r="N467" t="inlineStr"/>
      <c r="O467" t="inlineStr">
        <is>
          <t>Informativa</t>
        </is>
      </c>
      <c r="P467" t="inlineStr">
        <is>
          <t>No interviene en el prorrateo</t>
        </is>
      </c>
    </row>
    <row r="468">
      <c r="A468" t="n">
        <v>1443</v>
      </c>
      <c r="B468" t="inlineStr">
        <is>
          <t>TOMENO SUAREZ,ALBERTO</t>
        </is>
      </c>
      <c r="E468" t="n">
        <v>2026</v>
      </c>
      <c r="F468" t="n">
        <v>1</v>
      </c>
      <c r="G468" t="inlineStr">
        <is>
          <t>MANDARINA</t>
        </is>
      </c>
      <c r="H468" t="inlineStr">
        <is>
          <t>TANGO</t>
        </is>
      </c>
      <c r="I468" t="n">
        <v>611</v>
      </c>
      <c r="J468" t="n">
        <v>19970</v>
      </c>
      <c r="K468" t="n">
        <v>0</v>
      </c>
      <c r="L468" t="n">
        <v>19970</v>
      </c>
      <c r="M468" t="inlineStr">
        <is>
          <t>Sí</t>
        </is>
      </c>
      <c r="N468" t="inlineStr"/>
      <c r="O468" t="inlineStr">
        <is>
          <t>Informativa</t>
        </is>
      </c>
      <c r="P468" t="inlineStr">
        <is>
          <t>No interviene en el prorrateo</t>
        </is>
      </c>
    </row>
    <row r="469">
      <c r="A469" t="n">
        <v>1443</v>
      </c>
      <c r="B469" t="inlineStr">
        <is>
          <t>TOMENO SUAREZ,ALBERTO</t>
        </is>
      </c>
      <c r="E469" t="n">
        <v>2026</v>
      </c>
      <c r="F469" t="n">
        <v>1</v>
      </c>
      <c r="G469" t="inlineStr">
        <is>
          <t>MANDARINA</t>
        </is>
      </c>
      <c r="H469" t="inlineStr">
        <is>
          <t>TANGO</t>
        </is>
      </c>
      <c r="I469" t="n">
        <v>611</v>
      </c>
      <c r="J469" t="n">
        <v>19810</v>
      </c>
      <c r="K469" t="n">
        <v>0</v>
      </c>
      <c r="L469" t="n">
        <v>19810</v>
      </c>
      <c r="M469" t="inlineStr">
        <is>
          <t>Sí</t>
        </is>
      </c>
      <c r="N469" t="inlineStr"/>
      <c r="O469" t="inlineStr">
        <is>
          <t>Informativa</t>
        </is>
      </c>
      <c r="P469" t="inlineStr">
        <is>
          <t>No interviene en el prorrateo</t>
        </is>
      </c>
    </row>
    <row r="470">
      <c r="A470" t="n">
        <v>1443</v>
      </c>
      <c r="B470" t="inlineStr">
        <is>
          <t>TOMENO SUAREZ,ALBERTO</t>
        </is>
      </c>
      <c r="E470" t="n">
        <v>2026</v>
      </c>
      <c r="F470" t="n">
        <v>1</v>
      </c>
      <c r="G470" t="inlineStr">
        <is>
          <t>MANDARINA</t>
        </is>
      </c>
      <c r="H470" t="inlineStr">
        <is>
          <t>NADORCOTT</t>
        </is>
      </c>
      <c r="I470" t="n">
        <v>612</v>
      </c>
      <c r="J470" t="n">
        <v>12452</v>
      </c>
      <c r="K470" t="n">
        <v>7581</v>
      </c>
      <c r="L470" t="n">
        <v>7581</v>
      </c>
      <c r="M470" t="inlineStr">
        <is>
          <t>Sí</t>
        </is>
      </c>
      <c r="N470" t="inlineStr"/>
      <c r="O470" t="inlineStr">
        <is>
          <t>Informativa</t>
        </is>
      </c>
      <c r="P470" t="inlineStr">
        <is>
          <t>No interviene en el prorrateo</t>
        </is>
      </c>
    </row>
    <row r="471">
      <c r="A471" t="n">
        <v>1443</v>
      </c>
      <c r="B471" t="inlineStr">
        <is>
          <t>TOMENO SUAREZ,ALBERTO</t>
        </is>
      </c>
      <c r="E471" t="n">
        <v>2026</v>
      </c>
      <c r="F471" t="n">
        <v>1</v>
      </c>
      <c r="G471" t="inlineStr">
        <is>
          <t>MANDARINA</t>
        </is>
      </c>
      <c r="H471" t="inlineStr">
        <is>
          <t>TANGO</t>
        </is>
      </c>
      <c r="I471" t="n">
        <v>611</v>
      </c>
      <c r="J471" t="n">
        <v>20220</v>
      </c>
      <c r="K471" t="n">
        <v>0</v>
      </c>
      <c r="L471" t="n">
        <v>20220</v>
      </c>
      <c r="M471" t="inlineStr">
        <is>
          <t>Sí</t>
        </is>
      </c>
      <c r="N471" t="inlineStr"/>
      <c r="O471" t="inlineStr">
        <is>
          <t>Informativa</t>
        </is>
      </c>
      <c r="P471" t="inlineStr">
        <is>
          <t>No interviene en el prorrateo</t>
        </is>
      </c>
    </row>
    <row r="472">
      <c r="A472" t="n">
        <v>1443</v>
      </c>
      <c r="B472" t="inlineStr">
        <is>
          <t>TOMENO SUAREZ,ALBERTO</t>
        </is>
      </c>
      <c r="E472" t="n">
        <v>2026</v>
      </c>
      <c r="F472" t="n">
        <v>1</v>
      </c>
      <c r="G472" t="inlineStr">
        <is>
          <t>MANDARINA</t>
        </is>
      </c>
      <c r="H472" t="inlineStr">
        <is>
          <t>TANGO</t>
        </is>
      </c>
      <c r="I472" t="n">
        <v>611</v>
      </c>
      <c r="J472" t="n">
        <v>18664</v>
      </c>
      <c r="K472" t="n">
        <v>0</v>
      </c>
      <c r="L472" t="n">
        <v>18664</v>
      </c>
      <c r="M472" t="inlineStr">
        <is>
          <t>Sí</t>
        </is>
      </c>
      <c r="N472" t="inlineStr"/>
      <c r="O472" t="inlineStr">
        <is>
          <t>Informativa</t>
        </is>
      </c>
      <c r="P472" t="inlineStr">
        <is>
          <t>No interviene en el prorrateo</t>
        </is>
      </c>
    </row>
    <row r="473">
      <c r="A473" t="n">
        <v>1443</v>
      </c>
      <c r="B473" t="inlineStr">
        <is>
          <t>TOMENO SUAREZ,ALBERTO</t>
        </is>
      </c>
      <c r="E473" t="n">
        <v>2026</v>
      </c>
      <c r="F473" t="n">
        <v>1</v>
      </c>
      <c r="G473" t="inlineStr">
        <is>
          <t>MANDARINA</t>
        </is>
      </c>
      <c r="H473" t="inlineStr">
        <is>
          <t>NADORCOTT</t>
        </is>
      </c>
      <c r="I473" t="n">
        <v>612</v>
      </c>
      <c r="J473" t="n">
        <v>21576</v>
      </c>
      <c r="K473" t="n">
        <v>0</v>
      </c>
      <c r="L473" t="n">
        <v>21576</v>
      </c>
      <c r="M473" t="inlineStr">
        <is>
          <t>Sí</t>
        </is>
      </c>
      <c r="N473" t="inlineStr"/>
      <c r="O473" t="inlineStr">
        <is>
          <t>Informativa</t>
        </is>
      </c>
      <c r="P473" t="inlineStr">
        <is>
          <t>No interviene en el prorrateo</t>
        </is>
      </c>
    </row>
    <row r="474">
      <c r="A474" t="n">
        <v>1443</v>
      </c>
      <c r="B474" t="inlineStr">
        <is>
          <t>TOMENO SUAREZ,ALBERTO</t>
        </is>
      </c>
      <c r="E474" t="n">
        <v>2026</v>
      </c>
      <c r="F474" t="n">
        <v>1</v>
      </c>
      <c r="G474" t="inlineStr">
        <is>
          <t>MANDARINA</t>
        </is>
      </c>
      <c r="H474" t="inlineStr">
        <is>
          <t>NADORCOTT</t>
        </is>
      </c>
      <c r="I474" t="n">
        <v>612</v>
      </c>
      <c r="J474" t="n">
        <v>17769</v>
      </c>
      <c r="K474" t="n">
        <v>0</v>
      </c>
      <c r="L474" t="n">
        <v>17769</v>
      </c>
      <c r="M474" t="inlineStr">
        <is>
          <t>Sí</t>
        </is>
      </c>
      <c r="N474" t="inlineStr"/>
      <c r="O474" t="inlineStr">
        <is>
          <t>Informativa</t>
        </is>
      </c>
      <c r="P474" t="inlineStr">
        <is>
          <t>No interviene en el prorrateo</t>
        </is>
      </c>
    </row>
    <row r="475">
      <c r="A475" t="n">
        <v>1443</v>
      </c>
      <c r="B475" t="inlineStr">
        <is>
          <t>TOMENO SUAREZ,ALBERTO</t>
        </is>
      </c>
      <c r="E475" t="n">
        <v>2026</v>
      </c>
      <c r="F475" t="n">
        <v>1</v>
      </c>
      <c r="G475" t="inlineStr">
        <is>
          <t>MANDARINA</t>
        </is>
      </c>
      <c r="H475" t="inlineStr">
        <is>
          <t>NADORCOTT</t>
        </is>
      </c>
      <c r="I475" t="n">
        <v>612</v>
      </c>
      <c r="J475" t="n">
        <v>11132</v>
      </c>
      <c r="K475" t="n">
        <v>0</v>
      </c>
      <c r="L475" t="n">
        <v>11132</v>
      </c>
      <c r="M475" t="inlineStr">
        <is>
          <t>Sí</t>
        </is>
      </c>
      <c r="N475" t="inlineStr"/>
      <c r="O475" t="inlineStr">
        <is>
          <t>Informativa</t>
        </is>
      </c>
      <c r="P475" t="inlineStr">
        <is>
          <t>No interviene en el prorrateo</t>
        </is>
      </c>
    </row>
    <row r="476">
      <c r="A476" t="n">
        <v>1443</v>
      </c>
      <c r="B476" t="inlineStr">
        <is>
          <t>TOMENO SUAREZ,ALBERTO</t>
        </is>
      </c>
      <c r="E476" t="n">
        <v>2026</v>
      </c>
      <c r="F476" t="n">
        <v>1</v>
      </c>
      <c r="G476" t="inlineStr">
        <is>
          <t>MANDARINA</t>
        </is>
      </c>
      <c r="H476" t="inlineStr">
        <is>
          <t>NADORCOTT</t>
        </is>
      </c>
      <c r="I476" t="n">
        <v>612</v>
      </c>
      <c r="J476" t="n">
        <v>374</v>
      </c>
      <c r="K476" t="n">
        <v>0</v>
      </c>
      <c r="L476" t="n">
        <v>374</v>
      </c>
      <c r="M476" t="inlineStr">
        <is>
          <t>Sí</t>
        </is>
      </c>
      <c r="N476" t="inlineStr"/>
      <c r="O476" t="inlineStr">
        <is>
          <t>Informativa</t>
        </is>
      </c>
      <c r="P476" t="inlineStr">
        <is>
          <t>No interviene en el prorrateo</t>
        </is>
      </c>
    </row>
    <row r="477">
      <c r="A477" t="n">
        <v>1443</v>
      </c>
      <c r="B477" t="inlineStr">
        <is>
          <t>TOMENO SUAREZ,ALBERTO</t>
        </is>
      </c>
      <c r="E477" t="n">
        <v>2026</v>
      </c>
      <c r="F477" t="n">
        <v>1</v>
      </c>
      <c r="G477" t="inlineStr">
        <is>
          <t>MANDARINA</t>
        </is>
      </c>
      <c r="H477" t="inlineStr">
        <is>
          <t>NADORCOTT</t>
        </is>
      </c>
      <c r="I477" t="n">
        <v>612</v>
      </c>
      <c r="J477" t="n">
        <v>8070</v>
      </c>
      <c r="K477" t="n">
        <v>0</v>
      </c>
      <c r="L477" t="n">
        <v>8070</v>
      </c>
      <c r="M477" t="inlineStr">
        <is>
          <t>Sí</t>
        </is>
      </c>
      <c r="N477" t="inlineStr"/>
      <c r="O477" t="inlineStr">
        <is>
          <t>Informativa</t>
        </is>
      </c>
      <c r="P477" t="inlineStr">
        <is>
          <t>No interviene en el prorrateo</t>
        </is>
      </c>
    </row>
    <row r="478">
      <c r="A478" t="n">
        <v>1443</v>
      </c>
      <c r="B478" t="inlineStr">
        <is>
          <t>TOMENO SUAREZ,ALBERTO</t>
        </is>
      </c>
      <c r="E478" t="n">
        <v>2026</v>
      </c>
      <c r="F478" t="n">
        <v>1</v>
      </c>
      <c r="G478" t="inlineStr">
        <is>
          <t>MANDARINA</t>
        </is>
      </c>
      <c r="H478" t="inlineStr">
        <is>
          <t>NADORCOTT</t>
        </is>
      </c>
      <c r="I478" t="n">
        <v>612</v>
      </c>
      <c r="J478" t="n">
        <v>2998</v>
      </c>
      <c r="K478" t="n">
        <v>0</v>
      </c>
      <c r="L478" t="n">
        <v>2998</v>
      </c>
      <c r="M478" t="inlineStr">
        <is>
          <t>Sí</t>
        </is>
      </c>
      <c r="N478" t="inlineStr"/>
      <c r="O478" t="inlineStr">
        <is>
          <t>Informativa</t>
        </is>
      </c>
      <c r="P478" t="inlineStr">
        <is>
          <t>No interviene en el prorrateo</t>
        </is>
      </c>
    </row>
    <row r="479">
      <c r="A479" t="n">
        <v>1443</v>
      </c>
      <c r="B479" t="inlineStr">
        <is>
          <t>TOMENO SUAREZ,ALBERTO</t>
        </is>
      </c>
      <c r="E479" t="n">
        <v>2026</v>
      </c>
      <c r="F479" t="n">
        <v>1</v>
      </c>
      <c r="G479" t="inlineStr">
        <is>
          <t>MANDARINA</t>
        </is>
      </c>
      <c r="H479" t="inlineStr">
        <is>
          <t>NADORCOTT</t>
        </is>
      </c>
      <c r="I479" t="n">
        <v>612</v>
      </c>
      <c r="J479" t="n">
        <v>14214</v>
      </c>
      <c r="K479" t="n">
        <v>0</v>
      </c>
      <c r="L479" t="n">
        <v>14214</v>
      </c>
      <c r="M479" t="inlineStr">
        <is>
          <t>Sí</t>
        </is>
      </c>
      <c r="N479" t="inlineStr"/>
      <c r="O479" t="inlineStr">
        <is>
          <t>Informativa</t>
        </is>
      </c>
      <c r="P479" t="inlineStr">
        <is>
          <t>No interviene en el prorrateo</t>
        </is>
      </c>
    </row>
    <row r="480">
      <c r="A480" t="n">
        <v>1443</v>
      </c>
      <c r="B480" t="inlineStr">
        <is>
          <t>TOMENO SUAREZ,ALBERTO</t>
        </is>
      </c>
      <c r="E480" t="n">
        <v>2026</v>
      </c>
      <c r="F480" t="n">
        <v>1</v>
      </c>
      <c r="G480" t="inlineStr">
        <is>
          <t>MANDARINA</t>
        </is>
      </c>
      <c r="H480" t="inlineStr">
        <is>
          <t>TANGO</t>
        </is>
      </c>
      <c r="I480" t="n">
        <v>611</v>
      </c>
      <c r="J480" t="n">
        <v>20180</v>
      </c>
      <c r="K480" t="n">
        <v>0</v>
      </c>
      <c r="L480" t="n">
        <v>20180</v>
      </c>
      <c r="M480" t="inlineStr">
        <is>
          <t>Sí</t>
        </is>
      </c>
      <c r="N480" t="inlineStr"/>
      <c r="O480" t="inlineStr">
        <is>
          <t>Informativa</t>
        </is>
      </c>
      <c r="P480" t="inlineStr">
        <is>
          <t>No interviene en el prorrateo</t>
        </is>
      </c>
    </row>
    <row r="481">
      <c r="A481" t="n">
        <v>1443</v>
      </c>
      <c r="B481" t="inlineStr">
        <is>
          <t>TOMENO SUAREZ,ALBERTO</t>
        </is>
      </c>
      <c r="E481" t="n">
        <v>2026</v>
      </c>
      <c r="F481" t="n">
        <v>1</v>
      </c>
      <c r="G481" t="inlineStr">
        <is>
          <t>MANDARINA</t>
        </is>
      </c>
      <c r="H481" t="inlineStr">
        <is>
          <t>TANGO</t>
        </is>
      </c>
      <c r="I481" t="n">
        <v>611</v>
      </c>
      <c r="J481" t="n">
        <v>21096</v>
      </c>
      <c r="K481" t="n">
        <v>0</v>
      </c>
      <c r="L481" t="n">
        <v>21096</v>
      </c>
      <c r="M481" t="inlineStr">
        <is>
          <t>Sí</t>
        </is>
      </c>
      <c r="N481" t="inlineStr"/>
      <c r="O481" t="inlineStr">
        <is>
          <t>Informativa</t>
        </is>
      </c>
      <c r="P481" t="inlineStr">
        <is>
          <t>No interviene en el prorrateo</t>
        </is>
      </c>
    </row>
    <row r="482">
      <c r="A482" t="n">
        <v>1443</v>
      </c>
      <c r="B482" t="inlineStr">
        <is>
          <t>TOMENO SUAREZ,ALBERTO</t>
        </is>
      </c>
      <c r="E482" t="n">
        <v>2026</v>
      </c>
      <c r="F482" t="n">
        <v>1</v>
      </c>
      <c r="G482" t="inlineStr">
        <is>
          <t>MANDARINA</t>
        </is>
      </c>
      <c r="H482" t="inlineStr">
        <is>
          <t>TANGO</t>
        </is>
      </c>
      <c r="I482" t="n">
        <v>611</v>
      </c>
      <c r="J482" t="n">
        <v>4738</v>
      </c>
      <c r="K482" t="n">
        <v>0</v>
      </c>
      <c r="L482" t="n">
        <v>4738</v>
      </c>
      <c r="M482" t="inlineStr">
        <is>
          <t>Sí</t>
        </is>
      </c>
      <c r="N482" t="inlineStr"/>
      <c r="O482" t="inlineStr">
        <is>
          <t>Informativa</t>
        </is>
      </c>
      <c r="P482" t="inlineStr">
        <is>
          <t>No interviene en el prorrateo</t>
        </is>
      </c>
    </row>
    <row r="483">
      <c r="A483" t="n">
        <v>1485</v>
      </c>
      <c r="B483" t="inlineStr">
        <is>
          <t>HNOS. CRESPO RUIZ S.C.</t>
        </is>
      </c>
      <c r="E483" t="n">
        <v>2026</v>
      </c>
      <c r="F483" t="n">
        <v>1</v>
      </c>
      <c r="G483" t="inlineStr">
        <is>
          <t>CITRICOS</t>
        </is>
      </c>
      <c r="H483" t="inlineStr">
        <is>
          <t>SALUSTIANA</t>
        </is>
      </c>
      <c r="I483" t="n">
        <v>180</v>
      </c>
      <c r="J483" t="n">
        <v>13070</v>
      </c>
      <c r="K483" t="n">
        <v>2003</v>
      </c>
      <c r="L483" t="n">
        <v>2003</v>
      </c>
      <c r="M483" t="inlineStr">
        <is>
          <t>Sí</t>
        </is>
      </c>
      <c r="N483" t="inlineStr"/>
      <c r="O483" t="inlineStr">
        <is>
          <t>Informativa</t>
        </is>
      </c>
      <c r="P483" t="inlineStr">
        <is>
          <t>No interviene en el prorrateo</t>
        </is>
      </c>
    </row>
    <row r="484">
      <c r="A484" t="n">
        <v>1485</v>
      </c>
      <c r="B484" t="inlineStr">
        <is>
          <t>HNOS. CRESPO RUIZ S.C.</t>
        </is>
      </c>
      <c r="E484" t="n">
        <v>2026</v>
      </c>
      <c r="F484" t="n">
        <v>1</v>
      </c>
      <c r="G484" t="inlineStr">
        <is>
          <t>CITRICOS</t>
        </is>
      </c>
      <c r="H484" t="inlineStr">
        <is>
          <t>SALUSTIANA</t>
        </is>
      </c>
      <c r="I484" t="n">
        <v>180</v>
      </c>
      <c r="J484" t="n">
        <v>11910</v>
      </c>
      <c r="K484" t="n">
        <v>11390</v>
      </c>
      <c r="L484" t="n">
        <v>11390</v>
      </c>
      <c r="M484" t="inlineStr">
        <is>
          <t>Sí</t>
        </is>
      </c>
      <c r="N484" t="inlineStr"/>
      <c r="O484" t="inlineStr">
        <is>
          <t>Informativa</t>
        </is>
      </c>
      <c r="P484" t="inlineStr">
        <is>
          <t>No interviene en el prorrateo</t>
        </is>
      </c>
    </row>
    <row r="485">
      <c r="A485" t="n">
        <v>1485</v>
      </c>
      <c r="B485" t="inlineStr">
        <is>
          <t>HNOS. CRESPO RUIZ S.C.</t>
        </is>
      </c>
      <c r="E485" t="n">
        <v>2026</v>
      </c>
      <c r="F485" t="n">
        <v>1</v>
      </c>
      <c r="G485" t="inlineStr">
        <is>
          <t>CITRICOS</t>
        </is>
      </c>
      <c r="H485" t="inlineStr">
        <is>
          <t>SALUSTIANA</t>
        </is>
      </c>
      <c r="I485" t="n">
        <v>180</v>
      </c>
      <c r="J485" t="n">
        <v>11980</v>
      </c>
      <c r="K485" t="n">
        <v>0</v>
      </c>
      <c r="L485" t="n">
        <v>11980</v>
      </c>
      <c r="M485" t="inlineStr">
        <is>
          <t>Sí</t>
        </is>
      </c>
      <c r="N485" t="inlineStr"/>
      <c r="O485" t="inlineStr">
        <is>
          <t>Informativa</t>
        </is>
      </c>
      <c r="P485" t="inlineStr">
        <is>
          <t>No interviene en el prorrateo</t>
        </is>
      </c>
    </row>
    <row r="486">
      <c r="A486" t="n">
        <v>1485</v>
      </c>
      <c r="B486" t="inlineStr">
        <is>
          <t>HNOS. CRESPO RUIZ S.C.</t>
        </is>
      </c>
      <c r="E486" t="n">
        <v>2026</v>
      </c>
      <c r="F486" t="n">
        <v>1</v>
      </c>
      <c r="G486" t="inlineStr">
        <is>
          <t>CITRICOS</t>
        </is>
      </c>
      <c r="H486" t="inlineStr">
        <is>
          <t>SALUSTIANA</t>
        </is>
      </c>
      <c r="I486" t="n">
        <v>180</v>
      </c>
      <c r="J486" t="n">
        <v>12140</v>
      </c>
      <c r="K486" t="n">
        <v>0</v>
      </c>
      <c r="L486" t="n">
        <v>12140</v>
      </c>
      <c r="M486" t="inlineStr">
        <is>
          <t>Sí</t>
        </is>
      </c>
      <c r="N486" t="inlineStr"/>
      <c r="O486" t="inlineStr">
        <is>
          <t>Informativa</t>
        </is>
      </c>
      <c r="P486" t="inlineStr">
        <is>
          <t>No interviene en el prorrateo</t>
        </is>
      </c>
    </row>
    <row r="487">
      <c r="A487" t="n">
        <v>1485</v>
      </c>
      <c r="B487" t="inlineStr">
        <is>
          <t>HNOS. CRESPO RUIZ S.C.</t>
        </is>
      </c>
      <c r="E487" t="n">
        <v>2026</v>
      </c>
      <c r="F487" t="n">
        <v>1</v>
      </c>
      <c r="G487" t="inlineStr">
        <is>
          <t>CITRICOS</t>
        </is>
      </c>
      <c r="H487" t="inlineStr">
        <is>
          <t>SALUSTIANA</t>
        </is>
      </c>
      <c r="I487" t="n">
        <v>180</v>
      </c>
      <c r="J487" t="n">
        <v>12230</v>
      </c>
      <c r="K487" t="n">
        <v>10017</v>
      </c>
      <c r="L487" t="n">
        <v>10017</v>
      </c>
      <c r="M487" t="inlineStr">
        <is>
          <t>Sí</t>
        </is>
      </c>
      <c r="N487" t="inlineStr"/>
      <c r="O487" t="inlineStr">
        <is>
          <t>Informativa</t>
        </is>
      </c>
      <c r="P487" t="inlineStr">
        <is>
          <t>No interviene en el prorrateo</t>
        </is>
      </c>
    </row>
    <row r="488">
      <c r="A488" t="n">
        <v>1485</v>
      </c>
      <c r="B488" t="inlineStr">
        <is>
          <t>HNOS. CRESPO RUIZ S.C.</t>
        </is>
      </c>
      <c r="E488" t="n">
        <v>2026</v>
      </c>
      <c r="F488" t="n">
        <v>1</v>
      </c>
      <c r="G488" t="inlineStr">
        <is>
          <t>CITRICOS</t>
        </is>
      </c>
      <c r="H488" t="inlineStr">
        <is>
          <t>SALUSTIANA</t>
        </is>
      </c>
      <c r="I488" t="n">
        <v>180</v>
      </c>
      <c r="J488" t="n">
        <v>12765</v>
      </c>
      <c r="K488" t="n">
        <v>7140</v>
      </c>
      <c r="L488" t="n">
        <v>7140</v>
      </c>
      <c r="M488" t="inlineStr">
        <is>
          <t>Sí</t>
        </is>
      </c>
      <c r="N488" t="inlineStr"/>
      <c r="O488" t="inlineStr">
        <is>
          <t>Informativa</t>
        </is>
      </c>
      <c r="P488" t="inlineStr">
        <is>
          <t>No interviene en el prorrateo</t>
        </is>
      </c>
    </row>
    <row r="489">
      <c r="A489" t="n">
        <v>1485</v>
      </c>
      <c r="B489" t="inlineStr">
        <is>
          <t>HNOS. CRESPO RUIZ S.C.</t>
        </is>
      </c>
      <c r="E489" t="n">
        <v>2026</v>
      </c>
      <c r="F489" t="n">
        <v>1</v>
      </c>
      <c r="G489" t="inlineStr">
        <is>
          <t>CITRICOS</t>
        </is>
      </c>
      <c r="H489" t="inlineStr">
        <is>
          <t>SALUSTIANA</t>
        </is>
      </c>
      <c r="I489" t="n">
        <v>180</v>
      </c>
      <c r="J489" t="n">
        <v>13070</v>
      </c>
      <c r="K489" t="n">
        <v>6220</v>
      </c>
      <c r="L489" t="n">
        <v>6220</v>
      </c>
      <c r="M489" t="inlineStr">
        <is>
          <t>Sí</t>
        </is>
      </c>
      <c r="N489" t="inlineStr"/>
      <c r="O489" t="inlineStr">
        <is>
          <t>Informativa</t>
        </is>
      </c>
      <c r="P489" t="inlineStr">
        <is>
          <t>No interviene en el prorrateo</t>
        </is>
      </c>
    </row>
    <row r="490">
      <c r="A490" t="n">
        <v>1485</v>
      </c>
      <c r="B490" t="inlineStr">
        <is>
          <t>HNOS. CRESPO RUIZ S.C.</t>
        </is>
      </c>
      <c r="E490" t="n">
        <v>2026</v>
      </c>
      <c r="F490" t="n">
        <v>1</v>
      </c>
      <c r="G490" t="inlineStr">
        <is>
          <t>CITRICOS</t>
        </is>
      </c>
      <c r="H490" t="inlineStr">
        <is>
          <t>SALUSTIANA</t>
        </is>
      </c>
      <c r="I490" t="n">
        <v>180</v>
      </c>
      <c r="J490" t="n">
        <v>12975</v>
      </c>
      <c r="K490" t="n">
        <v>5100</v>
      </c>
      <c r="L490" t="n">
        <v>5100</v>
      </c>
      <c r="M490" t="inlineStr">
        <is>
          <t>Sí</t>
        </is>
      </c>
      <c r="N490" t="inlineStr"/>
      <c r="O490" t="inlineStr">
        <is>
          <t>Informativa</t>
        </is>
      </c>
      <c r="P490" t="inlineStr">
        <is>
          <t>No interviene en el prorrateo</t>
        </is>
      </c>
    </row>
    <row r="491">
      <c r="A491" t="n">
        <v>1485</v>
      </c>
      <c r="B491" t="inlineStr">
        <is>
          <t>HNOS. CRESPO RUIZ S.C.</t>
        </is>
      </c>
      <c r="E491" t="n">
        <v>2026</v>
      </c>
      <c r="F491" t="n">
        <v>1</v>
      </c>
      <c r="G491" t="inlineStr">
        <is>
          <t>CITRICOS</t>
        </is>
      </c>
      <c r="H491" t="inlineStr">
        <is>
          <t>SALUSTIANA</t>
        </is>
      </c>
      <c r="I491" t="n">
        <v>180</v>
      </c>
      <c r="J491" t="n">
        <v>14425</v>
      </c>
      <c r="K491" t="n">
        <v>14047</v>
      </c>
      <c r="L491" t="n">
        <v>14047</v>
      </c>
      <c r="M491" t="inlineStr">
        <is>
          <t>Sí</t>
        </is>
      </c>
      <c r="N491" t="inlineStr"/>
      <c r="O491" t="inlineStr">
        <is>
          <t>Informativa</t>
        </is>
      </c>
      <c r="P491" t="inlineStr">
        <is>
          <t>No interviene en el prorrateo</t>
        </is>
      </c>
    </row>
    <row r="492">
      <c r="A492" t="n">
        <v>1485</v>
      </c>
      <c r="B492" t="inlineStr">
        <is>
          <t>HNOS. CRESPO RUIZ S.C.</t>
        </is>
      </c>
      <c r="E492" t="n">
        <v>2026</v>
      </c>
      <c r="F492" t="n">
        <v>1</v>
      </c>
      <c r="G492" t="inlineStr">
        <is>
          <t>CITRICOS</t>
        </is>
      </c>
      <c r="H492" t="inlineStr">
        <is>
          <t>SALUSTIANA</t>
        </is>
      </c>
      <c r="I492" t="n">
        <v>180</v>
      </c>
      <c r="J492" t="n">
        <v>12395</v>
      </c>
      <c r="K492" t="n">
        <v>11995</v>
      </c>
      <c r="L492" t="n">
        <v>11995</v>
      </c>
      <c r="M492" t="inlineStr">
        <is>
          <t>Sí</t>
        </is>
      </c>
      <c r="N492" t="inlineStr"/>
      <c r="O492" t="inlineStr">
        <is>
          <t>Informativa</t>
        </is>
      </c>
      <c r="P492" t="inlineStr">
        <is>
          <t>No interviene en el prorrateo</t>
        </is>
      </c>
    </row>
    <row r="493">
      <c r="A493" t="n">
        <v>1485</v>
      </c>
      <c r="B493" t="inlineStr">
        <is>
          <t>HNOS. CRESPO RUIZ S.C.</t>
        </is>
      </c>
      <c r="E493" t="n">
        <v>2026</v>
      </c>
      <c r="F493" t="n">
        <v>1</v>
      </c>
      <c r="G493" t="inlineStr">
        <is>
          <t>CITRICOS</t>
        </is>
      </c>
      <c r="H493" t="inlineStr">
        <is>
          <t>SALUSTIANA</t>
        </is>
      </c>
      <c r="I493" t="n">
        <v>180</v>
      </c>
      <c r="J493" t="n">
        <v>15825</v>
      </c>
      <c r="K493" t="n">
        <v>343</v>
      </c>
      <c r="L493" t="n">
        <v>343</v>
      </c>
      <c r="M493" t="inlineStr">
        <is>
          <t>Sí</t>
        </is>
      </c>
      <c r="N493" t="inlineStr"/>
      <c r="O493" t="inlineStr">
        <is>
          <t>Informativa</t>
        </is>
      </c>
      <c r="P493" t="inlineStr">
        <is>
          <t>No interviene en el prorrateo</t>
        </is>
      </c>
    </row>
    <row r="494">
      <c r="A494" t="n">
        <v>1485</v>
      </c>
      <c r="B494" t="inlineStr">
        <is>
          <t>HNOS. CRESPO RUIZ S.C.</t>
        </is>
      </c>
      <c r="E494" t="n">
        <v>2026</v>
      </c>
      <c r="F494" t="n">
        <v>1</v>
      </c>
      <c r="G494" t="inlineStr">
        <is>
          <t>CITRICOS</t>
        </is>
      </c>
      <c r="H494" t="inlineStr">
        <is>
          <t>SALUSTIANA</t>
        </is>
      </c>
      <c r="I494" t="n">
        <v>180</v>
      </c>
      <c r="J494" t="n">
        <v>12260</v>
      </c>
      <c r="K494" t="n">
        <v>0</v>
      </c>
      <c r="L494" t="n">
        <v>12260</v>
      </c>
      <c r="M494" t="inlineStr">
        <is>
          <t>Sí</t>
        </is>
      </c>
      <c r="N494" t="inlineStr"/>
      <c r="O494" t="inlineStr">
        <is>
          <t>Informativa</t>
        </is>
      </c>
      <c r="P494" t="inlineStr">
        <is>
          <t>No interviene en el prorrateo</t>
        </is>
      </c>
    </row>
    <row r="495">
      <c r="A495" t="n">
        <v>1485</v>
      </c>
      <c r="B495" t="inlineStr">
        <is>
          <t>HNOS. CRESPO RUIZ S.C.</t>
        </is>
      </c>
      <c r="E495" t="n">
        <v>2026</v>
      </c>
      <c r="F495" t="n">
        <v>1</v>
      </c>
      <c r="G495" t="inlineStr">
        <is>
          <t>CITRICOS</t>
        </is>
      </c>
      <c r="H495" t="inlineStr">
        <is>
          <t>SALUSTIANA</t>
        </is>
      </c>
      <c r="I495" t="n">
        <v>180</v>
      </c>
      <c r="J495" t="n">
        <v>12280</v>
      </c>
      <c r="K495" t="n">
        <v>0</v>
      </c>
      <c r="L495" t="n">
        <v>12280</v>
      </c>
      <c r="M495" t="inlineStr">
        <is>
          <t>Sí</t>
        </is>
      </c>
      <c r="N495" t="inlineStr"/>
      <c r="O495" t="inlineStr">
        <is>
          <t>Informativa</t>
        </is>
      </c>
      <c r="P495" t="inlineStr">
        <is>
          <t>No interviene en el prorrateo</t>
        </is>
      </c>
    </row>
    <row r="496">
      <c r="A496" t="n">
        <v>1485</v>
      </c>
      <c r="B496" t="inlineStr">
        <is>
          <t>HNOS. CRESPO RUIZ S.C.</t>
        </is>
      </c>
      <c r="E496" t="n">
        <v>2026</v>
      </c>
      <c r="F496" t="n">
        <v>1</v>
      </c>
      <c r="G496" t="inlineStr">
        <is>
          <t>CITRICOS</t>
        </is>
      </c>
      <c r="H496" t="inlineStr">
        <is>
          <t>SALUSTIANA</t>
        </is>
      </c>
      <c r="I496" t="n">
        <v>180</v>
      </c>
      <c r="J496" t="n">
        <v>13510</v>
      </c>
      <c r="K496" t="n">
        <v>2077</v>
      </c>
      <c r="L496" t="n">
        <v>2077</v>
      </c>
      <c r="M496" t="inlineStr">
        <is>
          <t>Sí</t>
        </is>
      </c>
      <c r="N496" t="inlineStr"/>
      <c r="O496" t="inlineStr">
        <is>
          <t>Informativa</t>
        </is>
      </c>
      <c r="P496" t="inlineStr">
        <is>
          <t>No interviene en el prorrateo</t>
        </is>
      </c>
    </row>
    <row r="497">
      <c r="A497" t="n">
        <v>1485</v>
      </c>
      <c r="B497" t="inlineStr">
        <is>
          <t>HNOS. CRESPO RUIZ S.C.</t>
        </is>
      </c>
      <c r="E497" t="n">
        <v>2026</v>
      </c>
      <c r="F497" t="n">
        <v>1</v>
      </c>
      <c r="G497" t="inlineStr">
        <is>
          <t>CITRICOS</t>
        </is>
      </c>
      <c r="H497" t="inlineStr">
        <is>
          <t>SALUSTIANA</t>
        </is>
      </c>
      <c r="I497" t="n">
        <v>180</v>
      </c>
      <c r="J497" t="n">
        <v>9320</v>
      </c>
      <c r="K497" t="n">
        <v>8240</v>
      </c>
      <c r="L497" t="n">
        <v>8240</v>
      </c>
      <c r="M497" t="inlineStr">
        <is>
          <t>Sí</t>
        </is>
      </c>
      <c r="N497" t="inlineStr"/>
      <c r="O497" t="inlineStr">
        <is>
          <t>Informativa</t>
        </is>
      </c>
      <c r="P497" t="inlineStr">
        <is>
          <t>No interviene en el prorrateo</t>
        </is>
      </c>
    </row>
    <row r="498">
      <c r="A498" t="n">
        <v>1485</v>
      </c>
      <c r="B498" t="inlineStr">
        <is>
          <t>HNOS. CRESPO RUIZ S.C.</t>
        </is>
      </c>
      <c r="E498" t="n">
        <v>2026</v>
      </c>
      <c r="F498" t="n">
        <v>1</v>
      </c>
      <c r="G498" t="inlineStr">
        <is>
          <t>CITRICOS</t>
        </is>
      </c>
      <c r="H498" t="inlineStr">
        <is>
          <t>SALUSTIANA</t>
        </is>
      </c>
      <c r="I498" t="n">
        <v>180</v>
      </c>
      <c r="J498" t="n">
        <v>12880</v>
      </c>
      <c r="K498" t="n">
        <v>8306</v>
      </c>
      <c r="L498" t="n">
        <v>8306</v>
      </c>
      <c r="M498" t="inlineStr">
        <is>
          <t>Sí</t>
        </is>
      </c>
      <c r="N498" t="inlineStr"/>
      <c r="O498" t="inlineStr">
        <is>
          <t>Informativa</t>
        </is>
      </c>
      <c r="P498" t="inlineStr">
        <is>
          <t>No interviene en el prorrateo</t>
        </is>
      </c>
    </row>
    <row r="499">
      <c r="A499" t="n">
        <v>1485</v>
      </c>
      <c r="B499" t="inlineStr">
        <is>
          <t>HNOS. CRESPO RUIZ S.C.</t>
        </is>
      </c>
      <c r="E499" t="n">
        <v>2026</v>
      </c>
      <c r="F499" t="n">
        <v>1</v>
      </c>
      <c r="G499" t="inlineStr">
        <is>
          <t>INDUSTRIA</t>
        </is>
      </c>
      <c r="H499" t="inlineStr">
        <is>
          <t>SALUSTIANA</t>
        </is>
      </c>
      <c r="I499" t="n">
        <v>180</v>
      </c>
      <c r="J499" t="n">
        <v>11770</v>
      </c>
      <c r="K499" t="n">
        <v>450</v>
      </c>
      <c r="L499" t="n">
        <v>450</v>
      </c>
      <c r="M499" t="inlineStr">
        <is>
          <t>Sí</t>
        </is>
      </c>
      <c r="N499" t="inlineStr"/>
      <c r="O499" t="inlineStr">
        <is>
          <t>Informativa</t>
        </is>
      </c>
      <c r="P499" t="inlineStr">
        <is>
          <t>No interviene en el prorrateo</t>
        </is>
      </c>
    </row>
    <row r="500">
      <c r="A500" t="n">
        <v>1485</v>
      </c>
      <c r="B500" t="inlineStr">
        <is>
          <t>HNOS. CRESPO RUIZ S.C.</t>
        </is>
      </c>
      <c r="E500" t="n">
        <v>2026</v>
      </c>
      <c r="F500" t="n">
        <v>1</v>
      </c>
      <c r="G500" t="inlineStr">
        <is>
          <t>INDUSTRIA</t>
        </is>
      </c>
      <c r="H500" t="inlineStr">
        <is>
          <t>SALUSTIANA</t>
        </is>
      </c>
      <c r="I500" t="n">
        <v>180</v>
      </c>
      <c r="J500" t="n">
        <v>13585</v>
      </c>
      <c r="K500" t="n">
        <v>365</v>
      </c>
      <c r="L500" t="n">
        <v>365</v>
      </c>
      <c r="M500" t="inlineStr">
        <is>
          <t>Sí</t>
        </is>
      </c>
      <c r="N500" t="inlineStr"/>
      <c r="O500" t="inlineStr">
        <is>
          <t>Informativa</t>
        </is>
      </c>
      <c r="P500" t="inlineStr">
        <is>
          <t>No interviene en el prorrateo</t>
        </is>
      </c>
    </row>
    <row r="501">
      <c r="A501" t="n">
        <v>1485</v>
      </c>
      <c r="B501" t="inlineStr">
        <is>
          <t>HNOS. CRESPO RUIZ S.C.</t>
        </is>
      </c>
      <c r="E501" t="n">
        <v>2026</v>
      </c>
      <c r="F501" t="n">
        <v>1</v>
      </c>
      <c r="G501" t="inlineStr">
        <is>
          <t>INDUSTRIA</t>
        </is>
      </c>
      <c r="H501" t="inlineStr">
        <is>
          <t>SALUSTIANA</t>
        </is>
      </c>
      <c r="I501" t="n">
        <v>180</v>
      </c>
      <c r="J501" t="n">
        <v>8830</v>
      </c>
      <c r="K501" t="n">
        <v>660</v>
      </c>
      <c r="L501" t="n">
        <v>660</v>
      </c>
      <c r="M501" t="inlineStr">
        <is>
          <t>Sí</t>
        </is>
      </c>
      <c r="N501" t="inlineStr"/>
      <c r="O501" t="inlineStr">
        <is>
          <t>Informativa</t>
        </is>
      </c>
      <c r="P501" t="inlineStr">
        <is>
          <t>No interviene en el prorrateo</t>
        </is>
      </c>
    </row>
    <row r="502">
      <c r="A502" t="n">
        <v>1512</v>
      </c>
      <c r="B502" t="inlineStr">
        <is>
          <t>HERNANDEZ MOLINA,ANTONIO</t>
        </is>
      </c>
      <c r="E502" t="n">
        <v>2026</v>
      </c>
      <c r="F502" t="n">
        <v>1</v>
      </c>
      <c r="G502" t="inlineStr">
        <is>
          <t>CITRICOS</t>
        </is>
      </c>
      <c r="H502" t="inlineStr">
        <is>
          <t>SALUSTIANA</t>
        </is>
      </c>
      <c r="I502" t="n">
        <v>65</v>
      </c>
      <c r="J502" t="n">
        <v>11356</v>
      </c>
      <c r="K502" t="n">
        <v>0</v>
      </c>
      <c r="L502" t="n">
        <v>11356</v>
      </c>
      <c r="M502" t="inlineStr">
        <is>
          <t>Sí</t>
        </is>
      </c>
      <c r="N502" t="inlineStr"/>
      <c r="O502" t="inlineStr">
        <is>
          <t>Informativa</t>
        </is>
      </c>
      <c r="P502" t="inlineStr">
        <is>
          <t>No interviene en el prorrateo</t>
        </is>
      </c>
    </row>
    <row r="503">
      <c r="A503" t="n">
        <v>1512</v>
      </c>
      <c r="B503" t="inlineStr">
        <is>
          <t>HERNANDEZ MOLINA,ANTONIO</t>
        </is>
      </c>
      <c r="E503" t="n">
        <v>2026</v>
      </c>
      <c r="F503" t="n">
        <v>1</v>
      </c>
      <c r="G503" t="inlineStr">
        <is>
          <t>CITRICOS</t>
        </is>
      </c>
      <c r="H503" t="inlineStr">
        <is>
          <t>SALUSTIANA</t>
        </is>
      </c>
      <c r="I503" t="n">
        <v>65</v>
      </c>
      <c r="J503" t="n">
        <v>11606</v>
      </c>
      <c r="K503" t="n">
        <v>9617</v>
      </c>
      <c r="L503" t="n">
        <v>9617</v>
      </c>
      <c r="M503" t="inlineStr">
        <is>
          <t>Sí</t>
        </is>
      </c>
      <c r="N503" t="inlineStr"/>
      <c r="O503" t="inlineStr">
        <is>
          <t>Informativa</t>
        </is>
      </c>
      <c r="P503" t="inlineStr">
        <is>
          <t>No interviene en el prorrateo</t>
        </is>
      </c>
    </row>
    <row r="504">
      <c r="A504" t="n">
        <v>1512</v>
      </c>
      <c r="B504" t="inlineStr">
        <is>
          <t>HERNANDEZ MOLINA,ANTONIO</t>
        </is>
      </c>
      <c r="E504" t="n">
        <v>2026</v>
      </c>
      <c r="F504" t="n">
        <v>1</v>
      </c>
      <c r="G504" t="inlineStr">
        <is>
          <t>CITRICOS</t>
        </is>
      </c>
      <c r="H504" t="inlineStr">
        <is>
          <t>SALUSTIANA</t>
        </is>
      </c>
      <c r="I504" t="n">
        <v>65</v>
      </c>
      <c r="J504" t="n">
        <v>5831</v>
      </c>
      <c r="K504" t="n">
        <v>5654</v>
      </c>
      <c r="L504" t="n">
        <v>5654</v>
      </c>
      <c r="M504" t="inlineStr">
        <is>
          <t>Sí</t>
        </is>
      </c>
      <c r="N504" t="inlineStr"/>
      <c r="O504" t="inlineStr">
        <is>
          <t>Informativa</t>
        </is>
      </c>
      <c r="P504" t="inlineStr">
        <is>
          <t>No interviene en el prorrateo</t>
        </is>
      </c>
    </row>
    <row r="505">
      <c r="A505" t="n">
        <v>1512</v>
      </c>
      <c r="B505" t="inlineStr">
        <is>
          <t>HERNANDEZ MOLINA,ANTONIO</t>
        </is>
      </c>
      <c r="E505" t="n">
        <v>2026</v>
      </c>
      <c r="F505" t="n">
        <v>1</v>
      </c>
      <c r="G505" t="inlineStr">
        <is>
          <t>CITRICOS</t>
        </is>
      </c>
      <c r="H505" t="inlineStr">
        <is>
          <t>SALUSTIANA</t>
        </is>
      </c>
      <c r="I505" t="n">
        <v>65</v>
      </c>
      <c r="J505" t="n">
        <v>11629</v>
      </c>
      <c r="K505" t="n">
        <v>1663</v>
      </c>
      <c r="L505" t="n">
        <v>1663</v>
      </c>
      <c r="M505" t="inlineStr">
        <is>
          <t>Sí</t>
        </is>
      </c>
      <c r="N505" t="inlineStr"/>
      <c r="O505" t="inlineStr">
        <is>
          <t>Informativa</t>
        </is>
      </c>
      <c r="P505" t="inlineStr">
        <is>
          <t>No interviene en el prorrateo</t>
        </is>
      </c>
    </row>
    <row r="506">
      <c r="A506" t="n">
        <v>1512</v>
      </c>
      <c r="B506" t="inlineStr">
        <is>
          <t>HERNANDEZ MOLINA,ANTONIO</t>
        </is>
      </c>
      <c r="E506" t="n">
        <v>2026</v>
      </c>
      <c r="F506" t="n">
        <v>1</v>
      </c>
      <c r="G506" t="inlineStr">
        <is>
          <t>CITRICOS</t>
        </is>
      </c>
      <c r="H506" t="inlineStr">
        <is>
          <t>SALUSTIANA</t>
        </is>
      </c>
      <c r="I506" t="n">
        <v>65</v>
      </c>
      <c r="J506" t="n">
        <v>500</v>
      </c>
      <c r="K506" t="n">
        <v>0</v>
      </c>
      <c r="L506" t="n">
        <v>500</v>
      </c>
      <c r="M506" t="inlineStr">
        <is>
          <t>Sí</t>
        </is>
      </c>
      <c r="N506" t="inlineStr"/>
      <c r="O506" t="inlineStr">
        <is>
          <t>Informativa</t>
        </is>
      </c>
      <c r="P506" t="inlineStr">
        <is>
          <t>No interviene en el prorrateo</t>
        </is>
      </c>
    </row>
    <row r="507">
      <c r="A507" t="n">
        <v>1512</v>
      </c>
      <c r="B507" t="inlineStr">
        <is>
          <t>HERNANDEZ MOLINA,ANTONIO</t>
        </is>
      </c>
      <c r="E507" t="n">
        <v>2026</v>
      </c>
      <c r="F507" t="n">
        <v>1</v>
      </c>
      <c r="G507" t="inlineStr">
        <is>
          <t>CITRICOS</t>
        </is>
      </c>
      <c r="H507" t="inlineStr">
        <is>
          <t>SALUSTIANA</t>
        </is>
      </c>
      <c r="I507" t="n">
        <v>65</v>
      </c>
      <c r="J507" t="n">
        <v>5887</v>
      </c>
      <c r="K507" t="n">
        <v>2473</v>
      </c>
      <c r="L507" t="n">
        <v>2473</v>
      </c>
      <c r="M507" t="inlineStr">
        <is>
          <t>Sí</t>
        </is>
      </c>
      <c r="N507" t="inlineStr"/>
      <c r="O507" t="inlineStr">
        <is>
          <t>Informativa</t>
        </is>
      </c>
      <c r="P507" t="inlineStr">
        <is>
          <t>No interviene en el prorrateo</t>
        </is>
      </c>
    </row>
    <row r="508">
      <c r="A508" t="n">
        <v>1512</v>
      </c>
      <c r="B508" t="inlineStr">
        <is>
          <t>HERNANDEZ MOLINA,ANTONIO</t>
        </is>
      </c>
      <c r="E508" t="n">
        <v>2026</v>
      </c>
      <c r="F508" t="n">
        <v>1</v>
      </c>
      <c r="G508" t="inlineStr">
        <is>
          <t>CITRICOS</t>
        </is>
      </c>
      <c r="H508" t="inlineStr">
        <is>
          <t>SALUSTIANA</t>
        </is>
      </c>
      <c r="I508" t="n">
        <v>65</v>
      </c>
      <c r="J508" t="n">
        <v>1595</v>
      </c>
      <c r="K508" t="n">
        <v>0</v>
      </c>
      <c r="L508" t="n">
        <v>1595</v>
      </c>
      <c r="M508" t="inlineStr">
        <is>
          <t>Sí</t>
        </is>
      </c>
      <c r="N508" t="inlineStr"/>
      <c r="O508" t="inlineStr">
        <is>
          <t>Informativa</t>
        </is>
      </c>
      <c r="P508" t="inlineStr">
        <is>
          <t>No interviene en el prorrateo</t>
        </is>
      </c>
    </row>
    <row r="509">
      <c r="A509" t="n">
        <v>1512</v>
      </c>
      <c r="B509" t="inlineStr">
        <is>
          <t>HERNANDEZ MOLINA,ANTONIO</t>
        </is>
      </c>
      <c r="E509" t="n">
        <v>2026</v>
      </c>
      <c r="F509" t="n">
        <v>1</v>
      </c>
      <c r="G509" t="inlineStr">
        <is>
          <t>CITRICOS</t>
        </is>
      </c>
      <c r="H509" t="inlineStr">
        <is>
          <t>SALUSTIANA</t>
        </is>
      </c>
      <c r="I509" t="n">
        <v>65</v>
      </c>
      <c r="J509" t="n">
        <v>10873</v>
      </c>
      <c r="K509" t="n">
        <v>7484</v>
      </c>
      <c r="L509" t="n">
        <v>7484</v>
      </c>
      <c r="M509" t="inlineStr">
        <is>
          <t>Sí</t>
        </is>
      </c>
      <c r="N509" t="inlineStr"/>
      <c r="O509" t="inlineStr">
        <is>
          <t>Informativa</t>
        </is>
      </c>
      <c r="P509" t="inlineStr">
        <is>
          <t>No interviene en el prorrateo</t>
        </is>
      </c>
    </row>
    <row r="510">
      <c r="A510" t="n">
        <v>1512</v>
      </c>
      <c r="B510" t="inlineStr">
        <is>
          <t>HERNANDEZ MOLINA,ANTONIO</t>
        </is>
      </c>
      <c r="E510" t="n">
        <v>2026</v>
      </c>
      <c r="F510" t="n">
        <v>1</v>
      </c>
      <c r="G510" t="inlineStr">
        <is>
          <t>CITRICOS</t>
        </is>
      </c>
      <c r="H510" t="inlineStr">
        <is>
          <t>SALUSTIANA</t>
        </is>
      </c>
      <c r="I510" t="n">
        <v>65</v>
      </c>
      <c r="J510" t="n">
        <v>11737</v>
      </c>
      <c r="K510" t="n">
        <v>832</v>
      </c>
      <c r="L510" t="n">
        <v>832</v>
      </c>
      <c r="M510" t="inlineStr">
        <is>
          <t>Sí</t>
        </is>
      </c>
      <c r="N510" t="inlineStr"/>
      <c r="O510" t="inlineStr">
        <is>
          <t>Informativa</t>
        </is>
      </c>
      <c r="P510" t="inlineStr">
        <is>
          <t>No interviene en el prorrateo</t>
        </is>
      </c>
    </row>
    <row r="511">
      <c r="A511" t="n">
        <v>1512</v>
      </c>
      <c r="B511" t="inlineStr">
        <is>
          <t>HERNANDEZ MOLINA,ANTONIO</t>
        </is>
      </c>
      <c r="E511" t="n">
        <v>2026</v>
      </c>
      <c r="F511" t="n">
        <v>1</v>
      </c>
      <c r="G511" t="inlineStr">
        <is>
          <t>INDUSTRIA</t>
        </is>
      </c>
      <c r="H511" t="inlineStr">
        <is>
          <t>SALUSTIANA</t>
        </is>
      </c>
      <c r="I511" t="n">
        <v>65</v>
      </c>
      <c r="J511" t="n">
        <v>12446</v>
      </c>
      <c r="K511" t="n">
        <v>1779</v>
      </c>
      <c r="L511" t="n">
        <v>1779</v>
      </c>
      <c r="M511" t="inlineStr">
        <is>
          <t>Sí</t>
        </is>
      </c>
      <c r="N511" t="inlineStr"/>
      <c r="O511" t="inlineStr">
        <is>
          <t>Informativa</t>
        </is>
      </c>
      <c r="P511" t="inlineStr">
        <is>
          <t>No interviene en el prorrateo</t>
        </is>
      </c>
    </row>
    <row r="512">
      <c r="A512" t="n">
        <v>1512</v>
      </c>
      <c r="B512" t="inlineStr">
        <is>
          <t>HERNANDEZ MOLINA,ANTONIO</t>
        </is>
      </c>
      <c r="E512" t="n">
        <v>2026</v>
      </c>
      <c r="F512" t="n">
        <v>1</v>
      </c>
      <c r="G512" t="inlineStr">
        <is>
          <t>INDUSTRIA</t>
        </is>
      </c>
      <c r="H512" t="inlineStr">
        <is>
          <t>SALUSTIANA</t>
        </is>
      </c>
      <c r="I512" t="n">
        <v>65</v>
      </c>
      <c r="J512" t="n">
        <v>6533</v>
      </c>
      <c r="K512" t="n">
        <v>150</v>
      </c>
      <c r="L512" t="n">
        <v>150</v>
      </c>
      <c r="M512" t="inlineStr">
        <is>
          <t>Sí</t>
        </is>
      </c>
      <c r="N512" t="inlineStr"/>
      <c r="O512" t="inlineStr">
        <is>
          <t>Informativa</t>
        </is>
      </c>
      <c r="P512" t="inlineStr">
        <is>
          <t>No interviene en el prorrateo</t>
        </is>
      </c>
    </row>
    <row r="513">
      <c r="A513" t="n">
        <v>1512</v>
      </c>
      <c r="B513" t="inlineStr">
        <is>
          <t>HERNANDEZ MOLINA,ANTONIO</t>
        </is>
      </c>
      <c r="E513" t="n">
        <v>2026</v>
      </c>
      <c r="F513" t="n">
        <v>1</v>
      </c>
      <c r="G513" t="inlineStr">
        <is>
          <t>INDUSTRIA</t>
        </is>
      </c>
      <c r="H513" t="inlineStr">
        <is>
          <t>SALUSTIANA</t>
        </is>
      </c>
      <c r="I513" t="n">
        <v>65</v>
      </c>
      <c r="J513" t="n">
        <v>1232</v>
      </c>
      <c r="K513" t="n">
        <v>0</v>
      </c>
      <c r="L513" t="n">
        <v>1232</v>
      </c>
      <c r="M513" t="inlineStr">
        <is>
          <t>Sí</t>
        </is>
      </c>
      <c r="N513" t="inlineStr"/>
      <c r="O513" t="inlineStr">
        <is>
          <t>Informativa</t>
        </is>
      </c>
      <c r="P513" t="inlineStr">
        <is>
          <t>No interviene en el prorrateo</t>
        </is>
      </c>
    </row>
    <row r="514">
      <c r="A514" t="n">
        <v>1512</v>
      </c>
      <c r="B514" t="inlineStr">
        <is>
          <t>HERNANDEZ MOLINA,ANTONIO</t>
        </is>
      </c>
      <c r="E514" t="n">
        <v>2026</v>
      </c>
      <c r="F514" t="n">
        <v>1</v>
      </c>
      <c r="G514" t="inlineStr">
        <is>
          <t>INDUSTRIA</t>
        </is>
      </c>
      <c r="H514" t="inlineStr">
        <is>
          <t>SALUSTIANA</t>
        </is>
      </c>
      <c r="I514" t="n">
        <v>65</v>
      </c>
      <c r="J514" t="n">
        <v>215</v>
      </c>
      <c r="K514" t="n">
        <v>0</v>
      </c>
      <c r="L514" t="n">
        <v>215</v>
      </c>
      <c r="M514" t="inlineStr">
        <is>
          <t>Sí</t>
        </is>
      </c>
      <c r="N514" t="inlineStr"/>
      <c r="O514" t="inlineStr">
        <is>
          <t>Informativa</t>
        </is>
      </c>
      <c r="P514" t="inlineStr">
        <is>
          <t>No interviene en el prorrateo</t>
        </is>
      </c>
    </row>
    <row r="515">
      <c r="A515" t="n">
        <v>1523</v>
      </c>
      <c r="B515" t="inlineStr">
        <is>
          <t>RODRIGUEZ MEJÍAS, JOSE ANTONIO</t>
        </is>
      </c>
      <c r="E515" t="n">
        <v>2026</v>
      </c>
      <c r="F515" t="n">
        <v>1</v>
      </c>
      <c r="G515" t="inlineStr">
        <is>
          <t>CITRICOS</t>
        </is>
      </c>
      <c r="H515" t="inlineStr">
        <is>
          <t>SALUSTIANA</t>
        </is>
      </c>
      <c r="I515" t="n">
        <v>356</v>
      </c>
      <c r="J515" t="n">
        <v>11740</v>
      </c>
      <c r="K515" t="n">
        <v>0</v>
      </c>
      <c r="L515" t="n">
        <v>11740</v>
      </c>
      <c r="M515" t="inlineStr">
        <is>
          <t>Sí</t>
        </is>
      </c>
      <c r="N515" t="inlineStr"/>
      <c r="O515" t="inlineStr">
        <is>
          <t>Informativa</t>
        </is>
      </c>
      <c r="P515" t="inlineStr">
        <is>
          <t>No interviene en el prorrateo</t>
        </is>
      </c>
    </row>
    <row r="516">
      <c r="A516" t="n">
        <v>1523</v>
      </c>
      <c r="B516" t="inlineStr">
        <is>
          <t>RODRIGUEZ MEJÍAS, JOSE ANTONIO</t>
        </is>
      </c>
      <c r="E516" t="n">
        <v>2026</v>
      </c>
      <c r="F516" t="n">
        <v>1</v>
      </c>
      <c r="G516" t="inlineStr">
        <is>
          <t>CITRICOS</t>
        </is>
      </c>
      <c r="H516" t="inlineStr">
        <is>
          <t>SALUSTIANA</t>
        </is>
      </c>
      <c r="I516" t="n">
        <v>356</v>
      </c>
      <c r="J516" t="n">
        <v>12675</v>
      </c>
      <c r="K516" t="n">
        <v>4975</v>
      </c>
      <c r="L516" t="n">
        <v>4975</v>
      </c>
      <c r="M516" t="inlineStr">
        <is>
          <t>Sí</t>
        </is>
      </c>
      <c r="N516" t="inlineStr"/>
      <c r="O516" t="inlineStr">
        <is>
          <t>Informativa</t>
        </is>
      </c>
      <c r="P516" t="inlineStr">
        <is>
          <t>No interviene en el prorrateo</t>
        </is>
      </c>
    </row>
    <row r="517">
      <c r="A517" t="n">
        <v>1523</v>
      </c>
      <c r="B517" t="inlineStr">
        <is>
          <t>RODRIGUEZ MEJÍAS, JOSE ANTONIO</t>
        </is>
      </c>
      <c r="E517" t="n">
        <v>2026</v>
      </c>
      <c r="F517" t="n">
        <v>1</v>
      </c>
      <c r="G517" t="inlineStr">
        <is>
          <t>CITRICOS</t>
        </is>
      </c>
      <c r="H517" t="inlineStr">
        <is>
          <t>SALUSTIANA</t>
        </is>
      </c>
      <c r="I517" t="n">
        <v>356</v>
      </c>
      <c r="J517" t="n">
        <v>12075</v>
      </c>
      <c r="K517" t="n">
        <v>11875</v>
      </c>
      <c r="L517" t="n">
        <v>11875</v>
      </c>
      <c r="M517" t="inlineStr">
        <is>
          <t>Sí</t>
        </is>
      </c>
      <c r="N517" t="inlineStr"/>
      <c r="O517" t="inlineStr">
        <is>
          <t>Informativa</t>
        </is>
      </c>
      <c r="P517" t="inlineStr">
        <is>
          <t>No interviene en el prorrateo</t>
        </is>
      </c>
    </row>
    <row r="518">
      <c r="A518" t="n">
        <v>1523</v>
      </c>
      <c r="B518" t="inlineStr">
        <is>
          <t>RODRIGUEZ MEJÍAS, JOSE ANTONIO</t>
        </is>
      </c>
      <c r="E518" t="n">
        <v>2026</v>
      </c>
      <c r="F518" t="n">
        <v>1</v>
      </c>
      <c r="G518" t="inlineStr">
        <is>
          <t>CITRICOS</t>
        </is>
      </c>
      <c r="H518" t="inlineStr">
        <is>
          <t>SALUSTIANA</t>
        </is>
      </c>
      <c r="I518" t="n">
        <v>356</v>
      </c>
      <c r="J518" t="n">
        <v>12250</v>
      </c>
      <c r="K518" t="n">
        <v>5810</v>
      </c>
      <c r="L518" t="n">
        <v>5810</v>
      </c>
      <c r="M518" t="inlineStr">
        <is>
          <t>Sí</t>
        </is>
      </c>
      <c r="N518" t="inlineStr"/>
      <c r="O518" t="inlineStr">
        <is>
          <t>Informativa</t>
        </is>
      </c>
      <c r="P518" t="inlineStr">
        <is>
          <t>No interviene en el prorrateo</t>
        </is>
      </c>
    </row>
    <row r="519">
      <c r="A519" t="n">
        <v>1523</v>
      </c>
      <c r="B519" t="inlineStr">
        <is>
          <t>RODRIGUEZ MEJÍAS, JOSE ANTONIO</t>
        </is>
      </c>
      <c r="E519" t="n">
        <v>2026</v>
      </c>
      <c r="F519" t="n">
        <v>1</v>
      </c>
      <c r="G519" t="inlineStr">
        <is>
          <t>CITRICOS</t>
        </is>
      </c>
      <c r="H519" t="inlineStr">
        <is>
          <t>SALUSTIANA</t>
        </is>
      </c>
      <c r="I519" t="n">
        <v>356</v>
      </c>
      <c r="J519" t="n">
        <v>12465</v>
      </c>
      <c r="K519" t="n">
        <v>6965</v>
      </c>
      <c r="L519" t="n">
        <v>6965</v>
      </c>
      <c r="M519" t="inlineStr">
        <is>
          <t>Sí</t>
        </is>
      </c>
      <c r="N519" t="inlineStr"/>
      <c r="O519" t="inlineStr">
        <is>
          <t>Informativa</t>
        </is>
      </c>
      <c r="P519" t="inlineStr">
        <is>
          <t>No interviene en el prorrateo</t>
        </is>
      </c>
    </row>
    <row r="520">
      <c r="A520" t="n">
        <v>1523</v>
      </c>
      <c r="B520" t="inlineStr">
        <is>
          <t>RODRIGUEZ MEJÍAS, JOSE ANTONIO</t>
        </is>
      </c>
      <c r="E520" t="n">
        <v>2026</v>
      </c>
      <c r="F520" t="n">
        <v>1</v>
      </c>
      <c r="G520" t="inlineStr">
        <is>
          <t>CITRICOS</t>
        </is>
      </c>
      <c r="H520" t="inlineStr">
        <is>
          <t>SALUSTIANA</t>
        </is>
      </c>
      <c r="I520" t="n">
        <v>356</v>
      </c>
      <c r="J520" t="n">
        <v>11330</v>
      </c>
      <c r="K520" t="n">
        <v>10839</v>
      </c>
      <c r="L520" t="n">
        <v>10839</v>
      </c>
      <c r="M520" t="inlineStr">
        <is>
          <t>Sí</t>
        </is>
      </c>
      <c r="N520" t="inlineStr"/>
      <c r="O520" t="inlineStr">
        <is>
          <t>Informativa</t>
        </is>
      </c>
      <c r="P520" t="inlineStr">
        <is>
          <t>No interviene en el prorrateo</t>
        </is>
      </c>
    </row>
    <row r="521">
      <c r="A521" t="n">
        <v>1523</v>
      </c>
      <c r="B521" t="inlineStr">
        <is>
          <t>RODRIGUEZ MEJÍAS, JOSE ANTONIO</t>
        </is>
      </c>
      <c r="E521" t="n">
        <v>2026</v>
      </c>
      <c r="F521" t="n">
        <v>1</v>
      </c>
      <c r="G521" t="inlineStr">
        <is>
          <t>CITRICOS</t>
        </is>
      </c>
      <c r="H521" t="inlineStr">
        <is>
          <t>SALUSTIANA</t>
        </is>
      </c>
      <c r="I521" t="n">
        <v>356</v>
      </c>
      <c r="J521" t="n">
        <v>11500</v>
      </c>
      <c r="K521" t="n">
        <v>0</v>
      </c>
      <c r="L521" t="n">
        <v>11500</v>
      </c>
      <c r="M521" t="inlineStr">
        <is>
          <t>Sí</t>
        </is>
      </c>
      <c r="N521" t="inlineStr"/>
      <c r="O521" t="inlineStr">
        <is>
          <t>Informativa</t>
        </is>
      </c>
      <c r="P521" t="inlineStr">
        <is>
          <t>No interviene en el prorrateo</t>
        </is>
      </c>
    </row>
    <row r="522">
      <c r="A522" t="n">
        <v>1523</v>
      </c>
      <c r="B522" t="inlineStr">
        <is>
          <t>RODRIGUEZ MEJÍAS, JOSE ANTONIO</t>
        </is>
      </c>
      <c r="E522" t="n">
        <v>2026</v>
      </c>
      <c r="F522" t="n">
        <v>1</v>
      </c>
      <c r="G522" t="inlineStr">
        <is>
          <t>CITRICOS</t>
        </is>
      </c>
      <c r="H522" t="inlineStr">
        <is>
          <t>SALUSTIANA</t>
        </is>
      </c>
      <c r="I522" t="n">
        <v>356</v>
      </c>
      <c r="J522" t="n">
        <v>11395</v>
      </c>
      <c r="K522" t="n">
        <v>11110</v>
      </c>
      <c r="L522" t="n">
        <v>11110</v>
      </c>
      <c r="M522" t="inlineStr">
        <is>
          <t>Sí</t>
        </is>
      </c>
      <c r="N522" t="inlineStr"/>
      <c r="O522" t="inlineStr">
        <is>
          <t>Informativa</t>
        </is>
      </c>
      <c r="P522" t="inlineStr">
        <is>
          <t>No interviene en el prorrateo</t>
        </is>
      </c>
    </row>
    <row r="523">
      <c r="A523" t="n">
        <v>1523</v>
      </c>
      <c r="B523" t="inlineStr">
        <is>
          <t>RODRIGUEZ MEJÍAS, JOSE ANTONIO</t>
        </is>
      </c>
      <c r="E523" t="n">
        <v>2026</v>
      </c>
      <c r="F523" t="n">
        <v>1</v>
      </c>
      <c r="G523" t="inlineStr">
        <is>
          <t>CITRICOS</t>
        </is>
      </c>
      <c r="H523" t="inlineStr">
        <is>
          <t>SALUSTIANA</t>
        </is>
      </c>
      <c r="I523" t="n">
        <v>580</v>
      </c>
      <c r="J523" t="n">
        <v>12020</v>
      </c>
      <c r="K523" t="n">
        <v>0</v>
      </c>
      <c r="L523" t="n">
        <v>12020</v>
      </c>
      <c r="M523" t="inlineStr">
        <is>
          <t>Sí</t>
        </is>
      </c>
      <c r="N523" t="inlineStr"/>
      <c r="O523" t="inlineStr">
        <is>
          <t>Informativa</t>
        </is>
      </c>
      <c r="P523" t="inlineStr">
        <is>
          <t>No interviene en el prorrateo</t>
        </is>
      </c>
    </row>
    <row r="524">
      <c r="A524" t="n">
        <v>1523</v>
      </c>
      <c r="B524" t="inlineStr">
        <is>
          <t>RODRIGUEZ MEJÍAS, JOSE ANTONIO</t>
        </is>
      </c>
      <c r="E524" t="n">
        <v>2026</v>
      </c>
      <c r="F524" t="n">
        <v>1</v>
      </c>
      <c r="G524" t="inlineStr">
        <is>
          <t>CITRICOS</t>
        </is>
      </c>
      <c r="H524" t="inlineStr">
        <is>
          <t>SALUSTIANA</t>
        </is>
      </c>
      <c r="I524" t="n">
        <v>580</v>
      </c>
      <c r="J524" t="n">
        <v>13180</v>
      </c>
      <c r="K524" t="n">
        <v>2708</v>
      </c>
      <c r="L524" t="n">
        <v>2708</v>
      </c>
      <c r="M524" t="inlineStr">
        <is>
          <t>Sí</t>
        </is>
      </c>
      <c r="N524" t="inlineStr"/>
      <c r="O524" t="inlineStr">
        <is>
          <t>Informativa</t>
        </is>
      </c>
      <c r="P524" t="inlineStr">
        <is>
          <t>No interviene en el prorrateo</t>
        </is>
      </c>
    </row>
    <row r="525">
      <c r="A525" t="n">
        <v>1523</v>
      </c>
      <c r="B525" t="inlineStr">
        <is>
          <t>RODRIGUEZ MEJÍAS, JOSE ANTONIO</t>
        </is>
      </c>
      <c r="E525" t="n">
        <v>2026</v>
      </c>
      <c r="F525" t="n">
        <v>1</v>
      </c>
      <c r="G525" t="inlineStr">
        <is>
          <t>CITRICOS</t>
        </is>
      </c>
      <c r="H525" t="inlineStr">
        <is>
          <t>SALUSTIANA</t>
        </is>
      </c>
      <c r="I525" t="n">
        <v>580</v>
      </c>
      <c r="J525" t="n">
        <v>12415</v>
      </c>
      <c r="K525" t="n">
        <v>12014</v>
      </c>
      <c r="L525" t="n">
        <v>12014</v>
      </c>
      <c r="M525" t="inlineStr">
        <is>
          <t>Sí</t>
        </is>
      </c>
      <c r="N525" t="inlineStr"/>
      <c r="O525" t="inlineStr">
        <is>
          <t>Informativa</t>
        </is>
      </c>
      <c r="P525" t="inlineStr">
        <is>
          <t>No interviene en el prorrateo</t>
        </is>
      </c>
    </row>
    <row r="526">
      <c r="A526" t="n">
        <v>1523</v>
      </c>
      <c r="B526" t="inlineStr">
        <is>
          <t>RODRIGUEZ MEJÍAS, JOSE ANTONIO</t>
        </is>
      </c>
      <c r="E526" t="n">
        <v>2026</v>
      </c>
      <c r="F526" t="n">
        <v>1</v>
      </c>
      <c r="G526" t="inlineStr">
        <is>
          <t>CITRICOS</t>
        </is>
      </c>
      <c r="H526" t="inlineStr">
        <is>
          <t>SALUSTIANA</t>
        </is>
      </c>
      <c r="I526" t="n">
        <v>580</v>
      </c>
      <c r="J526" t="n">
        <v>12050</v>
      </c>
      <c r="K526" t="n">
        <v>11520</v>
      </c>
      <c r="L526" t="n">
        <v>11520</v>
      </c>
      <c r="M526" t="inlineStr">
        <is>
          <t>Sí</t>
        </is>
      </c>
      <c r="N526" t="inlineStr"/>
      <c r="O526" t="inlineStr">
        <is>
          <t>Informativa</t>
        </is>
      </c>
      <c r="P526" t="inlineStr">
        <is>
          <t>No interviene en el prorrateo</t>
        </is>
      </c>
    </row>
    <row r="527">
      <c r="A527" t="n">
        <v>1523</v>
      </c>
      <c r="B527" t="inlineStr">
        <is>
          <t>RODRIGUEZ MEJÍAS, JOSE ANTONIO</t>
        </is>
      </c>
      <c r="E527" t="n">
        <v>2026</v>
      </c>
      <c r="F527" t="n">
        <v>1</v>
      </c>
      <c r="G527" t="inlineStr">
        <is>
          <t>CITRICOS</t>
        </is>
      </c>
      <c r="H527" t="inlineStr">
        <is>
          <t>SALUSTIANA</t>
        </is>
      </c>
      <c r="I527" t="n">
        <v>356</v>
      </c>
      <c r="J527" t="n">
        <v>7140</v>
      </c>
      <c r="K527" t="n">
        <v>0</v>
      </c>
      <c r="L527" t="n">
        <v>7140</v>
      </c>
      <c r="M527" t="inlineStr">
        <is>
          <t>Sí</t>
        </is>
      </c>
      <c r="N527" t="inlineStr"/>
      <c r="O527" t="inlineStr">
        <is>
          <t>Informativa</t>
        </is>
      </c>
      <c r="P527" t="inlineStr">
        <is>
          <t>No interviene en el prorrateo</t>
        </is>
      </c>
    </row>
    <row r="528">
      <c r="A528" t="n">
        <v>1523</v>
      </c>
      <c r="B528" t="inlineStr">
        <is>
          <t>RODRIGUEZ MEJÍAS, JOSE ANTONIO</t>
        </is>
      </c>
      <c r="E528" t="n">
        <v>2026</v>
      </c>
      <c r="F528" t="n">
        <v>1</v>
      </c>
      <c r="G528" t="inlineStr">
        <is>
          <t>CITRICOS</t>
        </is>
      </c>
      <c r="H528" t="inlineStr">
        <is>
          <t>SALUSTIANA</t>
        </is>
      </c>
      <c r="I528" t="n">
        <v>580</v>
      </c>
      <c r="J528" t="n">
        <v>12515</v>
      </c>
      <c r="K528" t="n">
        <v>9140</v>
      </c>
      <c r="L528" t="n">
        <v>9140</v>
      </c>
      <c r="M528" t="inlineStr">
        <is>
          <t>Sí</t>
        </is>
      </c>
      <c r="N528" t="inlineStr"/>
      <c r="O528" t="inlineStr">
        <is>
          <t>Informativa</t>
        </is>
      </c>
      <c r="P528" t="inlineStr">
        <is>
          <t>No interviene en el prorrateo</t>
        </is>
      </c>
    </row>
    <row r="529">
      <c r="A529" t="n">
        <v>1523</v>
      </c>
      <c r="B529" t="inlineStr">
        <is>
          <t>RODRIGUEZ MEJÍAS, JOSE ANTONIO</t>
        </is>
      </c>
      <c r="E529" t="n">
        <v>2026</v>
      </c>
      <c r="F529" t="n">
        <v>1</v>
      </c>
      <c r="G529" t="inlineStr">
        <is>
          <t>CITRICOS</t>
        </is>
      </c>
      <c r="H529" t="inlineStr">
        <is>
          <t>SALUSTIANA</t>
        </is>
      </c>
      <c r="I529" t="n">
        <v>580</v>
      </c>
      <c r="J529" t="n">
        <v>12120</v>
      </c>
      <c r="K529" t="n">
        <v>0</v>
      </c>
      <c r="L529" t="n">
        <v>12120</v>
      </c>
      <c r="M529" t="inlineStr">
        <is>
          <t>Sí</t>
        </is>
      </c>
      <c r="N529" t="inlineStr"/>
      <c r="O529" t="inlineStr">
        <is>
          <t>Informativa</t>
        </is>
      </c>
      <c r="P529" t="inlineStr">
        <is>
          <t>No interviene en el prorrateo</t>
        </is>
      </c>
    </row>
    <row r="530">
      <c r="A530" t="n">
        <v>1523</v>
      </c>
      <c r="B530" t="inlineStr">
        <is>
          <t>RODRIGUEZ MEJÍAS, JOSE ANTONIO</t>
        </is>
      </c>
      <c r="E530" t="n">
        <v>2026</v>
      </c>
      <c r="F530" t="n">
        <v>1</v>
      </c>
      <c r="G530" t="inlineStr">
        <is>
          <t>CITRICOS</t>
        </is>
      </c>
      <c r="H530" t="inlineStr">
        <is>
          <t>SALUSTIANA</t>
        </is>
      </c>
      <c r="I530" t="n">
        <v>580</v>
      </c>
      <c r="J530" t="n">
        <v>11061</v>
      </c>
      <c r="K530" t="n">
        <v>5438</v>
      </c>
      <c r="L530" t="n">
        <v>5438</v>
      </c>
      <c r="M530" t="inlineStr">
        <is>
          <t>Sí</t>
        </is>
      </c>
      <c r="N530" t="inlineStr"/>
      <c r="O530" t="inlineStr">
        <is>
          <t>Informativa</t>
        </is>
      </c>
      <c r="P530" t="inlineStr">
        <is>
          <t>No interviene en el prorrateo</t>
        </is>
      </c>
    </row>
    <row r="531">
      <c r="A531" t="n">
        <v>1523</v>
      </c>
      <c r="B531" t="inlineStr">
        <is>
          <t>RODRIGUEZ MEJÍAS, JOSE ANTONIO</t>
        </is>
      </c>
      <c r="E531" t="n">
        <v>2026</v>
      </c>
      <c r="F531" t="n">
        <v>1</v>
      </c>
      <c r="G531" t="inlineStr">
        <is>
          <t>CITRICOS</t>
        </is>
      </c>
      <c r="H531" t="inlineStr">
        <is>
          <t>SALUSTIANA</t>
        </is>
      </c>
      <c r="I531" t="n">
        <v>580</v>
      </c>
      <c r="J531" t="n">
        <v>12095</v>
      </c>
      <c r="K531" t="n">
        <v>11895</v>
      </c>
      <c r="L531" t="n">
        <v>11895</v>
      </c>
      <c r="M531" t="inlineStr">
        <is>
          <t>Sí</t>
        </is>
      </c>
      <c r="N531" t="inlineStr"/>
      <c r="O531" t="inlineStr">
        <is>
          <t>Informativa</t>
        </is>
      </c>
      <c r="P531" t="inlineStr">
        <is>
          <t>No interviene en el prorrateo</t>
        </is>
      </c>
    </row>
    <row r="532">
      <c r="A532" t="n">
        <v>1523</v>
      </c>
      <c r="B532" t="inlineStr">
        <is>
          <t>RODRIGUEZ MEJÍAS, JOSE ANTONIO</t>
        </is>
      </c>
      <c r="E532" t="n">
        <v>2026</v>
      </c>
      <c r="F532" t="n">
        <v>1</v>
      </c>
      <c r="G532" t="inlineStr">
        <is>
          <t>CITRICOS</t>
        </is>
      </c>
      <c r="H532" t="inlineStr">
        <is>
          <t>SALUSTIANA</t>
        </is>
      </c>
      <c r="I532" t="n">
        <v>580</v>
      </c>
      <c r="J532" t="n">
        <v>13175</v>
      </c>
      <c r="K532" t="n">
        <v>3758</v>
      </c>
      <c r="L532" t="n">
        <v>3758</v>
      </c>
      <c r="M532" t="inlineStr">
        <is>
          <t>Sí</t>
        </is>
      </c>
      <c r="N532" t="inlineStr"/>
      <c r="O532" t="inlineStr">
        <is>
          <t>Informativa</t>
        </is>
      </c>
      <c r="P532" t="inlineStr">
        <is>
          <t>No interviene en el prorrateo</t>
        </is>
      </c>
    </row>
    <row r="533">
      <c r="A533" t="n">
        <v>1523</v>
      </c>
      <c r="B533" t="inlineStr">
        <is>
          <t>RODRIGUEZ MEJÍAS, JOSE ANTONIO</t>
        </is>
      </c>
      <c r="E533" t="n">
        <v>2026</v>
      </c>
      <c r="F533" t="n">
        <v>1</v>
      </c>
      <c r="G533" t="inlineStr">
        <is>
          <t>CITRICOS</t>
        </is>
      </c>
      <c r="H533" t="inlineStr">
        <is>
          <t>SALUSTIANA</t>
        </is>
      </c>
      <c r="I533" t="n">
        <v>580</v>
      </c>
      <c r="J533" t="n">
        <v>10464</v>
      </c>
      <c r="K533" t="n">
        <v>0</v>
      </c>
      <c r="L533" t="n">
        <v>10464</v>
      </c>
      <c r="M533" t="inlineStr">
        <is>
          <t>Sí</t>
        </is>
      </c>
      <c r="N533" t="inlineStr"/>
      <c r="O533" t="inlineStr">
        <is>
          <t>Informativa</t>
        </is>
      </c>
      <c r="P533" t="inlineStr">
        <is>
          <t>No interviene en el prorrateo</t>
        </is>
      </c>
    </row>
    <row r="534">
      <c r="A534" t="n">
        <v>1523</v>
      </c>
      <c r="B534" t="inlineStr">
        <is>
          <t>RODRIGUEZ MEJÍAS, JOSE ANTONIO</t>
        </is>
      </c>
      <c r="E534" t="n">
        <v>2026</v>
      </c>
      <c r="F534" t="n">
        <v>1</v>
      </c>
      <c r="G534" t="inlineStr">
        <is>
          <t>CITRICOS</t>
        </is>
      </c>
      <c r="H534" t="inlineStr">
        <is>
          <t>SALUSTIANA</t>
        </is>
      </c>
      <c r="I534" t="n">
        <v>580</v>
      </c>
      <c r="J534" t="n">
        <v>12240</v>
      </c>
      <c r="K534" t="n">
        <v>0</v>
      </c>
      <c r="L534" t="n">
        <v>12240</v>
      </c>
      <c r="M534" t="inlineStr">
        <is>
          <t>Sí</t>
        </is>
      </c>
      <c r="N534" t="inlineStr"/>
      <c r="O534" t="inlineStr">
        <is>
          <t>Informativa</t>
        </is>
      </c>
      <c r="P534" t="inlineStr">
        <is>
          <t>No interviene en el prorrateo</t>
        </is>
      </c>
    </row>
    <row r="535">
      <c r="A535" t="n">
        <v>1523</v>
      </c>
      <c r="B535" t="inlineStr">
        <is>
          <t>RODRIGUEZ MEJÍAS, JOSE ANTONIO</t>
        </is>
      </c>
      <c r="E535" t="n">
        <v>2026</v>
      </c>
      <c r="F535" t="n">
        <v>1</v>
      </c>
      <c r="G535" t="inlineStr">
        <is>
          <t>CITRICOS</t>
        </is>
      </c>
      <c r="H535" t="inlineStr">
        <is>
          <t>SALUSTIANA</t>
        </is>
      </c>
      <c r="I535" t="n">
        <v>580</v>
      </c>
      <c r="J535" t="n">
        <v>11691</v>
      </c>
      <c r="K535" t="n">
        <v>11401</v>
      </c>
      <c r="L535" t="n">
        <v>11401</v>
      </c>
      <c r="M535" t="inlineStr">
        <is>
          <t>Sí</t>
        </is>
      </c>
      <c r="N535" t="inlineStr"/>
      <c r="O535" t="inlineStr">
        <is>
          <t>Informativa</t>
        </is>
      </c>
      <c r="P535" t="inlineStr">
        <is>
          <t>No interviene en el prorrateo</t>
        </is>
      </c>
    </row>
    <row r="536">
      <c r="A536" t="n">
        <v>1523</v>
      </c>
      <c r="B536" t="inlineStr">
        <is>
          <t>RODRIGUEZ MEJÍAS, JOSE ANTONIO</t>
        </is>
      </c>
      <c r="E536" t="n">
        <v>2026</v>
      </c>
      <c r="F536" t="n">
        <v>1</v>
      </c>
      <c r="G536" t="inlineStr">
        <is>
          <t>CITRICOS</t>
        </is>
      </c>
      <c r="H536" t="inlineStr">
        <is>
          <t>SALUSTIANA</t>
        </is>
      </c>
      <c r="I536" t="n">
        <v>580</v>
      </c>
      <c r="J536" t="n">
        <v>12580</v>
      </c>
      <c r="K536" t="n">
        <v>8107</v>
      </c>
      <c r="L536" t="n">
        <v>8107</v>
      </c>
      <c r="M536" t="inlineStr">
        <is>
          <t>Sí</t>
        </is>
      </c>
      <c r="N536" t="inlineStr"/>
      <c r="O536" t="inlineStr">
        <is>
          <t>Informativa</t>
        </is>
      </c>
      <c r="P536" t="inlineStr">
        <is>
          <t>No interviene en el prorrateo</t>
        </is>
      </c>
    </row>
    <row r="537">
      <c r="A537" t="n">
        <v>1523</v>
      </c>
      <c r="B537" t="inlineStr">
        <is>
          <t>RODRIGUEZ MEJÍAS, JOSE ANTONIO</t>
        </is>
      </c>
      <c r="E537" t="n">
        <v>2026</v>
      </c>
      <c r="F537" t="n">
        <v>1</v>
      </c>
      <c r="G537" t="inlineStr">
        <is>
          <t>CITRICOS</t>
        </is>
      </c>
      <c r="H537" t="inlineStr">
        <is>
          <t>SALUSTIANA</t>
        </is>
      </c>
      <c r="I537" t="n">
        <v>580</v>
      </c>
      <c r="J537" t="n">
        <v>7040</v>
      </c>
      <c r="K537" t="n">
        <v>0</v>
      </c>
      <c r="L537" t="n">
        <v>7040</v>
      </c>
      <c r="M537" t="inlineStr">
        <is>
          <t>Sí</t>
        </is>
      </c>
      <c r="N537" t="inlineStr"/>
      <c r="O537" t="inlineStr">
        <is>
          <t>Informativa</t>
        </is>
      </c>
      <c r="P537" t="inlineStr">
        <is>
          <t>No interviene en el prorrateo</t>
        </is>
      </c>
    </row>
    <row r="538">
      <c r="A538" t="n">
        <v>1523</v>
      </c>
      <c r="B538" t="inlineStr">
        <is>
          <t>RODRIGUEZ MEJÍAS, JOSE ANTONIO</t>
        </is>
      </c>
      <c r="E538" t="n">
        <v>2026</v>
      </c>
      <c r="F538" t="n">
        <v>1</v>
      </c>
      <c r="G538" t="inlineStr">
        <is>
          <t>CITRICOS</t>
        </is>
      </c>
      <c r="H538" t="inlineStr">
        <is>
          <t>SALUSTIANA</t>
        </is>
      </c>
      <c r="I538" t="n">
        <v>580</v>
      </c>
      <c r="J538" t="n">
        <v>11115</v>
      </c>
      <c r="K538" t="n">
        <v>5002</v>
      </c>
      <c r="L538" t="n">
        <v>5002</v>
      </c>
      <c r="M538" t="inlineStr">
        <is>
          <t>Sí</t>
        </is>
      </c>
      <c r="N538" t="inlineStr"/>
      <c r="O538" t="inlineStr">
        <is>
          <t>Informativa</t>
        </is>
      </c>
      <c r="P538" t="inlineStr">
        <is>
          <t>No interviene en el prorrateo</t>
        </is>
      </c>
    </row>
    <row r="539">
      <c r="A539" t="n">
        <v>1523</v>
      </c>
      <c r="B539" t="inlineStr">
        <is>
          <t>RODRIGUEZ MEJÍAS, JOSE ANTONIO</t>
        </is>
      </c>
      <c r="E539" t="n">
        <v>2026</v>
      </c>
      <c r="F539" t="n">
        <v>1</v>
      </c>
      <c r="G539" t="inlineStr">
        <is>
          <t>CITRICOS</t>
        </is>
      </c>
      <c r="H539" t="inlineStr">
        <is>
          <t>SALUSTIANA</t>
        </is>
      </c>
      <c r="I539" t="n">
        <v>580</v>
      </c>
      <c r="J539" t="n">
        <v>8846</v>
      </c>
      <c r="K539" t="n">
        <v>8639</v>
      </c>
      <c r="L539" t="n">
        <v>8639</v>
      </c>
      <c r="M539" t="inlineStr">
        <is>
          <t>Sí</t>
        </is>
      </c>
      <c r="N539" t="inlineStr"/>
      <c r="O539" t="inlineStr">
        <is>
          <t>Informativa</t>
        </is>
      </c>
      <c r="P539" t="inlineStr">
        <is>
          <t>No interviene en el prorrateo</t>
        </is>
      </c>
    </row>
    <row r="540">
      <c r="A540" t="n">
        <v>1523</v>
      </c>
      <c r="B540" t="inlineStr">
        <is>
          <t>RODRIGUEZ MEJÍAS, JOSE ANTONIO</t>
        </is>
      </c>
      <c r="E540" t="n">
        <v>2026</v>
      </c>
      <c r="F540" t="n">
        <v>1</v>
      </c>
      <c r="G540" t="inlineStr">
        <is>
          <t>CITRICOS</t>
        </is>
      </c>
      <c r="H540" t="inlineStr">
        <is>
          <t>SALUSTIANA</t>
        </is>
      </c>
      <c r="I540" t="n">
        <v>580</v>
      </c>
      <c r="J540" t="n">
        <v>13210</v>
      </c>
      <c r="K540" t="n">
        <v>3417</v>
      </c>
      <c r="L540" t="n">
        <v>3417</v>
      </c>
      <c r="M540" t="inlineStr">
        <is>
          <t>Sí</t>
        </is>
      </c>
      <c r="N540" t="inlineStr"/>
      <c r="O540" t="inlineStr">
        <is>
          <t>Informativa</t>
        </is>
      </c>
      <c r="P540" t="inlineStr">
        <is>
          <t>No interviene en el prorrateo</t>
        </is>
      </c>
    </row>
    <row r="541">
      <c r="A541" t="n">
        <v>1523</v>
      </c>
      <c r="B541" t="inlineStr">
        <is>
          <t>RODRIGUEZ MEJÍAS, JOSE ANTONIO</t>
        </is>
      </c>
      <c r="E541" t="n">
        <v>2026</v>
      </c>
      <c r="F541" t="n">
        <v>1</v>
      </c>
      <c r="G541" t="inlineStr">
        <is>
          <t>CITRICOS</t>
        </is>
      </c>
      <c r="H541" t="inlineStr">
        <is>
          <t>SALUSTIANA</t>
        </is>
      </c>
      <c r="I541" t="n">
        <v>580</v>
      </c>
      <c r="J541" t="n">
        <v>13035</v>
      </c>
      <c r="K541" t="n">
        <v>5125</v>
      </c>
      <c r="L541" t="n">
        <v>5125</v>
      </c>
      <c r="M541" t="inlineStr">
        <is>
          <t>Sí</t>
        </is>
      </c>
      <c r="N541" t="inlineStr"/>
      <c r="O541" t="inlineStr">
        <is>
          <t>Informativa</t>
        </is>
      </c>
      <c r="P541" t="inlineStr">
        <is>
          <t>No interviene en el prorrateo</t>
        </is>
      </c>
    </row>
    <row r="542">
      <c r="A542" t="n">
        <v>1523</v>
      </c>
      <c r="B542" t="inlineStr">
        <is>
          <t>RODRIGUEZ MEJÍAS, JOSE ANTONIO</t>
        </is>
      </c>
      <c r="E542" t="n">
        <v>2026</v>
      </c>
      <c r="F542" t="n">
        <v>1</v>
      </c>
      <c r="G542" t="inlineStr">
        <is>
          <t>CITRICOS</t>
        </is>
      </c>
      <c r="H542" t="inlineStr">
        <is>
          <t>SALUSTIANA</t>
        </is>
      </c>
      <c r="I542" t="n">
        <v>580</v>
      </c>
      <c r="J542" t="n">
        <v>13000</v>
      </c>
      <c r="K542" t="n">
        <v>4053</v>
      </c>
      <c r="L542" t="n">
        <v>4053</v>
      </c>
      <c r="M542" t="inlineStr">
        <is>
          <t>Sí</t>
        </is>
      </c>
      <c r="N542" t="inlineStr"/>
      <c r="O542" t="inlineStr">
        <is>
          <t>Informativa</t>
        </is>
      </c>
      <c r="P542" t="inlineStr">
        <is>
          <t>No interviene en el prorrateo</t>
        </is>
      </c>
    </row>
    <row r="543">
      <c r="A543" t="n">
        <v>1523</v>
      </c>
      <c r="B543" t="inlineStr">
        <is>
          <t>RODRIGUEZ MEJÍAS, JOSE ANTONIO</t>
        </is>
      </c>
      <c r="E543" t="n">
        <v>2026</v>
      </c>
      <c r="F543" t="n">
        <v>1</v>
      </c>
      <c r="G543" t="inlineStr">
        <is>
          <t>CITRICOS</t>
        </is>
      </c>
      <c r="H543" t="inlineStr">
        <is>
          <t>LANE LATE</t>
        </is>
      </c>
      <c r="I543" t="n">
        <v>587</v>
      </c>
      <c r="J543" t="n">
        <v>980</v>
      </c>
      <c r="K543" t="n">
        <v>0</v>
      </c>
      <c r="L543" t="n">
        <v>980</v>
      </c>
      <c r="M543" t="inlineStr">
        <is>
          <t>Sí</t>
        </is>
      </c>
      <c r="N543" t="inlineStr"/>
      <c r="O543" t="inlineStr">
        <is>
          <t>Informativa</t>
        </is>
      </c>
      <c r="P543" t="inlineStr">
        <is>
          <t>No interviene en el prorrateo</t>
        </is>
      </c>
    </row>
    <row r="544">
      <c r="A544" t="n">
        <v>1523</v>
      </c>
      <c r="B544" t="inlineStr">
        <is>
          <t>RODRIGUEZ MEJÍAS, JOSE ANTONIO</t>
        </is>
      </c>
      <c r="E544" t="n">
        <v>2026</v>
      </c>
      <c r="F544" t="n">
        <v>1</v>
      </c>
      <c r="G544" t="inlineStr">
        <is>
          <t>CITRICOS</t>
        </is>
      </c>
      <c r="H544" t="inlineStr">
        <is>
          <t>LANE LATE</t>
        </is>
      </c>
      <c r="I544" t="n">
        <v>587</v>
      </c>
      <c r="J544" t="n">
        <v>870</v>
      </c>
      <c r="K544" t="n">
        <v>0</v>
      </c>
      <c r="L544" t="n">
        <v>870</v>
      </c>
      <c r="M544" t="inlineStr">
        <is>
          <t>Sí</t>
        </is>
      </c>
      <c r="N544" t="inlineStr"/>
      <c r="O544" t="inlineStr">
        <is>
          <t>Informativa</t>
        </is>
      </c>
      <c r="P544" t="inlineStr">
        <is>
          <t>No interviene en el prorrateo</t>
        </is>
      </c>
    </row>
    <row r="545">
      <c r="A545" t="n">
        <v>1523</v>
      </c>
      <c r="B545" t="inlineStr">
        <is>
          <t>RODRIGUEZ MEJÍAS, JOSE ANTONIO</t>
        </is>
      </c>
      <c r="E545" t="n">
        <v>2026</v>
      </c>
      <c r="F545" t="n">
        <v>1</v>
      </c>
      <c r="G545" t="inlineStr">
        <is>
          <t>CITRICOS</t>
        </is>
      </c>
      <c r="H545" t="inlineStr">
        <is>
          <t>CHISLETT SUMER</t>
        </is>
      </c>
      <c r="I545" t="n">
        <v>765</v>
      </c>
      <c r="J545" t="n">
        <v>6780</v>
      </c>
      <c r="K545" t="n">
        <v>0</v>
      </c>
      <c r="L545" t="n">
        <v>6780</v>
      </c>
      <c r="M545" t="inlineStr">
        <is>
          <t>Sí</t>
        </is>
      </c>
      <c r="N545" t="inlineStr"/>
      <c r="O545" t="inlineStr">
        <is>
          <t>Informativa</t>
        </is>
      </c>
      <c r="P545" t="inlineStr">
        <is>
          <t>No interviene en el prorrateo</t>
        </is>
      </c>
    </row>
    <row r="546">
      <c r="A546" t="n">
        <v>1523</v>
      </c>
      <c r="B546" t="inlineStr">
        <is>
          <t>RODRIGUEZ MEJÍAS, JOSE ANTONIO</t>
        </is>
      </c>
      <c r="E546" t="n">
        <v>2026</v>
      </c>
      <c r="F546" t="n">
        <v>1</v>
      </c>
      <c r="G546" t="inlineStr">
        <is>
          <t>DIRECTO</t>
        </is>
      </c>
      <c r="H546" t="inlineStr">
        <is>
          <t>FUKUMOTO</t>
        </is>
      </c>
      <c r="I546" t="n">
        <v>62</v>
      </c>
      <c r="J546" t="n">
        <v>20930</v>
      </c>
      <c r="K546" t="n">
        <v>0</v>
      </c>
      <c r="L546" t="n">
        <v>20930</v>
      </c>
      <c r="M546" t="inlineStr">
        <is>
          <t>Sí</t>
        </is>
      </c>
      <c r="N546" t="inlineStr"/>
      <c r="O546" t="inlineStr">
        <is>
          <t>Informativa</t>
        </is>
      </c>
      <c r="P546" t="inlineStr">
        <is>
          <t>No interviene en el prorrateo</t>
        </is>
      </c>
    </row>
    <row r="547">
      <c r="A547" t="n">
        <v>1523</v>
      </c>
      <c r="B547" t="inlineStr">
        <is>
          <t>RODRIGUEZ MEJÍAS, JOSE ANTONIO</t>
        </is>
      </c>
      <c r="E547" t="n">
        <v>2026</v>
      </c>
      <c r="F547" t="n">
        <v>1</v>
      </c>
      <c r="G547" t="inlineStr">
        <is>
          <t>DIRECTO</t>
        </is>
      </c>
      <c r="H547" t="inlineStr">
        <is>
          <t>FUKUMOTO</t>
        </is>
      </c>
      <c r="I547" t="n">
        <v>62</v>
      </c>
      <c r="J547" t="n">
        <v>18745</v>
      </c>
      <c r="K547" t="n">
        <v>0</v>
      </c>
      <c r="L547" t="n">
        <v>18745</v>
      </c>
      <c r="M547" t="inlineStr">
        <is>
          <t>Sí</t>
        </is>
      </c>
      <c r="N547" t="inlineStr"/>
      <c r="O547" t="inlineStr">
        <is>
          <t>Informativa</t>
        </is>
      </c>
      <c r="P547" t="inlineStr">
        <is>
          <t>No interviene en el prorrateo</t>
        </is>
      </c>
    </row>
    <row r="548">
      <c r="A548" t="n">
        <v>1523</v>
      </c>
      <c r="B548" t="inlineStr">
        <is>
          <t>RODRIGUEZ MEJÍAS, JOSE ANTONIO</t>
        </is>
      </c>
      <c r="E548" t="n">
        <v>2026</v>
      </c>
      <c r="F548" t="n">
        <v>1</v>
      </c>
      <c r="G548" t="inlineStr">
        <is>
          <t>DIRECTO</t>
        </is>
      </c>
      <c r="H548" t="inlineStr">
        <is>
          <t>STAR RUBY</t>
        </is>
      </c>
      <c r="I548" t="n">
        <v>686</v>
      </c>
      <c r="J548" t="n">
        <v>16782</v>
      </c>
      <c r="K548" t="n">
        <v>0</v>
      </c>
      <c r="L548" t="n">
        <v>16782</v>
      </c>
      <c r="M548" t="inlineStr">
        <is>
          <t>Sí</t>
        </is>
      </c>
      <c r="N548" t="inlineStr"/>
      <c r="O548" t="inlineStr">
        <is>
          <t>Informativa</t>
        </is>
      </c>
      <c r="P548" t="inlineStr">
        <is>
          <t>No interviene en el prorrateo</t>
        </is>
      </c>
    </row>
    <row r="549">
      <c r="A549" t="n">
        <v>1523</v>
      </c>
      <c r="B549" t="inlineStr">
        <is>
          <t>RODRIGUEZ MEJÍAS, JOSE ANTONIO</t>
        </is>
      </c>
      <c r="E549" t="n">
        <v>2026</v>
      </c>
      <c r="F549" t="n">
        <v>1</v>
      </c>
      <c r="G549" t="inlineStr">
        <is>
          <t>DIRECTO</t>
        </is>
      </c>
      <c r="H549" t="inlineStr">
        <is>
          <t>STAR RUBY</t>
        </is>
      </c>
      <c r="I549" t="n">
        <v>686</v>
      </c>
      <c r="J549" t="n">
        <v>16902</v>
      </c>
      <c r="K549" t="n">
        <v>0</v>
      </c>
      <c r="L549" t="n">
        <v>16902</v>
      </c>
      <c r="M549" t="inlineStr">
        <is>
          <t>Sí</t>
        </is>
      </c>
      <c r="N549" t="inlineStr"/>
      <c r="O549" t="inlineStr">
        <is>
          <t>Informativa</t>
        </is>
      </c>
      <c r="P549" t="inlineStr">
        <is>
          <t>No interviene en el prorrateo</t>
        </is>
      </c>
    </row>
    <row r="550">
      <c r="A550" t="n">
        <v>1523</v>
      </c>
      <c r="B550" t="inlineStr">
        <is>
          <t>RODRIGUEZ MEJÍAS, JOSE ANTONIO</t>
        </is>
      </c>
      <c r="E550" t="n">
        <v>2026</v>
      </c>
      <c r="F550" t="n">
        <v>1</v>
      </c>
      <c r="G550" t="inlineStr">
        <is>
          <t>DIRECTO</t>
        </is>
      </c>
      <c r="H550" t="inlineStr">
        <is>
          <t>STAR RUBY</t>
        </is>
      </c>
      <c r="I550" t="n">
        <v>686</v>
      </c>
      <c r="J550" t="n">
        <v>17242</v>
      </c>
      <c r="K550" t="n">
        <v>0</v>
      </c>
      <c r="L550" t="n">
        <v>17242</v>
      </c>
      <c r="M550" t="inlineStr">
        <is>
          <t>Sí</t>
        </is>
      </c>
      <c r="N550" t="inlineStr"/>
      <c r="O550" t="inlineStr">
        <is>
          <t>Informativa</t>
        </is>
      </c>
      <c r="P550" t="inlineStr">
        <is>
          <t>No interviene en el prorrateo</t>
        </is>
      </c>
    </row>
    <row r="551">
      <c r="A551" t="n">
        <v>1523</v>
      </c>
      <c r="B551" t="inlineStr">
        <is>
          <t>RODRIGUEZ MEJÍAS, JOSE ANTONIO</t>
        </is>
      </c>
      <c r="E551" t="n">
        <v>2026</v>
      </c>
      <c r="F551" t="n">
        <v>1</v>
      </c>
      <c r="G551" t="inlineStr">
        <is>
          <t>DIRECTO</t>
        </is>
      </c>
      <c r="H551" t="inlineStr">
        <is>
          <t>STAR RUBY</t>
        </is>
      </c>
      <c r="I551" t="n">
        <v>686</v>
      </c>
      <c r="J551" t="n">
        <v>16635</v>
      </c>
      <c r="K551" t="n">
        <v>0</v>
      </c>
      <c r="L551" t="n">
        <v>16635</v>
      </c>
      <c r="M551" t="inlineStr">
        <is>
          <t>Sí</t>
        </is>
      </c>
      <c r="N551" t="inlineStr"/>
      <c r="O551" t="inlineStr">
        <is>
          <t>Informativa</t>
        </is>
      </c>
      <c r="P551" t="inlineStr">
        <is>
          <t>No interviene en el prorrateo</t>
        </is>
      </c>
    </row>
    <row r="552">
      <c r="A552" t="n">
        <v>1523</v>
      </c>
      <c r="B552" t="inlineStr">
        <is>
          <t>RODRIGUEZ MEJÍAS, JOSE ANTONIO</t>
        </is>
      </c>
      <c r="E552" t="n">
        <v>2026</v>
      </c>
      <c r="F552" t="n">
        <v>1</v>
      </c>
      <c r="G552" t="inlineStr">
        <is>
          <t>DIRECTO</t>
        </is>
      </c>
      <c r="H552" t="inlineStr">
        <is>
          <t>VALENCIA DELTA</t>
        </is>
      </c>
      <c r="I552" t="n">
        <v>340</v>
      </c>
      <c r="J552" t="n">
        <v>21970</v>
      </c>
      <c r="K552" t="n">
        <v>0</v>
      </c>
      <c r="L552" t="n">
        <v>21970</v>
      </c>
      <c r="M552" t="inlineStr">
        <is>
          <t>Sí</t>
        </is>
      </c>
      <c r="N552" t="inlineStr"/>
      <c r="O552" t="inlineStr">
        <is>
          <t>Informativa</t>
        </is>
      </c>
      <c r="P552" t="inlineStr">
        <is>
          <t>No interviene en el prorrateo</t>
        </is>
      </c>
    </row>
    <row r="553">
      <c r="A553" t="n">
        <v>1523</v>
      </c>
      <c r="B553" t="inlineStr">
        <is>
          <t>RODRIGUEZ MEJÍAS, JOSE ANTONIO</t>
        </is>
      </c>
      <c r="E553" t="n">
        <v>2026</v>
      </c>
      <c r="F553" t="n">
        <v>1</v>
      </c>
      <c r="G553" t="inlineStr">
        <is>
          <t>DIRECTO</t>
        </is>
      </c>
      <c r="H553" t="inlineStr">
        <is>
          <t>VALENCIA DELTA</t>
        </is>
      </c>
      <c r="I553" t="n">
        <v>340</v>
      </c>
      <c r="J553" t="n">
        <v>22522</v>
      </c>
      <c r="K553" t="n">
        <v>0</v>
      </c>
      <c r="L553" t="n">
        <v>22522</v>
      </c>
      <c r="M553" t="inlineStr">
        <is>
          <t>Sí</t>
        </is>
      </c>
      <c r="N553" t="inlineStr"/>
      <c r="O553" t="inlineStr">
        <is>
          <t>Informativa</t>
        </is>
      </c>
      <c r="P553" t="inlineStr">
        <is>
          <t>No interviene en el prorrateo</t>
        </is>
      </c>
    </row>
    <row r="554">
      <c r="A554" t="n">
        <v>1523</v>
      </c>
      <c r="B554" t="inlineStr">
        <is>
          <t>RODRIGUEZ MEJÍAS, JOSE ANTONIO</t>
        </is>
      </c>
      <c r="E554" t="n">
        <v>2026</v>
      </c>
      <c r="F554" t="n">
        <v>1</v>
      </c>
      <c r="G554" t="inlineStr">
        <is>
          <t>DIRECTO</t>
        </is>
      </c>
      <c r="H554" t="inlineStr">
        <is>
          <t>VALENCIA DELTA</t>
        </is>
      </c>
      <c r="I554" t="n">
        <v>340</v>
      </c>
      <c r="J554" t="n">
        <v>11820</v>
      </c>
      <c r="K554" t="n">
        <v>0</v>
      </c>
      <c r="L554" t="n">
        <v>11820</v>
      </c>
      <c r="M554" t="inlineStr">
        <is>
          <t>Sí</t>
        </is>
      </c>
      <c r="N554" t="inlineStr"/>
      <c r="O554" t="inlineStr">
        <is>
          <t>Informativa</t>
        </is>
      </c>
      <c r="P554" t="inlineStr">
        <is>
          <t>No interviene en el prorrateo</t>
        </is>
      </c>
    </row>
    <row r="555">
      <c r="A555" t="n">
        <v>1523</v>
      </c>
      <c r="B555" t="inlineStr">
        <is>
          <t>RODRIGUEZ MEJÍAS, JOSE ANTONIO</t>
        </is>
      </c>
      <c r="E555" t="n">
        <v>2026</v>
      </c>
      <c r="F555" t="n">
        <v>1</v>
      </c>
      <c r="G555" t="inlineStr">
        <is>
          <t>DIRECTO</t>
        </is>
      </c>
      <c r="H555" t="inlineStr">
        <is>
          <t>LANE LATE</t>
        </is>
      </c>
      <c r="I555" t="n">
        <v>587</v>
      </c>
      <c r="J555" t="n">
        <v>22820</v>
      </c>
      <c r="K555" t="n">
        <v>0</v>
      </c>
      <c r="L555" t="n">
        <v>22820</v>
      </c>
      <c r="M555" t="inlineStr">
        <is>
          <t>Sí</t>
        </is>
      </c>
      <c r="N555" t="inlineStr"/>
      <c r="O555" t="inlineStr">
        <is>
          <t>Informativa</t>
        </is>
      </c>
      <c r="P555" t="inlineStr">
        <is>
          <t>No interviene en el prorrateo</t>
        </is>
      </c>
    </row>
    <row r="556">
      <c r="A556" t="n">
        <v>1523</v>
      </c>
      <c r="B556" t="inlineStr">
        <is>
          <t>RODRIGUEZ MEJÍAS, JOSE ANTONIO</t>
        </is>
      </c>
      <c r="E556" t="n">
        <v>2026</v>
      </c>
      <c r="F556" t="n">
        <v>1</v>
      </c>
      <c r="G556" t="inlineStr">
        <is>
          <t>DIRECTO</t>
        </is>
      </c>
      <c r="H556" t="inlineStr">
        <is>
          <t>LANE LATE</t>
        </is>
      </c>
      <c r="I556" t="n">
        <v>587</v>
      </c>
      <c r="J556" t="n">
        <v>16960</v>
      </c>
      <c r="K556" t="n">
        <v>0</v>
      </c>
      <c r="L556" t="n">
        <v>16960</v>
      </c>
      <c r="M556" t="inlineStr">
        <is>
          <t>Sí</t>
        </is>
      </c>
      <c r="N556" t="inlineStr"/>
      <c r="O556" t="inlineStr">
        <is>
          <t>Informativa</t>
        </is>
      </c>
      <c r="P556" t="inlineStr">
        <is>
          <t>No interviene en el prorrateo</t>
        </is>
      </c>
    </row>
    <row r="557">
      <c r="A557" t="n">
        <v>1523</v>
      </c>
      <c r="B557" t="inlineStr">
        <is>
          <t>RODRIGUEZ MEJÍAS, JOSE ANTONIO</t>
        </is>
      </c>
      <c r="E557" t="n">
        <v>2026</v>
      </c>
      <c r="F557" t="n">
        <v>1</v>
      </c>
      <c r="G557" t="inlineStr">
        <is>
          <t>DIRECTO</t>
        </is>
      </c>
      <c r="H557" t="inlineStr">
        <is>
          <t>LANE LATE</t>
        </is>
      </c>
      <c r="I557" t="n">
        <v>587</v>
      </c>
      <c r="J557" t="n">
        <v>19140</v>
      </c>
      <c r="K557" t="n">
        <v>0</v>
      </c>
      <c r="L557" t="n">
        <v>19140</v>
      </c>
      <c r="M557" t="inlineStr">
        <is>
          <t>Sí</t>
        </is>
      </c>
      <c r="N557" t="inlineStr"/>
      <c r="O557" t="inlineStr">
        <is>
          <t>Informativa</t>
        </is>
      </c>
      <c r="P557" t="inlineStr">
        <is>
          <t>No interviene en el prorrateo</t>
        </is>
      </c>
    </row>
    <row r="558">
      <c r="A558" t="n">
        <v>1523</v>
      </c>
      <c r="B558" t="inlineStr">
        <is>
          <t>RODRIGUEZ MEJÍAS, JOSE ANTONIO</t>
        </is>
      </c>
      <c r="E558" t="n">
        <v>2026</v>
      </c>
      <c r="F558" t="n">
        <v>1</v>
      </c>
      <c r="G558" t="inlineStr">
        <is>
          <t>DIRECTO</t>
        </is>
      </c>
      <c r="H558" t="inlineStr">
        <is>
          <t>LANE LATE</t>
        </is>
      </c>
      <c r="I558" t="n">
        <v>587</v>
      </c>
      <c r="J558" t="n">
        <v>19640</v>
      </c>
      <c r="K558" t="n">
        <v>0</v>
      </c>
      <c r="L558" t="n">
        <v>19640</v>
      </c>
      <c r="M558" t="inlineStr">
        <is>
          <t>Sí</t>
        </is>
      </c>
      <c r="N558" t="inlineStr"/>
      <c r="O558" t="inlineStr">
        <is>
          <t>Informativa</t>
        </is>
      </c>
      <c r="P558" t="inlineStr">
        <is>
          <t>No interviene en el prorrateo</t>
        </is>
      </c>
    </row>
    <row r="559">
      <c r="A559" t="n">
        <v>1523</v>
      </c>
      <c r="B559" t="inlineStr">
        <is>
          <t>RODRIGUEZ MEJÍAS, JOSE ANTONIO</t>
        </is>
      </c>
      <c r="E559" t="n">
        <v>2026</v>
      </c>
      <c r="F559" t="n">
        <v>1</v>
      </c>
      <c r="G559" t="inlineStr">
        <is>
          <t>DIRECTO</t>
        </is>
      </c>
      <c r="H559" t="inlineStr">
        <is>
          <t>STAR RUBY</t>
        </is>
      </c>
      <c r="I559" t="n">
        <v>686</v>
      </c>
      <c r="J559" t="n">
        <v>4072</v>
      </c>
      <c r="K559" t="n">
        <v>0</v>
      </c>
      <c r="L559" t="n">
        <v>4072</v>
      </c>
      <c r="M559" t="inlineStr">
        <is>
          <t>Sí</t>
        </is>
      </c>
      <c r="N559" t="inlineStr"/>
      <c r="O559" t="inlineStr">
        <is>
          <t>Informativa</t>
        </is>
      </c>
      <c r="P559" t="inlineStr">
        <is>
          <t>No interviene en el prorrateo</t>
        </is>
      </c>
    </row>
    <row r="560">
      <c r="A560" t="n">
        <v>1523</v>
      </c>
      <c r="B560" t="inlineStr">
        <is>
          <t>RODRIGUEZ MEJÍAS, JOSE ANTONIO</t>
        </is>
      </c>
      <c r="E560" t="n">
        <v>2026</v>
      </c>
      <c r="F560" t="n">
        <v>1</v>
      </c>
      <c r="G560" t="inlineStr">
        <is>
          <t>INDUSTRIA</t>
        </is>
      </c>
      <c r="H560" t="inlineStr">
        <is>
          <t>SALUSTIANA</t>
        </is>
      </c>
      <c r="I560" t="n">
        <v>356</v>
      </c>
      <c r="J560" t="n">
        <v>12005</v>
      </c>
      <c r="K560" t="n">
        <v>165</v>
      </c>
      <c r="L560" t="n">
        <v>165</v>
      </c>
      <c r="M560" t="inlineStr">
        <is>
          <t>Sí</t>
        </is>
      </c>
      <c r="N560" t="inlineStr"/>
      <c r="O560" t="inlineStr">
        <is>
          <t>Informativa</t>
        </is>
      </c>
      <c r="P560" t="inlineStr">
        <is>
          <t>No interviene en el prorrateo</t>
        </is>
      </c>
    </row>
    <row r="561">
      <c r="A561" t="n">
        <v>1523</v>
      </c>
      <c r="B561" t="inlineStr">
        <is>
          <t>RODRIGUEZ MEJÍAS, JOSE ANTONIO</t>
        </is>
      </c>
      <c r="E561" t="n">
        <v>2026</v>
      </c>
      <c r="F561" t="n">
        <v>1</v>
      </c>
      <c r="G561" t="inlineStr">
        <is>
          <t>INDUSTRIA</t>
        </is>
      </c>
      <c r="H561" t="inlineStr">
        <is>
          <t>SALUSTIANA</t>
        </is>
      </c>
      <c r="I561" t="n">
        <v>356</v>
      </c>
      <c r="J561" t="n">
        <v>11190</v>
      </c>
      <c r="K561" t="n">
        <v>421</v>
      </c>
      <c r="L561" t="n">
        <v>421</v>
      </c>
      <c r="M561" t="inlineStr">
        <is>
          <t>Sí</t>
        </is>
      </c>
      <c r="N561" t="inlineStr"/>
      <c r="O561" t="inlineStr">
        <is>
          <t>Informativa</t>
        </is>
      </c>
      <c r="P561" t="inlineStr">
        <is>
          <t>No interviene en el prorrateo</t>
        </is>
      </c>
    </row>
    <row r="562">
      <c r="A562" t="n">
        <v>1523</v>
      </c>
      <c r="B562" t="inlineStr">
        <is>
          <t>RODRIGUEZ MEJÍAS, JOSE ANTONIO</t>
        </is>
      </c>
      <c r="E562" t="n">
        <v>2026</v>
      </c>
      <c r="F562" t="n">
        <v>1</v>
      </c>
      <c r="G562" t="inlineStr">
        <is>
          <t>INDUSTRIA</t>
        </is>
      </c>
      <c r="H562" t="inlineStr">
        <is>
          <t>SALUSTIANA</t>
        </is>
      </c>
      <c r="I562" t="n">
        <v>356</v>
      </c>
      <c r="J562" t="n">
        <v>11325</v>
      </c>
      <c r="K562" t="n">
        <v>250</v>
      </c>
      <c r="L562" t="n">
        <v>250</v>
      </c>
      <c r="M562" t="inlineStr">
        <is>
          <t>Sí</t>
        </is>
      </c>
      <c r="N562" t="inlineStr"/>
      <c r="O562" t="inlineStr">
        <is>
          <t>Informativa</t>
        </is>
      </c>
      <c r="P562" t="inlineStr">
        <is>
          <t>No interviene en el prorrateo</t>
        </is>
      </c>
    </row>
    <row r="563">
      <c r="A563" t="n">
        <v>1523</v>
      </c>
      <c r="B563" t="inlineStr">
        <is>
          <t>RODRIGUEZ MEJÍAS, JOSE ANTONIO</t>
        </is>
      </c>
      <c r="E563" t="n">
        <v>2026</v>
      </c>
      <c r="F563" t="n">
        <v>1</v>
      </c>
      <c r="G563" t="inlineStr">
        <is>
          <t>INDUSTRIA</t>
        </is>
      </c>
      <c r="H563" t="inlineStr">
        <is>
          <t>SALUSTIANA</t>
        </is>
      </c>
      <c r="I563" t="n">
        <v>580</v>
      </c>
      <c r="J563" t="n">
        <v>12165</v>
      </c>
      <c r="K563" t="n">
        <v>352</v>
      </c>
      <c r="L563" t="n">
        <v>352</v>
      </c>
      <c r="M563" t="inlineStr">
        <is>
          <t>Sí</t>
        </is>
      </c>
      <c r="N563" t="inlineStr"/>
      <c r="O563" t="inlineStr">
        <is>
          <t>Informativa</t>
        </is>
      </c>
      <c r="P563" t="inlineStr">
        <is>
          <t>No interviene en el prorrateo</t>
        </is>
      </c>
    </row>
    <row r="564">
      <c r="A564" t="n">
        <v>1523</v>
      </c>
      <c r="B564" t="inlineStr">
        <is>
          <t>RODRIGUEZ MEJÍAS, JOSE ANTONIO</t>
        </is>
      </c>
      <c r="E564" t="n">
        <v>2026</v>
      </c>
      <c r="F564" t="n">
        <v>1</v>
      </c>
      <c r="G564" t="inlineStr">
        <is>
          <t>INDUSTRIA</t>
        </is>
      </c>
      <c r="H564" t="inlineStr">
        <is>
          <t>SALUSTIANA</t>
        </is>
      </c>
      <c r="I564" t="n">
        <v>580</v>
      </c>
      <c r="J564" t="n">
        <v>13605</v>
      </c>
      <c r="K564" t="n">
        <v>366</v>
      </c>
      <c r="L564" t="n">
        <v>366</v>
      </c>
      <c r="M564" t="inlineStr">
        <is>
          <t>Sí</t>
        </is>
      </c>
      <c r="N564" t="inlineStr"/>
      <c r="O564" t="inlineStr">
        <is>
          <t>Informativa</t>
        </is>
      </c>
      <c r="P564" t="inlineStr">
        <is>
          <t>No interviene en el prorrateo</t>
        </is>
      </c>
    </row>
    <row r="565">
      <c r="A565" t="n">
        <v>1523</v>
      </c>
      <c r="B565" t="inlineStr">
        <is>
          <t>RODRIGUEZ MEJÍAS, JOSE ANTONIO</t>
        </is>
      </c>
      <c r="E565" t="n">
        <v>2026</v>
      </c>
      <c r="F565" t="n">
        <v>1</v>
      </c>
      <c r="G565" t="inlineStr">
        <is>
          <t>INDUSTRIA</t>
        </is>
      </c>
      <c r="H565" t="inlineStr">
        <is>
          <t>SALUSTIANA</t>
        </is>
      </c>
      <c r="I565" t="n">
        <v>580</v>
      </c>
      <c r="J565" t="n">
        <v>11910</v>
      </c>
      <c r="K565" t="n">
        <v>460</v>
      </c>
      <c r="L565" t="n">
        <v>460</v>
      </c>
      <c r="M565" t="inlineStr">
        <is>
          <t>Sí</t>
        </is>
      </c>
      <c r="N565" t="inlineStr"/>
      <c r="O565" t="inlineStr">
        <is>
          <t>Informativa</t>
        </is>
      </c>
      <c r="P565" t="inlineStr">
        <is>
          <t>No interviene en el prorrateo</t>
        </is>
      </c>
    </row>
    <row r="566">
      <c r="A566" t="n">
        <v>1523</v>
      </c>
      <c r="B566" t="inlineStr">
        <is>
          <t>RODRIGUEZ MEJÍAS, JOSE ANTONIO</t>
        </is>
      </c>
      <c r="E566" t="n">
        <v>2026</v>
      </c>
      <c r="F566" t="n">
        <v>1</v>
      </c>
      <c r="G566" t="inlineStr">
        <is>
          <t>INDUSTRIA</t>
        </is>
      </c>
      <c r="H566" t="inlineStr">
        <is>
          <t>SALUSTIANA</t>
        </is>
      </c>
      <c r="I566" t="n">
        <v>580</v>
      </c>
      <c r="J566" t="n">
        <v>13285</v>
      </c>
      <c r="K566" t="n">
        <v>165</v>
      </c>
      <c r="L566" t="n">
        <v>165</v>
      </c>
      <c r="M566" t="inlineStr">
        <is>
          <t>Sí</t>
        </is>
      </c>
      <c r="N566" t="inlineStr"/>
      <c r="O566" t="inlineStr">
        <is>
          <t>Informativa</t>
        </is>
      </c>
      <c r="P566" t="inlineStr">
        <is>
          <t>No interviene en el prorrateo</t>
        </is>
      </c>
    </row>
    <row r="567">
      <c r="A567" t="n">
        <v>1523</v>
      </c>
      <c r="B567" t="inlineStr">
        <is>
          <t>RODRIGUEZ MEJÍAS, JOSE ANTONIO</t>
        </is>
      </c>
      <c r="E567" t="n">
        <v>2026</v>
      </c>
      <c r="F567" t="n">
        <v>1</v>
      </c>
      <c r="G567" t="inlineStr">
        <is>
          <t>INDUSTRIA</t>
        </is>
      </c>
      <c r="H567" t="inlineStr">
        <is>
          <t>SALUSTIANA</t>
        </is>
      </c>
      <c r="I567" t="n">
        <v>580</v>
      </c>
      <c r="J567" t="n">
        <v>12881</v>
      </c>
      <c r="K567" t="n">
        <v>255</v>
      </c>
      <c r="L567" t="n">
        <v>255</v>
      </c>
      <c r="M567" t="inlineStr">
        <is>
          <t>Sí</t>
        </is>
      </c>
      <c r="N567" t="inlineStr"/>
      <c r="O567" t="inlineStr">
        <is>
          <t>Informativa</t>
        </is>
      </c>
      <c r="P567" t="inlineStr">
        <is>
          <t>No interviene en el prorrateo</t>
        </is>
      </c>
    </row>
    <row r="568">
      <c r="A568" t="n">
        <v>1523</v>
      </c>
      <c r="B568" t="inlineStr">
        <is>
          <t>RODRIGUEZ MEJÍAS, JOSE ANTONIO</t>
        </is>
      </c>
      <c r="E568" t="n">
        <v>2026</v>
      </c>
      <c r="F568" t="n">
        <v>1</v>
      </c>
      <c r="G568" t="inlineStr">
        <is>
          <t>INDUSTRIA</t>
        </is>
      </c>
      <c r="H568" t="inlineStr">
        <is>
          <t>SALUSTIANA</t>
        </is>
      </c>
      <c r="I568" t="n">
        <v>580</v>
      </c>
      <c r="J568" t="n">
        <v>9953</v>
      </c>
      <c r="K568" t="n">
        <v>45</v>
      </c>
      <c r="L568" t="n">
        <v>45</v>
      </c>
      <c r="M568" t="inlineStr">
        <is>
          <t>Sí</t>
        </is>
      </c>
      <c r="N568" t="inlineStr"/>
      <c r="O568" t="inlineStr">
        <is>
          <t>Informativa</t>
        </is>
      </c>
      <c r="P568" t="inlineStr">
        <is>
          <t>No interviene en el prorrateo</t>
        </is>
      </c>
    </row>
    <row r="569">
      <c r="A569" t="n">
        <v>1523</v>
      </c>
      <c r="B569" t="inlineStr">
        <is>
          <t>RODRIGUEZ MEJÍAS, JOSE ANTONIO</t>
        </is>
      </c>
      <c r="E569" t="n">
        <v>2026</v>
      </c>
      <c r="F569" t="n">
        <v>1</v>
      </c>
      <c r="G569" t="inlineStr">
        <is>
          <t>MANDARINA</t>
        </is>
      </c>
      <c r="H569" t="inlineStr">
        <is>
          <t>TANGO</t>
        </is>
      </c>
      <c r="I569" t="n">
        <v>608</v>
      </c>
      <c r="J569" t="n">
        <v>19718</v>
      </c>
      <c r="K569" t="n">
        <v>0</v>
      </c>
      <c r="L569" t="n">
        <v>19718</v>
      </c>
      <c r="M569" t="inlineStr">
        <is>
          <t>Sí</t>
        </is>
      </c>
      <c r="N569" t="inlineStr"/>
      <c r="O569" t="inlineStr">
        <is>
          <t>Informativa</t>
        </is>
      </c>
      <c r="P569" t="inlineStr">
        <is>
          <t>No interviene en el prorrateo</t>
        </is>
      </c>
    </row>
    <row r="570">
      <c r="A570" t="n">
        <v>1523</v>
      </c>
      <c r="B570" t="inlineStr">
        <is>
          <t>RODRIGUEZ MEJÍAS, JOSE ANTONIO</t>
        </is>
      </c>
      <c r="E570" t="n">
        <v>2026</v>
      </c>
      <c r="F570" t="n">
        <v>1</v>
      </c>
      <c r="G570" t="inlineStr">
        <is>
          <t>MANDARINA</t>
        </is>
      </c>
      <c r="H570" t="inlineStr">
        <is>
          <t>TANGO</t>
        </is>
      </c>
      <c r="I570" t="n">
        <v>608</v>
      </c>
      <c r="J570" t="n">
        <v>18958</v>
      </c>
      <c r="K570" t="n">
        <v>0</v>
      </c>
      <c r="L570" t="n">
        <v>18958</v>
      </c>
      <c r="M570" t="inlineStr">
        <is>
          <t>Sí</t>
        </is>
      </c>
      <c r="N570" t="inlineStr"/>
      <c r="O570" t="inlineStr">
        <is>
          <t>Informativa</t>
        </is>
      </c>
      <c r="P570" t="inlineStr">
        <is>
          <t>No interviene en el prorrateo</t>
        </is>
      </c>
    </row>
    <row r="571">
      <c r="A571" t="n">
        <v>1523</v>
      </c>
      <c r="B571" t="inlineStr">
        <is>
          <t>RODRIGUEZ MEJÍAS, JOSE ANTONIO</t>
        </is>
      </c>
      <c r="E571" t="n">
        <v>2026</v>
      </c>
      <c r="F571" t="n">
        <v>1</v>
      </c>
      <c r="G571" t="inlineStr">
        <is>
          <t>MANDARINA</t>
        </is>
      </c>
      <c r="H571" t="inlineStr">
        <is>
          <t>TANGO</t>
        </is>
      </c>
      <c r="I571" t="n">
        <v>608</v>
      </c>
      <c r="J571" t="n">
        <v>19760</v>
      </c>
      <c r="K571" t="n">
        <v>0</v>
      </c>
      <c r="L571" t="n">
        <v>19760</v>
      </c>
      <c r="M571" t="inlineStr">
        <is>
          <t>Sí</t>
        </is>
      </c>
      <c r="N571" t="inlineStr"/>
      <c r="O571" t="inlineStr">
        <is>
          <t>Informativa</t>
        </is>
      </c>
      <c r="P571" t="inlineStr">
        <is>
          <t>No interviene en el prorrateo</t>
        </is>
      </c>
    </row>
    <row r="572">
      <c r="A572" t="n">
        <v>1529</v>
      </c>
      <c r="B572" t="inlineStr">
        <is>
          <t>RAMOS BRUGAROLAS, JOSE</t>
        </is>
      </c>
      <c r="E572" t="n">
        <v>2026</v>
      </c>
      <c r="F572" t="n">
        <v>1</v>
      </c>
      <c r="G572" t="inlineStr">
        <is>
          <t>CITRICOS</t>
        </is>
      </c>
      <c r="H572" t="inlineStr">
        <is>
          <t>NAVELINA</t>
        </is>
      </c>
      <c r="I572" t="n">
        <v>332</v>
      </c>
      <c r="J572" t="n">
        <v>25204</v>
      </c>
      <c r="K572" t="n">
        <v>19889</v>
      </c>
      <c r="L572" t="n">
        <v>19889</v>
      </c>
      <c r="M572" t="inlineStr">
        <is>
          <t>Sí</t>
        </is>
      </c>
      <c r="N572" t="inlineStr"/>
      <c r="O572" t="inlineStr">
        <is>
          <t>Informativa</t>
        </is>
      </c>
      <c r="P572" t="inlineStr">
        <is>
          <t>No interviene en el prorrateo</t>
        </is>
      </c>
    </row>
    <row r="573">
      <c r="A573" t="n">
        <v>1529</v>
      </c>
      <c r="B573" t="inlineStr">
        <is>
          <t>RAMOS BRUGAROLAS, JOSE</t>
        </is>
      </c>
      <c r="E573" t="n">
        <v>2026</v>
      </c>
      <c r="F573" t="n">
        <v>1</v>
      </c>
      <c r="G573" t="inlineStr">
        <is>
          <t>CITRICOS</t>
        </is>
      </c>
      <c r="H573" t="inlineStr">
        <is>
          <t>NAVELINA</t>
        </is>
      </c>
      <c r="I573" t="n">
        <v>332</v>
      </c>
      <c r="J573" t="n">
        <v>24146</v>
      </c>
      <c r="K573" t="n">
        <v>10530</v>
      </c>
      <c r="L573" t="n">
        <v>10530</v>
      </c>
      <c r="M573" t="inlineStr">
        <is>
          <t>Sí</t>
        </is>
      </c>
      <c r="N573" t="inlineStr"/>
      <c r="O573" t="inlineStr">
        <is>
          <t>Informativa</t>
        </is>
      </c>
      <c r="P573" t="inlineStr">
        <is>
          <t>No interviene en el prorrateo</t>
        </is>
      </c>
    </row>
    <row r="574">
      <c r="A574" t="n">
        <v>1529</v>
      </c>
      <c r="B574" t="inlineStr">
        <is>
          <t>RAMOS BRUGAROLAS, JOSE</t>
        </is>
      </c>
      <c r="E574" t="n">
        <v>2026</v>
      </c>
      <c r="F574" t="n">
        <v>1</v>
      </c>
      <c r="G574" t="inlineStr">
        <is>
          <t>CITRICOS</t>
        </is>
      </c>
      <c r="H574" t="inlineStr">
        <is>
          <t>NAVELINA</t>
        </is>
      </c>
      <c r="I574" t="n">
        <v>332</v>
      </c>
      <c r="J574" t="n">
        <v>25393</v>
      </c>
      <c r="K574" t="n">
        <v>10208</v>
      </c>
      <c r="L574" t="n">
        <v>10208</v>
      </c>
      <c r="M574" t="inlineStr">
        <is>
          <t>Sí</t>
        </is>
      </c>
      <c r="N574" t="inlineStr"/>
      <c r="O574" t="inlineStr">
        <is>
          <t>Informativa</t>
        </is>
      </c>
      <c r="P574" t="inlineStr">
        <is>
          <t>No interviene en el prorrateo</t>
        </is>
      </c>
    </row>
    <row r="575">
      <c r="A575" t="n">
        <v>1529</v>
      </c>
      <c r="B575" t="inlineStr">
        <is>
          <t>RAMOS BRUGAROLAS, JOSE</t>
        </is>
      </c>
      <c r="E575" t="n">
        <v>2026</v>
      </c>
      <c r="F575" t="n">
        <v>1</v>
      </c>
      <c r="G575" t="inlineStr">
        <is>
          <t>CITRICOS</t>
        </is>
      </c>
      <c r="H575" t="inlineStr">
        <is>
          <t>NAVELINA</t>
        </is>
      </c>
      <c r="I575" t="n">
        <v>332</v>
      </c>
      <c r="J575" t="n">
        <v>22900</v>
      </c>
      <c r="K575" t="n">
        <v>22730</v>
      </c>
      <c r="L575" t="n">
        <v>22730</v>
      </c>
      <c r="M575" t="inlineStr">
        <is>
          <t>Sí</t>
        </is>
      </c>
      <c r="N575" t="inlineStr"/>
      <c r="O575" t="inlineStr">
        <is>
          <t>Informativa</t>
        </is>
      </c>
      <c r="P575" t="inlineStr">
        <is>
          <t>No interviene en el prorrateo</t>
        </is>
      </c>
    </row>
    <row r="576">
      <c r="A576" t="n">
        <v>1529</v>
      </c>
      <c r="B576" t="inlineStr">
        <is>
          <t>RAMOS BRUGAROLAS, JOSE</t>
        </is>
      </c>
      <c r="E576" t="n">
        <v>2026</v>
      </c>
      <c r="F576" t="n">
        <v>1</v>
      </c>
      <c r="G576" t="inlineStr">
        <is>
          <t>CITRICOS</t>
        </is>
      </c>
      <c r="H576" t="inlineStr">
        <is>
          <t>NAVELINA</t>
        </is>
      </c>
      <c r="I576" t="n">
        <v>332</v>
      </c>
      <c r="J576" t="n">
        <v>22675</v>
      </c>
      <c r="K576" t="n">
        <v>0</v>
      </c>
      <c r="L576" t="n">
        <v>22675</v>
      </c>
      <c r="M576" t="inlineStr">
        <is>
          <t>Sí</t>
        </is>
      </c>
      <c r="N576" t="inlineStr"/>
      <c r="O576" t="inlineStr">
        <is>
          <t>Informativa</t>
        </is>
      </c>
      <c r="P576" t="inlineStr">
        <is>
          <t>No interviene en el prorrateo</t>
        </is>
      </c>
    </row>
    <row r="577">
      <c r="A577" t="n">
        <v>1529</v>
      </c>
      <c r="B577" t="inlineStr">
        <is>
          <t>RAMOS BRUGAROLAS, JOSE</t>
        </is>
      </c>
      <c r="E577" t="n">
        <v>2026</v>
      </c>
      <c r="F577" t="n">
        <v>1</v>
      </c>
      <c r="G577" t="inlineStr">
        <is>
          <t>CITRICOS</t>
        </is>
      </c>
      <c r="H577" t="inlineStr">
        <is>
          <t>NAVELINA</t>
        </is>
      </c>
      <c r="I577" t="n">
        <v>332</v>
      </c>
      <c r="J577" t="n">
        <v>8370</v>
      </c>
      <c r="K577" t="n">
        <v>0</v>
      </c>
      <c r="L577" t="n">
        <v>8370</v>
      </c>
      <c r="M577" t="inlineStr">
        <is>
          <t>Sí</t>
        </is>
      </c>
      <c r="N577" t="inlineStr"/>
      <c r="O577" t="inlineStr">
        <is>
          <t>Informativa</t>
        </is>
      </c>
      <c r="P577" t="inlineStr">
        <is>
          <t>No interviene en el prorrateo</t>
        </is>
      </c>
    </row>
    <row r="578">
      <c r="A578" t="n">
        <v>1529</v>
      </c>
      <c r="B578" t="inlineStr">
        <is>
          <t>RAMOS BRUGAROLAS, JOSE</t>
        </is>
      </c>
      <c r="E578" t="n">
        <v>2026</v>
      </c>
      <c r="F578" t="n">
        <v>1</v>
      </c>
      <c r="G578" t="inlineStr">
        <is>
          <t>CITRICOS</t>
        </is>
      </c>
      <c r="H578" t="inlineStr">
        <is>
          <t>NAVELINA</t>
        </is>
      </c>
      <c r="I578" t="n">
        <v>332</v>
      </c>
      <c r="J578" t="n">
        <v>25985</v>
      </c>
      <c r="K578" t="n">
        <v>5695</v>
      </c>
      <c r="L578" t="n">
        <v>5695</v>
      </c>
      <c r="M578" t="inlineStr">
        <is>
          <t>Sí</t>
        </is>
      </c>
      <c r="N578" t="inlineStr"/>
      <c r="O578" t="inlineStr">
        <is>
          <t>Informativa</t>
        </is>
      </c>
      <c r="P578" t="inlineStr">
        <is>
          <t>No interviene en el prorrateo</t>
        </is>
      </c>
    </row>
    <row r="579">
      <c r="A579" t="n">
        <v>1529</v>
      </c>
      <c r="B579" t="inlineStr">
        <is>
          <t>RAMOS BRUGAROLAS, JOSE</t>
        </is>
      </c>
      <c r="E579" t="n">
        <v>2026</v>
      </c>
      <c r="F579" t="n">
        <v>1</v>
      </c>
      <c r="G579" t="inlineStr">
        <is>
          <t>CITRICOS</t>
        </is>
      </c>
      <c r="H579" t="inlineStr">
        <is>
          <t>NAVELINA</t>
        </is>
      </c>
      <c r="I579" t="n">
        <v>332</v>
      </c>
      <c r="J579" t="n">
        <v>842</v>
      </c>
      <c r="K579" t="n">
        <v>0</v>
      </c>
      <c r="L579" t="n">
        <v>842</v>
      </c>
      <c r="M579" t="inlineStr">
        <is>
          <t>Sí</t>
        </is>
      </c>
      <c r="N579" t="inlineStr"/>
      <c r="O579" t="inlineStr">
        <is>
          <t>Informativa</t>
        </is>
      </c>
      <c r="P579" t="inlineStr">
        <is>
          <t>No interviene en el prorrateo</t>
        </is>
      </c>
    </row>
    <row r="580">
      <c r="A580" t="n">
        <v>1529</v>
      </c>
      <c r="B580" t="inlineStr">
        <is>
          <t>RAMOS BRUGAROLAS, JOSE</t>
        </is>
      </c>
      <c r="E580" t="n">
        <v>2026</v>
      </c>
      <c r="F580" t="n">
        <v>1</v>
      </c>
      <c r="G580" t="inlineStr">
        <is>
          <t>CITRICOS</t>
        </is>
      </c>
      <c r="H580" t="inlineStr">
        <is>
          <t>NAVELINA</t>
        </is>
      </c>
      <c r="I580" t="n">
        <v>337</v>
      </c>
      <c r="J580" t="n">
        <v>12260</v>
      </c>
      <c r="K580" t="n">
        <v>0</v>
      </c>
      <c r="L580" t="n">
        <v>12260</v>
      </c>
      <c r="M580" t="inlineStr">
        <is>
          <t>Sí</t>
        </is>
      </c>
      <c r="N580" t="inlineStr"/>
      <c r="O580" t="inlineStr">
        <is>
          <t>Informativa</t>
        </is>
      </c>
      <c r="P580" t="inlineStr">
        <is>
          <t>No interviene en el prorrateo</t>
        </is>
      </c>
    </row>
    <row r="581">
      <c r="A581" t="n">
        <v>1529</v>
      </c>
      <c r="B581" t="inlineStr">
        <is>
          <t>RAMOS BRUGAROLAS, JOSE</t>
        </is>
      </c>
      <c r="E581" t="n">
        <v>2026</v>
      </c>
      <c r="F581" t="n">
        <v>1</v>
      </c>
      <c r="G581" t="inlineStr">
        <is>
          <t>CITRICOS</t>
        </is>
      </c>
      <c r="H581" t="inlineStr">
        <is>
          <t>NAVELINA</t>
        </is>
      </c>
      <c r="I581" t="n">
        <v>337</v>
      </c>
      <c r="J581" t="n">
        <v>12400</v>
      </c>
      <c r="K581" t="n">
        <v>0</v>
      </c>
      <c r="L581" t="n">
        <v>12400</v>
      </c>
      <c r="M581" t="inlineStr">
        <is>
          <t>Sí</t>
        </is>
      </c>
      <c r="N581" t="inlineStr"/>
      <c r="O581" t="inlineStr">
        <is>
          <t>Informativa</t>
        </is>
      </c>
      <c r="P581" t="inlineStr">
        <is>
          <t>No interviene en el prorrateo</t>
        </is>
      </c>
    </row>
    <row r="582">
      <c r="A582" t="n">
        <v>1529</v>
      </c>
      <c r="B582" t="inlineStr">
        <is>
          <t>RAMOS BRUGAROLAS, JOSE</t>
        </is>
      </c>
      <c r="E582" t="n">
        <v>2026</v>
      </c>
      <c r="F582" t="n">
        <v>1</v>
      </c>
      <c r="G582" t="inlineStr">
        <is>
          <t>CITRICOS</t>
        </is>
      </c>
      <c r="H582" t="inlineStr">
        <is>
          <t>NAVELINA</t>
        </is>
      </c>
      <c r="I582" t="n">
        <v>337</v>
      </c>
      <c r="J582" t="n">
        <v>25760</v>
      </c>
      <c r="K582" t="n">
        <v>1361</v>
      </c>
      <c r="L582" t="n">
        <v>1361</v>
      </c>
      <c r="M582" t="inlineStr">
        <is>
          <t>Sí</t>
        </is>
      </c>
      <c r="N582" t="inlineStr"/>
      <c r="O582" t="inlineStr">
        <is>
          <t>Informativa</t>
        </is>
      </c>
      <c r="P582" t="inlineStr">
        <is>
          <t>No interviene en el prorrateo</t>
        </is>
      </c>
    </row>
    <row r="583">
      <c r="A583" t="n">
        <v>1529</v>
      </c>
      <c r="B583" t="inlineStr">
        <is>
          <t>RAMOS BRUGAROLAS, JOSE</t>
        </is>
      </c>
      <c r="E583" t="n">
        <v>2026</v>
      </c>
      <c r="F583" t="n">
        <v>1</v>
      </c>
      <c r="G583" t="inlineStr">
        <is>
          <t>CITRICOS</t>
        </is>
      </c>
      <c r="H583" t="inlineStr">
        <is>
          <t>NAVELINA</t>
        </is>
      </c>
      <c r="I583" t="n">
        <v>337</v>
      </c>
      <c r="J583" t="n">
        <v>10180</v>
      </c>
      <c r="K583" t="n">
        <v>9645</v>
      </c>
      <c r="L583" t="n">
        <v>9645</v>
      </c>
      <c r="M583" t="inlineStr">
        <is>
          <t>Sí</t>
        </is>
      </c>
      <c r="N583" t="inlineStr"/>
      <c r="O583" t="inlineStr">
        <is>
          <t>Informativa</t>
        </is>
      </c>
      <c r="P583" t="inlineStr">
        <is>
          <t>No interviene en el prorrateo</t>
        </is>
      </c>
    </row>
    <row r="584">
      <c r="A584" t="n">
        <v>1529</v>
      </c>
      <c r="B584" t="inlineStr">
        <is>
          <t>RAMOS BRUGAROLAS, JOSE</t>
        </is>
      </c>
      <c r="E584" t="n">
        <v>2026</v>
      </c>
      <c r="F584" t="n">
        <v>1</v>
      </c>
      <c r="G584" t="inlineStr">
        <is>
          <t>CITRICOS</t>
        </is>
      </c>
      <c r="H584" t="inlineStr">
        <is>
          <t>NAVELINA</t>
        </is>
      </c>
      <c r="I584" t="n">
        <v>337</v>
      </c>
      <c r="J584" t="n">
        <v>26065</v>
      </c>
      <c r="K584" t="n">
        <v>688</v>
      </c>
      <c r="L584" t="n">
        <v>688</v>
      </c>
      <c r="M584" t="inlineStr">
        <is>
          <t>Sí</t>
        </is>
      </c>
      <c r="N584" t="inlineStr"/>
      <c r="O584" t="inlineStr">
        <is>
          <t>Informativa</t>
        </is>
      </c>
      <c r="P584" t="inlineStr">
        <is>
          <t>No interviene en el prorrateo</t>
        </is>
      </c>
    </row>
    <row r="585">
      <c r="A585" t="n">
        <v>1529</v>
      </c>
      <c r="B585" t="inlineStr">
        <is>
          <t>RAMOS BRUGAROLAS, JOSE</t>
        </is>
      </c>
      <c r="E585" t="n">
        <v>2026</v>
      </c>
      <c r="F585" t="n">
        <v>1</v>
      </c>
      <c r="G585" t="inlineStr">
        <is>
          <t>CITRICOS</t>
        </is>
      </c>
      <c r="H585" t="inlineStr">
        <is>
          <t>NAVELINA</t>
        </is>
      </c>
      <c r="I585" t="n">
        <v>665</v>
      </c>
      <c r="J585" t="n">
        <v>11920</v>
      </c>
      <c r="K585" t="n">
        <v>0</v>
      </c>
      <c r="L585" t="n">
        <v>11920</v>
      </c>
      <c r="M585" t="inlineStr">
        <is>
          <t>Sí</t>
        </is>
      </c>
      <c r="N585" t="inlineStr"/>
      <c r="O585" t="inlineStr">
        <is>
          <t>Informativa</t>
        </is>
      </c>
      <c r="P585" t="inlineStr">
        <is>
          <t>No interviene en el prorrateo</t>
        </is>
      </c>
    </row>
    <row r="586">
      <c r="A586" t="n">
        <v>1529</v>
      </c>
      <c r="B586" t="inlineStr">
        <is>
          <t>RAMOS BRUGAROLAS, JOSE</t>
        </is>
      </c>
      <c r="E586" t="n">
        <v>2026</v>
      </c>
      <c r="F586" t="n">
        <v>1</v>
      </c>
      <c r="G586" t="inlineStr">
        <is>
          <t>CITRICOS</t>
        </is>
      </c>
      <c r="H586" t="inlineStr">
        <is>
          <t>NAVELINA</t>
        </is>
      </c>
      <c r="I586" t="n">
        <v>337</v>
      </c>
      <c r="J586" t="n">
        <v>11295</v>
      </c>
      <c r="K586" t="n">
        <v>10595</v>
      </c>
      <c r="L586" t="n">
        <v>10595</v>
      </c>
      <c r="M586" t="inlineStr">
        <is>
          <t>Sí</t>
        </is>
      </c>
      <c r="N586" t="inlineStr"/>
      <c r="O586" t="inlineStr">
        <is>
          <t>Informativa</t>
        </is>
      </c>
      <c r="P586" t="inlineStr">
        <is>
          <t>No interviene en el prorrateo</t>
        </is>
      </c>
    </row>
    <row r="587">
      <c r="A587" t="n">
        <v>1529</v>
      </c>
      <c r="B587" t="inlineStr">
        <is>
          <t>RAMOS BRUGAROLAS, JOSE</t>
        </is>
      </c>
      <c r="E587" t="n">
        <v>2026</v>
      </c>
      <c r="F587" t="n">
        <v>1</v>
      </c>
      <c r="G587" t="inlineStr">
        <is>
          <t>CITRICOS</t>
        </is>
      </c>
      <c r="H587" t="inlineStr">
        <is>
          <t>NAVELINA</t>
        </is>
      </c>
      <c r="I587" t="n">
        <v>665</v>
      </c>
      <c r="J587" t="n">
        <v>12040</v>
      </c>
      <c r="K587" t="n">
        <v>0</v>
      </c>
      <c r="L587" t="n">
        <v>12040</v>
      </c>
      <c r="M587" t="inlineStr">
        <is>
          <t>Sí</t>
        </is>
      </c>
      <c r="N587" t="inlineStr"/>
      <c r="O587" t="inlineStr">
        <is>
          <t>Informativa</t>
        </is>
      </c>
      <c r="P587" t="inlineStr">
        <is>
          <t>No interviene en el prorrateo</t>
        </is>
      </c>
    </row>
    <row r="588">
      <c r="A588" t="n">
        <v>1529</v>
      </c>
      <c r="B588" t="inlineStr">
        <is>
          <t>RAMOS BRUGAROLAS, JOSE</t>
        </is>
      </c>
      <c r="E588" t="n">
        <v>2026</v>
      </c>
      <c r="F588" t="n">
        <v>1</v>
      </c>
      <c r="G588" t="inlineStr">
        <is>
          <t>CITRICOS</t>
        </is>
      </c>
      <c r="H588" t="inlineStr">
        <is>
          <t>NAVELINA</t>
        </is>
      </c>
      <c r="I588" t="n">
        <v>337</v>
      </c>
      <c r="J588" t="n">
        <v>12370</v>
      </c>
      <c r="K588" t="n">
        <v>0</v>
      </c>
      <c r="L588" t="n">
        <v>12370</v>
      </c>
      <c r="M588" t="inlineStr">
        <is>
          <t>Sí</t>
        </is>
      </c>
      <c r="N588" t="inlineStr"/>
      <c r="O588" t="inlineStr">
        <is>
          <t>Informativa</t>
        </is>
      </c>
      <c r="P588" t="inlineStr">
        <is>
          <t>No interviene en el prorrateo</t>
        </is>
      </c>
    </row>
    <row r="589">
      <c r="A589" t="n">
        <v>1529</v>
      </c>
      <c r="B589" t="inlineStr">
        <is>
          <t>RAMOS BRUGAROLAS, JOSE</t>
        </is>
      </c>
      <c r="E589" t="n">
        <v>2026</v>
      </c>
      <c r="F589" t="n">
        <v>1</v>
      </c>
      <c r="G589" t="inlineStr">
        <is>
          <t>CITRICOS</t>
        </is>
      </c>
      <c r="H589" t="inlineStr">
        <is>
          <t>NAVELINA</t>
        </is>
      </c>
      <c r="I589" t="n">
        <v>336</v>
      </c>
      <c r="J589" t="n">
        <v>25195</v>
      </c>
      <c r="K589" t="n">
        <v>11084</v>
      </c>
      <c r="L589" t="n">
        <v>11084</v>
      </c>
      <c r="M589" t="inlineStr">
        <is>
          <t>Sí</t>
        </is>
      </c>
      <c r="N589" t="inlineStr"/>
      <c r="O589" t="inlineStr">
        <is>
          <t>Informativa</t>
        </is>
      </c>
      <c r="P589" t="inlineStr">
        <is>
          <t>No interviene en el prorrateo</t>
        </is>
      </c>
    </row>
    <row r="590">
      <c r="A590" t="n">
        <v>1529</v>
      </c>
      <c r="B590" t="inlineStr">
        <is>
          <t>RAMOS BRUGAROLAS, JOSE</t>
        </is>
      </c>
      <c r="E590" t="n">
        <v>2026</v>
      </c>
      <c r="F590" t="n">
        <v>1</v>
      </c>
      <c r="G590" t="inlineStr">
        <is>
          <t>CITRICOS</t>
        </is>
      </c>
      <c r="H590" t="inlineStr">
        <is>
          <t>NAVELINA</t>
        </is>
      </c>
      <c r="I590" t="n">
        <v>336</v>
      </c>
      <c r="J590" t="n">
        <v>11630</v>
      </c>
      <c r="K590" t="n">
        <v>11292</v>
      </c>
      <c r="L590" t="n">
        <v>11292</v>
      </c>
      <c r="M590" t="inlineStr">
        <is>
          <t>Sí</t>
        </is>
      </c>
      <c r="N590" t="inlineStr"/>
      <c r="O590" t="inlineStr">
        <is>
          <t>Informativa</t>
        </is>
      </c>
      <c r="P590" t="inlineStr">
        <is>
          <t>No interviene en el prorrateo</t>
        </is>
      </c>
    </row>
    <row r="591">
      <c r="A591" t="n">
        <v>1529</v>
      </c>
      <c r="B591" t="inlineStr">
        <is>
          <t>RAMOS BRUGAROLAS, JOSE</t>
        </is>
      </c>
      <c r="E591" t="n">
        <v>2026</v>
      </c>
      <c r="F591" t="n">
        <v>1</v>
      </c>
      <c r="G591" t="inlineStr">
        <is>
          <t>CITRICOS</t>
        </is>
      </c>
      <c r="H591" t="inlineStr">
        <is>
          <t>NAVELINA</t>
        </is>
      </c>
      <c r="I591" t="n">
        <v>336</v>
      </c>
      <c r="J591" t="n">
        <v>12490</v>
      </c>
      <c r="K591" t="n">
        <v>0</v>
      </c>
      <c r="L591" t="n">
        <v>12490</v>
      </c>
      <c r="M591" t="inlineStr">
        <is>
          <t>Sí</t>
        </is>
      </c>
      <c r="N591" t="inlineStr"/>
      <c r="O591" t="inlineStr">
        <is>
          <t>Informativa</t>
        </is>
      </c>
      <c r="P591" t="inlineStr">
        <is>
          <t>No interviene en el prorrateo</t>
        </is>
      </c>
    </row>
    <row r="592">
      <c r="A592" t="n">
        <v>1529</v>
      </c>
      <c r="B592" t="inlineStr">
        <is>
          <t>RAMOS BRUGAROLAS, JOSE</t>
        </is>
      </c>
      <c r="E592" t="n">
        <v>2026</v>
      </c>
      <c r="F592" t="n">
        <v>1</v>
      </c>
      <c r="G592" t="inlineStr">
        <is>
          <t>CITRICOS</t>
        </is>
      </c>
      <c r="H592" t="inlineStr">
        <is>
          <t>NAVELINA</t>
        </is>
      </c>
      <c r="I592" t="n">
        <v>336</v>
      </c>
      <c r="J592" t="n">
        <v>26940</v>
      </c>
      <c r="K592" t="n">
        <v>8420</v>
      </c>
      <c r="L592" t="n">
        <v>8420</v>
      </c>
      <c r="M592" t="inlineStr">
        <is>
          <t>Sí</t>
        </is>
      </c>
      <c r="N592" t="inlineStr"/>
      <c r="O592" t="inlineStr">
        <is>
          <t>Informativa</t>
        </is>
      </c>
      <c r="P592" t="inlineStr">
        <is>
          <t>No interviene en el prorrateo</t>
        </is>
      </c>
    </row>
    <row r="593">
      <c r="A593" t="n">
        <v>1529</v>
      </c>
      <c r="B593" t="inlineStr">
        <is>
          <t>RAMOS BRUGAROLAS, JOSE</t>
        </is>
      </c>
      <c r="E593" t="n">
        <v>2026</v>
      </c>
      <c r="F593" t="n">
        <v>1</v>
      </c>
      <c r="G593" t="inlineStr">
        <is>
          <t>CITRICOS</t>
        </is>
      </c>
      <c r="H593" t="inlineStr">
        <is>
          <t>NAVELINA</t>
        </is>
      </c>
      <c r="I593" t="n">
        <v>336</v>
      </c>
      <c r="J593" t="n">
        <v>12595</v>
      </c>
      <c r="K593" t="n">
        <v>12320</v>
      </c>
      <c r="L593" t="n">
        <v>12320</v>
      </c>
      <c r="M593" t="inlineStr">
        <is>
          <t>Sí</t>
        </is>
      </c>
      <c r="N593" t="inlineStr"/>
      <c r="O593" t="inlineStr">
        <is>
          <t>Informativa</t>
        </is>
      </c>
      <c r="P593" t="inlineStr">
        <is>
          <t>No interviene en el prorrateo</t>
        </is>
      </c>
    </row>
    <row r="594">
      <c r="A594" t="n">
        <v>1529</v>
      </c>
      <c r="B594" t="inlineStr">
        <is>
          <t>RAMOS BRUGAROLAS, JOSE</t>
        </is>
      </c>
      <c r="E594" t="n">
        <v>2026</v>
      </c>
      <c r="F594" t="n">
        <v>1</v>
      </c>
      <c r="G594" t="inlineStr">
        <is>
          <t>CITRICOS</t>
        </is>
      </c>
      <c r="H594" t="inlineStr">
        <is>
          <t>NAVELINA</t>
        </is>
      </c>
      <c r="I594" t="n">
        <v>336</v>
      </c>
      <c r="J594" t="n">
        <v>12415</v>
      </c>
      <c r="K594" t="n">
        <v>12272</v>
      </c>
      <c r="L594" t="n">
        <v>12272</v>
      </c>
      <c r="M594" t="inlineStr">
        <is>
          <t>Sí</t>
        </is>
      </c>
      <c r="N594" t="inlineStr"/>
      <c r="O594" t="inlineStr">
        <is>
          <t>Informativa</t>
        </is>
      </c>
      <c r="P594" t="inlineStr">
        <is>
          <t>No interviene en el prorrateo</t>
        </is>
      </c>
    </row>
    <row r="595">
      <c r="A595" t="n">
        <v>1529</v>
      </c>
      <c r="B595" t="inlineStr">
        <is>
          <t>RAMOS BRUGAROLAS, JOSE</t>
        </is>
      </c>
      <c r="E595" t="n">
        <v>2026</v>
      </c>
      <c r="F595" t="n">
        <v>1</v>
      </c>
      <c r="G595" t="inlineStr">
        <is>
          <t>CITRICOS</t>
        </is>
      </c>
      <c r="H595" t="inlineStr">
        <is>
          <t>NAVELINA</t>
        </is>
      </c>
      <c r="I595" t="n">
        <v>665</v>
      </c>
      <c r="J595" t="n">
        <v>11705</v>
      </c>
      <c r="K595" t="n">
        <v>10625</v>
      </c>
      <c r="L595" t="n">
        <v>10625</v>
      </c>
      <c r="M595" t="inlineStr">
        <is>
          <t>Sí</t>
        </is>
      </c>
      <c r="N595" t="inlineStr"/>
      <c r="O595" t="inlineStr">
        <is>
          <t>Informativa</t>
        </is>
      </c>
      <c r="P595" t="inlineStr">
        <is>
          <t>No interviene en el prorrateo</t>
        </is>
      </c>
    </row>
    <row r="596">
      <c r="A596" t="n">
        <v>1529</v>
      </c>
      <c r="B596" t="inlineStr">
        <is>
          <t>RAMOS BRUGAROLAS, JOSE</t>
        </is>
      </c>
      <c r="E596" t="n">
        <v>2026</v>
      </c>
      <c r="F596" t="n">
        <v>1</v>
      </c>
      <c r="G596" t="inlineStr">
        <is>
          <t>CITRICOS</t>
        </is>
      </c>
      <c r="H596" t="inlineStr">
        <is>
          <t>NAVELINA</t>
        </is>
      </c>
      <c r="I596" t="n">
        <v>336</v>
      </c>
      <c r="J596" t="n">
        <v>2783</v>
      </c>
      <c r="K596" t="n">
        <v>0</v>
      </c>
      <c r="L596" t="n">
        <v>2783</v>
      </c>
      <c r="M596" t="inlineStr">
        <is>
          <t>Sí</t>
        </is>
      </c>
      <c r="N596" t="inlineStr"/>
      <c r="O596" t="inlineStr">
        <is>
          <t>Informativa</t>
        </is>
      </c>
      <c r="P596" t="inlineStr">
        <is>
          <t>No interviene en el prorrateo</t>
        </is>
      </c>
    </row>
    <row r="597">
      <c r="A597" t="n">
        <v>1529</v>
      </c>
      <c r="B597" t="inlineStr">
        <is>
          <t>RAMOS BRUGAROLAS, JOSE</t>
        </is>
      </c>
      <c r="E597" t="n">
        <v>2026</v>
      </c>
      <c r="F597" t="n">
        <v>1</v>
      </c>
      <c r="G597" t="inlineStr">
        <is>
          <t>CITRICOS</t>
        </is>
      </c>
      <c r="H597" t="inlineStr">
        <is>
          <t>NAVELINA</t>
        </is>
      </c>
      <c r="I597" t="n">
        <v>337</v>
      </c>
      <c r="J597" t="n">
        <v>23625</v>
      </c>
      <c r="K597" t="n">
        <v>22124</v>
      </c>
      <c r="L597" t="n">
        <v>22124</v>
      </c>
      <c r="M597" t="inlineStr">
        <is>
          <t>Sí</t>
        </is>
      </c>
      <c r="N597" t="inlineStr"/>
      <c r="O597" t="inlineStr">
        <is>
          <t>Informativa</t>
        </is>
      </c>
      <c r="P597" t="inlineStr">
        <is>
          <t>No interviene en el prorrateo</t>
        </is>
      </c>
    </row>
    <row r="598">
      <c r="A598" t="n">
        <v>1529</v>
      </c>
      <c r="B598" t="inlineStr">
        <is>
          <t>RAMOS BRUGAROLAS, JOSE</t>
        </is>
      </c>
      <c r="E598" t="n">
        <v>2026</v>
      </c>
      <c r="F598" t="n">
        <v>1</v>
      </c>
      <c r="G598" t="inlineStr">
        <is>
          <t>CITRICOS</t>
        </is>
      </c>
      <c r="H598" t="inlineStr">
        <is>
          <t>NAVELINA</t>
        </is>
      </c>
      <c r="I598" t="n">
        <v>337</v>
      </c>
      <c r="J598" t="n">
        <v>23790</v>
      </c>
      <c r="K598" t="n">
        <v>23032</v>
      </c>
      <c r="L598" t="n">
        <v>23032</v>
      </c>
      <c r="M598" t="inlineStr">
        <is>
          <t>Sí</t>
        </is>
      </c>
      <c r="N598" t="inlineStr"/>
      <c r="O598" t="inlineStr">
        <is>
          <t>Informativa</t>
        </is>
      </c>
      <c r="P598" t="inlineStr">
        <is>
          <t>No interviene en el prorrateo</t>
        </is>
      </c>
    </row>
    <row r="599">
      <c r="A599" t="n">
        <v>1529</v>
      </c>
      <c r="B599" t="inlineStr">
        <is>
          <t>RAMOS BRUGAROLAS, JOSE</t>
        </is>
      </c>
      <c r="E599" t="n">
        <v>2026</v>
      </c>
      <c r="F599" t="n">
        <v>1</v>
      </c>
      <c r="G599" t="inlineStr">
        <is>
          <t>CITRICOS</t>
        </is>
      </c>
      <c r="H599" t="inlineStr">
        <is>
          <t>NAVELINA</t>
        </is>
      </c>
      <c r="I599" t="n">
        <v>336</v>
      </c>
      <c r="J599" t="n">
        <v>25020</v>
      </c>
      <c r="K599" t="n">
        <v>12816</v>
      </c>
      <c r="L599" t="n">
        <v>12816</v>
      </c>
      <c r="M599" t="inlineStr">
        <is>
          <t>Sí</t>
        </is>
      </c>
      <c r="N599" t="inlineStr"/>
      <c r="O599" t="inlineStr">
        <is>
          <t>Informativa</t>
        </is>
      </c>
      <c r="P599" t="inlineStr">
        <is>
          <t>No interviene en el prorrateo</t>
        </is>
      </c>
    </row>
    <row r="600">
      <c r="A600" t="n">
        <v>1529</v>
      </c>
      <c r="B600" t="inlineStr">
        <is>
          <t>RAMOS BRUGAROLAS, JOSE</t>
        </is>
      </c>
      <c r="E600" t="n">
        <v>2026</v>
      </c>
      <c r="F600" t="n">
        <v>1</v>
      </c>
      <c r="G600" t="inlineStr">
        <is>
          <t>CITRICOS</t>
        </is>
      </c>
      <c r="H600" t="inlineStr">
        <is>
          <t>NAVELINA</t>
        </is>
      </c>
      <c r="I600" t="n">
        <v>332</v>
      </c>
      <c r="J600" t="n">
        <v>24665</v>
      </c>
      <c r="K600" t="n">
        <v>0</v>
      </c>
      <c r="L600" t="n">
        <v>24665</v>
      </c>
      <c r="M600" t="inlineStr">
        <is>
          <t>Sí</t>
        </is>
      </c>
      <c r="N600" t="inlineStr"/>
      <c r="O600" t="inlineStr">
        <is>
          <t>Informativa</t>
        </is>
      </c>
      <c r="P600" t="inlineStr">
        <is>
          <t>No interviene en el prorrateo</t>
        </is>
      </c>
    </row>
    <row r="601">
      <c r="A601" t="n">
        <v>1529</v>
      </c>
      <c r="B601" t="inlineStr">
        <is>
          <t>RAMOS BRUGAROLAS, JOSE</t>
        </is>
      </c>
      <c r="E601" t="n">
        <v>2026</v>
      </c>
      <c r="F601" t="n">
        <v>1</v>
      </c>
      <c r="G601" t="inlineStr">
        <is>
          <t>CITRICOS</t>
        </is>
      </c>
      <c r="H601" t="inlineStr">
        <is>
          <t>NAVELINA</t>
        </is>
      </c>
      <c r="I601" t="n">
        <v>332</v>
      </c>
      <c r="J601" t="n">
        <v>24381</v>
      </c>
      <c r="K601" t="n">
        <v>23108</v>
      </c>
      <c r="L601" t="n">
        <v>23108</v>
      </c>
      <c r="M601" t="inlineStr">
        <is>
          <t>Sí</t>
        </is>
      </c>
      <c r="N601" t="inlineStr"/>
      <c r="O601" t="inlineStr">
        <is>
          <t>Informativa</t>
        </is>
      </c>
      <c r="P601" t="inlineStr">
        <is>
          <t>No interviene en el prorrateo</t>
        </is>
      </c>
    </row>
    <row r="602">
      <c r="A602" t="n">
        <v>1529</v>
      </c>
      <c r="B602" t="inlineStr">
        <is>
          <t>RAMOS BRUGAROLAS, JOSE</t>
        </is>
      </c>
      <c r="E602" t="n">
        <v>2026</v>
      </c>
      <c r="F602" t="n">
        <v>1</v>
      </c>
      <c r="G602" t="inlineStr">
        <is>
          <t>CITRICOS</t>
        </is>
      </c>
      <c r="H602" t="inlineStr">
        <is>
          <t>NAVELINA</t>
        </is>
      </c>
      <c r="I602" t="n">
        <v>332</v>
      </c>
      <c r="J602" t="n">
        <v>26900</v>
      </c>
      <c r="K602" t="n">
        <v>4735</v>
      </c>
      <c r="L602" t="n">
        <v>4735</v>
      </c>
      <c r="M602" t="inlineStr">
        <is>
          <t>Sí</t>
        </is>
      </c>
      <c r="N602" t="inlineStr"/>
      <c r="O602" t="inlineStr">
        <is>
          <t>Informativa</t>
        </is>
      </c>
      <c r="P602" t="inlineStr">
        <is>
          <t>No interviene en el prorrateo</t>
        </is>
      </c>
    </row>
    <row r="603">
      <c r="A603" t="n">
        <v>1529</v>
      </c>
      <c r="B603" t="inlineStr">
        <is>
          <t>RAMOS BRUGAROLAS, JOSE</t>
        </is>
      </c>
      <c r="E603" t="n">
        <v>2026</v>
      </c>
      <c r="F603" t="n">
        <v>1</v>
      </c>
      <c r="G603" t="inlineStr">
        <is>
          <t>CITRICOS</t>
        </is>
      </c>
      <c r="H603" t="inlineStr">
        <is>
          <t>NAVELINA</t>
        </is>
      </c>
      <c r="I603" t="n">
        <v>332</v>
      </c>
      <c r="J603" t="n">
        <v>24130</v>
      </c>
      <c r="K603" t="n">
        <v>11446</v>
      </c>
      <c r="L603" t="n">
        <v>11446</v>
      </c>
      <c r="M603" t="inlineStr">
        <is>
          <t>Sí</t>
        </is>
      </c>
      <c r="N603" t="inlineStr"/>
      <c r="O603" t="inlineStr">
        <is>
          <t>Informativa</t>
        </is>
      </c>
      <c r="P603" t="inlineStr">
        <is>
          <t>No interviene en el prorrateo</t>
        </is>
      </c>
    </row>
    <row r="604">
      <c r="A604" t="n">
        <v>1529</v>
      </c>
      <c r="B604" t="inlineStr">
        <is>
          <t>RAMOS BRUGAROLAS, JOSE</t>
        </is>
      </c>
      <c r="E604" t="n">
        <v>2026</v>
      </c>
      <c r="F604" t="n">
        <v>1</v>
      </c>
      <c r="G604" t="inlineStr">
        <is>
          <t>CITRICOS</t>
        </is>
      </c>
      <c r="H604" t="inlineStr">
        <is>
          <t>NAVELINA</t>
        </is>
      </c>
      <c r="I604" t="n">
        <v>332</v>
      </c>
      <c r="J604" t="n">
        <v>22729</v>
      </c>
      <c r="K604" t="n">
        <v>22485</v>
      </c>
      <c r="L604" t="n">
        <v>22485</v>
      </c>
      <c r="M604" t="inlineStr">
        <is>
          <t>Sí</t>
        </is>
      </c>
      <c r="N604" t="inlineStr"/>
      <c r="O604" t="inlineStr">
        <is>
          <t>Informativa</t>
        </is>
      </c>
      <c r="P604" t="inlineStr">
        <is>
          <t>No interviene en el prorrateo</t>
        </is>
      </c>
    </row>
    <row r="605">
      <c r="A605" t="n">
        <v>1529</v>
      </c>
      <c r="B605" t="inlineStr">
        <is>
          <t>RAMOS BRUGAROLAS, JOSE</t>
        </is>
      </c>
      <c r="E605" t="n">
        <v>2026</v>
      </c>
      <c r="F605" t="n">
        <v>1</v>
      </c>
      <c r="G605" t="inlineStr">
        <is>
          <t>CITRICOS</t>
        </is>
      </c>
      <c r="H605" t="inlineStr">
        <is>
          <t>NAVELINA</t>
        </is>
      </c>
      <c r="I605" t="n">
        <v>336</v>
      </c>
      <c r="J605" t="n">
        <v>26100</v>
      </c>
      <c r="K605" t="n">
        <v>16840</v>
      </c>
      <c r="L605" t="n">
        <v>16840</v>
      </c>
      <c r="M605" t="inlineStr">
        <is>
          <t>Sí</t>
        </is>
      </c>
      <c r="N605" t="inlineStr"/>
      <c r="O605" t="inlineStr">
        <is>
          <t>Informativa</t>
        </is>
      </c>
      <c r="P605" t="inlineStr">
        <is>
          <t>No interviene en el prorrateo</t>
        </is>
      </c>
    </row>
    <row r="606">
      <c r="A606" t="n">
        <v>1529</v>
      </c>
      <c r="B606" t="inlineStr">
        <is>
          <t>RAMOS BRUGAROLAS, JOSE</t>
        </is>
      </c>
      <c r="E606" t="n">
        <v>2026</v>
      </c>
      <c r="F606" t="n">
        <v>1</v>
      </c>
      <c r="G606" t="inlineStr">
        <is>
          <t>CITRICOS</t>
        </is>
      </c>
      <c r="H606" t="inlineStr">
        <is>
          <t>NAVELINA</t>
        </is>
      </c>
      <c r="I606" t="n">
        <v>332</v>
      </c>
      <c r="J606" t="n">
        <v>24901</v>
      </c>
      <c r="K606" t="n">
        <v>13532</v>
      </c>
      <c r="L606" t="n">
        <v>13532</v>
      </c>
      <c r="M606" t="inlineStr">
        <is>
          <t>Sí</t>
        </is>
      </c>
      <c r="N606" t="inlineStr"/>
      <c r="O606" t="inlineStr">
        <is>
          <t>Informativa</t>
        </is>
      </c>
      <c r="P606" t="inlineStr">
        <is>
          <t>No interviene en el prorrateo</t>
        </is>
      </c>
    </row>
    <row r="607">
      <c r="A607" t="n">
        <v>1529</v>
      </c>
      <c r="B607" t="inlineStr">
        <is>
          <t>RAMOS BRUGAROLAS, JOSE</t>
        </is>
      </c>
      <c r="E607" t="n">
        <v>2026</v>
      </c>
      <c r="F607" t="n">
        <v>1</v>
      </c>
      <c r="G607" t="inlineStr">
        <is>
          <t>CITRICOS</t>
        </is>
      </c>
      <c r="H607" t="inlineStr">
        <is>
          <t>SALUSTIANA</t>
        </is>
      </c>
      <c r="I607" t="n">
        <v>334</v>
      </c>
      <c r="J607" t="n">
        <v>23625</v>
      </c>
      <c r="K607" t="n">
        <v>14860</v>
      </c>
      <c r="L607" t="n">
        <v>14860</v>
      </c>
      <c r="M607" t="inlineStr">
        <is>
          <t>Sí</t>
        </is>
      </c>
      <c r="N607" t="inlineStr"/>
      <c r="O607" t="inlineStr">
        <is>
          <t>Informativa</t>
        </is>
      </c>
      <c r="P607" t="inlineStr">
        <is>
          <t>No interviene en el prorrateo</t>
        </is>
      </c>
    </row>
    <row r="608">
      <c r="A608" t="n">
        <v>1529</v>
      </c>
      <c r="B608" t="inlineStr">
        <is>
          <t>RAMOS BRUGAROLAS, JOSE</t>
        </is>
      </c>
      <c r="E608" t="n">
        <v>2026</v>
      </c>
      <c r="F608" t="n">
        <v>1</v>
      </c>
      <c r="G608" t="inlineStr">
        <is>
          <t>CITRICOS</t>
        </is>
      </c>
      <c r="H608" t="inlineStr">
        <is>
          <t>SALUSTIANA</t>
        </is>
      </c>
      <c r="I608" t="n">
        <v>334</v>
      </c>
      <c r="J608" t="n">
        <v>17460</v>
      </c>
      <c r="K608" t="n">
        <v>0</v>
      </c>
      <c r="L608" t="n">
        <v>17460</v>
      </c>
      <c r="M608" t="inlineStr">
        <is>
          <t>Sí</t>
        </is>
      </c>
      <c r="N608" t="inlineStr"/>
      <c r="O608" t="inlineStr">
        <is>
          <t>Informativa</t>
        </is>
      </c>
      <c r="P608" t="inlineStr">
        <is>
          <t>No interviene en el prorrateo</t>
        </is>
      </c>
    </row>
    <row r="609">
      <c r="A609" t="n">
        <v>1529</v>
      </c>
      <c r="B609" t="inlineStr">
        <is>
          <t>RAMOS BRUGAROLAS, JOSE</t>
        </is>
      </c>
      <c r="E609" t="n">
        <v>2026</v>
      </c>
      <c r="F609" t="n">
        <v>1</v>
      </c>
      <c r="G609" t="inlineStr">
        <is>
          <t>CITRICOS</t>
        </is>
      </c>
      <c r="H609" t="inlineStr">
        <is>
          <t>SALUSTIANA</t>
        </is>
      </c>
      <c r="I609" t="n">
        <v>334</v>
      </c>
      <c r="J609" t="n">
        <v>24360</v>
      </c>
      <c r="K609" t="n">
        <v>7925</v>
      </c>
      <c r="L609" t="n">
        <v>7925</v>
      </c>
      <c r="M609" t="inlineStr">
        <is>
          <t>Sí</t>
        </is>
      </c>
      <c r="N609" t="inlineStr"/>
      <c r="O609" t="inlineStr">
        <is>
          <t>Informativa</t>
        </is>
      </c>
      <c r="P609" t="inlineStr">
        <is>
          <t>No interviene en el prorrateo</t>
        </is>
      </c>
    </row>
    <row r="610">
      <c r="A610" t="n">
        <v>1529</v>
      </c>
      <c r="B610" t="inlineStr">
        <is>
          <t>RAMOS BRUGAROLAS, JOSE</t>
        </is>
      </c>
      <c r="E610" t="n">
        <v>2026</v>
      </c>
      <c r="F610" t="n">
        <v>1</v>
      </c>
      <c r="G610" t="inlineStr">
        <is>
          <t>CITRICOS</t>
        </is>
      </c>
      <c r="H610" t="inlineStr">
        <is>
          <t>LANE LATE</t>
        </is>
      </c>
      <c r="I610" t="n">
        <v>639</v>
      </c>
      <c r="J610" t="n">
        <v>11918</v>
      </c>
      <c r="K610" t="n">
        <v>0</v>
      </c>
      <c r="L610" t="n">
        <v>11918</v>
      </c>
      <c r="M610" t="inlineStr">
        <is>
          <t>Sí</t>
        </is>
      </c>
      <c r="N610" t="inlineStr"/>
      <c r="O610" t="inlineStr">
        <is>
          <t>Informativa</t>
        </is>
      </c>
      <c r="P610" t="inlineStr">
        <is>
          <t>No interviene en el prorrateo</t>
        </is>
      </c>
    </row>
    <row r="611">
      <c r="A611" t="n">
        <v>1529</v>
      </c>
      <c r="B611" t="inlineStr">
        <is>
          <t>RAMOS BRUGAROLAS, JOSE</t>
        </is>
      </c>
      <c r="E611" t="n">
        <v>2026</v>
      </c>
      <c r="F611" t="n">
        <v>1</v>
      </c>
      <c r="G611" t="inlineStr">
        <is>
          <t>CITRICOS</t>
        </is>
      </c>
      <c r="H611" t="inlineStr">
        <is>
          <t>LANE LATE</t>
        </is>
      </c>
      <c r="I611" t="n">
        <v>639</v>
      </c>
      <c r="J611" t="n">
        <v>14160</v>
      </c>
      <c r="K611" t="n">
        <v>0</v>
      </c>
      <c r="L611" t="n">
        <v>14160</v>
      </c>
      <c r="M611" t="inlineStr">
        <is>
          <t>Sí</t>
        </is>
      </c>
      <c r="N611" t="inlineStr"/>
      <c r="O611" t="inlineStr">
        <is>
          <t>Informativa</t>
        </is>
      </c>
      <c r="P611" t="inlineStr">
        <is>
          <t>No interviene en el prorrateo</t>
        </is>
      </c>
    </row>
    <row r="612">
      <c r="A612" t="n">
        <v>1529</v>
      </c>
      <c r="B612" t="inlineStr">
        <is>
          <t>RAMOS BRUGAROLAS, JOSE</t>
        </is>
      </c>
      <c r="E612" t="n">
        <v>2026</v>
      </c>
      <c r="F612" t="n">
        <v>1</v>
      </c>
      <c r="G612" t="inlineStr">
        <is>
          <t>CITRICOS</t>
        </is>
      </c>
      <c r="H612" t="inlineStr">
        <is>
          <t>LANE LATE</t>
        </is>
      </c>
      <c r="I612" t="n">
        <v>639</v>
      </c>
      <c r="J612" t="n">
        <v>1055</v>
      </c>
      <c r="K612" t="n">
        <v>0</v>
      </c>
      <c r="L612" t="n">
        <v>1055</v>
      </c>
      <c r="M612" t="inlineStr">
        <is>
          <t>Sí</t>
        </is>
      </c>
      <c r="N612" t="inlineStr"/>
      <c r="O612" t="inlineStr">
        <is>
          <t>Informativa</t>
        </is>
      </c>
      <c r="P612" t="inlineStr">
        <is>
          <t>No interviene en el prorrateo</t>
        </is>
      </c>
    </row>
    <row r="613">
      <c r="A613" t="n">
        <v>1529</v>
      </c>
      <c r="B613" t="inlineStr">
        <is>
          <t>RAMOS BRUGAROLAS, JOSE</t>
        </is>
      </c>
      <c r="E613" t="n">
        <v>2026</v>
      </c>
      <c r="F613" t="n">
        <v>1</v>
      </c>
      <c r="G613" t="inlineStr">
        <is>
          <t>CITRICOS</t>
        </is>
      </c>
      <c r="H613" t="inlineStr">
        <is>
          <t>LANE LATE</t>
        </is>
      </c>
      <c r="I613" t="n">
        <v>639</v>
      </c>
      <c r="J613" t="n">
        <v>14800</v>
      </c>
      <c r="K613" t="n">
        <v>0</v>
      </c>
      <c r="L613" t="n">
        <v>14800</v>
      </c>
      <c r="M613" t="inlineStr">
        <is>
          <t>Sí</t>
        </is>
      </c>
      <c r="N613" t="inlineStr"/>
      <c r="O613" t="inlineStr">
        <is>
          <t>Informativa</t>
        </is>
      </c>
      <c r="P613" t="inlineStr">
        <is>
          <t>No interviene en el prorrateo</t>
        </is>
      </c>
    </row>
    <row r="614">
      <c r="A614" t="n">
        <v>1529</v>
      </c>
      <c r="B614" t="inlineStr">
        <is>
          <t>RAMOS BRUGAROLAS, JOSE</t>
        </is>
      </c>
      <c r="E614" t="n">
        <v>2026</v>
      </c>
      <c r="F614" t="n">
        <v>1</v>
      </c>
      <c r="G614" t="inlineStr">
        <is>
          <t>CITRICOS</t>
        </is>
      </c>
      <c r="H614" t="inlineStr">
        <is>
          <t>LANE LATE</t>
        </is>
      </c>
      <c r="I614" t="n">
        <v>335</v>
      </c>
      <c r="J614" t="n">
        <v>15260</v>
      </c>
      <c r="K614" t="n">
        <v>0</v>
      </c>
      <c r="L614" t="n">
        <v>15260</v>
      </c>
      <c r="M614" t="inlineStr">
        <is>
          <t>Sí</t>
        </is>
      </c>
      <c r="N614" t="inlineStr"/>
      <c r="O614" t="inlineStr">
        <is>
          <t>Informativa</t>
        </is>
      </c>
      <c r="P614" t="inlineStr">
        <is>
          <t>No interviene en el prorrateo</t>
        </is>
      </c>
    </row>
    <row r="615">
      <c r="A615" t="n">
        <v>1529</v>
      </c>
      <c r="B615" t="inlineStr">
        <is>
          <t>RAMOS BRUGAROLAS, JOSE</t>
        </is>
      </c>
      <c r="E615" t="n">
        <v>2026</v>
      </c>
      <c r="F615" t="n">
        <v>1</v>
      </c>
      <c r="G615" t="inlineStr">
        <is>
          <t>CITRICOS</t>
        </is>
      </c>
      <c r="H615" t="inlineStr">
        <is>
          <t>LANE LATE</t>
        </is>
      </c>
      <c r="I615" t="n">
        <v>335</v>
      </c>
      <c r="J615" t="n">
        <v>15880</v>
      </c>
      <c r="K615" t="n">
        <v>2089</v>
      </c>
      <c r="L615" t="n">
        <v>2089</v>
      </c>
      <c r="M615" t="inlineStr">
        <is>
          <t>Sí</t>
        </is>
      </c>
      <c r="N615" t="inlineStr"/>
      <c r="O615" t="inlineStr">
        <is>
          <t>Informativa</t>
        </is>
      </c>
      <c r="P615" t="inlineStr">
        <is>
          <t>No interviene en el prorrateo</t>
        </is>
      </c>
    </row>
    <row r="616">
      <c r="A616" t="n">
        <v>1529</v>
      </c>
      <c r="B616" t="inlineStr">
        <is>
          <t>RAMOS BRUGAROLAS, JOSE</t>
        </is>
      </c>
      <c r="E616" t="n">
        <v>2026</v>
      </c>
      <c r="F616" t="n">
        <v>1</v>
      </c>
      <c r="G616" t="inlineStr">
        <is>
          <t>CITRICOS</t>
        </is>
      </c>
      <c r="H616" t="inlineStr">
        <is>
          <t>LANE LATE</t>
        </is>
      </c>
      <c r="I616" t="n">
        <v>335</v>
      </c>
      <c r="J616" t="n">
        <v>14830</v>
      </c>
      <c r="K616" t="n">
        <v>12531</v>
      </c>
      <c r="L616" t="n">
        <v>12531</v>
      </c>
      <c r="M616" t="inlineStr">
        <is>
          <t>Sí</t>
        </is>
      </c>
      <c r="N616" t="inlineStr"/>
      <c r="O616" t="inlineStr">
        <is>
          <t>Informativa</t>
        </is>
      </c>
      <c r="P616" t="inlineStr">
        <is>
          <t>No interviene en el prorrateo</t>
        </is>
      </c>
    </row>
    <row r="617">
      <c r="A617" t="n">
        <v>1529</v>
      </c>
      <c r="B617" t="inlineStr">
        <is>
          <t>RAMOS BRUGAROLAS, JOSE</t>
        </is>
      </c>
      <c r="E617" t="n">
        <v>2026</v>
      </c>
      <c r="F617" t="n">
        <v>1</v>
      </c>
      <c r="G617" t="inlineStr">
        <is>
          <t>CITRICOS</t>
        </is>
      </c>
      <c r="H617" t="inlineStr">
        <is>
          <t>LANE LATE</t>
        </is>
      </c>
      <c r="I617" t="n">
        <v>639</v>
      </c>
      <c r="J617" t="n">
        <v>23220</v>
      </c>
      <c r="K617" t="n">
        <v>0</v>
      </c>
      <c r="L617" t="n">
        <v>23220</v>
      </c>
      <c r="M617" t="inlineStr">
        <is>
          <t>Sí</t>
        </is>
      </c>
      <c r="N617" t="inlineStr"/>
      <c r="O617" t="inlineStr">
        <is>
          <t>Informativa</t>
        </is>
      </c>
      <c r="P617" t="inlineStr">
        <is>
          <t>No interviene en el prorrateo</t>
        </is>
      </c>
    </row>
    <row r="618">
      <c r="A618" t="n">
        <v>1529</v>
      </c>
      <c r="B618" t="inlineStr">
        <is>
          <t>RAMOS BRUGAROLAS, JOSE</t>
        </is>
      </c>
      <c r="E618" t="n">
        <v>2026</v>
      </c>
      <c r="F618" t="n">
        <v>1</v>
      </c>
      <c r="G618" t="inlineStr">
        <is>
          <t>CITRICOS</t>
        </is>
      </c>
      <c r="H618" t="inlineStr">
        <is>
          <t>SALUSTIANA</t>
        </is>
      </c>
      <c r="I618" t="n">
        <v>334</v>
      </c>
      <c r="J618" t="n">
        <v>2638</v>
      </c>
      <c r="K618" t="n">
        <v>0</v>
      </c>
      <c r="L618" t="n">
        <v>2638</v>
      </c>
      <c r="M618" t="inlineStr">
        <is>
          <t>Sí</t>
        </is>
      </c>
      <c r="N618" t="inlineStr"/>
      <c r="O618" t="inlineStr">
        <is>
          <t>Informativa</t>
        </is>
      </c>
      <c r="P618" t="inlineStr">
        <is>
          <t>No interviene en el prorrateo</t>
        </is>
      </c>
    </row>
    <row r="619">
      <c r="A619" t="n">
        <v>1529</v>
      </c>
      <c r="B619" t="inlineStr">
        <is>
          <t>RAMOS BRUGAROLAS, JOSE</t>
        </is>
      </c>
      <c r="E619" t="n">
        <v>2026</v>
      </c>
      <c r="F619" t="n">
        <v>1</v>
      </c>
      <c r="G619" t="inlineStr">
        <is>
          <t>CITRICOS</t>
        </is>
      </c>
      <c r="H619" t="inlineStr">
        <is>
          <t>LANE LATE</t>
        </is>
      </c>
      <c r="I619" t="n">
        <v>335</v>
      </c>
      <c r="J619" t="n">
        <v>2049</v>
      </c>
      <c r="K619" t="n">
        <v>0</v>
      </c>
      <c r="L619" t="n">
        <v>2049</v>
      </c>
      <c r="M619" t="inlineStr">
        <is>
          <t>Sí</t>
        </is>
      </c>
      <c r="N619" t="inlineStr"/>
      <c r="O619" t="inlineStr">
        <is>
          <t>Informativa</t>
        </is>
      </c>
      <c r="P619" t="inlineStr">
        <is>
          <t>No interviene en el prorrateo</t>
        </is>
      </c>
    </row>
    <row r="620">
      <c r="A620" t="n">
        <v>1529</v>
      </c>
      <c r="B620" t="inlineStr">
        <is>
          <t>RAMOS BRUGAROLAS, JOSE</t>
        </is>
      </c>
      <c r="E620" t="n">
        <v>2026</v>
      </c>
      <c r="F620" t="n">
        <v>1</v>
      </c>
      <c r="G620" t="inlineStr">
        <is>
          <t>INDUSTRIA</t>
        </is>
      </c>
      <c r="H620" t="inlineStr">
        <is>
          <t>NAVELINA</t>
        </is>
      </c>
      <c r="I620" t="n">
        <v>332</v>
      </c>
      <c r="J620" t="n">
        <v>22585</v>
      </c>
      <c r="K620" t="n">
        <v>135</v>
      </c>
      <c r="L620" t="n">
        <v>135</v>
      </c>
      <c r="M620" t="inlineStr">
        <is>
          <t>Sí</t>
        </is>
      </c>
      <c r="N620" t="inlineStr"/>
      <c r="O620" t="inlineStr">
        <is>
          <t>Informativa</t>
        </is>
      </c>
      <c r="P620" t="inlineStr">
        <is>
          <t>No interviene en el prorrateo</t>
        </is>
      </c>
    </row>
    <row r="621">
      <c r="A621" t="n">
        <v>1529</v>
      </c>
      <c r="B621" t="inlineStr">
        <is>
          <t>RAMOS BRUGAROLAS, JOSE</t>
        </is>
      </c>
      <c r="E621" t="n">
        <v>2026</v>
      </c>
      <c r="F621" t="n">
        <v>1</v>
      </c>
      <c r="G621" t="inlineStr">
        <is>
          <t>INDUSTRIA</t>
        </is>
      </c>
      <c r="H621" t="inlineStr">
        <is>
          <t>NAVELINA</t>
        </is>
      </c>
      <c r="I621" t="n">
        <v>337</v>
      </c>
      <c r="J621" t="n">
        <v>9830</v>
      </c>
      <c r="K621" t="n">
        <v>465</v>
      </c>
      <c r="L621" t="n">
        <v>465</v>
      </c>
      <c r="M621" t="inlineStr">
        <is>
          <t>Sí</t>
        </is>
      </c>
      <c r="N621" t="inlineStr"/>
      <c r="O621" t="inlineStr">
        <is>
          <t>Informativa</t>
        </is>
      </c>
      <c r="P621" t="inlineStr">
        <is>
          <t>No interviene en el prorrateo</t>
        </is>
      </c>
    </row>
    <row r="622">
      <c r="A622" t="n">
        <v>1529</v>
      </c>
      <c r="B622" t="inlineStr">
        <is>
          <t>RAMOS BRUGAROLAS, JOSE</t>
        </is>
      </c>
      <c r="E622" t="n">
        <v>2026</v>
      </c>
      <c r="F622" t="n">
        <v>1</v>
      </c>
      <c r="G622" t="inlineStr">
        <is>
          <t>INDUSTRIA</t>
        </is>
      </c>
      <c r="H622" t="inlineStr">
        <is>
          <t>NAVELINA</t>
        </is>
      </c>
      <c r="I622" t="n">
        <v>337</v>
      </c>
      <c r="J622" t="n">
        <v>12310</v>
      </c>
      <c r="K622" t="n">
        <v>630</v>
      </c>
      <c r="L622" t="n">
        <v>630</v>
      </c>
      <c r="M622" t="inlineStr">
        <is>
          <t>Sí</t>
        </is>
      </c>
      <c r="N622" t="inlineStr"/>
      <c r="O622" t="inlineStr">
        <is>
          <t>Informativa</t>
        </is>
      </c>
      <c r="P622" t="inlineStr">
        <is>
          <t>No interviene en el prorrateo</t>
        </is>
      </c>
    </row>
    <row r="623">
      <c r="A623" t="n">
        <v>1529</v>
      </c>
      <c r="B623" t="inlineStr">
        <is>
          <t>RAMOS BRUGAROLAS, JOSE</t>
        </is>
      </c>
      <c r="E623" t="n">
        <v>2026</v>
      </c>
      <c r="F623" t="n">
        <v>1</v>
      </c>
      <c r="G623" t="inlineStr">
        <is>
          <t>INDUSTRIA</t>
        </is>
      </c>
      <c r="H623" t="inlineStr">
        <is>
          <t>NAVELINA</t>
        </is>
      </c>
      <c r="I623" t="n">
        <v>336</v>
      </c>
      <c r="J623" t="n">
        <v>11245</v>
      </c>
      <c r="K623" t="n">
        <v>303</v>
      </c>
      <c r="L623" t="n">
        <v>303</v>
      </c>
      <c r="M623" t="inlineStr">
        <is>
          <t>Sí</t>
        </is>
      </c>
      <c r="N623" t="inlineStr"/>
      <c r="O623" t="inlineStr">
        <is>
          <t>Informativa</t>
        </is>
      </c>
      <c r="P623" t="inlineStr">
        <is>
          <t>No interviene en el prorrateo</t>
        </is>
      </c>
    </row>
    <row r="624">
      <c r="A624" t="n">
        <v>1529</v>
      </c>
      <c r="B624" t="inlineStr">
        <is>
          <t>RAMOS BRUGAROLAS, JOSE</t>
        </is>
      </c>
      <c r="E624" t="n">
        <v>2026</v>
      </c>
      <c r="F624" t="n">
        <v>1</v>
      </c>
      <c r="G624" t="inlineStr">
        <is>
          <t>INDUSTRIA</t>
        </is>
      </c>
      <c r="H624" t="inlineStr">
        <is>
          <t>NAVELINA</t>
        </is>
      </c>
      <c r="I624" t="n">
        <v>336</v>
      </c>
      <c r="J624" t="n">
        <v>13785</v>
      </c>
      <c r="K624" t="n">
        <v>240</v>
      </c>
      <c r="L624" t="n">
        <v>240</v>
      </c>
      <c r="M624" t="inlineStr">
        <is>
          <t>Sí</t>
        </is>
      </c>
      <c r="N624" t="inlineStr"/>
      <c r="O624" t="inlineStr">
        <is>
          <t>Informativa</t>
        </is>
      </c>
      <c r="P624" t="inlineStr">
        <is>
          <t>No interviene en el prorrateo</t>
        </is>
      </c>
    </row>
    <row r="625">
      <c r="A625" t="n">
        <v>1529</v>
      </c>
      <c r="B625" t="inlineStr">
        <is>
          <t>RAMOS BRUGAROLAS, JOSE</t>
        </is>
      </c>
      <c r="E625" t="n">
        <v>2026</v>
      </c>
      <c r="F625" t="n">
        <v>1</v>
      </c>
      <c r="G625" t="inlineStr">
        <is>
          <t>INDUSTRIA</t>
        </is>
      </c>
      <c r="H625" t="inlineStr">
        <is>
          <t>NAVELINA</t>
        </is>
      </c>
      <c r="I625" t="n">
        <v>336</v>
      </c>
      <c r="J625" t="n">
        <v>13605</v>
      </c>
      <c r="K625" t="n">
        <v>108</v>
      </c>
      <c r="L625" t="n">
        <v>108</v>
      </c>
      <c r="M625" t="inlineStr">
        <is>
          <t>Sí</t>
        </is>
      </c>
      <c r="N625" t="inlineStr"/>
      <c r="O625" t="inlineStr">
        <is>
          <t>Informativa</t>
        </is>
      </c>
      <c r="P625" t="inlineStr">
        <is>
          <t>No interviene en el prorrateo</t>
        </is>
      </c>
    </row>
    <row r="626">
      <c r="A626" t="n">
        <v>1529</v>
      </c>
      <c r="B626" t="inlineStr">
        <is>
          <t>RAMOS BRUGAROLAS, JOSE</t>
        </is>
      </c>
      <c r="E626" t="n">
        <v>2026</v>
      </c>
      <c r="F626" t="n">
        <v>1</v>
      </c>
      <c r="G626" t="inlineStr">
        <is>
          <t>INDUSTRIA</t>
        </is>
      </c>
      <c r="H626" t="inlineStr">
        <is>
          <t>NAVELINA</t>
        </is>
      </c>
      <c r="I626" t="n">
        <v>332</v>
      </c>
      <c r="J626" t="n">
        <v>26516</v>
      </c>
      <c r="K626" t="n">
        <v>1133</v>
      </c>
      <c r="L626" t="n">
        <v>1133</v>
      </c>
      <c r="M626" t="inlineStr">
        <is>
          <t>Sí</t>
        </is>
      </c>
      <c r="N626" t="inlineStr"/>
      <c r="O626" t="inlineStr">
        <is>
          <t>Informativa</t>
        </is>
      </c>
      <c r="P626" t="inlineStr">
        <is>
          <t>No interviene en el prorrateo</t>
        </is>
      </c>
    </row>
    <row r="627">
      <c r="A627" t="n">
        <v>1529</v>
      </c>
      <c r="B627" t="inlineStr">
        <is>
          <t>RAMOS BRUGAROLAS, JOSE</t>
        </is>
      </c>
      <c r="E627" t="n">
        <v>2026</v>
      </c>
      <c r="F627" t="n">
        <v>1</v>
      </c>
      <c r="G627" t="inlineStr">
        <is>
          <t>INDUSTRIA</t>
        </is>
      </c>
      <c r="H627" t="inlineStr">
        <is>
          <t>NAVELINA</t>
        </is>
      </c>
      <c r="I627" t="n">
        <v>332</v>
      </c>
      <c r="J627" t="n">
        <v>25364</v>
      </c>
      <c r="K627" t="n">
        <v>604</v>
      </c>
      <c r="L627" t="n">
        <v>604</v>
      </c>
      <c r="M627" t="inlineStr">
        <is>
          <t>Sí</t>
        </is>
      </c>
      <c r="N627" t="inlineStr"/>
      <c r="O627" t="inlineStr">
        <is>
          <t>Informativa</t>
        </is>
      </c>
      <c r="P627" t="inlineStr">
        <is>
          <t>No interviene en el prorrateo</t>
        </is>
      </c>
    </row>
    <row r="628">
      <c r="A628" t="n">
        <v>1529</v>
      </c>
      <c r="B628" t="inlineStr">
        <is>
          <t>RAMOS BRUGAROLAS, JOSE</t>
        </is>
      </c>
      <c r="E628" t="n">
        <v>2026</v>
      </c>
      <c r="F628" t="n">
        <v>1</v>
      </c>
      <c r="G628" t="inlineStr">
        <is>
          <t>INDUSTRIA</t>
        </is>
      </c>
      <c r="H628" t="inlineStr">
        <is>
          <t>NAVELINA</t>
        </is>
      </c>
      <c r="I628" t="n">
        <v>332</v>
      </c>
      <c r="J628" t="n">
        <v>22671</v>
      </c>
      <c r="K628" t="n">
        <v>215</v>
      </c>
      <c r="L628" t="n">
        <v>215</v>
      </c>
      <c r="M628" t="inlineStr">
        <is>
          <t>Sí</t>
        </is>
      </c>
      <c r="N628" t="inlineStr"/>
      <c r="O628" t="inlineStr">
        <is>
          <t>Informativa</t>
        </is>
      </c>
      <c r="P628" t="inlineStr">
        <is>
          <t>No interviene en el prorrateo</t>
        </is>
      </c>
    </row>
    <row r="629">
      <c r="A629" t="n">
        <v>1540</v>
      </c>
      <c r="B629" t="inlineStr">
        <is>
          <t>AGRICOLA SANCHEZ CUENCA S.C.</t>
        </is>
      </c>
      <c r="E629" t="n">
        <v>2026</v>
      </c>
      <c r="F629" t="n">
        <v>1</v>
      </c>
      <c r="G629" t="inlineStr">
        <is>
          <t>CITRICOS</t>
        </is>
      </c>
      <c r="H629" t="inlineStr">
        <is>
          <t>SALUSTIANA</t>
        </is>
      </c>
      <c r="I629" t="n">
        <v>570</v>
      </c>
      <c r="J629" t="n">
        <v>11720</v>
      </c>
      <c r="K629" t="n">
        <v>0</v>
      </c>
      <c r="L629" t="n">
        <v>11720</v>
      </c>
      <c r="M629" t="inlineStr">
        <is>
          <t>Sí</t>
        </is>
      </c>
      <c r="N629" t="inlineStr"/>
      <c r="O629" t="inlineStr">
        <is>
          <t>Informativa</t>
        </is>
      </c>
      <c r="P629" t="inlineStr">
        <is>
          <t>No interviene en el prorrateo</t>
        </is>
      </c>
    </row>
    <row r="630">
      <c r="A630" t="n">
        <v>1540</v>
      </c>
      <c r="B630" t="inlineStr">
        <is>
          <t>AGRICOLA SANCHEZ CUENCA S.C.</t>
        </is>
      </c>
      <c r="E630" t="n">
        <v>2026</v>
      </c>
      <c r="F630" t="n">
        <v>1</v>
      </c>
      <c r="G630" t="inlineStr">
        <is>
          <t>CITRICOS</t>
        </is>
      </c>
      <c r="H630" t="inlineStr">
        <is>
          <t>SALUSTIANA</t>
        </is>
      </c>
      <c r="I630" t="n">
        <v>570</v>
      </c>
      <c r="J630" t="n">
        <v>11760</v>
      </c>
      <c r="K630" t="n">
        <v>0</v>
      </c>
      <c r="L630" t="n">
        <v>11760</v>
      </c>
      <c r="M630" t="inlineStr">
        <is>
          <t>Sí</t>
        </is>
      </c>
      <c r="N630" t="inlineStr"/>
      <c r="O630" t="inlineStr">
        <is>
          <t>Informativa</t>
        </is>
      </c>
      <c r="P630" t="inlineStr">
        <is>
          <t>No interviene en el prorrateo</t>
        </is>
      </c>
    </row>
    <row r="631">
      <c r="A631" t="n">
        <v>1540</v>
      </c>
      <c r="B631" t="inlineStr">
        <is>
          <t>AGRICOLA SANCHEZ CUENCA S.C.</t>
        </is>
      </c>
      <c r="E631" t="n">
        <v>2026</v>
      </c>
      <c r="F631" t="n">
        <v>1</v>
      </c>
      <c r="G631" t="inlineStr">
        <is>
          <t>CITRICOS</t>
        </is>
      </c>
      <c r="H631" t="inlineStr">
        <is>
          <t>SALUSTIANA</t>
        </is>
      </c>
      <c r="I631" t="n">
        <v>570</v>
      </c>
      <c r="J631" t="n">
        <v>10050</v>
      </c>
      <c r="K631" t="n">
        <v>0</v>
      </c>
      <c r="L631" t="n">
        <v>10050</v>
      </c>
      <c r="M631" t="inlineStr">
        <is>
          <t>Sí</t>
        </is>
      </c>
      <c r="N631" t="inlineStr"/>
      <c r="O631" t="inlineStr">
        <is>
          <t>Informativa</t>
        </is>
      </c>
      <c r="P631" t="inlineStr">
        <is>
          <t>No interviene en el prorrateo</t>
        </is>
      </c>
    </row>
    <row r="632">
      <c r="A632" t="n">
        <v>1540</v>
      </c>
      <c r="B632" t="inlineStr">
        <is>
          <t>AGRICOLA SANCHEZ CUENCA S.C.</t>
        </is>
      </c>
      <c r="E632" t="n">
        <v>2026</v>
      </c>
      <c r="F632" t="n">
        <v>1</v>
      </c>
      <c r="G632" t="inlineStr">
        <is>
          <t>CITRICOS</t>
        </is>
      </c>
      <c r="H632" t="inlineStr">
        <is>
          <t>SALUSTIANA</t>
        </is>
      </c>
      <c r="I632" t="n">
        <v>570</v>
      </c>
      <c r="J632" t="n">
        <v>13960</v>
      </c>
      <c r="K632" t="n">
        <v>0</v>
      </c>
      <c r="L632" t="n">
        <v>13960</v>
      </c>
      <c r="M632" t="inlineStr">
        <is>
          <t>Sí</t>
        </is>
      </c>
      <c r="N632" t="inlineStr"/>
      <c r="O632" t="inlineStr">
        <is>
          <t>Informativa</t>
        </is>
      </c>
      <c r="P632" t="inlineStr">
        <is>
          <t>No interviene en el prorrateo</t>
        </is>
      </c>
    </row>
    <row r="633">
      <c r="A633" t="n">
        <v>1540</v>
      </c>
      <c r="B633" t="inlineStr">
        <is>
          <t>AGRICOLA SANCHEZ CUENCA S.C.</t>
        </is>
      </c>
      <c r="E633" t="n">
        <v>2026</v>
      </c>
      <c r="F633" t="n">
        <v>1</v>
      </c>
      <c r="G633" t="inlineStr">
        <is>
          <t>CITRICOS</t>
        </is>
      </c>
      <c r="H633" t="inlineStr">
        <is>
          <t>SALUSTIANA</t>
        </is>
      </c>
      <c r="I633" t="n">
        <v>570</v>
      </c>
      <c r="J633" t="n">
        <v>12000</v>
      </c>
      <c r="K633" t="n">
        <v>0</v>
      </c>
      <c r="L633" t="n">
        <v>12000</v>
      </c>
      <c r="M633" t="inlineStr">
        <is>
          <t>Sí</t>
        </is>
      </c>
      <c r="N633" t="inlineStr"/>
      <c r="O633" t="inlineStr">
        <is>
          <t>Informativa</t>
        </is>
      </c>
      <c r="P633" t="inlineStr">
        <is>
          <t>No interviene en el prorrateo</t>
        </is>
      </c>
    </row>
    <row r="634">
      <c r="A634" t="n">
        <v>1540</v>
      </c>
      <c r="B634" t="inlineStr">
        <is>
          <t>AGRICOLA SANCHEZ CUENCA S.C.</t>
        </is>
      </c>
      <c r="E634" t="n">
        <v>2026</v>
      </c>
      <c r="F634" t="n">
        <v>1</v>
      </c>
      <c r="G634" t="inlineStr">
        <is>
          <t>CITRICOS</t>
        </is>
      </c>
      <c r="H634" t="inlineStr">
        <is>
          <t>SALUSTIANA</t>
        </is>
      </c>
      <c r="I634" t="n">
        <v>570</v>
      </c>
      <c r="J634" t="n">
        <v>11700</v>
      </c>
      <c r="K634" t="n">
        <v>3620</v>
      </c>
      <c r="L634" t="n">
        <v>3620</v>
      </c>
      <c r="M634" t="inlineStr">
        <is>
          <t>Sí</t>
        </is>
      </c>
      <c r="N634" t="inlineStr"/>
      <c r="O634" t="inlineStr">
        <is>
          <t>Informativa</t>
        </is>
      </c>
      <c r="P634" t="inlineStr">
        <is>
          <t>No interviene en el prorrateo</t>
        </is>
      </c>
    </row>
    <row r="635">
      <c r="A635" t="n">
        <v>1540</v>
      </c>
      <c r="B635" t="inlineStr">
        <is>
          <t>AGRICOLA SANCHEZ CUENCA S.C.</t>
        </is>
      </c>
      <c r="E635" t="n">
        <v>2026</v>
      </c>
      <c r="F635" t="n">
        <v>1</v>
      </c>
      <c r="G635" t="inlineStr">
        <is>
          <t>CITRICOS</t>
        </is>
      </c>
      <c r="H635" t="inlineStr">
        <is>
          <t>SALUSTIANA</t>
        </is>
      </c>
      <c r="I635" t="n">
        <v>570</v>
      </c>
      <c r="J635" t="n">
        <v>11940</v>
      </c>
      <c r="K635" t="n">
        <v>0</v>
      </c>
      <c r="L635" t="n">
        <v>11940</v>
      </c>
      <c r="M635" t="inlineStr">
        <is>
          <t>Sí</t>
        </is>
      </c>
      <c r="N635" t="inlineStr"/>
      <c r="O635" t="inlineStr">
        <is>
          <t>Informativa</t>
        </is>
      </c>
      <c r="P635" t="inlineStr">
        <is>
          <t>No interviene en el prorrateo</t>
        </is>
      </c>
    </row>
    <row r="636">
      <c r="A636" t="n">
        <v>1540</v>
      </c>
      <c r="B636" t="inlineStr">
        <is>
          <t>AGRICOLA SANCHEZ CUENCA S.C.</t>
        </is>
      </c>
      <c r="E636" t="n">
        <v>2026</v>
      </c>
      <c r="F636" t="n">
        <v>1</v>
      </c>
      <c r="G636" t="inlineStr">
        <is>
          <t>CITRICOS</t>
        </is>
      </c>
      <c r="H636" t="inlineStr">
        <is>
          <t>SALUSTIANA</t>
        </is>
      </c>
      <c r="I636" t="n">
        <v>570</v>
      </c>
      <c r="J636" t="n">
        <v>11280</v>
      </c>
      <c r="K636" t="n">
        <v>7240</v>
      </c>
      <c r="L636" t="n">
        <v>7240</v>
      </c>
      <c r="M636" t="inlineStr">
        <is>
          <t>Sí</t>
        </is>
      </c>
      <c r="N636" t="inlineStr"/>
      <c r="O636" t="inlineStr">
        <is>
          <t>Informativa</t>
        </is>
      </c>
      <c r="P636" t="inlineStr">
        <is>
          <t>No interviene en el prorrateo</t>
        </is>
      </c>
    </row>
    <row r="637">
      <c r="A637" t="n">
        <v>1540</v>
      </c>
      <c r="B637" t="inlineStr">
        <is>
          <t>AGRICOLA SANCHEZ CUENCA S.C.</t>
        </is>
      </c>
      <c r="E637" t="n">
        <v>2026</v>
      </c>
      <c r="F637" t="n">
        <v>1</v>
      </c>
      <c r="G637" t="inlineStr">
        <is>
          <t>CITRICOS</t>
        </is>
      </c>
      <c r="H637" t="inlineStr">
        <is>
          <t>SALUSTIANA</t>
        </is>
      </c>
      <c r="I637" t="n">
        <v>570</v>
      </c>
      <c r="J637" t="n">
        <v>12060</v>
      </c>
      <c r="K637" t="n">
        <v>0</v>
      </c>
      <c r="L637" t="n">
        <v>12060</v>
      </c>
      <c r="M637" t="inlineStr">
        <is>
          <t>Sí</t>
        </is>
      </c>
      <c r="N637" t="inlineStr"/>
      <c r="O637" t="inlineStr">
        <is>
          <t>Informativa</t>
        </is>
      </c>
      <c r="P637" t="inlineStr">
        <is>
          <t>No interviene en el prorrateo</t>
        </is>
      </c>
    </row>
    <row r="638">
      <c r="A638" t="n">
        <v>1540</v>
      </c>
      <c r="B638" t="inlineStr">
        <is>
          <t>AGRICOLA SANCHEZ CUENCA S.C.</t>
        </is>
      </c>
      <c r="E638" t="n">
        <v>2026</v>
      </c>
      <c r="F638" t="n">
        <v>1</v>
      </c>
      <c r="G638" t="inlineStr">
        <is>
          <t>CITRICOS</t>
        </is>
      </c>
      <c r="H638" t="inlineStr">
        <is>
          <t>SALUSTIANA</t>
        </is>
      </c>
      <c r="I638" t="n">
        <v>570</v>
      </c>
      <c r="J638" t="n">
        <v>13015</v>
      </c>
      <c r="K638" t="n">
        <v>988</v>
      </c>
      <c r="L638" t="n">
        <v>988</v>
      </c>
      <c r="M638" t="inlineStr">
        <is>
          <t>Sí</t>
        </is>
      </c>
      <c r="N638" t="inlineStr"/>
      <c r="O638" t="inlineStr">
        <is>
          <t>Informativa</t>
        </is>
      </c>
      <c r="P638" t="inlineStr">
        <is>
          <t>No interviene en el prorrateo</t>
        </is>
      </c>
    </row>
    <row r="639">
      <c r="A639" t="n">
        <v>1540</v>
      </c>
      <c r="B639" t="inlineStr">
        <is>
          <t>AGRICOLA SANCHEZ CUENCA S.C.</t>
        </is>
      </c>
      <c r="E639" t="n">
        <v>2026</v>
      </c>
      <c r="F639" t="n">
        <v>1</v>
      </c>
      <c r="G639" t="inlineStr">
        <is>
          <t>CITRICOS</t>
        </is>
      </c>
      <c r="H639" t="inlineStr">
        <is>
          <t>SALUSTIANA</t>
        </is>
      </c>
      <c r="I639" t="n">
        <v>570</v>
      </c>
      <c r="J639" t="n">
        <v>11965</v>
      </c>
      <c r="K639" t="n">
        <v>10872</v>
      </c>
      <c r="L639" t="n">
        <v>10872</v>
      </c>
      <c r="M639" t="inlineStr">
        <is>
          <t>Sí</t>
        </is>
      </c>
      <c r="N639" t="inlineStr"/>
      <c r="O639" t="inlineStr">
        <is>
          <t>Informativa</t>
        </is>
      </c>
      <c r="P639" t="inlineStr">
        <is>
          <t>No interviene en el prorrateo</t>
        </is>
      </c>
    </row>
    <row r="640">
      <c r="A640" t="n">
        <v>1540</v>
      </c>
      <c r="B640" t="inlineStr">
        <is>
          <t>AGRICOLA SANCHEZ CUENCA S.C.</t>
        </is>
      </c>
      <c r="E640" t="n">
        <v>2026</v>
      </c>
      <c r="F640" t="n">
        <v>1</v>
      </c>
      <c r="G640" t="inlineStr">
        <is>
          <t>CITRICOS</t>
        </is>
      </c>
      <c r="H640" t="inlineStr">
        <is>
          <t>SALUSTIANA</t>
        </is>
      </c>
      <c r="I640" t="n">
        <v>570</v>
      </c>
      <c r="J640" t="n">
        <v>1009</v>
      </c>
      <c r="K640" t="n">
        <v>0</v>
      </c>
      <c r="L640" t="n">
        <v>1009</v>
      </c>
      <c r="M640" t="inlineStr">
        <is>
          <t>Sí</t>
        </is>
      </c>
      <c r="N640" t="inlineStr"/>
      <c r="O640" t="inlineStr">
        <is>
          <t>Informativa</t>
        </is>
      </c>
      <c r="P640" t="inlineStr">
        <is>
          <t>No interviene en el prorrateo</t>
        </is>
      </c>
    </row>
    <row r="641">
      <c r="A641" t="n">
        <v>1540</v>
      </c>
      <c r="B641" t="inlineStr">
        <is>
          <t>AGRICOLA SANCHEZ CUENCA S.C.</t>
        </is>
      </c>
      <c r="E641" t="n">
        <v>2026</v>
      </c>
      <c r="F641" t="n">
        <v>1</v>
      </c>
      <c r="G641" t="inlineStr">
        <is>
          <t>CITRICOS</t>
        </is>
      </c>
      <c r="H641" t="inlineStr">
        <is>
          <t>SALUSTIANA</t>
        </is>
      </c>
      <c r="I641" t="n">
        <v>570</v>
      </c>
      <c r="J641" t="n">
        <v>11850</v>
      </c>
      <c r="K641" t="n">
        <v>0</v>
      </c>
      <c r="L641" t="n">
        <v>11850</v>
      </c>
      <c r="M641" t="inlineStr">
        <is>
          <t>Sí</t>
        </is>
      </c>
      <c r="N641" t="inlineStr"/>
      <c r="O641" t="inlineStr">
        <is>
          <t>Informativa</t>
        </is>
      </c>
      <c r="P641" t="inlineStr">
        <is>
          <t>No interviene en el prorrateo</t>
        </is>
      </c>
    </row>
    <row r="642">
      <c r="A642" t="n">
        <v>1540</v>
      </c>
      <c r="B642" t="inlineStr">
        <is>
          <t>AGRICOLA SANCHEZ CUENCA S.C.</t>
        </is>
      </c>
      <c r="E642" t="n">
        <v>2026</v>
      </c>
      <c r="F642" t="n">
        <v>1</v>
      </c>
      <c r="G642" t="inlineStr">
        <is>
          <t>CITRICOS</t>
        </is>
      </c>
      <c r="H642" t="inlineStr">
        <is>
          <t>SALUSTIANA</t>
        </is>
      </c>
      <c r="I642" t="n">
        <v>570</v>
      </c>
      <c r="J642" t="n">
        <v>12140</v>
      </c>
      <c r="K642" t="n">
        <v>7813</v>
      </c>
      <c r="L642" t="n">
        <v>7813</v>
      </c>
      <c r="M642" t="inlineStr">
        <is>
          <t>Sí</t>
        </is>
      </c>
      <c r="N642" t="inlineStr"/>
      <c r="O642" t="inlineStr">
        <is>
          <t>Informativa</t>
        </is>
      </c>
      <c r="P642" t="inlineStr">
        <is>
          <t>No interviene en el prorrateo</t>
        </is>
      </c>
    </row>
    <row r="643">
      <c r="A643" t="n">
        <v>1540</v>
      </c>
      <c r="B643" t="inlineStr">
        <is>
          <t>AGRICOLA SANCHEZ CUENCA S.C.</t>
        </is>
      </c>
      <c r="E643" t="n">
        <v>2026</v>
      </c>
      <c r="F643" t="n">
        <v>1</v>
      </c>
      <c r="G643" t="inlineStr">
        <is>
          <t>CITRICOS</t>
        </is>
      </c>
      <c r="H643" t="inlineStr">
        <is>
          <t>SALUSTIANA</t>
        </is>
      </c>
      <c r="I643" t="n">
        <v>570</v>
      </c>
      <c r="J643" t="n">
        <v>12560</v>
      </c>
      <c r="K643" t="n">
        <v>3907</v>
      </c>
      <c r="L643" t="n">
        <v>3907</v>
      </c>
      <c r="M643" t="inlineStr">
        <is>
          <t>Sí</t>
        </is>
      </c>
      <c r="N643" t="inlineStr"/>
      <c r="O643" t="inlineStr">
        <is>
          <t>Informativa</t>
        </is>
      </c>
      <c r="P643" t="inlineStr">
        <is>
          <t>No interviene en el prorrateo</t>
        </is>
      </c>
    </row>
    <row r="644">
      <c r="A644" t="n">
        <v>1540</v>
      </c>
      <c r="B644" t="inlineStr">
        <is>
          <t>AGRICOLA SANCHEZ CUENCA S.C.</t>
        </is>
      </c>
      <c r="E644" t="n">
        <v>2026</v>
      </c>
      <c r="F644" t="n">
        <v>1</v>
      </c>
      <c r="G644" t="inlineStr">
        <is>
          <t>CITRICOS</t>
        </is>
      </c>
      <c r="H644" t="inlineStr">
        <is>
          <t>SALUSTIANA</t>
        </is>
      </c>
      <c r="I644" t="n">
        <v>570</v>
      </c>
      <c r="J644" t="n">
        <v>11680</v>
      </c>
      <c r="K644" t="n">
        <v>0</v>
      </c>
      <c r="L644" t="n">
        <v>11680</v>
      </c>
      <c r="M644" t="inlineStr">
        <is>
          <t>Sí</t>
        </is>
      </c>
      <c r="N644" t="inlineStr"/>
      <c r="O644" t="inlineStr">
        <is>
          <t>Informativa</t>
        </is>
      </c>
      <c r="P644" t="inlineStr">
        <is>
          <t>No interviene en el prorrateo</t>
        </is>
      </c>
    </row>
    <row r="645">
      <c r="A645" t="n">
        <v>1540</v>
      </c>
      <c r="B645" t="inlineStr">
        <is>
          <t>AGRICOLA SANCHEZ CUENCA S.C.</t>
        </is>
      </c>
      <c r="E645" t="n">
        <v>2026</v>
      </c>
      <c r="F645" t="n">
        <v>1</v>
      </c>
      <c r="G645" t="inlineStr">
        <is>
          <t>CITRICOS</t>
        </is>
      </c>
      <c r="H645" t="inlineStr">
        <is>
          <t>SALUSTIANA</t>
        </is>
      </c>
      <c r="I645" t="n">
        <v>570</v>
      </c>
      <c r="J645" t="n">
        <v>11600</v>
      </c>
      <c r="K645" t="n">
        <v>0</v>
      </c>
      <c r="L645" t="n">
        <v>11600</v>
      </c>
      <c r="M645" t="inlineStr">
        <is>
          <t>Sí</t>
        </is>
      </c>
      <c r="N645" t="inlineStr"/>
      <c r="O645" t="inlineStr">
        <is>
          <t>Informativa</t>
        </is>
      </c>
      <c r="P645" t="inlineStr">
        <is>
          <t>No interviene en el prorrateo</t>
        </is>
      </c>
    </row>
    <row r="646">
      <c r="A646" t="n">
        <v>1540</v>
      </c>
      <c r="B646" t="inlineStr">
        <is>
          <t>AGRICOLA SANCHEZ CUENCA S.C.</t>
        </is>
      </c>
      <c r="E646" t="n">
        <v>2026</v>
      </c>
      <c r="F646" t="n">
        <v>1</v>
      </c>
      <c r="G646" t="inlineStr">
        <is>
          <t>CITRICOS</t>
        </is>
      </c>
      <c r="H646" t="inlineStr">
        <is>
          <t>SALUSTIANA</t>
        </is>
      </c>
      <c r="I646" t="n">
        <v>570</v>
      </c>
      <c r="J646" t="n">
        <v>11560</v>
      </c>
      <c r="K646" t="n">
        <v>0</v>
      </c>
      <c r="L646" t="n">
        <v>11560</v>
      </c>
      <c r="M646" t="inlineStr">
        <is>
          <t>Sí</t>
        </is>
      </c>
      <c r="N646" t="inlineStr"/>
      <c r="O646" t="inlineStr">
        <is>
          <t>Informativa</t>
        </is>
      </c>
      <c r="P646" t="inlineStr">
        <is>
          <t>No interviene en el prorrateo</t>
        </is>
      </c>
    </row>
    <row r="647">
      <c r="A647" t="n">
        <v>1540</v>
      </c>
      <c r="B647" t="inlineStr">
        <is>
          <t>AGRICOLA SANCHEZ CUENCA S.C.</t>
        </is>
      </c>
      <c r="E647" t="n">
        <v>2026</v>
      </c>
      <c r="F647" t="n">
        <v>1</v>
      </c>
      <c r="G647" t="inlineStr">
        <is>
          <t>CITRICOS</t>
        </is>
      </c>
      <c r="H647" t="inlineStr">
        <is>
          <t>SALUSTIANA</t>
        </is>
      </c>
      <c r="I647" t="n">
        <v>570</v>
      </c>
      <c r="J647" t="n">
        <v>11500</v>
      </c>
      <c r="K647" t="n">
        <v>0</v>
      </c>
      <c r="L647" t="n">
        <v>11500</v>
      </c>
      <c r="M647" t="inlineStr">
        <is>
          <t>Sí</t>
        </is>
      </c>
      <c r="N647" t="inlineStr"/>
      <c r="O647" t="inlineStr">
        <is>
          <t>Informativa</t>
        </is>
      </c>
      <c r="P647" t="inlineStr">
        <is>
          <t>No interviene en el prorrateo</t>
        </is>
      </c>
    </row>
    <row r="648">
      <c r="A648" t="n">
        <v>1540</v>
      </c>
      <c r="B648" t="inlineStr">
        <is>
          <t>AGRICOLA SANCHEZ CUENCA S.C.</t>
        </is>
      </c>
      <c r="E648" t="n">
        <v>2026</v>
      </c>
      <c r="F648" t="n">
        <v>1</v>
      </c>
      <c r="G648" t="inlineStr">
        <is>
          <t>CITRICOS</t>
        </is>
      </c>
      <c r="H648" t="inlineStr">
        <is>
          <t>SALUSTIANA</t>
        </is>
      </c>
      <c r="I648" t="n">
        <v>570</v>
      </c>
      <c r="J648" t="n">
        <v>23390</v>
      </c>
      <c r="K648" t="n">
        <v>0</v>
      </c>
      <c r="L648" t="n">
        <v>23390</v>
      </c>
      <c r="M648" t="inlineStr">
        <is>
          <t>Sí</t>
        </is>
      </c>
      <c r="N648" t="inlineStr"/>
      <c r="O648" t="inlineStr">
        <is>
          <t>Informativa</t>
        </is>
      </c>
      <c r="P648" t="inlineStr">
        <is>
          <t>No interviene en el prorrateo</t>
        </is>
      </c>
    </row>
    <row r="649">
      <c r="A649" t="n">
        <v>1540</v>
      </c>
      <c r="B649" t="inlineStr">
        <is>
          <t>AGRICOLA SANCHEZ CUENCA S.C.</t>
        </is>
      </c>
      <c r="E649" t="n">
        <v>2026</v>
      </c>
      <c r="F649" t="n">
        <v>1</v>
      </c>
      <c r="G649" t="inlineStr">
        <is>
          <t>CITRICOS</t>
        </is>
      </c>
      <c r="H649" t="inlineStr">
        <is>
          <t>SALUSTIANA</t>
        </is>
      </c>
      <c r="I649" t="n">
        <v>570</v>
      </c>
      <c r="J649" t="n">
        <v>12220</v>
      </c>
      <c r="K649" t="n">
        <v>0</v>
      </c>
      <c r="L649" t="n">
        <v>12220</v>
      </c>
      <c r="M649" t="inlineStr">
        <is>
          <t>Sí</t>
        </is>
      </c>
      <c r="N649" t="inlineStr"/>
      <c r="O649" t="inlineStr">
        <is>
          <t>Informativa</t>
        </is>
      </c>
      <c r="P649" t="inlineStr">
        <is>
          <t>No interviene en el prorrateo</t>
        </is>
      </c>
    </row>
    <row r="650">
      <c r="A650" t="n">
        <v>1544</v>
      </c>
      <c r="B650" t="inlineStr">
        <is>
          <t>HARO ORDOÑO, ALVARO</t>
        </is>
      </c>
      <c r="E650" t="n">
        <v>2026</v>
      </c>
      <c r="F650" t="n">
        <v>1</v>
      </c>
      <c r="G650" t="inlineStr">
        <is>
          <t>CITRICOS</t>
        </is>
      </c>
      <c r="H650" t="inlineStr">
        <is>
          <t>SALUSTIANA</t>
        </is>
      </c>
      <c r="I650" t="n">
        <v>662</v>
      </c>
      <c r="J650" t="n">
        <v>12060</v>
      </c>
      <c r="K650" t="n">
        <v>0</v>
      </c>
      <c r="L650" t="n">
        <v>12060</v>
      </c>
      <c r="M650" t="inlineStr">
        <is>
          <t>Sí</t>
        </is>
      </c>
      <c r="N650" t="inlineStr"/>
      <c r="O650" t="inlineStr">
        <is>
          <t>Informativa</t>
        </is>
      </c>
      <c r="P650" t="inlineStr">
        <is>
          <t>No interviene en el prorrateo</t>
        </is>
      </c>
    </row>
    <row r="651">
      <c r="A651" t="n">
        <v>1544</v>
      </c>
      <c r="B651" t="inlineStr">
        <is>
          <t>HARO ORDOÑO, ALVARO</t>
        </is>
      </c>
      <c r="E651" t="n">
        <v>2026</v>
      </c>
      <c r="F651" t="n">
        <v>1</v>
      </c>
      <c r="G651" t="inlineStr">
        <is>
          <t>CITRICOS</t>
        </is>
      </c>
      <c r="H651" t="inlineStr">
        <is>
          <t>SALUSTIANA</t>
        </is>
      </c>
      <c r="I651" t="n">
        <v>662</v>
      </c>
      <c r="J651" t="n">
        <v>10880</v>
      </c>
      <c r="K651" t="n">
        <v>0</v>
      </c>
      <c r="L651" t="n">
        <v>10880</v>
      </c>
      <c r="M651" t="inlineStr">
        <is>
          <t>Sí</t>
        </is>
      </c>
      <c r="N651" t="inlineStr"/>
      <c r="O651" t="inlineStr">
        <is>
          <t>Informativa</t>
        </is>
      </c>
      <c r="P651" t="inlineStr">
        <is>
          <t>No interviene en el prorrateo</t>
        </is>
      </c>
    </row>
    <row r="652">
      <c r="A652" t="n">
        <v>1544</v>
      </c>
      <c r="B652" t="inlineStr">
        <is>
          <t>HARO ORDOÑO, ALVARO</t>
        </is>
      </c>
      <c r="E652" t="n">
        <v>2026</v>
      </c>
      <c r="F652" t="n">
        <v>1</v>
      </c>
      <c r="G652" t="inlineStr">
        <is>
          <t>CITRICOS</t>
        </is>
      </c>
      <c r="H652" t="inlineStr">
        <is>
          <t>SALUSTIANA</t>
        </is>
      </c>
      <c r="I652" t="n">
        <v>662</v>
      </c>
      <c r="J652" t="n">
        <v>7100</v>
      </c>
      <c r="K652" t="n">
        <v>0</v>
      </c>
      <c r="L652" t="n">
        <v>7100</v>
      </c>
      <c r="M652" t="inlineStr">
        <is>
          <t>Sí</t>
        </is>
      </c>
      <c r="N652" t="inlineStr"/>
      <c r="O652" t="inlineStr">
        <is>
          <t>Informativa</t>
        </is>
      </c>
      <c r="P652" t="inlineStr">
        <is>
          <t>No interviene en el prorrateo</t>
        </is>
      </c>
    </row>
    <row r="653">
      <c r="A653" t="n">
        <v>1544</v>
      </c>
      <c r="B653" t="inlineStr">
        <is>
          <t>HARO ORDOÑO, ALVARO</t>
        </is>
      </c>
      <c r="E653" t="n">
        <v>2026</v>
      </c>
      <c r="F653" t="n">
        <v>1</v>
      </c>
      <c r="G653" t="inlineStr">
        <is>
          <t>DIRECTO</t>
        </is>
      </c>
      <c r="H653" t="inlineStr">
        <is>
          <t>NAVELINA</t>
        </is>
      </c>
      <c r="I653" t="n">
        <v>596</v>
      </c>
      <c r="J653" t="n">
        <v>4000</v>
      </c>
      <c r="K653" t="n">
        <v>0</v>
      </c>
      <c r="L653" t="n">
        <v>4000</v>
      </c>
      <c r="M653" t="inlineStr">
        <is>
          <t>Sí</t>
        </is>
      </c>
      <c r="N653" t="inlineStr"/>
      <c r="O653" t="inlineStr">
        <is>
          <t>Informativa</t>
        </is>
      </c>
      <c r="P653" t="inlineStr">
        <is>
          <t>No interviene en el prorrateo</t>
        </is>
      </c>
    </row>
    <row r="654">
      <c r="A654" t="n">
        <v>1544</v>
      </c>
      <c r="B654" t="inlineStr">
        <is>
          <t>HARO ORDOÑO, ALVARO</t>
        </is>
      </c>
      <c r="E654" t="n">
        <v>2026</v>
      </c>
      <c r="F654" t="n">
        <v>1</v>
      </c>
      <c r="G654" t="inlineStr">
        <is>
          <t>DIRECTO</t>
        </is>
      </c>
      <c r="H654" t="inlineStr">
        <is>
          <t>NAVELINA</t>
        </is>
      </c>
      <c r="I654" t="n">
        <v>575</v>
      </c>
      <c r="J654" t="n">
        <v>9962</v>
      </c>
      <c r="K654" t="n">
        <v>0</v>
      </c>
      <c r="L654" t="n">
        <v>9962</v>
      </c>
      <c r="M654" t="inlineStr">
        <is>
          <t>Sí</t>
        </is>
      </c>
      <c r="N654" t="inlineStr"/>
      <c r="O654" t="inlineStr">
        <is>
          <t>Informativa</t>
        </is>
      </c>
      <c r="P654" t="inlineStr">
        <is>
          <t>No interviene en el prorrateo</t>
        </is>
      </c>
    </row>
    <row r="655">
      <c r="A655" t="n">
        <v>1544</v>
      </c>
      <c r="B655" t="inlineStr">
        <is>
          <t>HARO ORDOÑO, ALVARO</t>
        </is>
      </c>
      <c r="E655" t="n">
        <v>2026</v>
      </c>
      <c r="F655" t="n">
        <v>1</v>
      </c>
      <c r="G655" t="inlineStr">
        <is>
          <t>DIRECTO</t>
        </is>
      </c>
      <c r="H655" t="inlineStr">
        <is>
          <t>LANE LATE</t>
        </is>
      </c>
      <c r="I655" t="n">
        <v>576</v>
      </c>
      <c r="J655" t="n">
        <v>21260</v>
      </c>
      <c r="K655" t="n">
        <v>0</v>
      </c>
      <c r="L655" t="n">
        <v>21260</v>
      </c>
      <c r="M655" t="inlineStr">
        <is>
          <t>Sí</t>
        </is>
      </c>
      <c r="N655" t="inlineStr"/>
      <c r="O655" t="inlineStr">
        <is>
          <t>Informativa</t>
        </is>
      </c>
      <c r="P655" t="inlineStr">
        <is>
          <t>No interviene en el prorrateo</t>
        </is>
      </c>
    </row>
    <row r="656">
      <c r="A656" t="n">
        <v>1544</v>
      </c>
      <c r="B656" t="inlineStr">
        <is>
          <t>HARO ORDOÑO, ALVARO</t>
        </is>
      </c>
      <c r="E656" t="n">
        <v>2026</v>
      </c>
      <c r="F656" t="n">
        <v>1</v>
      </c>
      <c r="G656" t="inlineStr">
        <is>
          <t>DIRECTO</t>
        </is>
      </c>
      <c r="H656" t="inlineStr">
        <is>
          <t>CHISLETT SUMER</t>
        </is>
      </c>
      <c r="I656" t="n">
        <v>578</v>
      </c>
      <c r="J656" t="n">
        <v>23900</v>
      </c>
      <c r="K656" t="n">
        <v>0</v>
      </c>
      <c r="L656" t="n">
        <v>23900</v>
      </c>
      <c r="M656" t="inlineStr">
        <is>
          <t>Sí</t>
        </is>
      </c>
      <c r="N656" t="inlineStr"/>
      <c r="O656" t="inlineStr">
        <is>
          <t>Informativa</t>
        </is>
      </c>
      <c r="P656" t="inlineStr">
        <is>
          <t>No interviene en el prorrateo</t>
        </is>
      </c>
    </row>
    <row r="657">
      <c r="A657" t="n">
        <v>1544</v>
      </c>
      <c r="B657" t="inlineStr">
        <is>
          <t>HARO ORDOÑO, ALVARO</t>
        </is>
      </c>
      <c r="E657" t="n">
        <v>2026</v>
      </c>
      <c r="F657" t="n">
        <v>1</v>
      </c>
      <c r="G657" t="inlineStr">
        <is>
          <t>DIRECTO</t>
        </is>
      </c>
      <c r="H657" t="inlineStr">
        <is>
          <t>CHISLETT SUMER</t>
        </is>
      </c>
      <c r="I657" t="n">
        <v>578</v>
      </c>
      <c r="J657" t="n">
        <v>23405</v>
      </c>
      <c r="K657" t="n">
        <v>0</v>
      </c>
      <c r="L657" t="n">
        <v>23405</v>
      </c>
      <c r="M657" t="inlineStr">
        <is>
          <t>Sí</t>
        </is>
      </c>
      <c r="N657" t="inlineStr"/>
      <c r="O657" t="inlineStr">
        <is>
          <t>Informativa</t>
        </is>
      </c>
      <c r="P657" t="inlineStr">
        <is>
          <t>No interviene en el prorrateo</t>
        </is>
      </c>
    </row>
    <row r="658">
      <c r="A658" t="n">
        <v>1544</v>
      </c>
      <c r="B658" t="inlineStr">
        <is>
          <t>HARO ORDOÑO, ALVARO</t>
        </is>
      </c>
      <c r="E658" t="n">
        <v>2026</v>
      </c>
      <c r="F658" t="n">
        <v>1</v>
      </c>
      <c r="G658" t="inlineStr">
        <is>
          <t>DIRECTO</t>
        </is>
      </c>
      <c r="H658" t="inlineStr">
        <is>
          <t>CHISLETT SUMER</t>
        </is>
      </c>
      <c r="I658" t="n">
        <v>578</v>
      </c>
      <c r="J658" t="n">
        <v>5700</v>
      </c>
      <c r="K658" t="n">
        <v>0</v>
      </c>
      <c r="L658" t="n">
        <v>5700</v>
      </c>
      <c r="M658" t="inlineStr">
        <is>
          <t>Sí</t>
        </is>
      </c>
      <c r="N658" t="inlineStr"/>
      <c r="O658" t="inlineStr">
        <is>
          <t>Informativa</t>
        </is>
      </c>
      <c r="P658" t="inlineStr">
        <is>
          <t>No interviene en el prorrateo</t>
        </is>
      </c>
    </row>
    <row r="659">
      <c r="A659" t="n">
        <v>1544</v>
      </c>
      <c r="B659" t="inlineStr">
        <is>
          <t>HARO ORDOÑO, ALVARO</t>
        </is>
      </c>
      <c r="E659" t="n">
        <v>2026</v>
      </c>
      <c r="F659" t="n">
        <v>1</v>
      </c>
      <c r="G659" t="inlineStr">
        <is>
          <t>INDUSTRIA</t>
        </is>
      </c>
      <c r="H659" t="inlineStr">
        <is>
          <t>SALUSTIANA</t>
        </is>
      </c>
      <c r="I659" t="n">
        <v>662</v>
      </c>
      <c r="J659" t="n">
        <v>720</v>
      </c>
      <c r="K659" t="n">
        <v>0</v>
      </c>
      <c r="L659" t="n">
        <v>720</v>
      </c>
      <c r="M659" t="inlineStr">
        <is>
          <t>Sí</t>
        </is>
      </c>
      <c r="N659" t="inlineStr"/>
      <c r="O659" t="inlineStr">
        <is>
          <t>Informativa</t>
        </is>
      </c>
      <c r="P659" t="inlineStr">
        <is>
          <t>No interviene en el prorrateo</t>
        </is>
      </c>
    </row>
    <row r="660">
      <c r="A660" t="n">
        <v>1544</v>
      </c>
      <c r="B660" t="inlineStr">
        <is>
          <t>HARO ORDOÑO, ALVARO</t>
        </is>
      </c>
      <c r="E660" t="n">
        <v>2026</v>
      </c>
      <c r="F660" t="n">
        <v>1</v>
      </c>
      <c r="G660" t="inlineStr">
        <is>
          <t>INDUSTRIA</t>
        </is>
      </c>
      <c r="H660" t="inlineStr">
        <is>
          <t>SALUSTIANA</t>
        </is>
      </c>
      <c r="I660" t="n">
        <v>662</v>
      </c>
      <c r="J660" t="n">
        <v>710</v>
      </c>
      <c r="K660" t="n">
        <v>0</v>
      </c>
      <c r="L660" t="n">
        <v>710</v>
      </c>
      <c r="M660" t="inlineStr">
        <is>
          <t>Sí</t>
        </is>
      </c>
      <c r="N660" t="inlineStr"/>
      <c r="O660" t="inlineStr">
        <is>
          <t>Informativa</t>
        </is>
      </c>
      <c r="P660" t="inlineStr">
        <is>
          <t>No interviene en el prorrateo</t>
        </is>
      </c>
    </row>
    <row r="661">
      <c r="A661" t="n">
        <v>1544</v>
      </c>
      <c r="B661" t="inlineStr">
        <is>
          <t>HARO ORDOÑO, ALVARO</t>
        </is>
      </c>
      <c r="E661" t="n">
        <v>2026</v>
      </c>
      <c r="F661" t="n">
        <v>1</v>
      </c>
      <c r="G661" t="inlineStr">
        <is>
          <t>INDUSTRIA</t>
        </is>
      </c>
      <c r="H661" t="inlineStr">
        <is>
          <t>SALUSTIANA</t>
        </is>
      </c>
      <c r="I661" t="n">
        <v>662</v>
      </c>
      <c r="J661" t="n">
        <v>740</v>
      </c>
      <c r="K661" t="n">
        <v>0</v>
      </c>
      <c r="L661" t="n">
        <v>740</v>
      </c>
      <c r="M661" t="inlineStr">
        <is>
          <t>Sí</t>
        </is>
      </c>
      <c r="N661" t="inlineStr"/>
      <c r="O661" t="inlineStr">
        <is>
          <t>Informativa</t>
        </is>
      </c>
      <c r="P661" t="inlineStr">
        <is>
          <t>No interviene en el prorrateo</t>
        </is>
      </c>
    </row>
    <row r="662">
      <c r="A662" t="n">
        <v>1544</v>
      </c>
      <c r="B662" t="inlineStr">
        <is>
          <t>HARO ORDOÑO, ALVARO</t>
        </is>
      </c>
      <c r="E662" t="n">
        <v>2026</v>
      </c>
      <c r="F662" t="n">
        <v>1</v>
      </c>
      <c r="G662" t="inlineStr">
        <is>
          <t>INDUSTRIA</t>
        </is>
      </c>
      <c r="H662" t="inlineStr">
        <is>
          <t>SALUSTIANA</t>
        </is>
      </c>
      <c r="I662" t="n">
        <v>662</v>
      </c>
      <c r="J662" t="n">
        <v>700</v>
      </c>
      <c r="K662" t="n">
        <v>0</v>
      </c>
      <c r="L662" t="n">
        <v>700</v>
      </c>
      <c r="M662" t="inlineStr">
        <is>
          <t>Sí</t>
        </is>
      </c>
      <c r="N662" t="inlineStr"/>
      <c r="O662" t="inlineStr">
        <is>
          <t>Informativa</t>
        </is>
      </c>
      <c r="P662" t="inlineStr">
        <is>
          <t>No interviene en el prorrateo</t>
        </is>
      </c>
    </row>
    <row r="663">
      <c r="A663" t="n">
        <v>1544</v>
      </c>
      <c r="B663" t="inlineStr">
        <is>
          <t>HARO ORDOÑO, ALVARO</t>
        </is>
      </c>
      <c r="E663" t="n">
        <v>2026</v>
      </c>
      <c r="F663" t="n">
        <v>1</v>
      </c>
      <c r="G663" t="inlineStr">
        <is>
          <t>INDUSTRIA</t>
        </is>
      </c>
      <c r="H663" t="inlineStr">
        <is>
          <t>SALUSTIANA</t>
        </is>
      </c>
      <c r="I663" t="n">
        <v>662</v>
      </c>
      <c r="J663" t="n">
        <v>780</v>
      </c>
      <c r="K663" t="n">
        <v>0</v>
      </c>
      <c r="L663" t="n">
        <v>780</v>
      </c>
      <c r="M663" t="inlineStr">
        <is>
          <t>Sí</t>
        </is>
      </c>
      <c r="N663" t="inlineStr"/>
      <c r="O663" t="inlineStr">
        <is>
          <t>Informativa</t>
        </is>
      </c>
      <c r="P663" t="inlineStr">
        <is>
          <t>No interviene en el prorrateo</t>
        </is>
      </c>
    </row>
    <row r="664">
      <c r="A664" t="n">
        <v>1544</v>
      </c>
      <c r="B664" t="inlineStr">
        <is>
          <t>HARO ORDOÑO, ALVARO</t>
        </is>
      </c>
      <c r="E664" t="n">
        <v>2026</v>
      </c>
      <c r="F664" t="n">
        <v>1</v>
      </c>
      <c r="G664" t="inlineStr">
        <is>
          <t>INDUSTRIA</t>
        </is>
      </c>
      <c r="H664" t="inlineStr">
        <is>
          <t>SALUSTIANA</t>
        </is>
      </c>
      <c r="I664" t="n">
        <v>662</v>
      </c>
      <c r="J664" t="n">
        <v>750</v>
      </c>
      <c r="K664" t="n">
        <v>0</v>
      </c>
      <c r="L664" t="n">
        <v>750</v>
      </c>
      <c r="M664" t="inlineStr">
        <is>
          <t>Sí</t>
        </is>
      </c>
      <c r="N664" t="inlineStr"/>
      <c r="O664" t="inlineStr">
        <is>
          <t>Informativa</t>
        </is>
      </c>
      <c r="P664" t="inlineStr">
        <is>
          <t>No interviene en el prorrateo</t>
        </is>
      </c>
    </row>
    <row r="665">
      <c r="A665" t="n">
        <v>1544</v>
      </c>
      <c r="B665" t="inlineStr">
        <is>
          <t>HARO ORDOÑO, ALVARO</t>
        </is>
      </c>
      <c r="E665" t="n">
        <v>2026</v>
      </c>
      <c r="F665" t="n">
        <v>1</v>
      </c>
      <c r="G665" t="inlineStr">
        <is>
          <t>INDUSTRIA</t>
        </is>
      </c>
      <c r="H665" t="inlineStr">
        <is>
          <t>SALUSTIANA</t>
        </is>
      </c>
      <c r="I665" t="n">
        <v>662</v>
      </c>
      <c r="J665" t="n">
        <v>370</v>
      </c>
      <c r="K665" t="n">
        <v>0</v>
      </c>
      <c r="L665" t="n">
        <v>370</v>
      </c>
      <c r="M665" t="inlineStr">
        <is>
          <t>Sí</t>
        </is>
      </c>
      <c r="N665" t="inlineStr"/>
      <c r="O665" t="inlineStr">
        <is>
          <t>Informativa</t>
        </is>
      </c>
      <c r="P665" t="inlineStr">
        <is>
          <t>No interviene en el prorrateo</t>
        </is>
      </c>
    </row>
    <row r="666">
      <c r="A666" t="n">
        <v>1544</v>
      </c>
      <c r="B666" t="inlineStr">
        <is>
          <t>HARO ORDOÑO, ALVARO</t>
        </is>
      </c>
      <c r="E666" t="n">
        <v>2026</v>
      </c>
      <c r="F666" t="n">
        <v>1</v>
      </c>
      <c r="G666" t="inlineStr">
        <is>
          <t>INDUSTRIA</t>
        </is>
      </c>
      <c r="H666" t="inlineStr">
        <is>
          <t>NAVELINA</t>
        </is>
      </c>
      <c r="I666" t="n">
        <v>575</v>
      </c>
      <c r="J666" t="n">
        <v>690</v>
      </c>
      <c r="K666" t="n">
        <v>0</v>
      </c>
      <c r="L666" t="n">
        <v>690</v>
      </c>
      <c r="M666" t="inlineStr">
        <is>
          <t>Sí</t>
        </is>
      </c>
      <c r="N666" t="inlineStr"/>
      <c r="O666" t="inlineStr">
        <is>
          <t>Informativa</t>
        </is>
      </c>
      <c r="P666" t="inlineStr">
        <is>
          <t>No interviene en el prorrateo</t>
        </is>
      </c>
    </row>
    <row r="667">
      <c r="A667" t="n">
        <v>1544</v>
      </c>
      <c r="B667" t="inlineStr">
        <is>
          <t>HARO ORDOÑO, ALVARO</t>
        </is>
      </c>
      <c r="E667" t="n">
        <v>2026</v>
      </c>
      <c r="F667" t="n">
        <v>1</v>
      </c>
      <c r="G667" t="inlineStr">
        <is>
          <t>INDUSTRIA</t>
        </is>
      </c>
      <c r="H667" t="inlineStr">
        <is>
          <t>LANE LATE</t>
        </is>
      </c>
      <c r="I667" t="n">
        <v>576</v>
      </c>
      <c r="J667" t="n">
        <v>700</v>
      </c>
      <c r="K667" t="n">
        <v>0</v>
      </c>
      <c r="L667" t="n">
        <v>700</v>
      </c>
      <c r="M667" t="inlineStr">
        <is>
          <t>Sí</t>
        </is>
      </c>
      <c r="N667" t="inlineStr"/>
      <c r="O667" t="inlineStr">
        <is>
          <t>Informativa</t>
        </is>
      </c>
      <c r="P667" t="inlineStr">
        <is>
          <t>No interviene en el prorrateo</t>
        </is>
      </c>
    </row>
    <row r="668">
      <c r="A668" t="n">
        <v>1544</v>
      </c>
      <c r="B668" t="inlineStr">
        <is>
          <t>HARO ORDOÑO, ALVARO</t>
        </is>
      </c>
      <c r="E668" t="n">
        <v>2026</v>
      </c>
      <c r="F668" t="n">
        <v>1</v>
      </c>
      <c r="G668" t="inlineStr">
        <is>
          <t>INDUSTRIA</t>
        </is>
      </c>
      <c r="H668" t="inlineStr">
        <is>
          <t>LANE LATE</t>
        </is>
      </c>
      <c r="I668" t="n">
        <v>576</v>
      </c>
      <c r="J668" t="n">
        <v>720</v>
      </c>
      <c r="K668" t="n">
        <v>0</v>
      </c>
      <c r="L668" t="n">
        <v>720</v>
      </c>
      <c r="M668" t="inlineStr">
        <is>
          <t>Sí</t>
        </is>
      </c>
      <c r="N668" t="inlineStr"/>
      <c r="O668" t="inlineStr">
        <is>
          <t>Informativa</t>
        </is>
      </c>
      <c r="P668" t="inlineStr">
        <is>
          <t>No interviene en el prorrateo</t>
        </is>
      </c>
    </row>
    <row r="669">
      <c r="A669" t="n">
        <v>1544</v>
      </c>
      <c r="B669" t="inlineStr">
        <is>
          <t>HARO ORDOÑO, ALVARO</t>
        </is>
      </c>
      <c r="E669" t="n">
        <v>2026</v>
      </c>
      <c r="F669" t="n">
        <v>1</v>
      </c>
      <c r="G669" t="inlineStr">
        <is>
          <t>INDUSTRIA</t>
        </is>
      </c>
      <c r="H669" t="inlineStr">
        <is>
          <t>LANE LATE</t>
        </is>
      </c>
      <c r="I669" t="n">
        <v>576</v>
      </c>
      <c r="J669" t="n">
        <v>730</v>
      </c>
      <c r="K669" t="n">
        <v>0</v>
      </c>
      <c r="L669" t="n">
        <v>730</v>
      </c>
      <c r="M669" t="inlineStr">
        <is>
          <t>Sí</t>
        </is>
      </c>
      <c r="N669" t="inlineStr"/>
      <c r="O669" t="inlineStr">
        <is>
          <t>Informativa</t>
        </is>
      </c>
      <c r="P669" t="inlineStr">
        <is>
          <t>No interviene en el prorrateo</t>
        </is>
      </c>
    </row>
    <row r="670">
      <c r="A670" t="n">
        <v>1544</v>
      </c>
      <c r="B670" t="inlineStr">
        <is>
          <t>HARO ORDOÑO, ALVARO</t>
        </is>
      </c>
      <c r="E670" t="n">
        <v>2026</v>
      </c>
      <c r="F670" t="n">
        <v>1</v>
      </c>
      <c r="G670" t="inlineStr">
        <is>
          <t>INDUSTRIA</t>
        </is>
      </c>
      <c r="H670" t="inlineStr">
        <is>
          <t>LANE LATE</t>
        </is>
      </c>
      <c r="I670" t="n">
        <v>576</v>
      </c>
      <c r="J670" t="n">
        <v>770</v>
      </c>
      <c r="K670" t="n">
        <v>0</v>
      </c>
      <c r="L670" t="n">
        <v>770</v>
      </c>
      <c r="M670" t="inlineStr">
        <is>
          <t>Sí</t>
        </is>
      </c>
      <c r="N670" t="inlineStr"/>
      <c r="O670" t="inlineStr">
        <is>
          <t>Informativa</t>
        </is>
      </c>
      <c r="P670" t="inlineStr">
        <is>
          <t>No interviene en el prorrateo</t>
        </is>
      </c>
    </row>
    <row r="671">
      <c r="A671" t="n">
        <v>1564</v>
      </c>
      <c r="B671" t="inlineStr">
        <is>
          <t>VARELA MUÑOZ, ANTONIO</t>
        </is>
      </c>
      <c r="E671" t="n">
        <v>2026</v>
      </c>
      <c r="F671" t="n">
        <v>1</v>
      </c>
      <c r="G671" t="inlineStr">
        <is>
          <t>CITRICOS</t>
        </is>
      </c>
      <c r="H671" t="inlineStr">
        <is>
          <t>SALUSTIANA</t>
        </is>
      </c>
      <c r="I671" t="n">
        <v>681</v>
      </c>
      <c r="J671" t="n">
        <v>22733</v>
      </c>
      <c r="K671" t="n">
        <v>0</v>
      </c>
      <c r="L671" t="n">
        <v>22733</v>
      </c>
      <c r="M671" t="inlineStr">
        <is>
          <t>Sí</t>
        </is>
      </c>
      <c r="N671" t="inlineStr"/>
      <c r="O671" t="inlineStr">
        <is>
          <t>Informativa</t>
        </is>
      </c>
      <c r="P671" t="inlineStr">
        <is>
          <t>No interviene en el prorrateo</t>
        </is>
      </c>
    </row>
    <row r="672">
      <c r="A672" t="n">
        <v>1564</v>
      </c>
      <c r="B672" t="inlineStr">
        <is>
          <t>VARELA MUÑOZ, ANTONIO</t>
        </is>
      </c>
      <c r="E672" t="n">
        <v>2026</v>
      </c>
      <c r="F672" t="n">
        <v>1</v>
      </c>
      <c r="G672" t="inlineStr">
        <is>
          <t>CITRICOS</t>
        </is>
      </c>
      <c r="H672" t="inlineStr">
        <is>
          <t>SALUSTIANA</t>
        </is>
      </c>
      <c r="I672" t="n">
        <v>681</v>
      </c>
      <c r="J672" t="n">
        <v>5280</v>
      </c>
      <c r="K672" t="n">
        <v>0</v>
      </c>
      <c r="L672" t="n">
        <v>5280</v>
      </c>
      <c r="M672" t="inlineStr">
        <is>
          <t>Sí</t>
        </is>
      </c>
      <c r="N672" t="inlineStr"/>
      <c r="O672" t="inlineStr">
        <is>
          <t>Informativa</t>
        </is>
      </c>
      <c r="P672" t="inlineStr">
        <is>
          <t>No interviene en el prorrateo</t>
        </is>
      </c>
    </row>
    <row r="673">
      <c r="A673" t="n">
        <v>1564</v>
      </c>
      <c r="B673" t="inlineStr">
        <is>
          <t>VARELA MUÑOZ, ANTONIO</t>
        </is>
      </c>
      <c r="E673" t="n">
        <v>2026</v>
      </c>
      <c r="F673" t="n">
        <v>1</v>
      </c>
      <c r="G673" t="inlineStr">
        <is>
          <t>INDUSTRIA</t>
        </is>
      </c>
      <c r="H673" t="inlineStr">
        <is>
          <t>SALUSTIANA</t>
        </is>
      </c>
      <c r="I673" t="n">
        <v>681</v>
      </c>
      <c r="J673" t="n">
        <v>1655</v>
      </c>
      <c r="K673" t="n">
        <v>0</v>
      </c>
      <c r="L673" t="n">
        <v>1655</v>
      </c>
      <c r="M673" t="inlineStr">
        <is>
          <t>Sí</t>
        </is>
      </c>
      <c r="N673" t="inlineStr"/>
      <c r="O673" t="inlineStr">
        <is>
          <t>Informativa</t>
        </is>
      </c>
      <c r="P673" t="inlineStr">
        <is>
          <t>No interviene en el prorrateo</t>
        </is>
      </c>
    </row>
    <row r="674">
      <c r="A674" t="n">
        <v>1577</v>
      </c>
      <c r="B674" t="inlineStr">
        <is>
          <t>GOMEZ GUERRERO, MARIA MERCEDES</t>
        </is>
      </c>
      <c r="E674" t="n">
        <v>2026</v>
      </c>
      <c r="F674" t="n">
        <v>1</v>
      </c>
      <c r="G674" t="inlineStr">
        <is>
          <t>CITRICOS</t>
        </is>
      </c>
      <c r="H674" t="inlineStr">
        <is>
          <t>SALUSTIANA</t>
        </is>
      </c>
      <c r="I674" t="n">
        <v>142</v>
      </c>
      <c r="J674" t="n">
        <v>22795</v>
      </c>
      <c r="K674" t="n">
        <v>22510</v>
      </c>
      <c r="L674" t="n">
        <v>22510</v>
      </c>
      <c r="M674" t="inlineStr">
        <is>
          <t>Sí</t>
        </is>
      </c>
      <c r="N674" t="inlineStr"/>
      <c r="O674" t="inlineStr">
        <is>
          <t>Informativa</t>
        </is>
      </c>
      <c r="P674" t="inlineStr">
        <is>
          <t>No interviene en el prorrateo</t>
        </is>
      </c>
    </row>
    <row r="675">
      <c r="A675" t="n">
        <v>1577</v>
      </c>
      <c r="B675" t="inlineStr">
        <is>
          <t>GOMEZ GUERRERO, MARIA MERCEDES</t>
        </is>
      </c>
      <c r="E675" t="n">
        <v>2026</v>
      </c>
      <c r="F675" t="n">
        <v>1</v>
      </c>
      <c r="G675" t="inlineStr">
        <is>
          <t>CITRICOS</t>
        </is>
      </c>
      <c r="H675" t="inlineStr">
        <is>
          <t>SALUSTIANA</t>
        </is>
      </c>
      <c r="I675" t="n">
        <v>142</v>
      </c>
      <c r="J675" t="n">
        <v>22430</v>
      </c>
      <c r="K675" t="n">
        <v>21788</v>
      </c>
      <c r="L675" t="n">
        <v>21788</v>
      </c>
      <c r="M675" t="inlineStr">
        <is>
          <t>Sí</t>
        </is>
      </c>
      <c r="N675" t="inlineStr"/>
      <c r="O675" t="inlineStr">
        <is>
          <t>Informativa</t>
        </is>
      </c>
      <c r="P675" t="inlineStr">
        <is>
          <t>No interviene en el prorrateo</t>
        </is>
      </c>
    </row>
    <row r="676">
      <c r="A676" t="n">
        <v>1577</v>
      </c>
      <c r="B676" t="inlineStr">
        <is>
          <t>GOMEZ GUERRERO, MARIA MERCEDES</t>
        </is>
      </c>
      <c r="E676" t="n">
        <v>2026</v>
      </c>
      <c r="F676" t="n">
        <v>1</v>
      </c>
      <c r="G676" t="inlineStr">
        <is>
          <t>CITRICOS</t>
        </is>
      </c>
      <c r="H676" t="inlineStr">
        <is>
          <t>SALUSTIANA</t>
        </is>
      </c>
      <c r="I676" t="n">
        <v>142</v>
      </c>
      <c r="J676" t="n">
        <v>11405</v>
      </c>
      <c r="K676" t="n">
        <v>10770</v>
      </c>
      <c r="L676" t="n">
        <v>10770</v>
      </c>
      <c r="M676" t="inlineStr">
        <is>
          <t>Sí</t>
        </is>
      </c>
      <c r="N676" t="inlineStr"/>
      <c r="O676" t="inlineStr">
        <is>
          <t>Informativa</t>
        </is>
      </c>
      <c r="P676" t="inlineStr">
        <is>
          <t>No interviene en el prorrateo</t>
        </is>
      </c>
    </row>
    <row r="677">
      <c r="A677" t="n">
        <v>1577</v>
      </c>
      <c r="B677" t="inlineStr">
        <is>
          <t>GOMEZ GUERRERO, MARIA MERCEDES</t>
        </is>
      </c>
      <c r="E677" t="n">
        <v>2026</v>
      </c>
      <c r="F677" t="n">
        <v>1</v>
      </c>
      <c r="G677" t="inlineStr">
        <is>
          <t>CITRICOS</t>
        </is>
      </c>
      <c r="H677" t="inlineStr">
        <is>
          <t>SALUSTIANA</t>
        </is>
      </c>
      <c r="I677" t="n">
        <v>142</v>
      </c>
      <c r="J677" t="n">
        <v>22096</v>
      </c>
      <c r="K677" t="n">
        <v>21936</v>
      </c>
      <c r="L677" t="n">
        <v>21936</v>
      </c>
      <c r="M677" t="inlineStr">
        <is>
          <t>Sí</t>
        </is>
      </c>
      <c r="N677" t="inlineStr"/>
      <c r="O677" t="inlineStr">
        <is>
          <t>Informativa</t>
        </is>
      </c>
      <c r="P677" t="inlineStr">
        <is>
          <t>No interviene en el prorrateo</t>
        </is>
      </c>
    </row>
    <row r="678">
      <c r="A678" t="n">
        <v>1577</v>
      </c>
      <c r="B678" t="inlineStr">
        <is>
          <t>GOMEZ GUERRERO, MARIA MERCEDES</t>
        </is>
      </c>
      <c r="E678" t="n">
        <v>2026</v>
      </c>
      <c r="F678" t="n">
        <v>1</v>
      </c>
      <c r="G678" t="inlineStr">
        <is>
          <t>CITRICOS</t>
        </is>
      </c>
      <c r="H678" t="inlineStr">
        <is>
          <t>SALUSTIANA</t>
        </is>
      </c>
      <c r="I678" t="n">
        <v>142</v>
      </c>
      <c r="J678" t="n">
        <v>14150</v>
      </c>
      <c r="K678" t="n">
        <v>0</v>
      </c>
      <c r="L678" t="n">
        <v>14150</v>
      </c>
      <c r="M678" t="inlineStr">
        <is>
          <t>Sí</t>
        </is>
      </c>
      <c r="N678" t="inlineStr"/>
      <c r="O678" t="inlineStr">
        <is>
          <t>Informativa</t>
        </is>
      </c>
      <c r="P678" t="inlineStr">
        <is>
          <t>No interviene en el prorrateo</t>
        </is>
      </c>
    </row>
    <row r="679">
      <c r="A679" t="n">
        <v>1577</v>
      </c>
      <c r="B679" t="inlineStr">
        <is>
          <t>GOMEZ GUERRERO, MARIA MERCEDES</t>
        </is>
      </c>
      <c r="E679" t="n">
        <v>2026</v>
      </c>
      <c r="F679" t="n">
        <v>1</v>
      </c>
      <c r="G679" t="inlineStr">
        <is>
          <t>CITRICOS</t>
        </is>
      </c>
      <c r="H679" t="inlineStr">
        <is>
          <t>SALUSTIANA</t>
        </is>
      </c>
      <c r="I679" t="n">
        <v>142</v>
      </c>
      <c r="J679" t="n">
        <v>22880</v>
      </c>
      <c r="K679" t="n">
        <v>0</v>
      </c>
      <c r="L679" t="n">
        <v>22880</v>
      </c>
      <c r="M679" t="inlineStr">
        <is>
          <t>Sí</t>
        </is>
      </c>
      <c r="N679" t="inlineStr"/>
      <c r="O679" t="inlineStr">
        <is>
          <t>Informativa</t>
        </is>
      </c>
      <c r="P679" t="inlineStr">
        <is>
          <t>No interviene en el prorrateo</t>
        </is>
      </c>
    </row>
    <row r="680">
      <c r="A680" t="n">
        <v>1577</v>
      </c>
      <c r="B680" t="inlineStr">
        <is>
          <t>GOMEZ GUERRERO, MARIA MERCEDES</t>
        </is>
      </c>
      <c r="E680" t="n">
        <v>2026</v>
      </c>
      <c r="F680" t="n">
        <v>1</v>
      </c>
      <c r="G680" t="inlineStr">
        <is>
          <t>CITRICOS</t>
        </is>
      </c>
      <c r="H680" t="inlineStr">
        <is>
          <t>SALUSTIANA</t>
        </is>
      </c>
      <c r="I680" t="n">
        <v>142</v>
      </c>
      <c r="J680" t="n">
        <v>7181</v>
      </c>
      <c r="K680" t="n">
        <v>0</v>
      </c>
      <c r="L680" t="n">
        <v>7181</v>
      </c>
      <c r="M680" t="inlineStr">
        <is>
          <t>Sí</t>
        </is>
      </c>
      <c r="N680" t="inlineStr"/>
      <c r="O680" t="inlineStr">
        <is>
          <t>Informativa</t>
        </is>
      </c>
      <c r="P680" t="inlineStr">
        <is>
          <t>No interviene en el prorrateo</t>
        </is>
      </c>
    </row>
    <row r="681">
      <c r="A681" t="n">
        <v>1577</v>
      </c>
      <c r="B681" t="inlineStr">
        <is>
          <t>GOMEZ GUERRERO, MARIA MERCEDES</t>
        </is>
      </c>
      <c r="E681" t="n">
        <v>2026</v>
      </c>
      <c r="F681" t="n">
        <v>1</v>
      </c>
      <c r="G681" t="inlineStr">
        <is>
          <t>CITRICOS</t>
        </is>
      </c>
      <c r="H681" t="inlineStr">
        <is>
          <t>SALUSTIANA</t>
        </is>
      </c>
      <c r="I681" t="n">
        <v>142</v>
      </c>
      <c r="J681" t="n">
        <v>14075</v>
      </c>
      <c r="K681" t="n">
        <v>13136</v>
      </c>
      <c r="L681" t="n">
        <v>13136</v>
      </c>
      <c r="M681" t="inlineStr">
        <is>
          <t>Sí</t>
        </is>
      </c>
      <c r="N681" t="inlineStr"/>
      <c r="O681" t="inlineStr">
        <is>
          <t>Informativa</t>
        </is>
      </c>
      <c r="P681" t="inlineStr">
        <is>
          <t>No interviene en el prorrateo</t>
        </is>
      </c>
    </row>
    <row r="682">
      <c r="A682" t="n">
        <v>1577</v>
      </c>
      <c r="B682" t="inlineStr">
        <is>
          <t>GOMEZ GUERRERO, MARIA MERCEDES</t>
        </is>
      </c>
      <c r="E682" t="n">
        <v>2026</v>
      </c>
      <c r="F682" t="n">
        <v>1</v>
      </c>
      <c r="G682" t="inlineStr">
        <is>
          <t>CITRICOS</t>
        </is>
      </c>
      <c r="H682" t="inlineStr">
        <is>
          <t>SALUSTIANA</t>
        </is>
      </c>
      <c r="I682" t="n">
        <v>142</v>
      </c>
      <c r="J682" t="n">
        <v>831</v>
      </c>
      <c r="K682" t="n">
        <v>0</v>
      </c>
      <c r="L682" t="n">
        <v>831</v>
      </c>
      <c r="M682" t="inlineStr">
        <is>
          <t>Sí</t>
        </is>
      </c>
      <c r="N682" t="inlineStr"/>
      <c r="O682" t="inlineStr">
        <is>
          <t>Informativa</t>
        </is>
      </c>
      <c r="P682" t="inlineStr">
        <is>
          <t>No interviene en el prorrateo</t>
        </is>
      </c>
    </row>
    <row r="683">
      <c r="A683" t="n">
        <v>1577</v>
      </c>
      <c r="B683" t="inlineStr">
        <is>
          <t>GOMEZ GUERRERO, MARIA MERCEDES</t>
        </is>
      </c>
      <c r="E683" t="n">
        <v>2026</v>
      </c>
      <c r="F683" t="n">
        <v>1</v>
      </c>
      <c r="G683" t="inlineStr">
        <is>
          <t>CITRICOS</t>
        </is>
      </c>
      <c r="H683" t="inlineStr">
        <is>
          <t>SALUSTIANA</t>
        </is>
      </c>
      <c r="I683" t="n">
        <v>142</v>
      </c>
      <c r="J683" t="n">
        <v>2806</v>
      </c>
      <c r="K683" t="n">
        <v>2157</v>
      </c>
      <c r="L683" t="n">
        <v>2157</v>
      </c>
      <c r="M683" t="inlineStr">
        <is>
          <t>Sí</t>
        </is>
      </c>
      <c r="N683" t="inlineStr"/>
      <c r="O683" t="inlineStr">
        <is>
          <t>Informativa</t>
        </is>
      </c>
      <c r="P683" t="inlineStr">
        <is>
          <t>No interviene en el prorrateo</t>
        </is>
      </c>
    </row>
    <row r="684">
      <c r="A684" t="n">
        <v>1577</v>
      </c>
      <c r="B684" t="inlineStr">
        <is>
          <t>GOMEZ GUERRERO, MARIA MERCEDES</t>
        </is>
      </c>
      <c r="E684" t="n">
        <v>2026</v>
      </c>
      <c r="F684" t="n">
        <v>1</v>
      </c>
      <c r="G684" t="inlineStr">
        <is>
          <t>CITRICOS</t>
        </is>
      </c>
      <c r="H684" t="inlineStr">
        <is>
          <t>SALUSTIANA</t>
        </is>
      </c>
      <c r="I684" t="n">
        <v>142</v>
      </c>
      <c r="J684" t="n">
        <v>1705</v>
      </c>
      <c r="K684" t="n">
        <v>0</v>
      </c>
      <c r="L684" t="n">
        <v>1705</v>
      </c>
      <c r="M684" t="inlineStr">
        <is>
          <t>Sí</t>
        </is>
      </c>
      <c r="N684" t="inlineStr"/>
      <c r="O684" t="inlineStr">
        <is>
          <t>Informativa</t>
        </is>
      </c>
      <c r="P684" t="inlineStr">
        <is>
          <t>No interviene en el prorrateo</t>
        </is>
      </c>
    </row>
    <row r="685">
      <c r="A685" t="n">
        <v>1577</v>
      </c>
      <c r="B685" t="inlineStr">
        <is>
          <t>GOMEZ GUERRERO, MARIA MERCEDES</t>
        </is>
      </c>
      <c r="E685" t="n">
        <v>2026</v>
      </c>
      <c r="F685" t="n">
        <v>1</v>
      </c>
      <c r="G685" t="inlineStr">
        <is>
          <t>CITRICOS</t>
        </is>
      </c>
      <c r="H685" t="inlineStr">
        <is>
          <t>SALUSTIANA</t>
        </is>
      </c>
      <c r="I685" t="n">
        <v>142</v>
      </c>
      <c r="J685" t="n">
        <v>649</v>
      </c>
      <c r="K685" t="n">
        <v>0</v>
      </c>
      <c r="L685" t="n">
        <v>649</v>
      </c>
      <c r="M685" t="inlineStr">
        <is>
          <t>Sí</t>
        </is>
      </c>
      <c r="N685" t="inlineStr"/>
      <c r="O685" t="inlineStr">
        <is>
          <t>Informativa</t>
        </is>
      </c>
      <c r="P685" t="inlineStr">
        <is>
          <t>No interviene en el prorrateo</t>
        </is>
      </c>
    </row>
    <row r="686">
      <c r="A686" t="n">
        <v>1577</v>
      </c>
      <c r="B686" t="inlineStr">
        <is>
          <t>GOMEZ GUERRERO, MARIA MERCEDES</t>
        </is>
      </c>
      <c r="E686" t="n">
        <v>2026</v>
      </c>
      <c r="F686" t="n">
        <v>1</v>
      </c>
      <c r="G686" t="inlineStr">
        <is>
          <t>DIRECTO</t>
        </is>
      </c>
      <c r="H686" t="inlineStr">
        <is>
          <t>NAVEL POWEL</t>
        </is>
      </c>
      <c r="I686" t="n">
        <v>141</v>
      </c>
      <c r="J686" t="n">
        <v>21600</v>
      </c>
      <c r="K686" t="n">
        <v>0</v>
      </c>
      <c r="L686" t="n">
        <v>21600</v>
      </c>
      <c r="M686" t="inlineStr">
        <is>
          <t>Sí</t>
        </is>
      </c>
      <c r="N686" t="inlineStr"/>
      <c r="O686" t="inlineStr">
        <is>
          <t>Informativa</t>
        </is>
      </c>
      <c r="P686" t="inlineStr">
        <is>
          <t>No interviene en el prorrateo</t>
        </is>
      </c>
    </row>
    <row r="687">
      <c r="A687" t="n">
        <v>1577</v>
      </c>
      <c r="B687" t="inlineStr">
        <is>
          <t>GOMEZ GUERRERO, MARIA MERCEDES</t>
        </is>
      </c>
      <c r="E687" t="n">
        <v>2026</v>
      </c>
      <c r="F687" t="n">
        <v>1</v>
      </c>
      <c r="G687" t="inlineStr">
        <is>
          <t>DIRECTO</t>
        </is>
      </c>
      <c r="H687" t="inlineStr">
        <is>
          <t>NAVEL POWEL</t>
        </is>
      </c>
      <c r="I687" t="n">
        <v>141</v>
      </c>
      <c r="J687" t="n">
        <v>21840</v>
      </c>
      <c r="K687" t="n">
        <v>0</v>
      </c>
      <c r="L687" t="n">
        <v>21840</v>
      </c>
      <c r="M687" t="inlineStr">
        <is>
          <t>Sí</t>
        </is>
      </c>
      <c r="N687" t="inlineStr"/>
      <c r="O687" t="inlineStr">
        <is>
          <t>Informativa</t>
        </is>
      </c>
      <c r="P687" t="inlineStr">
        <is>
          <t>No interviene en el prorrateo</t>
        </is>
      </c>
    </row>
    <row r="688">
      <c r="A688" t="n">
        <v>1577</v>
      </c>
      <c r="B688" t="inlineStr">
        <is>
          <t>GOMEZ GUERRERO, MARIA MERCEDES</t>
        </is>
      </c>
      <c r="E688" t="n">
        <v>2026</v>
      </c>
      <c r="F688" t="n">
        <v>1</v>
      </c>
      <c r="G688" t="inlineStr">
        <is>
          <t>DIRECTO</t>
        </is>
      </c>
      <c r="H688" t="inlineStr">
        <is>
          <t>NAVEL POWEL</t>
        </is>
      </c>
      <c r="I688" t="n">
        <v>141</v>
      </c>
      <c r="J688" t="n">
        <v>20440</v>
      </c>
      <c r="K688" t="n">
        <v>0</v>
      </c>
      <c r="L688" t="n">
        <v>20440</v>
      </c>
      <c r="M688" t="inlineStr">
        <is>
          <t>Sí</t>
        </is>
      </c>
      <c r="N688" t="inlineStr"/>
      <c r="O688" t="inlineStr">
        <is>
          <t>Informativa</t>
        </is>
      </c>
      <c r="P688" t="inlineStr">
        <is>
          <t>No interviene en el prorrateo</t>
        </is>
      </c>
    </row>
    <row r="689">
      <c r="A689" t="n">
        <v>1577</v>
      </c>
      <c r="B689" t="inlineStr">
        <is>
          <t>GOMEZ GUERRERO, MARIA MERCEDES</t>
        </is>
      </c>
      <c r="E689" t="n">
        <v>2026</v>
      </c>
      <c r="F689" t="n">
        <v>1</v>
      </c>
      <c r="G689" t="inlineStr">
        <is>
          <t>DIRECTO</t>
        </is>
      </c>
      <c r="H689" t="inlineStr">
        <is>
          <t>NAVEL POWEL</t>
        </is>
      </c>
      <c r="I689" t="n">
        <v>141</v>
      </c>
      <c r="J689" t="n">
        <v>22160</v>
      </c>
      <c r="K689" t="n">
        <v>19383</v>
      </c>
      <c r="L689" t="n">
        <v>19383</v>
      </c>
      <c r="M689" t="inlineStr">
        <is>
          <t>Sí</t>
        </is>
      </c>
      <c r="N689" t="inlineStr"/>
      <c r="O689" t="inlineStr">
        <is>
          <t>Informativa</t>
        </is>
      </c>
      <c r="P689" t="inlineStr">
        <is>
          <t>No interviene en el prorrateo</t>
        </is>
      </c>
    </row>
    <row r="690">
      <c r="A690" t="n">
        <v>1577</v>
      </c>
      <c r="B690" t="inlineStr">
        <is>
          <t>GOMEZ GUERRERO, MARIA MERCEDES</t>
        </is>
      </c>
      <c r="E690" t="n">
        <v>2026</v>
      </c>
      <c r="F690" t="n">
        <v>1</v>
      </c>
      <c r="G690" t="inlineStr">
        <is>
          <t>INDUSTRIA</t>
        </is>
      </c>
      <c r="H690" t="inlineStr">
        <is>
          <t>SALUSTIANA</t>
        </is>
      </c>
      <c r="I690" t="n">
        <v>142</v>
      </c>
      <c r="J690" t="n">
        <v>22725</v>
      </c>
      <c r="K690" t="n">
        <v>250</v>
      </c>
      <c r="L690" t="n">
        <v>250</v>
      </c>
      <c r="M690" t="inlineStr">
        <is>
          <t>Sí</t>
        </is>
      </c>
      <c r="N690" t="inlineStr"/>
      <c r="O690" t="inlineStr">
        <is>
          <t>Informativa</t>
        </is>
      </c>
      <c r="P690" t="inlineStr">
        <is>
          <t>No interviene en el prorrateo</t>
        </is>
      </c>
    </row>
    <row r="691">
      <c r="A691" t="n">
        <v>1577</v>
      </c>
      <c r="B691" t="inlineStr">
        <is>
          <t>GOMEZ GUERRERO, MARIA MERCEDES</t>
        </is>
      </c>
      <c r="E691" t="n">
        <v>2026</v>
      </c>
      <c r="F691" t="n">
        <v>1</v>
      </c>
      <c r="G691" t="inlineStr">
        <is>
          <t>INDUSTRIA</t>
        </is>
      </c>
      <c r="H691" t="inlineStr">
        <is>
          <t>SALUSTIANA</t>
        </is>
      </c>
      <c r="I691" t="n">
        <v>142</v>
      </c>
      <c r="J691" t="n">
        <v>22290</v>
      </c>
      <c r="K691" t="n">
        <v>572</v>
      </c>
      <c r="L691" t="n">
        <v>572</v>
      </c>
      <c r="M691" t="inlineStr">
        <is>
          <t>Sí</t>
        </is>
      </c>
      <c r="N691" t="inlineStr"/>
      <c r="O691" t="inlineStr">
        <is>
          <t>Informativa</t>
        </is>
      </c>
      <c r="P691" t="inlineStr">
        <is>
          <t>No interviene en el prorrateo</t>
        </is>
      </c>
    </row>
    <row r="692">
      <c r="A692" t="n">
        <v>1577</v>
      </c>
      <c r="B692" t="inlineStr">
        <is>
          <t>GOMEZ GUERRERO, MARIA MERCEDES</t>
        </is>
      </c>
      <c r="E692" t="n">
        <v>2026</v>
      </c>
      <c r="F692" t="n">
        <v>1</v>
      </c>
      <c r="G692" t="inlineStr">
        <is>
          <t>INDUSTRIA</t>
        </is>
      </c>
      <c r="H692" t="inlineStr">
        <is>
          <t>SALUSTIANA</t>
        </is>
      </c>
      <c r="I692" t="n">
        <v>142</v>
      </c>
      <c r="J692" t="n">
        <v>24441</v>
      </c>
      <c r="K692" t="n">
        <v>125</v>
      </c>
      <c r="L692" t="n">
        <v>125</v>
      </c>
      <c r="M692" t="inlineStr">
        <is>
          <t>Sí</t>
        </is>
      </c>
      <c r="N692" t="inlineStr"/>
      <c r="O692" t="inlineStr">
        <is>
          <t>Informativa</t>
        </is>
      </c>
      <c r="P692" t="inlineStr">
        <is>
          <t>No interviene en el prorrateo</t>
        </is>
      </c>
    </row>
    <row r="693">
      <c r="A693" t="n">
        <v>1577</v>
      </c>
      <c r="B693" t="inlineStr">
        <is>
          <t>GOMEZ GUERRERO, MARIA MERCEDES</t>
        </is>
      </c>
      <c r="E693" t="n">
        <v>2026</v>
      </c>
      <c r="F693" t="n">
        <v>1</v>
      </c>
      <c r="G693" t="inlineStr">
        <is>
          <t>INDUSTRIA</t>
        </is>
      </c>
      <c r="H693" t="inlineStr">
        <is>
          <t>SALUSTIANA</t>
        </is>
      </c>
      <c r="I693" t="n">
        <v>142</v>
      </c>
      <c r="J693" t="n">
        <v>665</v>
      </c>
      <c r="K693" t="n">
        <v>0</v>
      </c>
      <c r="L693" t="n">
        <v>665</v>
      </c>
      <c r="M693" t="inlineStr">
        <is>
          <t>Sí</t>
        </is>
      </c>
      <c r="N693" t="inlineStr"/>
      <c r="O693" t="inlineStr">
        <is>
          <t>Informativa</t>
        </is>
      </c>
      <c r="P693" t="inlineStr">
        <is>
          <t>No interviene en el prorrateo</t>
        </is>
      </c>
    </row>
    <row r="694">
      <c r="A694" t="n">
        <v>1579</v>
      </c>
      <c r="B694" t="inlineStr">
        <is>
          <t>PEREZ JIMENEZ, ALFONSA</t>
        </is>
      </c>
      <c r="E694" t="n">
        <v>2026</v>
      </c>
      <c r="F694" t="n">
        <v>1</v>
      </c>
      <c r="G694" t="inlineStr">
        <is>
          <t>CITRICOS</t>
        </is>
      </c>
      <c r="H694" t="inlineStr">
        <is>
          <t>SALUSTIANA</t>
        </is>
      </c>
      <c r="I694" t="n">
        <v>643</v>
      </c>
      <c r="J694" t="n">
        <v>12090</v>
      </c>
      <c r="K694" t="n">
        <v>6077</v>
      </c>
      <c r="L694" t="n">
        <v>6077</v>
      </c>
      <c r="M694" t="inlineStr">
        <is>
          <t>Sí</t>
        </is>
      </c>
      <c r="N694" t="inlineStr"/>
      <c r="O694" t="inlineStr">
        <is>
          <t>Informativa</t>
        </is>
      </c>
      <c r="P694" t="inlineStr">
        <is>
          <t>No interviene en el prorrateo</t>
        </is>
      </c>
    </row>
    <row r="695">
      <c r="A695" t="n">
        <v>1579</v>
      </c>
      <c r="B695" t="inlineStr">
        <is>
          <t>PEREZ JIMENEZ, ALFONSA</t>
        </is>
      </c>
      <c r="E695" t="n">
        <v>2026</v>
      </c>
      <c r="F695" t="n">
        <v>1</v>
      </c>
      <c r="G695" t="inlineStr">
        <is>
          <t>INDUSTRIA</t>
        </is>
      </c>
      <c r="H695" t="inlineStr">
        <is>
          <t>SALUSTIANA</t>
        </is>
      </c>
      <c r="I695" t="n">
        <v>643</v>
      </c>
      <c r="J695" t="n">
        <v>9120</v>
      </c>
      <c r="K695" t="n">
        <v>0</v>
      </c>
      <c r="L695" t="n">
        <v>9120</v>
      </c>
      <c r="M695" t="inlineStr">
        <is>
          <t>Sí</t>
        </is>
      </c>
      <c r="N695" t="inlineStr"/>
      <c r="O695" t="inlineStr">
        <is>
          <t>Informativa</t>
        </is>
      </c>
      <c r="P695" t="inlineStr">
        <is>
          <t>No interviene en el prorrateo</t>
        </is>
      </c>
    </row>
    <row r="696">
      <c r="A696" t="n">
        <v>1582</v>
      </c>
      <c r="B696" t="inlineStr">
        <is>
          <t>IGEÑO SANCHEZ, JOSE CARLOS</t>
        </is>
      </c>
      <c r="E696" t="n">
        <v>2026</v>
      </c>
      <c r="F696" t="n">
        <v>1</v>
      </c>
      <c r="G696" t="inlineStr">
        <is>
          <t>CITRICOS</t>
        </is>
      </c>
      <c r="H696" t="inlineStr">
        <is>
          <t>SALUSTIANA</t>
        </is>
      </c>
      <c r="I696" t="n">
        <v>61</v>
      </c>
      <c r="J696" t="n">
        <v>11920</v>
      </c>
      <c r="K696" t="n">
        <v>0</v>
      </c>
      <c r="L696" t="n">
        <v>11920</v>
      </c>
      <c r="M696" t="inlineStr">
        <is>
          <t>Sí</t>
        </is>
      </c>
      <c r="N696" t="inlineStr"/>
      <c r="O696" t="inlineStr">
        <is>
          <t>Informativa</t>
        </is>
      </c>
      <c r="P696" t="inlineStr">
        <is>
          <t>No interviene en el prorrateo</t>
        </is>
      </c>
    </row>
    <row r="697">
      <c r="A697" t="n">
        <v>1582</v>
      </c>
      <c r="B697" t="inlineStr">
        <is>
          <t>IGEÑO SANCHEZ, JOSE CARLOS</t>
        </is>
      </c>
      <c r="E697" t="n">
        <v>2026</v>
      </c>
      <c r="F697" t="n">
        <v>1</v>
      </c>
      <c r="G697" t="inlineStr">
        <is>
          <t>CITRICOS</t>
        </is>
      </c>
      <c r="H697" t="inlineStr">
        <is>
          <t>SALUSTIANA</t>
        </is>
      </c>
      <c r="I697" t="n">
        <v>61</v>
      </c>
      <c r="J697" t="n">
        <v>12532</v>
      </c>
      <c r="K697" t="n">
        <v>8643</v>
      </c>
      <c r="L697" t="n">
        <v>8643</v>
      </c>
      <c r="M697" t="inlineStr">
        <is>
          <t>Sí</t>
        </is>
      </c>
      <c r="N697" t="inlineStr"/>
      <c r="O697" t="inlineStr">
        <is>
          <t>Informativa</t>
        </is>
      </c>
      <c r="P697" t="inlineStr">
        <is>
          <t>No interviene en el prorrateo</t>
        </is>
      </c>
    </row>
    <row r="698">
      <c r="A698" t="n">
        <v>1582</v>
      </c>
      <c r="B698" t="inlineStr">
        <is>
          <t>IGEÑO SANCHEZ, JOSE CARLOS</t>
        </is>
      </c>
      <c r="E698" t="n">
        <v>2026</v>
      </c>
      <c r="F698" t="n">
        <v>1</v>
      </c>
      <c r="G698" t="inlineStr">
        <is>
          <t>CITRICOS</t>
        </is>
      </c>
      <c r="H698" t="inlineStr">
        <is>
          <t>SALUSTIANA</t>
        </is>
      </c>
      <c r="I698" t="n">
        <v>61</v>
      </c>
      <c r="J698" t="n">
        <v>5194</v>
      </c>
      <c r="K698" t="n">
        <v>0</v>
      </c>
      <c r="L698" t="n">
        <v>5194</v>
      </c>
      <c r="M698" t="inlineStr">
        <is>
          <t>Sí</t>
        </is>
      </c>
      <c r="N698" t="inlineStr"/>
      <c r="O698" t="inlineStr">
        <is>
          <t>Informativa</t>
        </is>
      </c>
      <c r="P698" t="inlineStr">
        <is>
          <t>No interviene en el prorrateo</t>
        </is>
      </c>
    </row>
    <row r="699">
      <c r="A699" t="n">
        <v>1582</v>
      </c>
      <c r="B699" t="inlineStr">
        <is>
          <t>IGEÑO SANCHEZ, JOSE CARLOS</t>
        </is>
      </c>
      <c r="E699" t="n">
        <v>2026</v>
      </c>
      <c r="F699" t="n">
        <v>1</v>
      </c>
      <c r="G699" t="inlineStr">
        <is>
          <t>CITRICOS</t>
        </is>
      </c>
      <c r="H699" t="inlineStr">
        <is>
          <t>SALUSTIANA</t>
        </is>
      </c>
      <c r="I699" t="n">
        <v>61</v>
      </c>
      <c r="J699" t="n">
        <v>12592</v>
      </c>
      <c r="K699" t="n">
        <v>8571</v>
      </c>
      <c r="L699" t="n">
        <v>8571</v>
      </c>
      <c r="M699" t="inlineStr">
        <is>
          <t>Sí</t>
        </is>
      </c>
      <c r="N699" t="inlineStr"/>
      <c r="O699" t="inlineStr">
        <is>
          <t>Informativa</t>
        </is>
      </c>
      <c r="P699" t="inlineStr">
        <is>
          <t>No interviene en el prorrateo</t>
        </is>
      </c>
    </row>
    <row r="700">
      <c r="A700" t="n">
        <v>1582</v>
      </c>
      <c r="B700" t="inlineStr">
        <is>
          <t>IGEÑO SANCHEZ, JOSE CARLOS</t>
        </is>
      </c>
      <c r="E700" t="n">
        <v>2026</v>
      </c>
      <c r="F700" t="n">
        <v>1</v>
      </c>
      <c r="G700" t="inlineStr">
        <is>
          <t>CITRICOS</t>
        </is>
      </c>
      <c r="H700" t="inlineStr">
        <is>
          <t>SALUSTIANA</t>
        </is>
      </c>
      <c r="I700" t="n">
        <v>61</v>
      </c>
      <c r="J700" t="n">
        <v>13180</v>
      </c>
      <c r="K700" t="n">
        <v>3457</v>
      </c>
      <c r="L700" t="n">
        <v>3457</v>
      </c>
      <c r="M700" t="inlineStr">
        <is>
          <t>Sí</t>
        </is>
      </c>
      <c r="N700" t="inlineStr"/>
      <c r="O700" t="inlineStr">
        <is>
          <t>Informativa</t>
        </is>
      </c>
      <c r="P700" t="inlineStr">
        <is>
          <t>No interviene en el prorrateo</t>
        </is>
      </c>
    </row>
    <row r="701">
      <c r="A701" t="n">
        <v>1582</v>
      </c>
      <c r="B701" t="inlineStr">
        <is>
          <t>IGEÑO SANCHEZ, JOSE CARLOS</t>
        </is>
      </c>
      <c r="E701" t="n">
        <v>2026</v>
      </c>
      <c r="F701" t="n">
        <v>1</v>
      </c>
      <c r="G701" t="inlineStr">
        <is>
          <t>CITRICOS</t>
        </is>
      </c>
      <c r="H701" t="inlineStr">
        <is>
          <t>SALUSTIANA</t>
        </is>
      </c>
      <c r="I701" t="n">
        <v>61</v>
      </c>
      <c r="J701" t="n">
        <v>12020</v>
      </c>
      <c r="K701" t="n">
        <v>0</v>
      </c>
      <c r="L701" t="n">
        <v>12020</v>
      </c>
      <c r="M701" t="inlineStr">
        <is>
          <t>Sí</t>
        </is>
      </c>
      <c r="N701" t="inlineStr"/>
      <c r="O701" t="inlineStr">
        <is>
          <t>Informativa</t>
        </is>
      </c>
      <c r="P701" t="inlineStr">
        <is>
          <t>No interviene en el prorrateo</t>
        </is>
      </c>
    </row>
    <row r="702">
      <c r="A702" t="n">
        <v>1582</v>
      </c>
      <c r="B702" t="inlineStr">
        <is>
          <t>IGEÑO SANCHEZ, JOSE CARLOS</t>
        </is>
      </c>
      <c r="E702" t="n">
        <v>2026</v>
      </c>
      <c r="F702" t="n">
        <v>1</v>
      </c>
      <c r="G702" t="inlineStr">
        <is>
          <t>CITRICOS</t>
        </is>
      </c>
      <c r="H702" t="inlineStr">
        <is>
          <t>SALUSTIANA</t>
        </is>
      </c>
      <c r="I702" t="n">
        <v>61</v>
      </c>
      <c r="J702" t="n">
        <v>12180</v>
      </c>
      <c r="K702" t="n">
        <v>0</v>
      </c>
      <c r="L702" t="n">
        <v>12180</v>
      </c>
      <c r="M702" t="inlineStr">
        <is>
          <t>Sí</t>
        </is>
      </c>
      <c r="N702" t="inlineStr"/>
      <c r="O702" t="inlineStr">
        <is>
          <t>Informativa</t>
        </is>
      </c>
      <c r="P702" t="inlineStr">
        <is>
          <t>No interviene en el prorrateo</t>
        </is>
      </c>
    </row>
    <row r="703">
      <c r="A703" t="n">
        <v>1582</v>
      </c>
      <c r="B703" t="inlineStr">
        <is>
          <t>IGEÑO SANCHEZ, JOSE CARLOS</t>
        </is>
      </c>
      <c r="E703" t="n">
        <v>2026</v>
      </c>
      <c r="F703" t="n">
        <v>1</v>
      </c>
      <c r="G703" t="inlineStr">
        <is>
          <t>CITRICOS</t>
        </is>
      </c>
      <c r="H703" t="inlineStr">
        <is>
          <t>SALUSTIANA</t>
        </is>
      </c>
      <c r="I703" t="n">
        <v>61</v>
      </c>
      <c r="J703" t="n">
        <v>12204</v>
      </c>
      <c r="K703" t="n">
        <v>10214</v>
      </c>
      <c r="L703" t="n">
        <v>10214</v>
      </c>
      <c r="M703" t="inlineStr">
        <is>
          <t>Sí</t>
        </is>
      </c>
      <c r="N703" t="inlineStr"/>
      <c r="O703" t="inlineStr">
        <is>
          <t>Informativa</t>
        </is>
      </c>
      <c r="P703" t="inlineStr">
        <is>
          <t>No interviene en el prorrateo</t>
        </is>
      </c>
    </row>
    <row r="704">
      <c r="A704" t="n">
        <v>1582</v>
      </c>
      <c r="B704" t="inlineStr">
        <is>
          <t>IGEÑO SANCHEZ, JOSE CARLOS</t>
        </is>
      </c>
      <c r="E704" t="n">
        <v>2026</v>
      </c>
      <c r="F704" t="n">
        <v>1</v>
      </c>
      <c r="G704" t="inlineStr">
        <is>
          <t>CITRICOS</t>
        </is>
      </c>
      <c r="H704" t="inlineStr">
        <is>
          <t>SALUSTIANA</t>
        </is>
      </c>
      <c r="I704" t="n">
        <v>61</v>
      </c>
      <c r="J704" t="n">
        <v>12440</v>
      </c>
      <c r="K704" t="n">
        <v>0</v>
      </c>
      <c r="L704" t="n">
        <v>12440</v>
      </c>
      <c r="M704" t="inlineStr">
        <is>
          <t>Sí</t>
        </is>
      </c>
      <c r="N704" t="inlineStr"/>
      <c r="O704" t="inlineStr">
        <is>
          <t>Informativa</t>
        </is>
      </c>
      <c r="P704" t="inlineStr">
        <is>
          <t>No interviene en el prorrateo</t>
        </is>
      </c>
    </row>
    <row r="705">
      <c r="A705" t="n">
        <v>1582</v>
      </c>
      <c r="B705" t="inlineStr">
        <is>
          <t>IGEÑO SANCHEZ, JOSE CARLOS</t>
        </is>
      </c>
      <c r="E705" t="n">
        <v>2026</v>
      </c>
      <c r="F705" t="n">
        <v>1</v>
      </c>
      <c r="G705" t="inlineStr">
        <is>
          <t>CITRICOS</t>
        </is>
      </c>
      <c r="H705" t="inlineStr">
        <is>
          <t>SALUSTIANA</t>
        </is>
      </c>
      <c r="I705" t="n">
        <v>61</v>
      </c>
      <c r="J705" t="n">
        <v>13291</v>
      </c>
      <c r="K705" t="n">
        <v>3383</v>
      </c>
      <c r="L705" t="n">
        <v>3383</v>
      </c>
      <c r="M705" t="inlineStr">
        <is>
          <t>Sí</t>
        </is>
      </c>
      <c r="N705" t="inlineStr"/>
      <c r="O705" t="inlineStr">
        <is>
          <t>Informativa</t>
        </is>
      </c>
      <c r="P705" t="inlineStr">
        <is>
          <t>No interviene en el prorrateo</t>
        </is>
      </c>
    </row>
    <row r="706">
      <c r="A706" t="n">
        <v>1582</v>
      </c>
      <c r="B706" t="inlineStr">
        <is>
          <t>IGEÑO SANCHEZ, JOSE CARLOS</t>
        </is>
      </c>
      <c r="E706" t="n">
        <v>2026</v>
      </c>
      <c r="F706" t="n">
        <v>1</v>
      </c>
      <c r="G706" t="inlineStr">
        <is>
          <t>CITRICOS</t>
        </is>
      </c>
      <c r="H706" t="inlineStr">
        <is>
          <t>SALUSTIANA</t>
        </is>
      </c>
      <c r="I706" t="n">
        <v>61</v>
      </c>
      <c r="J706" t="n">
        <v>12740</v>
      </c>
      <c r="K706" t="n">
        <v>0</v>
      </c>
      <c r="L706" t="n">
        <v>12740</v>
      </c>
      <c r="M706" t="inlineStr">
        <is>
          <t>Sí</t>
        </is>
      </c>
      <c r="N706" t="inlineStr"/>
      <c r="O706" t="inlineStr">
        <is>
          <t>Informativa</t>
        </is>
      </c>
      <c r="P706" t="inlineStr">
        <is>
          <t>No interviene en el prorrateo</t>
        </is>
      </c>
    </row>
    <row r="707">
      <c r="A707" t="n">
        <v>1582</v>
      </c>
      <c r="B707" t="inlineStr">
        <is>
          <t>IGEÑO SANCHEZ, JOSE CARLOS</t>
        </is>
      </c>
      <c r="E707" t="n">
        <v>2026</v>
      </c>
      <c r="F707" t="n">
        <v>1</v>
      </c>
      <c r="G707" t="inlineStr">
        <is>
          <t>CITRICOS</t>
        </is>
      </c>
      <c r="H707" t="inlineStr">
        <is>
          <t>SALUSTIANA</t>
        </is>
      </c>
      <c r="I707" t="n">
        <v>61</v>
      </c>
      <c r="J707" t="n">
        <v>13308</v>
      </c>
      <c r="K707" t="n">
        <v>1702</v>
      </c>
      <c r="L707" t="n">
        <v>1702</v>
      </c>
      <c r="M707" t="inlineStr">
        <is>
          <t>Sí</t>
        </is>
      </c>
      <c r="N707" t="inlineStr"/>
      <c r="O707" t="inlineStr">
        <is>
          <t>Informativa</t>
        </is>
      </c>
      <c r="P707" t="inlineStr">
        <is>
          <t>No interviene en el prorrateo</t>
        </is>
      </c>
    </row>
    <row r="708">
      <c r="A708" t="n">
        <v>1582</v>
      </c>
      <c r="B708" t="inlineStr">
        <is>
          <t>IGEÑO SANCHEZ, JOSE CARLOS</t>
        </is>
      </c>
      <c r="E708" t="n">
        <v>2026</v>
      </c>
      <c r="F708" t="n">
        <v>1</v>
      </c>
      <c r="G708" t="inlineStr">
        <is>
          <t>CITRICOS</t>
        </is>
      </c>
      <c r="H708" t="inlineStr">
        <is>
          <t>SALUSTIANA</t>
        </is>
      </c>
      <c r="I708" t="n">
        <v>61</v>
      </c>
      <c r="J708" t="n">
        <v>12300</v>
      </c>
      <c r="K708" t="n">
        <v>0</v>
      </c>
      <c r="L708" t="n">
        <v>12300</v>
      </c>
      <c r="M708" t="inlineStr">
        <is>
          <t>Sí</t>
        </is>
      </c>
      <c r="N708" t="inlineStr"/>
      <c r="O708" t="inlineStr">
        <is>
          <t>Informativa</t>
        </is>
      </c>
      <c r="P708" t="inlineStr">
        <is>
          <t>No interviene en el prorrateo</t>
        </is>
      </c>
    </row>
    <row r="709">
      <c r="A709" t="n">
        <v>1582</v>
      </c>
      <c r="B709" t="inlineStr">
        <is>
          <t>IGEÑO SANCHEZ, JOSE CARLOS</t>
        </is>
      </c>
      <c r="E709" t="n">
        <v>2026</v>
      </c>
      <c r="F709" t="n">
        <v>1</v>
      </c>
      <c r="G709" t="inlineStr">
        <is>
          <t>CITRICOS</t>
        </is>
      </c>
      <c r="H709" t="inlineStr">
        <is>
          <t>SALUSTIANA</t>
        </is>
      </c>
      <c r="I709" t="n">
        <v>61</v>
      </c>
      <c r="J709" t="n">
        <v>12134</v>
      </c>
      <c r="K709" t="n">
        <v>11749</v>
      </c>
      <c r="L709" t="n">
        <v>11749</v>
      </c>
      <c r="M709" t="inlineStr">
        <is>
          <t>Sí</t>
        </is>
      </c>
      <c r="N709" t="inlineStr"/>
      <c r="O709" t="inlineStr">
        <is>
          <t>Informativa</t>
        </is>
      </c>
      <c r="P709" t="inlineStr">
        <is>
          <t>No interviene en el prorrateo</t>
        </is>
      </c>
    </row>
    <row r="710">
      <c r="A710" t="n">
        <v>1582</v>
      </c>
      <c r="B710" t="inlineStr">
        <is>
          <t>IGEÑO SANCHEZ, JOSE CARLOS</t>
        </is>
      </c>
      <c r="E710" t="n">
        <v>2026</v>
      </c>
      <c r="F710" t="n">
        <v>1</v>
      </c>
      <c r="G710" t="inlineStr">
        <is>
          <t>CITRICOS</t>
        </is>
      </c>
      <c r="H710" t="inlineStr">
        <is>
          <t>SALUSTIANA</t>
        </is>
      </c>
      <c r="I710" t="n">
        <v>61</v>
      </c>
      <c r="J710" t="n">
        <v>12200</v>
      </c>
      <c r="K710" t="n">
        <v>0</v>
      </c>
      <c r="L710" t="n">
        <v>12200</v>
      </c>
      <c r="M710" t="inlineStr">
        <is>
          <t>Sí</t>
        </is>
      </c>
      <c r="N710" t="inlineStr"/>
      <c r="O710" t="inlineStr">
        <is>
          <t>Informativa</t>
        </is>
      </c>
      <c r="P710" t="inlineStr">
        <is>
          <t>No interviene en el prorrateo</t>
        </is>
      </c>
    </row>
    <row r="711">
      <c r="A711" t="n">
        <v>1582</v>
      </c>
      <c r="B711" t="inlineStr">
        <is>
          <t>IGEÑO SANCHEZ, JOSE CARLOS</t>
        </is>
      </c>
      <c r="E711" t="n">
        <v>2026</v>
      </c>
      <c r="F711" t="n">
        <v>1</v>
      </c>
      <c r="G711" t="inlineStr">
        <is>
          <t>CITRICOS</t>
        </is>
      </c>
      <c r="H711" t="inlineStr">
        <is>
          <t>SALUSTIANA</t>
        </is>
      </c>
      <c r="I711" t="n">
        <v>61</v>
      </c>
      <c r="J711" t="n">
        <v>12487</v>
      </c>
      <c r="K711" t="n">
        <v>12243</v>
      </c>
      <c r="L711" t="n">
        <v>12243</v>
      </c>
      <c r="M711" t="inlineStr">
        <is>
          <t>Sí</t>
        </is>
      </c>
      <c r="N711" t="inlineStr"/>
      <c r="O711" t="inlineStr">
        <is>
          <t>Informativa</t>
        </is>
      </c>
      <c r="P711" t="inlineStr">
        <is>
          <t>No interviene en el prorrateo</t>
        </is>
      </c>
    </row>
    <row r="712">
      <c r="A712" t="n">
        <v>1582</v>
      </c>
      <c r="B712" t="inlineStr">
        <is>
          <t>IGEÑO SANCHEZ, JOSE CARLOS</t>
        </is>
      </c>
      <c r="E712" t="n">
        <v>2026</v>
      </c>
      <c r="F712" t="n">
        <v>1</v>
      </c>
      <c r="G712" t="inlineStr">
        <is>
          <t>CITRICOS</t>
        </is>
      </c>
      <c r="H712" t="inlineStr">
        <is>
          <t>SALUSTIANA</t>
        </is>
      </c>
      <c r="I712" t="n">
        <v>61</v>
      </c>
      <c r="J712" t="n">
        <v>12340</v>
      </c>
      <c r="K712" t="n">
        <v>0</v>
      </c>
      <c r="L712" t="n">
        <v>12340</v>
      </c>
      <c r="M712" t="inlineStr">
        <is>
          <t>Sí</t>
        </is>
      </c>
      <c r="N712" t="inlineStr"/>
      <c r="O712" t="inlineStr">
        <is>
          <t>Informativa</t>
        </is>
      </c>
      <c r="P712" t="inlineStr">
        <is>
          <t>No interviene en el prorrateo</t>
        </is>
      </c>
    </row>
    <row r="713">
      <c r="A713" t="n">
        <v>1582</v>
      </c>
      <c r="B713" t="inlineStr">
        <is>
          <t>IGEÑO SANCHEZ, JOSE CARLOS</t>
        </is>
      </c>
      <c r="E713" t="n">
        <v>2026</v>
      </c>
      <c r="F713" t="n">
        <v>1</v>
      </c>
      <c r="G713" t="inlineStr">
        <is>
          <t>CITRICOS</t>
        </is>
      </c>
      <c r="H713" t="inlineStr">
        <is>
          <t>SALUSTIANA</t>
        </is>
      </c>
      <c r="I713" t="n">
        <v>61</v>
      </c>
      <c r="J713" t="n">
        <v>12935</v>
      </c>
      <c r="K713" t="n">
        <v>6797</v>
      </c>
      <c r="L713" t="n">
        <v>6797</v>
      </c>
      <c r="M713" t="inlineStr">
        <is>
          <t>Sí</t>
        </is>
      </c>
      <c r="N713" t="inlineStr"/>
      <c r="O713" t="inlineStr">
        <is>
          <t>Informativa</t>
        </is>
      </c>
      <c r="P713" t="inlineStr">
        <is>
          <t>No interviene en el prorrateo</t>
        </is>
      </c>
    </row>
    <row r="714">
      <c r="A714" t="n">
        <v>1582</v>
      </c>
      <c r="B714" t="inlineStr">
        <is>
          <t>IGEÑO SANCHEZ, JOSE CARLOS</t>
        </is>
      </c>
      <c r="E714" t="n">
        <v>2026</v>
      </c>
      <c r="F714" t="n">
        <v>1</v>
      </c>
      <c r="G714" t="inlineStr">
        <is>
          <t>CITRICOS</t>
        </is>
      </c>
      <c r="H714" t="inlineStr">
        <is>
          <t>SALUSTIANA</t>
        </is>
      </c>
      <c r="I714" t="n">
        <v>61</v>
      </c>
      <c r="J714" t="n">
        <v>12526</v>
      </c>
      <c r="K714" t="n">
        <v>11979</v>
      </c>
      <c r="L714" t="n">
        <v>11979</v>
      </c>
      <c r="M714" t="inlineStr">
        <is>
          <t>Sí</t>
        </is>
      </c>
      <c r="N714" t="inlineStr"/>
      <c r="O714" t="inlineStr">
        <is>
          <t>Informativa</t>
        </is>
      </c>
      <c r="P714" t="inlineStr">
        <is>
          <t>No interviene en el prorrateo</t>
        </is>
      </c>
    </row>
    <row r="715">
      <c r="A715" t="n">
        <v>1582</v>
      </c>
      <c r="B715" t="inlineStr">
        <is>
          <t>IGEÑO SANCHEZ, JOSE CARLOS</t>
        </is>
      </c>
      <c r="E715" t="n">
        <v>2026</v>
      </c>
      <c r="F715" t="n">
        <v>1</v>
      </c>
      <c r="G715" t="inlineStr">
        <is>
          <t>CITRICOS</t>
        </is>
      </c>
      <c r="H715" t="inlineStr">
        <is>
          <t>SALUSTIANA</t>
        </is>
      </c>
      <c r="I715" t="n">
        <v>61</v>
      </c>
      <c r="J715" t="n">
        <v>12388</v>
      </c>
      <c r="K715" t="n">
        <v>0</v>
      </c>
      <c r="L715" t="n">
        <v>12388</v>
      </c>
      <c r="M715" t="inlineStr">
        <is>
          <t>Sí</t>
        </is>
      </c>
      <c r="N715" t="inlineStr"/>
      <c r="O715" t="inlineStr">
        <is>
          <t>Informativa</t>
        </is>
      </c>
      <c r="P715" t="inlineStr">
        <is>
          <t>No interviene en el prorrateo</t>
        </is>
      </c>
    </row>
    <row r="716">
      <c r="A716" t="n">
        <v>1582</v>
      </c>
      <c r="B716" t="inlineStr">
        <is>
          <t>IGEÑO SANCHEZ, JOSE CARLOS</t>
        </is>
      </c>
      <c r="E716" t="n">
        <v>2026</v>
      </c>
      <c r="F716" t="n">
        <v>1</v>
      </c>
      <c r="G716" t="inlineStr">
        <is>
          <t>CITRICOS</t>
        </is>
      </c>
      <c r="H716" t="inlineStr">
        <is>
          <t>SALUSTIANA</t>
        </is>
      </c>
      <c r="I716" t="n">
        <v>61</v>
      </c>
      <c r="J716" t="n">
        <v>6756</v>
      </c>
      <c r="K716" t="n">
        <v>5692</v>
      </c>
      <c r="L716" t="n">
        <v>5692</v>
      </c>
      <c r="M716" t="inlineStr">
        <is>
          <t>Sí</t>
        </is>
      </c>
      <c r="N716" t="inlineStr"/>
      <c r="O716" t="inlineStr">
        <is>
          <t>Informativa</t>
        </is>
      </c>
      <c r="P716" t="inlineStr">
        <is>
          <t>No interviene en el prorrateo</t>
        </is>
      </c>
    </row>
    <row r="717">
      <c r="A717" t="n">
        <v>1582</v>
      </c>
      <c r="B717" t="inlineStr">
        <is>
          <t>IGEÑO SANCHEZ, JOSE CARLOS</t>
        </is>
      </c>
      <c r="E717" t="n">
        <v>2026</v>
      </c>
      <c r="F717" t="n">
        <v>1</v>
      </c>
      <c r="G717" t="inlineStr">
        <is>
          <t>CITRICOS</t>
        </is>
      </c>
      <c r="H717" t="inlineStr">
        <is>
          <t>SALUSTIANA</t>
        </is>
      </c>
      <c r="I717" t="n">
        <v>61</v>
      </c>
      <c r="J717" t="n">
        <v>13124</v>
      </c>
      <c r="K717" t="n">
        <v>5262</v>
      </c>
      <c r="L717" t="n">
        <v>5262</v>
      </c>
      <c r="M717" t="inlineStr">
        <is>
          <t>Sí</t>
        </is>
      </c>
      <c r="N717" t="inlineStr"/>
      <c r="O717" t="inlineStr">
        <is>
          <t>Informativa</t>
        </is>
      </c>
      <c r="P717" t="inlineStr">
        <is>
          <t>No interviene en el prorrateo</t>
        </is>
      </c>
    </row>
    <row r="718">
      <c r="A718" t="n">
        <v>1582</v>
      </c>
      <c r="B718" t="inlineStr">
        <is>
          <t>IGEÑO SANCHEZ, JOSE CARLOS</t>
        </is>
      </c>
      <c r="E718" t="n">
        <v>2026</v>
      </c>
      <c r="F718" t="n">
        <v>1</v>
      </c>
      <c r="G718" t="inlineStr">
        <is>
          <t>INDUSTRIA</t>
        </is>
      </c>
      <c r="H718" t="inlineStr">
        <is>
          <t>SALUSTIANA</t>
        </is>
      </c>
      <c r="I718" t="n">
        <v>61</v>
      </c>
      <c r="J718" t="n">
        <v>12022</v>
      </c>
      <c r="K718" t="n">
        <v>331</v>
      </c>
      <c r="L718" t="n">
        <v>331</v>
      </c>
      <c r="M718" t="inlineStr">
        <is>
          <t>Sí</t>
        </is>
      </c>
      <c r="N718" t="inlineStr"/>
      <c r="O718" t="inlineStr">
        <is>
          <t>Informativa</t>
        </is>
      </c>
      <c r="P718" t="inlineStr">
        <is>
          <t>No interviene en el prorrateo</t>
        </is>
      </c>
    </row>
    <row r="719">
      <c r="A719" t="n">
        <v>1582</v>
      </c>
      <c r="B719" t="inlineStr">
        <is>
          <t>IGEÑO SANCHEZ, JOSE CARLOS</t>
        </is>
      </c>
      <c r="E719" t="n">
        <v>2026</v>
      </c>
      <c r="F719" t="n">
        <v>1</v>
      </c>
      <c r="G719" t="inlineStr">
        <is>
          <t>INDUSTRIA</t>
        </is>
      </c>
      <c r="H719" t="inlineStr">
        <is>
          <t>SALUSTIANA</t>
        </is>
      </c>
      <c r="I719" t="n">
        <v>61</v>
      </c>
      <c r="J719" t="n">
        <v>12433</v>
      </c>
      <c r="K719" t="n">
        <v>217</v>
      </c>
      <c r="L719" t="n">
        <v>217</v>
      </c>
      <c r="M719" t="inlineStr">
        <is>
          <t>Sí</t>
        </is>
      </c>
      <c r="N719" t="inlineStr"/>
      <c r="O719" t="inlineStr">
        <is>
          <t>Informativa</t>
        </is>
      </c>
      <c r="P719" t="inlineStr">
        <is>
          <t>No interviene en el prorrateo</t>
        </is>
      </c>
    </row>
    <row r="720">
      <c r="A720" t="n">
        <v>1582</v>
      </c>
      <c r="B720" t="inlineStr">
        <is>
          <t>IGEÑO SANCHEZ, JOSE CARLOS</t>
        </is>
      </c>
      <c r="E720" t="n">
        <v>2026</v>
      </c>
      <c r="F720" t="n">
        <v>1</v>
      </c>
      <c r="G720" t="inlineStr">
        <is>
          <t>INDUSTRIA</t>
        </is>
      </c>
      <c r="H720" t="inlineStr">
        <is>
          <t>SALUSTIANA</t>
        </is>
      </c>
      <c r="I720" t="n">
        <v>61</v>
      </c>
      <c r="J720" t="n">
        <v>12233</v>
      </c>
      <c r="K720" t="n">
        <v>201</v>
      </c>
      <c r="L720" t="n">
        <v>201</v>
      </c>
      <c r="M720" t="inlineStr">
        <is>
          <t>Sí</t>
        </is>
      </c>
      <c r="N720" t="inlineStr"/>
      <c r="O720" t="inlineStr">
        <is>
          <t>Informativa</t>
        </is>
      </c>
      <c r="P720" t="inlineStr">
        <is>
          <t>No interviene en el prorrateo</t>
        </is>
      </c>
    </row>
    <row r="721">
      <c r="A721" t="n">
        <v>1582</v>
      </c>
      <c r="B721" t="inlineStr">
        <is>
          <t>IGEÑO SANCHEZ, JOSE CARLOS</t>
        </is>
      </c>
      <c r="E721" t="n">
        <v>2026</v>
      </c>
      <c r="F721" t="n">
        <v>1</v>
      </c>
      <c r="G721" t="inlineStr">
        <is>
          <t>INDUSTRIA</t>
        </is>
      </c>
      <c r="H721" t="inlineStr">
        <is>
          <t>SALUSTIANA</t>
        </is>
      </c>
      <c r="I721" t="n">
        <v>61</v>
      </c>
      <c r="J721" t="n">
        <v>13062</v>
      </c>
      <c r="K721" t="n">
        <v>445</v>
      </c>
      <c r="L721" t="n">
        <v>445</v>
      </c>
      <c r="M721" t="inlineStr">
        <is>
          <t>Sí</t>
        </is>
      </c>
      <c r="N721" t="inlineStr"/>
      <c r="O721" t="inlineStr">
        <is>
          <t>Informativa</t>
        </is>
      </c>
      <c r="P721" t="inlineStr">
        <is>
          <t>No interviene en el prorrateo</t>
        </is>
      </c>
    </row>
    <row r="722">
      <c r="A722" t="n">
        <v>1582</v>
      </c>
      <c r="B722" t="inlineStr">
        <is>
          <t>IGEÑO SANCHEZ, JOSE CARLOS</t>
        </is>
      </c>
      <c r="E722" t="n">
        <v>2026</v>
      </c>
      <c r="F722" t="n">
        <v>1</v>
      </c>
      <c r="G722" t="inlineStr">
        <is>
          <t>INDUSTRIA</t>
        </is>
      </c>
      <c r="H722" t="inlineStr">
        <is>
          <t>SALUSTIANA</t>
        </is>
      </c>
      <c r="I722" t="n">
        <v>61</v>
      </c>
      <c r="J722" t="n">
        <v>5884</v>
      </c>
      <c r="K722" t="n">
        <v>1004</v>
      </c>
      <c r="L722" t="n">
        <v>1004</v>
      </c>
      <c r="M722" t="inlineStr">
        <is>
          <t>Sí</t>
        </is>
      </c>
      <c r="N722" t="inlineStr"/>
      <c r="O722" t="inlineStr">
        <is>
          <t>Informativa</t>
        </is>
      </c>
      <c r="P722" t="inlineStr">
        <is>
          <t>No interviene en el prorrateo</t>
        </is>
      </c>
    </row>
    <row r="723">
      <c r="A723" t="n">
        <v>1582</v>
      </c>
      <c r="B723" t="inlineStr">
        <is>
          <t>IGEÑO SANCHEZ, JOSE CARLOS</t>
        </is>
      </c>
      <c r="E723" t="n">
        <v>2026</v>
      </c>
      <c r="F723" t="n">
        <v>1</v>
      </c>
      <c r="G723" t="inlineStr">
        <is>
          <t>INDUSTRIA</t>
        </is>
      </c>
      <c r="H723" t="inlineStr">
        <is>
          <t>SALUSTIANA</t>
        </is>
      </c>
      <c r="I723" t="n">
        <v>61</v>
      </c>
      <c r="J723" t="n">
        <v>800</v>
      </c>
      <c r="K723" t="n">
        <v>0</v>
      </c>
      <c r="L723" t="n">
        <v>800</v>
      </c>
      <c r="M723" t="inlineStr">
        <is>
          <t>Sí</t>
        </is>
      </c>
      <c r="N723" t="inlineStr"/>
      <c r="O723" t="inlineStr">
        <is>
          <t>Informativa</t>
        </is>
      </c>
      <c r="P723" t="inlineStr">
        <is>
          <t>No interviene en el prorrateo</t>
        </is>
      </c>
    </row>
    <row r="724">
      <c r="A724" t="n">
        <v>1585</v>
      </c>
      <c r="B724" t="inlineStr">
        <is>
          <t>CESPEDES AGUILAR, PATRICIA</t>
        </is>
      </c>
      <c r="E724" t="n">
        <v>2026</v>
      </c>
      <c r="F724" t="n">
        <v>1</v>
      </c>
      <c r="G724" t="inlineStr">
        <is>
          <t>CITRICOS</t>
        </is>
      </c>
      <c r="H724" t="inlineStr">
        <is>
          <t>SALUSTIANA</t>
        </is>
      </c>
      <c r="I724" t="n">
        <v>93</v>
      </c>
      <c r="J724" t="n">
        <v>11760</v>
      </c>
      <c r="K724" t="n">
        <v>0</v>
      </c>
      <c r="L724" t="n">
        <v>11760</v>
      </c>
      <c r="M724" t="inlineStr">
        <is>
          <t>Sí</t>
        </is>
      </c>
      <c r="N724" t="inlineStr"/>
      <c r="O724" t="inlineStr">
        <is>
          <t>Informativa</t>
        </is>
      </c>
      <c r="P724" t="inlineStr">
        <is>
          <t>No interviene en el prorrateo</t>
        </is>
      </c>
    </row>
    <row r="725">
      <c r="A725" t="n">
        <v>1585</v>
      </c>
      <c r="B725" t="inlineStr">
        <is>
          <t>CESPEDES AGUILAR, PATRICIA</t>
        </is>
      </c>
      <c r="E725" t="n">
        <v>2026</v>
      </c>
      <c r="F725" t="n">
        <v>1</v>
      </c>
      <c r="G725" t="inlineStr">
        <is>
          <t>CITRICOS</t>
        </is>
      </c>
      <c r="H725" t="inlineStr">
        <is>
          <t>SALUSTIANA</t>
        </is>
      </c>
      <c r="I725" t="n">
        <v>93</v>
      </c>
      <c r="J725" t="n">
        <v>11950</v>
      </c>
      <c r="K725" t="n">
        <v>11173</v>
      </c>
      <c r="L725" t="n">
        <v>11173</v>
      </c>
      <c r="M725" t="inlineStr">
        <is>
          <t>Sí</t>
        </is>
      </c>
      <c r="N725" t="inlineStr"/>
      <c r="O725" t="inlineStr">
        <is>
          <t>Informativa</t>
        </is>
      </c>
      <c r="P725" t="inlineStr">
        <is>
          <t>No interviene en el prorrateo</t>
        </is>
      </c>
    </row>
    <row r="726">
      <c r="A726" t="n">
        <v>1585</v>
      </c>
      <c r="B726" t="inlineStr">
        <is>
          <t>CESPEDES AGUILAR, PATRICIA</t>
        </is>
      </c>
      <c r="E726" t="n">
        <v>2026</v>
      </c>
      <c r="F726" t="n">
        <v>1</v>
      </c>
      <c r="G726" t="inlineStr">
        <is>
          <t>CITRICOS</t>
        </is>
      </c>
      <c r="H726" t="inlineStr">
        <is>
          <t>SALUSTIANA</t>
        </is>
      </c>
      <c r="I726" t="n">
        <v>93</v>
      </c>
      <c r="J726" t="n">
        <v>11720</v>
      </c>
      <c r="K726" t="n">
        <v>0</v>
      </c>
      <c r="L726" t="n">
        <v>11720</v>
      </c>
      <c r="M726" t="inlineStr">
        <is>
          <t>Sí</t>
        </is>
      </c>
      <c r="N726" t="inlineStr"/>
      <c r="O726" t="inlineStr">
        <is>
          <t>Informativa</t>
        </is>
      </c>
      <c r="P726" t="inlineStr">
        <is>
          <t>No interviene en el prorrateo</t>
        </is>
      </c>
    </row>
    <row r="727">
      <c r="A727" t="n">
        <v>1585</v>
      </c>
      <c r="B727" t="inlineStr">
        <is>
          <t>CESPEDES AGUILAR, PATRICIA</t>
        </is>
      </c>
      <c r="E727" t="n">
        <v>2026</v>
      </c>
      <c r="F727" t="n">
        <v>1</v>
      </c>
      <c r="G727" t="inlineStr">
        <is>
          <t>CITRICOS</t>
        </is>
      </c>
      <c r="H727" t="inlineStr">
        <is>
          <t>SALUSTIANA</t>
        </is>
      </c>
      <c r="I727" t="n">
        <v>93</v>
      </c>
      <c r="J727" t="n">
        <v>12715</v>
      </c>
      <c r="K727" t="n">
        <v>3654</v>
      </c>
      <c r="L727" t="n">
        <v>3654</v>
      </c>
      <c r="M727" t="inlineStr">
        <is>
          <t>Sí</t>
        </is>
      </c>
      <c r="N727" t="inlineStr"/>
      <c r="O727" t="inlineStr">
        <is>
          <t>Informativa</t>
        </is>
      </c>
      <c r="P727" t="inlineStr">
        <is>
          <t>No interviene en el prorrateo</t>
        </is>
      </c>
    </row>
    <row r="728">
      <c r="A728" t="n">
        <v>1585</v>
      </c>
      <c r="B728" t="inlineStr">
        <is>
          <t>CESPEDES AGUILAR, PATRICIA</t>
        </is>
      </c>
      <c r="E728" t="n">
        <v>2026</v>
      </c>
      <c r="F728" t="n">
        <v>1</v>
      </c>
      <c r="G728" t="inlineStr">
        <is>
          <t>CITRICOS</t>
        </is>
      </c>
      <c r="H728" t="inlineStr">
        <is>
          <t>SALUSTIANA</t>
        </is>
      </c>
      <c r="I728" t="n">
        <v>93</v>
      </c>
      <c r="J728" t="n">
        <v>12365</v>
      </c>
      <c r="K728" t="n">
        <v>6977</v>
      </c>
      <c r="L728" t="n">
        <v>6977</v>
      </c>
      <c r="M728" t="inlineStr">
        <is>
          <t>Sí</t>
        </is>
      </c>
      <c r="N728" t="inlineStr"/>
      <c r="O728" t="inlineStr">
        <is>
          <t>Informativa</t>
        </is>
      </c>
      <c r="P728" t="inlineStr">
        <is>
          <t>No interviene en el prorrateo</t>
        </is>
      </c>
    </row>
    <row r="729">
      <c r="A729" t="n">
        <v>1585</v>
      </c>
      <c r="B729" t="inlineStr">
        <is>
          <t>CESPEDES AGUILAR, PATRICIA</t>
        </is>
      </c>
      <c r="E729" t="n">
        <v>2026</v>
      </c>
      <c r="F729" t="n">
        <v>1</v>
      </c>
      <c r="G729" t="inlineStr">
        <is>
          <t>CITRICOS</t>
        </is>
      </c>
      <c r="H729" t="inlineStr">
        <is>
          <t>SALUSTIANA</t>
        </is>
      </c>
      <c r="I729" t="n">
        <v>93</v>
      </c>
      <c r="J729" t="n">
        <v>12640</v>
      </c>
      <c r="K729" t="n">
        <v>8147</v>
      </c>
      <c r="L729" t="n">
        <v>8147</v>
      </c>
      <c r="M729" t="inlineStr">
        <is>
          <t>Sí</t>
        </is>
      </c>
      <c r="N729" t="inlineStr"/>
      <c r="O729" t="inlineStr">
        <is>
          <t>Informativa</t>
        </is>
      </c>
      <c r="P729" t="inlineStr">
        <is>
          <t>No interviene en el prorrateo</t>
        </is>
      </c>
    </row>
    <row r="730">
      <c r="A730" t="n">
        <v>1585</v>
      </c>
      <c r="B730" t="inlineStr">
        <is>
          <t>CESPEDES AGUILAR, PATRICIA</t>
        </is>
      </c>
      <c r="E730" t="n">
        <v>2026</v>
      </c>
      <c r="F730" t="n">
        <v>1</v>
      </c>
      <c r="G730" t="inlineStr">
        <is>
          <t>CITRICOS</t>
        </is>
      </c>
      <c r="H730" t="inlineStr">
        <is>
          <t>SALUSTIANA</t>
        </is>
      </c>
      <c r="I730" t="n">
        <v>93</v>
      </c>
      <c r="J730" t="n">
        <v>6300</v>
      </c>
      <c r="K730" t="n">
        <v>0</v>
      </c>
      <c r="L730" t="n">
        <v>6300</v>
      </c>
      <c r="M730" t="inlineStr">
        <is>
          <t>Sí</t>
        </is>
      </c>
      <c r="N730" t="inlineStr"/>
      <c r="O730" t="inlineStr">
        <is>
          <t>Informativa</t>
        </is>
      </c>
      <c r="P730" t="inlineStr">
        <is>
          <t>No interviene en el prorrateo</t>
        </is>
      </c>
    </row>
    <row r="731">
      <c r="A731" t="n">
        <v>1585</v>
      </c>
      <c r="B731" t="inlineStr">
        <is>
          <t>CESPEDES AGUILAR, PATRICIA</t>
        </is>
      </c>
      <c r="E731" t="n">
        <v>2026</v>
      </c>
      <c r="F731" t="n">
        <v>1</v>
      </c>
      <c r="G731" t="inlineStr">
        <is>
          <t>CITRICOS</t>
        </is>
      </c>
      <c r="H731" t="inlineStr">
        <is>
          <t>SALUSTIANA</t>
        </is>
      </c>
      <c r="I731" t="n">
        <v>245</v>
      </c>
      <c r="J731" t="n">
        <v>11920</v>
      </c>
      <c r="K731" t="n">
        <v>0</v>
      </c>
      <c r="L731" t="n">
        <v>11920</v>
      </c>
      <c r="M731" t="inlineStr">
        <is>
          <t>Sí</t>
        </is>
      </c>
      <c r="N731" t="inlineStr"/>
      <c r="O731" t="inlineStr">
        <is>
          <t>Informativa</t>
        </is>
      </c>
      <c r="P731" t="inlineStr">
        <is>
          <t>No interviene en el prorrateo</t>
        </is>
      </c>
    </row>
    <row r="732">
      <c r="A732" t="n">
        <v>1585</v>
      </c>
      <c r="B732" t="inlineStr">
        <is>
          <t>CESPEDES AGUILAR, PATRICIA</t>
        </is>
      </c>
      <c r="E732" t="n">
        <v>2026</v>
      </c>
      <c r="F732" t="n">
        <v>1</v>
      </c>
      <c r="G732" t="inlineStr">
        <is>
          <t>CITRICOS</t>
        </is>
      </c>
      <c r="H732" t="inlineStr">
        <is>
          <t>SALUSTIANA</t>
        </is>
      </c>
      <c r="I732" t="n">
        <v>245</v>
      </c>
      <c r="J732" t="n">
        <v>23732</v>
      </c>
      <c r="K732" t="n">
        <v>4924</v>
      </c>
      <c r="L732" t="n">
        <v>4924</v>
      </c>
      <c r="M732" t="inlineStr">
        <is>
          <t>Sí</t>
        </is>
      </c>
      <c r="N732" t="inlineStr"/>
      <c r="O732" t="inlineStr">
        <is>
          <t>Informativa</t>
        </is>
      </c>
      <c r="P732" t="inlineStr">
        <is>
          <t>No interviene en el prorrateo</t>
        </is>
      </c>
    </row>
    <row r="733">
      <c r="A733" t="n">
        <v>1585</v>
      </c>
      <c r="B733" t="inlineStr">
        <is>
          <t>CESPEDES AGUILAR, PATRICIA</t>
        </is>
      </c>
      <c r="E733" t="n">
        <v>2026</v>
      </c>
      <c r="F733" t="n">
        <v>1</v>
      </c>
      <c r="G733" t="inlineStr">
        <is>
          <t>CITRICOS</t>
        </is>
      </c>
      <c r="H733" t="inlineStr">
        <is>
          <t>SALUSTIANA</t>
        </is>
      </c>
      <c r="I733" t="n">
        <v>93</v>
      </c>
      <c r="J733" t="n">
        <v>13060</v>
      </c>
      <c r="K733" t="n">
        <v>4073</v>
      </c>
      <c r="L733" t="n">
        <v>4073</v>
      </c>
      <c r="M733" t="inlineStr">
        <is>
          <t>Sí</t>
        </is>
      </c>
      <c r="N733" t="inlineStr"/>
      <c r="O733" t="inlineStr">
        <is>
          <t>Informativa</t>
        </is>
      </c>
      <c r="P733" t="inlineStr">
        <is>
          <t>No interviene en el prorrateo</t>
        </is>
      </c>
    </row>
    <row r="734">
      <c r="A734" t="n">
        <v>1585</v>
      </c>
      <c r="B734" t="inlineStr">
        <is>
          <t>CESPEDES AGUILAR, PATRICIA</t>
        </is>
      </c>
      <c r="E734" t="n">
        <v>2026</v>
      </c>
      <c r="F734" t="n">
        <v>1</v>
      </c>
      <c r="G734" t="inlineStr">
        <is>
          <t>CITRICOS</t>
        </is>
      </c>
      <c r="H734" t="inlineStr">
        <is>
          <t>SALUSTIANA</t>
        </is>
      </c>
      <c r="I734" t="n">
        <v>245</v>
      </c>
      <c r="J734" t="n">
        <v>23840</v>
      </c>
      <c r="K734" t="n">
        <v>4104</v>
      </c>
      <c r="L734" t="n">
        <v>4104</v>
      </c>
      <c r="M734" t="inlineStr">
        <is>
          <t>Sí</t>
        </is>
      </c>
      <c r="N734" t="inlineStr"/>
      <c r="O734" t="inlineStr">
        <is>
          <t>Informativa</t>
        </is>
      </c>
      <c r="P734" t="inlineStr">
        <is>
          <t>No interviene en el prorrateo</t>
        </is>
      </c>
    </row>
    <row r="735">
      <c r="A735" t="n">
        <v>1585</v>
      </c>
      <c r="B735" t="inlineStr">
        <is>
          <t>CESPEDES AGUILAR, PATRICIA</t>
        </is>
      </c>
      <c r="E735" t="n">
        <v>2026</v>
      </c>
      <c r="F735" t="n">
        <v>1</v>
      </c>
      <c r="G735" t="inlineStr">
        <is>
          <t>CITRICOS</t>
        </is>
      </c>
      <c r="H735" t="inlineStr">
        <is>
          <t>SALUSTIANA</t>
        </is>
      </c>
      <c r="I735" t="n">
        <v>245</v>
      </c>
      <c r="J735" t="n">
        <v>22669</v>
      </c>
      <c r="K735" t="n">
        <v>12105</v>
      </c>
      <c r="L735" t="n">
        <v>12105</v>
      </c>
      <c r="M735" t="inlineStr">
        <is>
          <t>Sí</t>
        </is>
      </c>
      <c r="N735" t="inlineStr"/>
      <c r="O735" t="inlineStr">
        <is>
          <t>Informativa</t>
        </is>
      </c>
      <c r="P735" t="inlineStr">
        <is>
          <t>No interviene en el prorrateo</t>
        </is>
      </c>
    </row>
    <row r="736">
      <c r="A736" t="n">
        <v>1585</v>
      </c>
      <c r="B736" t="inlineStr">
        <is>
          <t>CESPEDES AGUILAR, PATRICIA</t>
        </is>
      </c>
      <c r="E736" t="n">
        <v>2026</v>
      </c>
      <c r="F736" t="n">
        <v>1</v>
      </c>
      <c r="G736" t="inlineStr">
        <is>
          <t>CITRICOS</t>
        </is>
      </c>
      <c r="H736" t="inlineStr">
        <is>
          <t>SALUSTIANA</t>
        </is>
      </c>
      <c r="I736" t="n">
        <v>245</v>
      </c>
      <c r="J736" t="n">
        <v>12860</v>
      </c>
      <c r="K736" t="n">
        <v>4066</v>
      </c>
      <c r="L736" t="n">
        <v>4066</v>
      </c>
      <c r="M736" t="inlineStr">
        <is>
          <t>Sí</t>
        </is>
      </c>
      <c r="N736" t="inlineStr"/>
      <c r="O736" t="inlineStr">
        <is>
          <t>Informativa</t>
        </is>
      </c>
      <c r="P736" t="inlineStr">
        <is>
          <t>No interviene en el prorrateo</t>
        </is>
      </c>
    </row>
    <row r="737">
      <c r="A737" t="n">
        <v>1585</v>
      </c>
      <c r="B737" t="inlineStr">
        <is>
          <t>CESPEDES AGUILAR, PATRICIA</t>
        </is>
      </c>
      <c r="E737" t="n">
        <v>2026</v>
      </c>
      <c r="F737" t="n">
        <v>1</v>
      </c>
      <c r="G737" t="inlineStr">
        <is>
          <t>CITRICOS</t>
        </is>
      </c>
      <c r="H737" t="inlineStr">
        <is>
          <t>SALUSTIANA</t>
        </is>
      </c>
      <c r="I737" t="n">
        <v>245</v>
      </c>
      <c r="J737" t="n">
        <v>12800</v>
      </c>
      <c r="K737" t="n">
        <v>0</v>
      </c>
      <c r="L737" t="n">
        <v>12800</v>
      </c>
      <c r="M737" t="inlineStr">
        <is>
          <t>Sí</t>
        </is>
      </c>
      <c r="N737" t="inlineStr"/>
      <c r="O737" t="inlineStr">
        <is>
          <t>Informativa</t>
        </is>
      </c>
      <c r="P737" t="inlineStr">
        <is>
          <t>No interviene en el prorrateo</t>
        </is>
      </c>
    </row>
    <row r="738">
      <c r="A738" t="n">
        <v>1585</v>
      </c>
      <c r="B738" t="inlineStr">
        <is>
          <t>CESPEDES AGUILAR, PATRICIA</t>
        </is>
      </c>
      <c r="E738" t="n">
        <v>2026</v>
      </c>
      <c r="F738" t="n">
        <v>1</v>
      </c>
      <c r="G738" t="inlineStr">
        <is>
          <t>CITRICOS</t>
        </is>
      </c>
      <c r="H738" t="inlineStr">
        <is>
          <t>SALUSTIANA</t>
        </is>
      </c>
      <c r="I738" t="n">
        <v>245</v>
      </c>
      <c r="J738" t="n">
        <v>9220</v>
      </c>
      <c r="K738" t="n">
        <v>0</v>
      </c>
      <c r="L738" t="n">
        <v>9220</v>
      </c>
      <c r="M738" t="inlineStr">
        <is>
          <t>Sí</t>
        </is>
      </c>
      <c r="N738" t="inlineStr"/>
      <c r="O738" t="inlineStr">
        <is>
          <t>Informativa</t>
        </is>
      </c>
      <c r="P738" t="inlineStr">
        <is>
          <t>No interviene en el prorrateo</t>
        </is>
      </c>
    </row>
    <row r="739">
      <c r="A739" t="n">
        <v>1585</v>
      </c>
      <c r="B739" t="inlineStr">
        <is>
          <t>CESPEDES AGUILAR, PATRICIA</t>
        </is>
      </c>
      <c r="E739" t="n">
        <v>2026</v>
      </c>
      <c r="F739" t="n">
        <v>1</v>
      </c>
      <c r="G739" t="inlineStr">
        <is>
          <t>CITRICOS</t>
        </is>
      </c>
      <c r="H739" t="inlineStr">
        <is>
          <t>SALUSTIANA</t>
        </is>
      </c>
      <c r="I739" t="n">
        <v>245</v>
      </c>
      <c r="J739" t="n">
        <v>13262</v>
      </c>
      <c r="K739" t="n">
        <v>0</v>
      </c>
      <c r="L739" t="n">
        <v>13262</v>
      </c>
      <c r="M739" t="inlineStr">
        <is>
          <t>Sí</t>
        </is>
      </c>
      <c r="N739" t="inlineStr"/>
      <c r="O739" t="inlineStr">
        <is>
          <t>Informativa</t>
        </is>
      </c>
      <c r="P739" t="inlineStr">
        <is>
          <t>No interviene en el prorrateo</t>
        </is>
      </c>
    </row>
    <row r="740">
      <c r="A740" t="n">
        <v>1585</v>
      </c>
      <c r="B740" t="inlineStr">
        <is>
          <t>CESPEDES AGUILAR, PATRICIA</t>
        </is>
      </c>
      <c r="E740" t="n">
        <v>2026</v>
      </c>
      <c r="F740" t="n">
        <v>1</v>
      </c>
      <c r="G740" t="inlineStr">
        <is>
          <t>CITRICOS</t>
        </is>
      </c>
      <c r="H740" t="inlineStr">
        <is>
          <t>SALUSTIANA</t>
        </is>
      </c>
      <c r="I740" t="n">
        <v>245</v>
      </c>
      <c r="J740" t="n">
        <v>13490</v>
      </c>
      <c r="K740" t="n">
        <v>0</v>
      </c>
      <c r="L740" t="n">
        <v>13490</v>
      </c>
      <c r="M740" t="inlineStr">
        <is>
          <t>Sí</t>
        </is>
      </c>
      <c r="N740" t="inlineStr"/>
      <c r="O740" t="inlineStr">
        <is>
          <t>Informativa</t>
        </is>
      </c>
      <c r="P740" t="inlineStr">
        <is>
          <t>No interviene en el prorrateo</t>
        </is>
      </c>
    </row>
    <row r="741">
      <c r="A741" t="n">
        <v>1585</v>
      </c>
      <c r="B741" t="inlineStr">
        <is>
          <t>CESPEDES AGUILAR, PATRICIA</t>
        </is>
      </c>
      <c r="E741" t="n">
        <v>2026</v>
      </c>
      <c r="F741" t="n">
        <v>1</v>
      </c>
      <c r="G741" t="inlineStr">
        <is>
          <t>CITRICOS</t>
        </is>
      </c>
      <c r="H741" t="inlineStr">
        <is>
          <t>SALUSTIANA</t>
        </is>
      </c>
      <c r="I741" t="n">
        <v>245</v>
      </c>
      <c r="J741" t="n">
        <v>10080</v>
      </c>
      <c r="K741" t="n">
        <v>3960</v>
      </c>
      <c r="L741" t="n">
        <v>3960</v>
      </c>
      <c r="M741" t="inlineStr">
        <is>
          <t>Sí</t>
        </is>
      </c>
      <c r="N741" t="inlineStr"/>
      <c r="O741" t="inlineStr">
        <is>
          <t>Informativa</t>
        </is>
      </c>
      <c r="P741" t="inlineStr">
        <is>
          <t>No interviene en el prorrateo</t>
        </is>
      </c>
    </row>
    <row r="742">
      <c r="A742" t="n">
        <v>1585</v>
      </c>
      <c r="B742" t="inlineStr">
        <is>
          <t>CESPEDES AGUILAR, PATRICIA</t>
        </is>
      </c>
      <c r="E742" t="n">
        <v>2026</v>
      </c>
      <c r="F742" t="n">
        <v>1</v>
      </c>
      <c r="G742" t="inlineStr">
        <is>
          <t>CITRICOS</t>
        </is>
      </c>
      <c r="H742" t="inlineStr">
        <is>
          <t>SALUSTIANA</t>
        </is>
      </c>
      <c r="I742" t="n">
        <v>245</v>
      </c>
      <c r="J742" t="n">
        <v>3900</v>
      </c>
      <c r="K742" t="n">
        <v>0</v>
      </c>
      <c r="L742" t="n">
        <v>3900</v>
      </c>
      <c r="M742" t="inlineStr">
        <is>
          <t>Sí</t>
        </is>
      </c>
      <c r="N742" t="inlineStr"/>
      <c r="O742" t="inlineStr">
        <is>
          <t>Informativa</t>
        </is>
      </c>
      <c r="P742" t="inlineStr">
        <is>
          <t>No interviene en el prorrateo</t>
        </is>
      </c>
    </row>
    <row r="743">
      <c r="A743" t="n">
        <v>1585</v>
      </c>
      <c r="B743" t="inlineStr">
        <is>
          <t>CESPEDES AGUILAR, PATRICIA</t>
        </is>
      </c>
      <c r="E743" t="n">
        <v>2026</v>
      </c>
      <c r="F743" t="n">
        <v>1</v>
      </c>
      <c r="G743" t="inlineStr">
        <is>
          <t>CITRICOS</t>
        </is>
      </c>
      <c r="H743" t="inlineStr">
        <is>
          <t>SALUSTIANA</t>
        </is>
      </c>
      <c r="I743" t="n">
        <v>245</v>
      </c>
      <c r="J743" t="n">
        <v>11440</v>
      </c>
      <c r="K743" t="n">
        <v>0</v>
      </c>
      <c r="L743" t="n">
        <v>11440</v>
      </c>
      <c r="M743" t="inlineStr">
        <is>
          <t>Sí</t>
        </is>
      </c>
      <c r="N743" t="inlineStr"/>
      <c r="O743" t="inlineStr">
        <is>
          <t>Informativa</t>
        </is>
      </c>
      <c r="P743" t="inlineStr">
        <is>
          <t>No interviene en el prorrateo</t>
        </is>
      </c>
    </row>
    <row r="744">
      <c r="A744" t="n">
        <v>1585</v>
      </c>
      <c r="B744" t="inlineStr">
        <is>
          <t>CESPEDES AGUILAR, PATRICIA</t>
        </is>
      </c>
      <c r="E744" t="n">
        <v>2026</v>
      </c>
      <c r="F744" t="n">
        <v>1</v>
      </c>
      <c r="G744" t="inlineStr">
        <is>
          <t>CITRICOS</t>
        </is>
      </c>
      <c r="H744" t="inlineStr">
        <is>
          <t>SALUSTIANA</t>
        </is>
      </c>
      <c r="I744" t="n">
        <v>245</v>
      </c>
      <c r="J744" t="n">
        <v>3767</v>
      </c>
      <c r="K744" t="n">
        <v>0</v>
      </c>
      <c r="L744" t="n">
        <v>3767</v>
      </c>
      <c r="M744" t="inlineStr">
        <is>
          <t>Sí</t>
        </is>
      </c>
      <c r="N744" t="inlineStr"/>
      <c r="O744" t="inlineStr">
        <is>
          <t>Informativa</t>
        </is>
      </c>
      <c r="P744" t="inlineStr">
        <is>
          <t>No interviene en el prorrateo</t>
        </is>
      </c>
    </row>
    <row r="745">
      <c r="A745" t="n">
        <v>1585</v>
      </c>
      <c r="B745" t="inlineStr">
        <is>
          <t>CESPEDES AGUILAR, PATRICIA</t>
        </is>
      </c>
      <c r="E745" t="n">
        <v>2026</v>
      </c>
      <c r="F745" t="n">
        <v>1</v>
      </c>
      <c r="G745" t="inlineStr">
        <is>
          <t>CITRICOS</t>
        </is>
      </c>
      <c r="H745" t="inlineStr">
        <is>
          <t>SALUSTIANA</t>
        </is>
      </c>
      <c r="I745" t="n">
        <v>245</v>
      </c>
      <c r="J745" t="n">
        <v>13116</v>
      </c>
      <c r="K745" t="n">
        <v>2677</v>
      </c>
      <c r="L745" t="n">
        <v>2677</v>
      </c>
      <c r="M745" t="inlineStr">
        <is>
          <t>Sí</t>
        </is>
      </c>
      <c r="N745" t="inlineStr"/>
      <c r="O745" t="inlineStr">
        <is>
          <t>Informativa</t>
        </is>
      </c>
      <c r="P745" t="inlineStr">
        <is>
          <t>No interviene en el prorrateo</t>
        </is>
      </c>
    </row>
    <row r="746">
      <c r="A746" t="n">
        <v>1585</v>
      </c>
      <c r="B746" t="inlineStr">
        <is>
          <t>CESPEDES AGUILAR, PATRICIA</t>
        </is>
      </c>
      <c r="E746" t="n">
        <v>2026</v>
      </c>
      <c r="F746" t="n">
        <v>1</v>
      </c>
      <c r="G746" t="inlineStr">
        <is>
          <t>CITRICOS</t>
        </is>
      </c>
      <c r="H746" t="inlineStr">
        <is>
          <t>SALUSTIANA</t>
        </is>
      </c>
      <c r="I746" t="n">
        <v>245</v>
      </c>
      <c r="J746" t="n">
        <v>4912</v>
      </c>
      <c r="K746" t="n">
        <v>0</v>
      </c>
      <c r="L746" t="n">
        <v>4912</v>
      </c>
      <c r="M746" t="inlineStr">
        <is>
          <t>Sí</t>
        </is>
      </c>
      <c r="N746" t="inlineStr"/>
      <c r="O746" t="inlineStr">
        <is>
          <t>Informativa</t>
        </is>
      </c>
      <c r="P746" t="inlineStr">
        <is>
          <t>No interviene en el prorrateo</t>
        </is>
      </c>
    </row>
    <row r="747">
      <c r="A747" t="n">
        <v>1585</v>
      </c>
      <c r="B747" t="inlineStr">
        <is>
          <t>CESPEDES AGUILAR, PATRICIA</t>
        </is>
      </c>
      <c r="E747" t="n">
        <v>2026</v>
      </c>
      <c r="F747" t="n">
        <v>1</v>
      </c>
      <c r="G747" t="inlineStr">
        <is>
          <t>CITRICOS</t>
        </is>
      </c>
      <c r="H747" t="inlineStr">
        <is>
          <t>SALUSTIANA</t>
        </is>
      </c>
      <c r="I747" t="n">
        <v>245</v>
      </c>
      <c r="J747" t="n">
        <v>12668</v>
      </c>
      <c r="K747" t="n">
        <v>7231</v>
      </c>
      <c r="L747" t="n">
        <v>7231</v>
      </c>
      <c r="M747" t="inlineStr">
        <is>
          <t>Sí</t>
        </is>
      </c>
      <c r="N747" t="inlineStr"/>
      <c r="O747" t="inlineStr">
        <is>
          <t>Informativa</t>
        </is>
      </c>
      <c r="P747" t="inlineStr">
        <is>
          <t>No interviene en el prorrateo</t>
        </is>
      </c>
    </row>
    <row r="748">
      <c r="A748" t="n">
        <v>1585</v>
      </c>
      <c r="B748" t="inlineStr">
        <is>
          <t>CESPEDES AGUILAR, PATRICIA</t>
        </is>
      </c>
      <c r="E748" t="n">
        <v>2026</v>
      </c>
      <c r="F748" t="n">
        <v>1</v>
      </c>
      <c r="G748" t="inlineStr">
        <is>
          <t>CITRICOS</t>
        </is>
      </c>
      <c r="H748" t="inlineStr">
        <is>
          <t>SALUSTIANA</t>
        </is>
      </c>
      <c r="I748" t="n">
        <v>245</v>
      </c>
      <c r="J748" t="n">
        <v>11532</v>
      </c>
      <c r="K748" t="n">
        <v>5098</v>
      </c>
      <c r="L748" t="n">
        <v>5098</v>
      </c>
      <c r="M748" t="inlineStr">
        <is>
          <t>Sí</t>
        </is>
      </c>
      <c r="N748" t="inlineStr"/>
      <c r="O748" t="inlineStr">
        <is>
          <t>Informativa</t>
        </is>
      </c>
      <c r="P748" t="inlineStr">
        <is>
          <t>No interviene en el prorrateo</t>
        </is>
      </c>
    </row>
    <row r="749">
      <c r="A749" t="n">
        <v>1585</v>
      </c>
      <c r="B749" t="inlineStr">
        <is>
          <t>CESPEDES AGUILAR, PATRICIA</t>
        </is>
      </c>
      <c r="E749" t="n">
        <v>2026</v>
      </c>
      <c r="F749" t="n">
        <v>1</v>
      </c>
      <c r="G749" t="inlineStr">
        <is>
          <t>CITRICOS</t>
        </is>
      </c>
      <c r="H749" t="inlineStr">
        <is>
          <t>SALUSTIANA</t>
        </is>
      </c>
      <c r="I749" t="n">
        <v>245</v>
      </c>
      <c r="J749" t="n">
        <v>5804</v>
      </c>
      <c r="K749" t="n">
        <v>0</v>
      </c>
      <c r="L749" t="n">
        <v>5804</v>
      </c>
      <c r="M749" t="inlineStr">
        <is>
          <t>Sí</t>
        </is>
      </c>
      <c r="N749" t="inlineStr"/>
      <c r="O749" t="inlineStr">
        <is>
          <t>Informativa</t>
        </is>
      </c>
      <c r="P749" t="inlineStr">
        <is>
          <t>No interviene en el prorrateo</t>
        </is>
      </c>
    </row>
    <row r="750">
      <c r="A750" t="n">
        <v>1585</v>
      </c>
      <c r="B750" t="inlineStr">
        <is>
          <t>CESPEDES AGUILAR, PATRICIA</t>
        </is>
      </c>
      <c r="E750" t="n">
        <v>2026</v>
      </c>
      <c r="F750" t="n">
        <v>1</v>
      </c>
      <c r="G750" t="inlineStr">
        <is>
          <t>CITRICOS</t>
        </is>
      </c>
      <c r="H750" t="inlineStr">
        <is>
          <t>SALUSTIANA</t>
        </is>
      </c>
      <c r="I750" t="n">
        <v>245</v>
      </c>
      <c r="J750" t="n">
        <v>10440</v>
      </c>
      <c r="K750" t="n">
        <v>8270</v>
      </c>
      <c r="L750" t="n">
        <v>8270</v>
      </c>
      <c r="M750" t="inlineStr">
        <is>
          <t>Sí</t>
        </is>
      </c>
      <c r="N750" t="inlineStr"/>
      <c r="O750" t="inlineStr">
        <is>
          <t>Informativa</t>
        </is>
      </c>
      <c r="P750" t="inlineStr">
        <is>
          <t>No interviene en el prorrateo</t>
        </is>
      </c>
    </row>
    <row r="751">
      <c r="A751" t="n">
        <v>1585</v>
      </c>
      <c r="B751" t="inlineStr">
        <is>
          <t>CESPEDES AGUILAR, PATRICIA</t>
        </is>
      </c>
      <c r="E751" t="n">
        <v>2026</v>
      </c>
      <c r="F751" t="n">
        <v>1</v>
      </c>
      <c r="G751" t="inlineStr">
        <is>
          <t>CITRICOS</t>
        </is>
      </c>
      <c r="H751" t="inlineStr">
        <is>
          <t>SALUSTIANA</t>
        </is>
      </c>
      <c r="I751" t="n">
        <v>245</v>
      </c>
      <c r="J751" t="n">
        <v>1960</v>
      </c>
      <c r="K751" t="n">
        <v>0</v>
      </c>
      <c r="L751" t="n">
        <v>1960</v>
      </c>
      <c r="M751" t="inlineStr">
        <is>
          <t>Sí</t>
        </is>
      </c>
      <c r="N751" t="inlineStr"/>
      <c r="O751" t="inlineStr">
        <is>
          <t>Informativa</t>
        </is>
      </c>
      <c r="P751" t="inlineStr">
        <is>
          <t>No interviene en el prorrateo</t>
        </is>
      </c>
    </row>
    <row r="752">
      <c r="A752" t="n">
        <v>1585</v>
      </c>
      <c r="B752" t="inlineStr">
        <is>
          <t>CESPEDES AGUILAR, PATRICIA</t>
        </is>
      </c>
      <c r="E752" t="n">
        <v>2026</v>
      </c>
      <c r="F752" t="n">
        <v>1</v>
      </c>
      <c r="G752" t="inlineStr">
        <is>
          <t>CITRICOS</t>
        </is>
      </c>
      <c r="H752" t="inlineStr">
        <is>
          <t>SALUSTIANA</t>
        </is>
      </c>
      <c r="I752" t="n">
        <v>245</v>
      </c>
      <c r="J752" t="n">
        <v>9012</v>
      </c>
      <c r="K752" t="n">
        <v>4692</v>
      </c>
      <c r="L752" t="n">
        <v>4692</v>
      </c>
      <c r="M752" t="inlineStr">
        <is>
          <t>Sí</t>
        </is>
      </c>
      <c r="N752" t="inlineStr"/>
      <c r="O752" t="inlineStr">
        <is>
          <t>Informativa</t>
        </is>
      </c>
      <c r="P752" t="inlineStr">
        <is>
          <t>No interviene en el prorrateo</t>
        </is>
      </c>
    </row>
    <row r="753">
      <c r="A753" t="n">
        <v>1585</v>
      </c>
      <c r="B753" t="inlineStr">
        <is>
          <t>CESPEDES AGUILAR, PATRICIA</t>
        </is>
      </c>
      <c r="E753" t="n">
        <v>2026</v>
      </c>
      <c r="F753" t="n">
        <v>1</v>
      </c>
      <c r="G753" t="inlineStr">
        <is>
          <t>CITRICOS</t>
        </is>
      </c>
      <c r="H753" t="inlineStr">
        <is>
          <t>SALUSTIANA</t>
        </is>
      </c>
      <c r="I753" t="n">
        <v>245</v>
      </c>
      <c r="J753" t="n">
        <v>5756</v>
      </c>
      <c r="K753" t="n">
        <v>0</v>
      </c>
      <c r="L753" t="n">
        <v>5756</v>
      </c>
      <c r="M753" t="inlineStr">
        <is>
          <t>Sí</t>
        </is>
      </c>
      <c r="N753" t="inlineStr"/>
      <c r="O753" t="inlineStr">
        <is>
          <t>Informativa</t>
        </is>
      </c>
      <c r="P753" t="inlineStr">
        <is>
          <t>No interviene en el prorrateo</t>
        </is>
      </c>
    </row>
    <row r="754">
      <c r="A754" t="n">
        <v>1585</v>
      </c>
      <c r="B754" t="inlineStr">
        <is>
          <t>CESPEDES AGUILAR, PATRICIA</t>
        </is>
      </c>
      <c r="E754" t="n">
        <v>2026</v>
      </c>
      <c r="F754" t="n">
        <v>1</v>
      </c>
      <c r="G754" t="inlineStr">
        <is>
          <t>CITRICOS</t>
        </is>
      </c>
      <c r="H754" t="inlineStr">
        <is>
          <t>SALUSTIANA</t>
        </is>
      </c>
      <c r="I754" t="n">
        <v>245</v>
      </c>
      <c r="J754" t="n">
        <v>10404</v>
      </c>
      <c r="K754" t="n">
        <v>1584</v>
      </c>
      <c r="L754" t="n">
        <v>1584</v>
      </c>
      <c r="M754" t="inlineStr">
        <is>
          <t>Sí</t>
        </is>
      </c>
      <c r="N754" t="inlineStr"/>
      <c r="O754" t="inlineStr">
        <is>
          <t>Informativa</t>
        </is>
      </c>
      <c r="P754" t="inlineStr">
        <is>
          <t>No interviene en el prorrateo</t>
        </is>
      </c>
    </row>
    <row r="755">
      <c r="A755" t="n">
        <v>1585</v>
      </c>
      <c r="B755" t="inlineStr">
        <is>
          <t>CESPEDES AGUILAR, PATRICIA</t>
        </is>
      </c>
      <c r="E755" t="n">
        <v>2026</v>
      </c>
      <c r="F755" t="n">
        <v>1</v>
      </c>
      <c r="G755" t="inlineStr">
        <is>
          <t>CITRICOS</t>
        </is>
      </c>
      <c r="H755" t="inlineStr">
        <is>
          <t>SALUSTIANA</t>
        </is>
      </c>
      <c r="I755" t="n">
        <v>245</v>
      </c>
      <c r="J755" t="n">
        <v>12900</v>
      </c>
      <c r="K755" t="n">
        <v>4462</v>
      </c>
      <c r="L755" t="n">
        <v>4462</v>
      </c>
      <c r="M755" t="inlineStr">
        <is>
          <t>Sí</t>
        </is>
      </c>
      <c r="N755" t="inlineStr"/>
      <c r="O755" t="inlineStr">
        <is>
          <t>Informativa</t>
        </is>
      </c>
      <c r="P755" t="inlineStr">
        <is>
          <t>No interviene en el prorrateo</t>
        </is>
      </c>
    </row>
    <row r="756">
      <c r="A756" t="n">
        <v>1585</v>
      </c>
      <c r="B756" t="inlineStr">
        <is>
          <t>CESPEDES AGUILAR, PATRICIA</t>
        </is>
      </c>
      <c r="E756" t="n">
        <v>2026</v>
      </c>
      <c r="F756" t="n">
        <v>1</v>
      </c>
      <c r="G756" t="inlineStr">
        <is>
          <t>INDUSTRIA</t>
        </is>
      </c>
      <c r="H756" t="inlineStr">
        <is>
          <t>SALUSTIANA</t>
        </is>
      </c>
      <c r="I756" t="n">
        <v>93</v>
      </c>
      <c r="J756" t="n">
        <v>13070</v>
      </c>
      <c r="K756" t="n">
        <v>707</v>
      </c>
      <c r="L756" t="n">
        <v>707</v>
      </c>
      <c r="M756" t="inlineStr">
        <is>
          <t>Sí</t>
        </is>
      </c>
      <c r="N756" t="inlineStr"/>
      <c r="O756" t="inlineStr">
        <is>
          <t>Informativa</t>
        </is>
      </c>
      <c r="P756" t="inlineStr">
        <is>
          <t>No interviene en el prorrateo</t>
        </is>
      </c>
    </row>
    <row r="757">
      <c r="A757" t="n">
        <v>1585</v>
      </c>
      <c r="B757" t="inlineStr">
        <is>
          <t>CESPEDES AGUILAR, PATRICIA</t>
        </is>
      </c>
      <c r="E757" t="n">
        <v>2026</v>
      </c>
      <c r="F757" t="n">
        <v>1</v>
      </c>
      <c r="G757" t="inlineStr">
        <is>
          <t>INDUSTRIA</t>
        </is>
      </c>
      <c r="H757" t="inlineStr">
        <is>
          <t>SALUSTIANA</t>
        </is>
      </c>
      <c r="I757" t="n">
        <v>93</v>
      </c>
      <c r="J757" t="n">
        <v>11700</v>
      </c>
      <c r="K757" t="n">
        <v>1209</v>
      </c>
      <c r="L757" t="n">
        <v>1209</v>
      </c>
      <c r="M757" t="inlineStr">
        <is>
          <t>Sí</t>
        </is>
      </c>
      <c r="N757" t="inlineStr"/>
      <c r="O757" t="inlineStr">
        <is>
          <t>Informativa</t>
        </is>
      </c>
      <c r="P757" t="inlineStr">
        <is>
          <t>No interviene en el prorrateo</t>
        </is>
      </c>
    </row>
    <row r="758">
      <c r="A758" t="n">
        <v>1585</v>
      </c>
      <c r="B758" t="inlineStr">
        <is>
          <t>CESPEDES AGUILAR, PATRICIA</t>
        </is>
      </c>
      <c r="E758" t="n">
        <v>2026</v>
      </c>
      <c r="F758" t="n">
        <v>1</v>
      </c>
      <c r="G758" t="inlineStr">
        <is>
          <t>INDUSTRIA</t>
        </is>
      </c>
      <c r="H758" t="inlineStr">
        <is>
          <t>SALUSTIANA</t>
        </is>
      </c>
      <c r="I758" t="n">
        <v>245</v>
      </c>
      <c r="J758" t="n">
        <v>24351</v>
      </c>
      <c r="K758" t="n">
        <v>231</v>
      </c>
      <c r="L758" t="n">
        <v>231</v>
      </c>
      <c r="M758" t="inlineStr">
        <is>
          <t>Sí</t>
        </is>
      </c>
      <c r="N758" t="inlineStr"/>
      <c r="O758" t="inlineStr">
        <is>
          <t>Informativa</t>
        </is>
      </c>
      <c r="P758" t="inlineStr">
        <is>
          <t>No interviene en el prorrateo</t>
        </is>
      </c>
    </row>
    <row r="759">
      <c r="A759" t="n">
        <v>1585</v>
      </c>
      <c r="B759" t="inlineStr">
        <is>
          <t>CESPEDES AGUILAR, PATRICIA</t>
        </is>
      </c>
      <c r="E759" t="n">
        <v>2026</v>
      </c>
      <c r="F759" t="n">
        <v>1</v>
      </c>
      <c r="G759" t="inlineStr">
        <is>
          <t>INDUSTRIA</t>
        </is>
      </c>
      <c r="H759" t="inlineStr">
        <is>
          <t>SALUSTIANA</t>
        </is>
      </c>
      <c r="I759" t="n">
        <v>93</v>
      </c>
      <c r="J759" t="n">
        <v>443</v>
      </c>
      <c r="K759" t="n">
        <v>0</v>
      </c>
      <c r="L759" t="n">
        <v>443</v>
      </c>
      <c r="M759" t="inlineStr">
        <is>
          <t>Sí</t>
        </is>
      </c>
      <c r="N759" t="inlineStr"/>
      <c r="O759" t="inlineStr">
        <is>
          <t>Informativa</t>
        </is>
      </c>
      <c r="P759" t="inlineStr">
        <is>
          <t>No interviene en el prorrateo</t>
        </is>
      </c>
    </row>
    <row r="760">
      <c r="A760" t="n">
        <v>1585</v>
      </c>
      <c r="B760" t="inlineStr">
        <is>
          <t>CESPEDES AGUILAR, PATRICIA</t>
        </is>
      </c>
      <c r="E760" t="n">
        <v>2026</v>
      </c>
      <c r="F760" t="n">
        <v>1</v>
      </c>
      <c r="G760" t="inlineStr">
        <is>
          <t>INDUSTRIA</t>
        </is>
      </c>
      <c r="H760" t="inlineStr">
        <is>
          <t>SALUSTIANA</t>
        </is>
      </c>
      <c r="I760" t="n">
        <v>93</v>
      </c>
      <c r="J760" t="n">
        <v>480</v>
      </c>
      <c r="K760" t="n">
        <v>0</v>
      </c>
      <c r="L760" t="n">
        <v>480</v>
      </c>
      <c r="M760" t="inlineStr">
        <is>
          <t>Sí</t>
        </is>
      </c>
      <c r="N760" t="inlineStr"/>
      <c r="O760" t="inlineStr">
        <is>
          <t>Informativa</t>
        </is>
      </c>
      <c r="P760" t="inlineStr">
        <is>
          <t>No interviene en el prorrateo</t>
        </is>
      </c>
    </row>
    <row r="761">
      <c r="A761" t="n">
        <v>1585</v>
      </c>
      <c r="B761" t="inlineStr">
        <is>
          <t>CESPEDES AGUILAR, PATRICIA</t>
        </is>
      </c>
      <c r="E761" t="n">
        <v>2026</v>
      </c>
      <c r="F761" t="n">
        <v>1</v>
      </c>
      <c r="G761" t="inlineStr">
        <is>
          <t>INDUSTRIA</t>
        </is>
      </c>
      <c r="H761" t="inlineStr">
        <is>
          <t>SALUSTIANA</t>
        </is>
      </c>
      <c r="I761" t="n">
        <v>93</v>
      </c>
      <c r="J761" t="n">
        <v>471</v>
      </c>
      <c r="K761" t="n">
        <v>0</v>
      </c>
      <c r="L761" t="n">
        <v>471</v>
      </c>
      <c r="M761" t="inlineStr">
        <is>
          <t>Sí</t>
        </is>
      </c>
      <c r="N761" t="inlineStr"/>
      <c r="O761" t="inlineStr">
        <is>
          <t>Informativa</t>
        </is>
      </c>
      <c r="P761" t="inlineStr">
        <is>
          <t>No interviene en el prorrateo</t>
        </is>
      </c>
    </row>
    <row r="762">
      <c r="A762" t="n">
        <v>1597</v>
      </c>
      <c r="B762" t="inlineStr">
        <is>
          <t>CARBALLO SIRIA, ANTONIO JOSE</t>
        </is>
      </c>
      <c r="E762" t="n">
        <v>2026</v>
      </c>
      <c r="F762" t="n">
        <v>1</v>
      </c>
      <c r="G762" t="inlineStr">
        <is>
          <t>CITRICOS</t>
        </is>
      </c>
      <c r="H762" t="inlineStr">
        <is>
          <t>SALUSTIANA</t>
        </is>
      </c>
      <c r="I762" t="n">
        <v>679</v>
      </c>
      <c r="J762" t="n">
        <v>13482</v>
      </c>
      <c r="K762" t="n">
        <v>0</v>
      </c>
      <c r="L762" t="n">
        <v>13482</v>
      </c>
      <c r="M762" t="inlineStr">
        <is>
          <t>Sí</t>
        </is>
      </c>
      <c r="N762" t="inlineStr"/>
      <c r="O762" t="inlineStr">
        <is>
          <t>Informativa</t>
        </is>
      </c>
      <c r="P762" t="inlineStr">
        <is>
          <t>No interviene en el prorrateo</t>
        </is>
      </c>
    </row>
    <row r="763">
      <c r="A763" t="n">
        <v>1597</v>
      </c>
      <c r="B763" t="inlineStr">
        <is>
          <t>CARBALLO SIRIA, ANTONIO JOSE</t>
        </is>
      </c>
      <c r="E763" t="n">
        <v>2026</v>
      </c>
      <c r="F763" t="n">
        <v>1</v>
      </c>
      <c r="G763" t="inlineStr">
        <is>
          <t>CITRICOS</t>
        </is>
      </c>
      <c r="H763" t="inlineStr">
        <is>
          <t>SALUSTIANA</t>
        </is>
      </c>
      <c r="I763" t="n">
        <v>679</v>
      </c>
      <c r="J763" t="n">
        <v>14220</v>
      </c>
      <c r="K763" t="n">
        <v>0</v>
      </c>
      <c r="L763" t="n">
        <v>14220</v>
      </c>
      <c r="M763" t="inlineStr">
        <is>
          <t>Sí</t>
        </is>
      </c>
      <c r="N763" t="inlineStr"/>
      <c r="O763" t="inlineStr">
        <is>
          <t>Informativa</t>
        </is>
      </c>
      <c r="P763" t="inlineStr">
        <is>
          <t>No interviene en el prorrateo</t>
        </is>
      </c>
    </row>
    <row r="764">
      <c r="A764" t="n">
        <v>1597</v>
      </c>
      <c r="B764" t="inlineStr">
        <is>
          <t>CARBALLO SIRIA, ANTONIO JOSE</t>
        </is>
      </c>
      <c r="E764" t="n">
        <v>2026</v>
      </c>
      <c r="F764" t="n">
        <v>1</v>
      </c>
      <c r="G764" t="inlineStr">
        <is>
          <t>CITRICOS</t>
        </is>
      </c>
      <c r="H764" t="inlineStr">
        <is>
          <t>SALUSTIANA</t>
        </is>
      </c>
      <c r="I764" t="n">
        <v>679</v>
      </c>
      <c r="J764" t="n">
        <v>13640</v>
      </c>
      <c r="K764" t="n">
        <v>7859</v>
      </c>
      <c r="L764" t="n">
        <v>7859</v>
      </c>
      <c r="M764" t="inlineStr">
        <is>
          <t>Sí</t>
        </is>
      </c>
      <c r="N764" t="inlineStr"/>
      <c r="O764" t="inlineStr">
        <is>
          <t>Informativa</t>
        </is>
      </c>
      <c r="P764" t="inlineStr">
        <is>
          <t>No interviene en el prorrateo</t>
        </is>
      </c>
    </row>
    <row r="765">
      <c r="A765" t="n">
        <v>1597</v>
      </c>
      <c r="B765" t="inlineStr">
        <is>
          <t>CARBALLO SIRIA, ANTONIO JOSE</t>
        </is>
      </c>
      <c r="E765" t="n">
        <v>2026</v>
      </c>
      <c r="F765" t="n">
        <v>1</v>
      </c>
      <c r="G765" t="inlineStr">
        <is>
          <t>CITRICOS</t>
        </is>
      </c>
      <c r="H765" t="inlineStr">
        <is>
          <t>SALUSTIANA</t>
        </is>
      </c>
      <c r="I765" t="n">
        <v>679</v>
      </c>
      <c r="J765" t="n">
        <v>5133</v>
      </c>
      <c r="K765" t="n">
        <v>0</v>
      </c>
      <c r="L765" t="n">
        <v>5133</v>
      </c>
      <c r="M765" t="inlineStr">
        <is>
          <t>Sí</t>
        </is>
      </c>
      <c r="N765" t="inlineStr"/>
      <c r="O765" t="inlineStr">
        <is>
          <t>Informativa</t>
        </is>
      </c>
      <c r="P765" t="inlineStr">
        <is>
          <t>No interviene en el prorrateo</t>
        </is>
      </c>
    </row>
    <row r="766">
      <c r="A766" t="n">
        <v>1597</v>
      </c>
      <c r="B766" t="inlineStr">
        <is>
          <t>CARBALLO SIRIA, ANTONIO JOSE</t>
        </is>
      </c>
      <c r="E766" t="n">
        <v>2026</v>
      </c>
      <c r="F766" t="n">
        <v>1</v>
      </c>
      <c r="G766" t="inlineStr">
        <is>
          <t>CITRICOS</t>
        </is>
      </c>
      <c r="H766" t="inlineStr">
        <is>
          <t>SALUSTIANA</t>
        </is>
      </c>
      <c r="I766" t="n">
        <v>679</v>
      </c>
      <c r="J766" t="n">
        <v>12466</v>
      </c>
      <c r="K766" t="n">
        <v>7042</v>
      </c>
      <c r="L766" t="n">
        <v>7042</v>
      </c>
      <c r="M766" t="inlineStr">
        <is>
          <t>Sí</t>
        </is>
      </c>
      <c r="N766" t="inlineStr"/>
      <c r="O766" t="inlineStr">
        <is>
          <t>Informativa</t>
        </is>
      </c>
      <c r="P766" t="inlineStr">
        <is>
          <t>No interviene en el prorrateo</t>
        </is>
      </c>
    </row>
    <row r="767">
      <c r="A767" t="n">
        <v>1597</v>
      </c>
      <c r="B767" t="inlineStr">
        <is>
          <t>CARBALLO SIRIA, ANTONIO JOSE</t>
        </is>
      </c>
      <c r="E767" t="n">
        <v>2026</v>
      </c>
      <c r="F767" t="n">
        <v>1</v>
      </c>
      <c r="G767" t="inlineStr">
        <is>
          <t>CITRICOS</t>
        </is>
      </c>
      <c r="H767" t="inlineStr">
        <is>
          <t>SALUSTIANA</t>
        </is>
      </c>
      <c r="I767" t="n">
        <v>679</v>
      </c>
      <c r="J767" t="n">
        <v>4899</v>
      </c>
      <c r="K767" t="n">
        <v>0</v>
      </c>
      <c r="L767" t="n">
        <v>4899</v>
      </c>
      <c r="M767" t="inlineStr">
        <is>
          <t>Sí</t>
        </is>
      </c>
      <c r="N767" t="inlineStr"/>
      <c r="O767" t="inlineStr">
        <is>
          <t>Informativa</t>
        </is>
      </c>
      <c r="P767" t="inlineStr">
        <is>
          <t>No interviene en el prorrateo</t>
        </is>
      </c>
    </row>
    <row r="768">
      <c r="A768" t="n">
        <v>1597</v>
      </c>
      <c r="B768" t="inlineStr">
        <is>
          <t>CARBALLO SIRIA, ANTONIO JOSE</t>
        </is>
      </c>
      <c r="E768" t="n">
        <v>2026</v>
      </c>
      <c r="F768" t="n">
        <v>1</v>
      </c>
      <c r="G768" t="inlineStr">
        <is>
          <t>CITRICOS</t>
        </is>
      </c>
      <c r="H768" t="inlineStr">
        <is>
          <t>SALUSTIANA</t>
        </is>
      </c>
      <c r="I768" t="n">
        <v>679</v>
      </c>
      <c r="J768" t="n">
        <v>5000</v>
      </c>
      <c r="K768" t="n">
        <v>0</v>
      </c>
      <c r="L768" t="n">
        <v>5000</v>
      </c>
      <c r="M768" t="inlineStr">
        <is>
          <t>Sí</t>
        </is>
      </c>
      <c r="N768" t="inlineStr"/>
      <c r="O768" t="inlineStr">
        <is>
          <t>Informativa</t>
        </is>
      </c>
      <c r="P768" t="inlineStr">
        <is>
          <t>No interviene en el prorrateo</t>
        </is>
      </c>
    </row>
    <row r="769">
      <c r="A769" t="n">
        <v>1597</v>
      </c>
      <c r="B769" t="inlineStr">
        <is>
          <t>CARBALLO SIRIA, ANTONIO JOSE</t>
        </is>
      </c>
      <c r="E769" t="n">
        <v>2026</v>
      </c>
      <c r="F769" t="n">
        <v>1</v>
      </c>
      <c r="G769" t="inlineStr">
        <is>
          <t>CITRICOS</t>
        </is>
      </c>
      <c r="H769" t="inlineStr">
        <is>
          <t>SALUSTIANA</t>
        </is>
      </c>
      <c r="I769" t="n">
        <v>679</v>
      </c>
      <c r="J769" t="n">
        <v>7800</v>
      </c>
      <c r="K769" t="n">
        <v>0</v>
      </c>
      <c r="L769" t="n">
        <v>7800</v>
      </c>
      <c r="M769" t="inlineStr">
        <is>
          <t>Sí</t>
        </is>
      </c>
      <c r="N769" t="inlineStr"/>
      <c r="O769" t="inlineStr">
        <is>
          <t>Informativa</t>
        </is>
      </c>
      <c r="P769" t="inlineStr">
        <is>
          <t>No interviene en el prorrateo</t>
        </is>
      </c>
    </row>
    <row r="770">
      <c r="A770" t="n">
        <v>1597</v>
      </c>
      <c r="B770" t="inlineStr">
        <is>
          <t>CARBALLO SIRIA, ANTONIO JOSE</t>
        </is>
      </c>
      <c r="E770" t="n">
        <v>2026</v>
      </c>
      <c r="F770" t="n">
        <v>1</v>
      </c>
      <c r="G770" t="inlineStr">
        <is>
          <t>CITRICOS</t>
        </is>
      </c>
      <c r="H770" t="inlineStr">
        <is>
          <t>SALUSTIANA</t>
        </is>
      </c>
      <c r="I770" t="n">
        <v>679</v>
      </c>
      <c r="J770" t="n">
        <v>6650</v>
      </c>
      <c r="K770" t="n">
        <v>0</v>
      </c>
      <c r="L770" t="n">
        <v>6650</v>
      </c>
      <c r="M770" t="inlineStr">
        <is>
          <t>Sí</t>
        </is>
      </c>
      <c r="N770" t="inlineStr"/>
      <c r="O770" t="inlineStr">
        <is>
          <t>Informativa</t>
        </is>
      </c>
      <c r="P770" t="inlineStr">
        <is>
          <t>No interviene en el prorrateo</t>
        </is>
      </c>
    </row>
    <row r="771">
      <c r="A771" t="n">
        <v>1597</v>
      </c>
      <c r="B771" t="inlineStr">
        <is>
          <t>CARBALLO SIRIA, ANTONIO JOSE</t>
        </is>
      </c>
      <c r="E771" t="n">
        <v>2026</v>
      </c>
      <c r="F771" t="n">
        <v>1</v>
      </c>
      <c r="G771" t="inlineStr">
        <is>
          <t>CITRICOS</t>
        </is>
      </c>
      <c r="H771" t="inlineStr">
        <is>
          <t>LANE LATE</t>
        </is>
      </c>
      <c r="I771" t="n">
        <v>678</v>
      </c>
      <c r="J771" t="n">
        <v>24242</v>
      </c>
      <c r="K771" t="n">
        <v>16691</v>
      </c>
      <c r="L771" t="n">
        <v>16691</v>
      </c>
      <c r="M771" t="inlineStr">
        <is>
          <t>Sí</t>
        </is>
      </c>
      <c r="N771" t="inlineStr"/>
      <c r="O771" t="inlineStr">
        <is>
          <t>Informativa</t>
        </is>
      </c>
      <c r="P771" t="inlineStr">
        <is>
          <t>No interviene en el prorrateo</t>
        </is>
      </c>
    </row>
    <row r="772">
      <c r="A772" t="n">
        <v>1597</v>
      </c>
      <c r="B772" t="inlineStr">
        <is>
          <t>CARBALLO SIRIA, ANTONIO JOSE</t>
        </is>
      </c>
      <c r="E772" t="n">
        <v>2026</v>
      </c>
      <c r="F772" t="n">
        <v>1</v>
      </c>
      <c r="G772" t="inlineStr">
        <is>
          <t>CITRICOS</t>
        </is>
      </c>
      <c r="H772" t="inlineStr">
        <is>
          <t>LANE LATE</t>
        </is>
      </c>
      <c r="I772" t="n">
        <v>678</v>
      </c>
      <c r="J772" t="n">
        <v>25484</v>
      </c>
      <c r="K772" t="n">
        <v>6315</v>
      </c>
      <c r="L772" t="n">
        <v>6315</v>
      </c>
      <c r="M772" t="inlineStr">
        <is>
          <t>Sí</t>
        </is>
      </c>
      <c r="N772" t="inlineStr"/>
      <c r="O772" t="inlineStr">
        <is>
          <t>Informativa</t>
        </is>
      </c>
      <c r="P772" t="inlineStr">
        <is>
          <t>No interviene en el prorrateo</t>
        </is>
      </c>
    </row>
    <row r="773">
      <c r="A773" t="n">
        <v>1597</v>
      </c>
      <c r="B773" t="inlineStr">
        <is>
          <t>CARBALLO SIRIA, ANTONIO JOSE</t>
        </is>
      </c>
      <c r="E773" t="n">
        <v>2026</v>
      </c>
      <c r="F773" t="n">
        <v>1</v>
      </c>
      <c r="G773" t="inlineStr">
        <is>
          <t>CITRICOS</t>
        </is>
      </c>
      <c r="H773" t="inlineStr">
        <is>
          <t>LANE LATE</t>
        </is>
      </c>
      <c r="I773" t="n">
        <v>678</v>
      </c>
      <c r="J773" t="n">
        <v>23570</v>
      </c>
      <c r="K773" t="n">
        <v>23045</v>
      </c>
      <c r="L773" t="n">
        <v>23045</v>
      </c>
      <c r="M773" t="inlineStr">
        <is>
          <t>Sí</t>
        </is>
      </c>
      <c r="N773" t="inlineStr"/>
      <c r="O773" t="inlineStr">
        <is>
          <t>Informativa</t>
        </is>
      </c>
      <c r="P773" t="inlineStr">
        <is>
          <t>No interviene en el prorrateo</t>
        </is>
      </c>
    </row>
    <row r="774">
      <c r="A774" t="n">
        <v>1597</v>
      </c>
      <c r="B774" t="inlineStr">
        <is>
          <t>CARBALLO SIRIA, ANTONIO JOSE</t>
        </is>
      </c>
      <c r="E774" t="n">
        <v>2026</v>
      </c>
      <c r="F774" t="n">
        <v>1</v>
      </c>
      <c r="G774" t="inlineStr">
        <is>
          <t>CITRICOS</t>
        </is>
      </c>
      <c r="H774" t="inlineStr">
        <is>
          <t>LANE LATE</t>
        </is>
      </c>
      <c r="I774" t="n">
        <v>678</v>
      </c>
      <c r="J774" t="n">
        <v>634</v>
      </c>
      <c r="K774" t="n">
        <v>0</v>
      </c>
      <c r="L774" t="n">
        <v>634</v>
      </c>
      <c r="M774" t="inlineStr">
        <is>
          <t>Sí</t>
        </is>
      </c>
      <c r="N774" t="inlineStr"/>
      <c r="O774" t="inlineStr">
        <is>
          <t>Informativa</t>
        </is>
      </c>
      <c r="P774" t="inlineStr">
        <is>
          <t>No interviene en el prorrateo</t>
        </is>
      </c>
    </row>
    <row r="775">
      <c r="A775" t="n">
        <v>1597</v>
      </c>
      <c r="B775" t="inlineStr">
        <is>
          <t>CARBALLO SIRIA, ANTONIO JOSE</t>
        </is>
      </c>
      <c r="E775" t="n">
        <v>2026</v>
      </c>
      <c r="F775" t="n">
        <v>1</v>
      </c>
      <c r="G775" t="inlineStr">
        <is>
          <t>INDUSTRIA</t>
        </is>
      </c>
      <c r="H775" t="inlineStr">
        <is>
          <t>LANE LATE</t>
        </is>
      </c>
      <c r="I775" t="n">
        <v>678</v>
      </c>
      <c r="J775" t="n">
        <v>426</v>
      </c>
      <c r="K775" t="n">
        <v>0</v>
      </c>
      <c r="L775" t="n">
        <v>426</v>
      </c>
      <c r="M775" t="inlineStr">
        <is>
          <t>Sí</t>
        </is>
      </c>
      <c r="N775" t="inlineStr"/>
      <c r="O775" t="inlineStr">
        <is>
          <t>Informativa</t>
        </is>
      </c>
      <c r="P775" t="inlineStr">
        <is>
          <t>No interviene en el prorrateo</t>
        </is>
      </c>
    </row>
    <row r="776">
      <c r="A776" t="n">
        <v>1597</v>
      </c>
      <c r="B776" t="inlineStr">
        <is>
          <t>CARBALLO SIRIA, ANTONIO JOSE</t>
        </is>
      </c>
      <c r="E776" t="n">
        <v>2026</v>
      </c>
      <c r="F776" t="n">
        <v>1</v>
      </c>
      <c r="G776" t="inlineStr">
        <is>
          <t>INDUSTRIA</t>
        </is>
      </c>
      <c r="H776" t="inlineStr">
        <is>
          <t>LANE LATE</t>
        </is>
      </c>
      <c r="I776" t="n">
        <v>678</v>
      </c>
      <c r="J776" t="n">
        <v>23430</v>
      </c>
      <c r="K776" t="n">
        <v>455</v>
      </c>
      <c r="L776" t="n">
        <v>455</v>
      </c>
      <c r="M776" t="inlineStr">
        <is>
          <t>Sí</t>
        </is>
      </c>
      <c r="N776" t="inlineStr"/>
      <c r="O776" t="inlineStr">
        <is>
          <t>Informativa</t>
        </is>
      </c>
      <c r="P776" t="inlineStr">
        <is>
          <t>No interviene en el prorrateo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5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Variedad</t>
        </is>
      </c>
      <c r="D1" t="inlineStr">
        <is>
          <t>Campo</t>
        </is>
      </c>
      <c r="E1" t="inlineStr">
        <is>
          <t>Nueva app</t>
        </is>
      </c>
      <c r="F1" t="inlineStr">
        <is>
          <t>Perceco</t>
        </is>
      </c>
      <c r="G1" t="inlineStr">
        <is>
          <t>Diferencia</t>
        </is>
      </c>
      <c r="H1" t="inlineStr">
        <is>
          <t>Diferencia %</t>
        </is>
      </c>
      <c r="I1" t="inlineStr">
        <is>
          <t>Observación</t>
        </is>
      </c>
    </row>
    <row r="2">
      <c r="A2" t="n">
        <v>869</v>
      </c>
      <c r="B2" t="inlineStr">
        <is>
          <t>IGEÑO LUQUE,JOSE</t>
        </is>
      </c>
      <c r="C2" t="inlineStr">
        <is>
          <t>SALUSTIANA</t>
        </is>
      </c>
      <c r="D2" t="inlineStr">
        <is>
          <t>Hectáreas</t>
        </is>
      </c>
      <c r="E2" t="n">
        <v>0.92</v>
      </c>
      <c r="I2" t="inlineStr"/>
    </row>
    <row r="3">
      <c r="A3" t="n">
        <v>869</v>
      </c>
      <c r="B3" t="inlineStr">
        <is>
          <t>IGEÑO LUQUE,JOSE</t>
        </is>
      </c>
      <c r="C3" t="inlineStr">
        <is>
          <t>SALUSTIANA</t>
        </is>
      </c>
      <c r="D3" t="inlineStr">
        <is>
          <t>Cuota teórica</t>
        </is>
      </c>
      <c r="E3" t="n">
        <v>179.4</v>
      </c>
      <c r="I3" t="inlineStr"/>
    </row>
    <row r="4">
      <c r="A4" t="n">
        <v>869</v>
      </c>
      <c r="B4" t="inlineStr">
        <is>
          <t>IGEÑO LUQUE,JOSE</t>
        </is>
      </c>
      <c r="C4" t="inlineStr">
        <is>
          <t>SALUSTIANA</t>
        </is>
      </c>
      <c r="D4" t="inlineStr">
        <is>
          <t>Kg campaña</t>
        </is>
      </c>
      <c r="E4" t="n">
        <v>34508</v>
      </c>
      <c r="I4" t="inlineStr"/>
    </row>
    <row r="5">
      <c r="A5" t="n">
        <v>869</v>
      </c>
      <c r="B5" t="inlineStr">
        <is>
          <t>IGEÑO LUQUE,JOSE</t>
        </is>
      </c>
      <c r="C5" t="inlineStr">
        <is>
          <t>SALUSTIANA</t>
        </is>
      </c>
      <c r="D5" t="inlineStr">
        <is>
          <t>Índice</t>
        </is>
      </c>
      <c r="E5" t="n">
        <v>0.005198794482438855</v>
      </c>
      <c r="I5" t="inlineStr"/>
    </row>
    <row r="6">
      <c r="A6" t="n">
        <v>869</v>
      </c>
      <c r="B6" t="inlineStr">
        <is>
          <t>IGEÑO LUQUE,JOSE</t>
        </is>
      </c>
      <c r="C6" t="inlineStr">
        <is>
          <t>SALUSTIANA</t>
        </is>
      </c>
      <c r="D6" t="inlineStr">
        <is>
          <t>Kg remesa</t>
        </is>
      </c>
      <c r="E6" t="n">
        <v>34508</v>
      </c>
      <c r="I6" t="inlineStr"/>
    </row>
    <row r="7">
      <c r="A7" t="n">
        <v>869</v>
      </c>
      <c r="B7" t="inlineStr">
        <is>
          <t>IGEÑO LUQUE,JOSE</t>
        </is>
      </c>
      <c r="C7" t="inlineStr">
        <is>
          <t>SALUSTIANA</t>
        </is>
      </c>
      <c r="D7" t="inlineStr">
        <is>
          <t>Cuota parcial</t>
        </is>
      </c>
      <c r="E7" t="n">
        <v>179.4</v>
      </c>
      <c r="I7" t="inlineStr"/>
    </row>
    <row r="8">
      <c r="A8" t="n">
        <v>869</v>
      </c>
      <c r="B8" t="inlineStr">
        <is>
          <t>IGEÑO LUQUE,JOSE</t>
        </is>
      </c>
      <c r="C8" t="inlineStr">
        <is>
          <t>SALUSTIANA</t>
        </is>
      </c>
      <c r="D8" t="inlineStr">
        <is>
          <t>Importe bruto</t>
        </is>
      </c>
      <c r="E8" t="n">
        <v>13200.56</v>
      </c>
      <c r="I8" t="inlineStr"/>
    </row>
    <row r="9">
      <c r="A9" t="n">
        <v>869</v>
      </c>
      <c r="B9" t="inlineStr">
        <is>
          <t>IGEÑO LUQUE,JOSE</t>
        </is>
      </c>
      <c r="C9" t="inlineStr">
        <is>
          <t>SALUSTIANA</t>
        </is>
      </c>
      <c r="D9" t="inlineStr">
        <is>
          <t>Recolección</t>
        </is>
      </c>
      <c r="E9" t="n">
        <v>2476.51</v>
      </c>
      <c r="I9" t="inlineStr"/>
    </row>
    <row r="10">
      <c r="A10" t="n">
        <v>869</v>
      </c>
      <c r="B10" t="inlineStr">
        <is>
          <t>IGEÑO LUQUE,JOSE</t>
        </is>
      </c>
      <c r="C10" t="inlineStr">
        <is>
          <t>SALUSTIANA</t>
        </is>
      </c>
      <c r="D10" t="inlineStr">
        <is>
          <t>Transporte</t>
        </is>
      </c>
      <c r="E10" t="n">
        <v>383.04</v>
      </c>
      <c r="I10" t="inlineStr"/>
    </row>
    <row r="11">
      <c r="A11" t="n">
        <v>869</v>
      </c>
      <c r="B11" t="inlineStr">
        <is>
          <t>IGEÑO LUQUE,JOSE</t>
        </is>
      </c>
      <c r="C11" t="inlineStr">
        <is>
          <t>SALUSTIANA</t>
        </is>
      </c>
      <c r="D11" t="inlineStr">
        <is>
          <t>Calidad</t>
        </is>
      </c>
      <c r="E11" t="n">
        <v>0</v>
      </c>
      <c r="I11" t="inlineStr"/>
    </row>
    <row r="12">
      <c r="A12" t="n">
        <v>869</v>
      </c>
      <c r="B12" t="inlineStr">
        <is>
          <t>IGEÑO LUQUE,JOSE</t>
        </is>
      </c>
      <c r="C12" t="inlineStr">
        <is>
          <t>SALUSTIANA</t>
        </is>
      </c>
      <c r="D12" t="inlineStr">
        <is>
          <t>GlobalGAP</t>
        </is>
      </c>
      <c r="E12" t="n">
        <v>0</v>
      </c>
      <c r="I12" t="inlineStr"/>
    </row>
    <row r="13">
      <c r="A13" t="n">
        <v>869</v>
      </c>
      <c r="B13" t="inlineStr">
        <is>
          <t>IGEÑO LUQUE,JOSE</t>
        </is>
      </c>
      <c r="C13" t="inlineStr">
        <is>
          <t>SALUSTIANA</t>
        </is>
      </c>
      <c r="D13" t="inlineStr">
        <is>
          <t>Base imponible</t>
        </is>
      </c>
      <c r="E13" t="n">
        <v>10927.69</v>
      </c>
      <c r="I13" t="inlineStr"/>
    </row>
    <row r="14">
      <c r="A14" t="n">
        <v>869</v>
      </c>
      <c r="B14" t="inlineStr">
        <is>
          <t>IGEÑO LUQUE,JOSE</t>
        </is>
      </c>
      <c r="C14" t="inlineStr">
        <is>
          <t>SALUSTIANA</t>
        </is>
      </c>
      <c r="D14" t="inlineStr">
        <is>
          <t>IVA</t>
        </is>
      </c>
      <c r="E14" t="n">
        <v>1311.32</v>
      </c>
      <c r="I14" t="inlineStr"/>
    </row>
    <row r="15">
      <c r="A15" t="n">
        <v>869</v>
      </c>
      <c r="B15" t="inlineStr">
        <is>
          <t>IGEÑO LUQUE,JOSE</t>
        </is>
      </c>
      <c r="C15" t="inlineStr">
        <is>
          <t>SALUSTIANA</t>
        </is>
      </c>
      <c r="D15" t="inlineStr">
        <is>
          <t>Retención</t>
        </is>
      </c>
      <c r="E15" t="n">
        <v>244.78</v>
      </c>
      <c r="I15" t="inlineStr"/>
    </row>
    <row r="16">
      <c r="A16" t="n">
        <v>869</v>
      </c>
      <c r="B16" t="inlineStr">
        <is>
          <t>IGEÑO LUQUE,JOSE</t>
        </is>
      </c>
      <c r="C16" t="inlineStr">
        <is>
          <t>SALUSTIANA</t>
        </is>
      </c>
      <c r="D16" t="inlineStr">
        <is>
          <t>Total</t>
        </is>
      </c>
      <c r="E16" t="n">
        <v>11994.23</v>
      </c>
      <c r="I16" t="inlineStr"/>
    </row>
    <row r="17">
      <c r="A17" t="n">
        <v>883</v>
      </c>
      <c r="B17" t="inlineStr">
        <is>
          <t>TORO SANCHEZ,TERESA</t>
        </is>
      </c>
      <c r="C17" t="inlineStr">
        <is>
          <t>SALUSTIANA</t>
        </is>
      </c>
      <c r="D17" t="inlineStr">
        <is>
          <t>Hectáreas</t>
        </is>
      </c>
      <c r="E17" t="n">
        <v>5.62</v>
      </c>
      <c r="I17" t="inlineStr"/>
    </row>
    <row r="18">
      <c r="A18" t="n">
        <v>883</v>
      </c>
      <c r="B18" t="inlineStr">
        <is>
          <t>TORO SANCHEZ,TERESA</t>
        </is>
      </c>
      <c r="C18" t="inlineStr">
        <is>
          <t>SALUSTIANA</t>
        </is>
      </c>
      <c r="D18" t="inlineStr">
        <is>
          <t>Cuota teórica</t>
        </is>
      </c>
      <c r="E18" t="n">
        <v>1095.9</v>
      </c>
      <c r="I18" t="inlineStr"/>
    </row>
    <row r="19">
      <c r="A19" t="n">
        <v>883</v>
      </c>
      <c r="B19" t="inlineStr">
        <is>
          <t>TORO SANCHEZ,TERESA</t>
        </is>
      </c>
      <c r="C19" t="inlineStr">
        <is>
          <t>SALUSTIANA</t>
        </is>
      </c>
      <c r="D19" t="inlineStr">
        <is>
          <t>Kg campaña</t>
        </is>
      </c>
      <c r="E19" t="n">
        <v>148816</v>
      </c>
      <c r="I19" t="inlineStr"/>
    </row>
    <row r="20">
      <c r="A20" t="n">
        <v>883</v>
      </c>
      <c r="B20" t="inlineStr">
        <is>
          <t>TORO SANCHEZ,TERESA</t>
        </is>
      </c>
      <c r="C20" t="inlineStr">
        <is>
          <t>SALUSTIANA</t>
        </is>
      </c>
      <c r="D20" t="inlineStr">
        <is>
          <t>Índice</t>
        </is>
      </c>
      <c r="E20" t="n">
        <v>0.007364127513170626</v>
      </c>
      <c r="I20" t="inlineStr"/>
    </row>
    <row r="21">
      <c r="A21" t="n">
        <v>883</v>
      </c>
      <c r="B21" t="inlineStr">
        <is>
          <t>TORO SANCHEZ,TERESA</t>
        </is>
      </c>
      <c r="C21" t="inlineStr">
        <is>
          <t>SALUSTIANA</t>
        </is>
      </c>
      <c r="D21" t="inlineStr">
        <is>
          <t>Kg remesa</t>
        </is>
      </c>
      <c r="E21" t="n">
        <v>140757</v>
      </c>
      <c r="I21" t="inlineStr"/>
    </row>
    <row r="22">
      <c r="A22" t="n">
        <v>883</v>
      </c>
      <c r="B22" t="inlineStr">
        <is>
          <t>TORO SANCHEZ,TERESA</t>
        </is>
      </c>
      <c r="C22" t="inlineStr">
        <is>
          <t>SALUSTIANA</t>
        </is>
      </c>
      <c r="D22" t="inlineStr">
        <is>
          <t>Cuota parcial</t>
        </is>
      </c>
      <c r="E22" t="n">
        <v>1036.55</v>
      </c>
      <c r="I22" t="inlineStr"/>
    </row>
    <row r="23">
      <c r="A23" t="n">
        <v>883</v>
      </c>
      <c r="B23" t="inlineStr">
        <is>
          <t>TORO SANCHEZ,TERESA</t>
        </is>
      </c>
      <c r="C23" t="inlineStr">
        <is>
          <t>SALUSTIANA</t>
        </is>
      </c>
      <c r="D23" t="inlineStr">
        <is>
          <t>Importe bruto</t>
        </is>
      </c>
      <c r="E23" t="n">
        <v>50393.77</v>
      </c>
      <c r="I23" t="inlineStr"/>
    </row>
    <row r="24">
      <c r="A24" t="n">
        <v>883</v>
      </c>
      <c r="B24" t="inlineStr">
        <is>
          <t>TORO SANCHEZ,TERESA</t>
        </is>
      </c>
      <c r="C24" t="inlineStr">
        <is>
          <t>SALUSTIANA</t>
        </is>
      </c>
      <c r="D24" t="inlineStr">
        <is>
          <t>Recolección</t>
        </is>
      </c>
      <c r="E24" t="n">
        <v>10134.51</v>
      </c>
      <c r="I24" t="inlineStr"/>
    </row>
    <row r="25">
      <c r="A25" t="n">
        <v>883</v>
      </c>
      <c r="B25" t="inlineStr">
        <is>
          <t>TORO SANCHEZ,TERESA</t>
        </is>
      </c>
      <c r="C25" t="inlineStr">
        <is>
          <t>SALUSTIANA</t>
        </is>
      </c>
      <c r="D25" t="inlineStr">
        <is>
          <t>Transporte</t>
        </is>
      </c>
      <c r="E25" t="n">
        <v>0</v>
      </c>
      <c r="I25" t="inlineStr"/>
    </row>
    <row r="26">
      <c r="A26" t="n">
        <v>883</v>
      </c>
      <c r="B26" t="inlineStr">
        <is>
          <t>TORO SANCHEZ,TERESA</t>
        </is>
      </c>
      <c r="C26" t="inlineStr">
        <is>
          <t>SALUSTIANA</t>
        </is>
      </c>
      <c r="D26" t="inlineStr">
        <is>
          <t>Calidad</t>
        </is>
      </c>
      <c r="E26" t="n">
        <v>0</v>
      </c>
      <c r="I26" t="inlineStr"/>
    </row>
    <row r="27">
      <c r="A27" t="n">
        <v>883</v>
      </c>
      <c r="B27" t="inlineStr">
        <is>
          <t>TORO SANCHEZ,TERESA</t>
        </is>
      </c>
      <c r="C27" t="inlineStr">
        <is>
          <t>SALUSTIANA</t>
        </is>
      </c>
      <c r="D27" t="inlineStr">
        <is>
          <t>GlobalGAP</t>
        </is>
      </c>
      <c r="E27" t="n">
        <v>2116.51</v>
      </c>
      <c r="I27" t="inlineStr"/>
    </row>
    <row r="28">
      <c r="A28" t="n">
        <v>883</v>
      </c>
      <c r="B28" t="inlineStr">
        <is>
          <t>TORO SANCHEZ,TERESA</t>
        </is>
      </c>
      <c r="C28" t="inlineStr">
        <is>
          <t>SALUSTIANA</t>
        </is>
      </c>
      <c r="D28" t="inlineStr">
        <is>
          <t>Base imponible</t>
        </is>
      </c>
      <c r="E28" t="n">
        <v>41339.22</v>
      </c>
      <c r="I28" t="inlineStr"/>
    </row>
    <row r="29">
      <c r="A29" t="n">
        <v>883</v>
      </c>
      <c r="B29" t="inlineStr">
        <is>
          <t>TORO SANCHEZ,TERESA</t>
        </is>
      </c>
      <c r="C29" t="inlineStr">
        <is>
          <t>SALUSTIANA</t>
        </is>
      </c>
      <c r="D29" t="inlineStr">
        <is>
          <t>IVA</t>
        </is>
      </c>
      <c r="E29" t="n">
        <v>4960.71</v>
      </c>
      <c r="I29" t="inlineStr"/>
    </row>
    <row r="30">
      <c r="A30" t="n">
        <v>883</v>
      </c>
      <c r="B30" t="inlineStr">
        <is>
          <t>TORO SANCHEZ,TERESA</t>
        </is>
      </c>
      <c r="C30" t="inlineStr">
        <is>
          <t>SALUSTIANA</t>
        </is>
      </c>
      <c r="D30" t="inlineStr">
        <is>
          <t>Retención</t>
        </is>
      </c>
      <c r="E30" t="n">
        <v>926</v>
      </c>
      <c r="I30" t="inlineStr"/>
    </row>
    <row r="31">
      <c r="A31" t="n">
        <v>883</v>
      </c>
      <c r="B31" t="inlineStr">
        <is>
          <t>TORO SANCHEZ,TERESA</t>
        </is>
      </c>
      <c r="C31" t="inlineStr">
        <is>
          <t>SALUSTIANA</t>
        </is>
      </c>
      <c r="D31" t="inlineStr">
        <is>
          <t>Total</t>
        </is>
      </c>
      <c r="E31" t="n">
        <v>45373.93</v>
      </c>
      <c r="I31" t="inlineStr"/>
    </row>
    <row r="32">
      <c r="A32" t="n">
        <v>937</v>
      </c>
      <c r="B32" t="inlineStr">
        <is>
          <t>GALVEZ MACIAS,FRANCISCO</t>
        </is>
      </c>
      <c r="C32" t="inlineStr">
        <is>
          <t>SALUSTIANA</t>
        </is>
      </c>
      <c r="D32" t="inlineStr">
        <is>
          <t>Hectáreas</t>
        </is>
      </c>
      <c r="E32" t="n">
        <v>14.73</v>
      </c>
      <c r="I32" t="inlineStr"/>
    </row>
    <row r="33">
      <c r="A33" t="n">
        <v>937</v>
      </c>
      <c r="B33" t="inlineStr">
        <is>
          <t>GALVEZ MACIAS,FRANCISCO</t>
        </is>
      </c>
      <c r="C33" t="inlineStr">
        <is>
          <t>SALUSTIANA</t>
        </is>
      </c>
      <c r="D33" t="inlineStr">
        <is>
          <t>Cuota teórica</t>
        </is>
      </c>
      <c r="E33" t="n">
        <v>2872.35</v>
      </c>
      <c r="I33" t="inlineStr"/>
    </row>
    <row r="34">
      <c r="A34" t="n">
        <v>937</v>
      </c>
      <c r="B34" t="inlineStr">
        <is>
          <t>GALVEZ MACIAS,FRANCISCO</t>
        </is>
      </c>
      <c r="C34" t="inlineStr">
        <is>
          <t>SALUSTIANA</t>
        </is>
      </c>
      <c r="D34" t="inlineStr">
        <is>
          <t>Kg campaña</t>
        </is>
      </c>
      <c r="E34" t="n">
        <v>351445</v>
      </c>
      <c r="I34" t="inlineStr"/>
    </row>
    <row r="35">
      <c r="A35" t="n">
        <v>937</v>
      </c>
      <c r="B35" t="inlineStr">
        <is>
          <t>GALVEZ MACIAS,FRANCISCO</t>
        </is>
      </c>
      <c r="C35" t="inlineStr">
        <is>
          <t>SALUSTIANA</t>
        </is>
      </c>
      <c r="D35" t="inlineStr">
        <is>
          <t>Índice</t>
        </is>
      </c>
      <c r="E35" t="n">
        <v>0.008172971588726543</v>
      </c>
      <c r="I35" t="inlineStr"/>
    </row>
    <row r="36">
      <c r="A36" t="n">
        <v>937</v>
      </c>
      <c r="B36" t="inlineStr">
        <is>
          <t>GALVEZ MACIAS,FRANCISCO</t>
        </is>
      </c>
      <c r="C36" t="inlineStr">
        <is>
          <t>SALUSTIANA</t>
        </is>
      </c>
      <c r="D36" t="inlineStr">
        <is>
          <t>Kg remesa</t>
        </is>
      </c>
      <c r="E36" t="n">
        <v>211701</v>
      </c>
      <c r="I36" t="inlineStr"/>
    </row>
    <row r="37">
      <c r="A37" t="n">
        <v>937</v>
      </c>
      <c r="B37" t="inlineStr">
        <is>
          <t>GALVEZ MACIAS,FRANCISCO</t>
        </is>
      </c>
      <c r="C37" t="inlineStr">
        <is>
          <t>SALUSTIANA</t>
        </is>
      </c>
      <c r="D37" t="inlineStr">
        <is>
          <t>Cuota parcial</t>
        </is>
      </c>
      <c r="E37" t="n">
        <v>1730.23</v>
      </c>
      <c r="I37" t="inlineStr"/>
    </row>
    <row r="38">
      <c r="A38" t="n">
        <v>937</v>
      </c>
      <c r="B38" t="inlineStr">
        <is>
          <t>GALVEZ MACIAS,FRANCISCO</t>
        </is>
      </c>
      <c r="C38" t="inlineStr">
        <is>
          <t>SALUSTIANA</t>
        </is>
      </c>
      <c r="D38" t="inlineStr">
        <is>
          <t>Importe bruto</t>
        </is>
      </c>
      <c r="E38" t="n">
        <v>71010.71000000001</v>
      </c>
      <c r="I38" t="inlineStr"/>
    </row>
    <row r="39">
      <c r="A39" t="n">
        <v>937</v>
      </c>
      <c r="B39" t="inlineStr">
        <is>
          <t>GALVEZ MACIAS,FRANCISCO</t>
        </is>
      </c>
      <c r="C39" t="inlineStr">
        <is>
          <t>SALUSTIANA</t>
        </is>
      </c>
      <c r="D39" t="inlineStr">
        <is>
          <t>Recolección</t>
        </is>
      </c>
      <c r="E39" t="n">
        <v>13504.39</v>
      </c>
      <c r="I39" t="inlineStr"/>
    </row>
    <row r="40">
      <c r="A40" t="n">
        <v>937</v>
      </c>
      <c r="B40" t="inlineStr">
        <is>
          <t>GALVEZ MACIAS,FRANCISCO</t>
        </is>
      </c>
      <c r="C40" t="inlineStr">
        <is>
          <t>SALUSTIANA</t>
        </is>
      </c>
      <c r="D40" t="inlineStr">
        <is>
          <t>Transporte</t>
        </is>
      </c>
      <c r="E40" t="n">
        <v>0</v>
      </c>
      <c r="I40" t="inlineStr"/>
    </row>
    <row r="41">
      <c r="A41" t="n">
        <v>937</v>
      </c>
      <c r="B41" t="inlineStr">
        <is>
          <t>GALVEZ MACIAS,FRANCISCO</t>
        </is>
      </c>
      <c r="C41" t="inlineStr">
        <is>
          <t>SALUSTIANA</t>
        </is>
      </c>
      <c r="D41" t="inlineStr">
        <is>
          <t>Calidad</t>
        </is>
      </c>
      <c r="E41" t="n">
        <v>0</v>
      </c>
      <c r="I41" t="inlineStr"/>
    </row>
    <row r="42">
      <c r="A42" t="n">
        <v>937</v>
      </c>
      <c r="B42" t="inlineStr">
        <is>
          <t>GALVEZ MACIAS,FRANCISCO</t>
        </is>
      </c>
      <c r="C42" t="inlineStr">
        <is>
          <t>SALUSTIANA</t>
        </is>
      </c>
      <c r="D42" t="inlineStr">
        <is>
          <t>GlobalGAP</t>
        </is>
      </c>
      <c r="E42" t="n">
        <v>2836.23</v>
      </c>
      <c r="I42" t="inlineStr"/>
    </row>
    <row r="43">
      <c r="A43" t="n">
        <v>937</v>
      </c>
      <c r="B43" t="inlineStr">
        <is>
          <t>GALVEZ MACIAS,FRANCISCO</t>
        </is>
      </c>
      <c r="C43" t="inlineStr">
        <is>
          <t>SALUSTIANA</t>
        </is>
      </c>
      <c r="D43" t="inlineStr">
        <is>
          <t>Base imponible</t>
        </is>
      </c>
      <c r="E43" t="n">
        <v>58612.32</v>
      </c>
      <c r="I43" t="inlineStr"/>
    </row>
    <row r="44">
      <c r="A44" t="n">
        <v>937</v>
      </c>
      <c r="B44" t="inlineStr">
        <is>
          <t>GALVEZ MACIAS,FRANCISCO</t>
        </is>
      </c>
      <c r="C44" t="inlineStr">
        <is>
          <t>SALUSTIANA</t>
        </is>
      </c>
      <c r="D44" t="inlineStr">
        <is>
          <t>IVA</t>
        </is>
      </c>
      <c r="E44" t="n">
        <v>7033.48</v>
      </c>
      <c r="I44" t="inlineStr"/>
    </row>
    <row r="45">
      <c r="A45" t="n">
        <v>937</v>
      </c>
      <c r="B45" t="inlineStr">
        <is>
          <t>GALVEZ MACIAS,FRANCISCO</t>
        </is>
      </c>
      <c r="C45" t="inlineStr">
        <is>
          <t>SALUSTIANA</t>
        </is>
      </c>
      <c r="D45" t="inlineStr">
        <is>
          <t>Retención</t>
        </is>
      </c>
      <c r="E45" t="n">
        <v>1312.92</v>
      </c>
      <c r="I45" t="inlineStr"/>
    </row>
    <row r="46">
      <c r="A46" t="n">
        <v>937</v>
      </c>
      <c r="B46" t="inlineStr">
        <is>
          <t>GALVEZ MACIAS,FRANCISCO</t>
        </is>
      </c>
      <c r="C46" t="inlineStr">
        <is>
          <t>SALUSTIANA</t>
        </is>
      </c>
      <c r="D46" t="inlineStr">
        <is>
          <t>Total</t>
        </is>
      </c>
      <c r="E46" t="n">
        <v>64332.88</v>
      </c>
      <c r="I46" t="inlineStr"/>
    </row>
    <row r="47">
      <c r="A47" t="n">
        <v>1072</v>
      </c>
      <c r="B47" t="inlineStr">
        <is>
          <t>GARCIA DELGADO,JUAN MANUEL</t>
        </is>
      </c>
      <c r="C47" t="inlineStr">
        <is>
          <t>SALUSTIANA</t>
        </is>
      </c>
      <c r="D47" t="inlineStr">
        <is>
          <t>Hectáreas</t>
        </is>
      </c>
      <c r="E47" t="n">
        <v>8.970000000000001</v>
      </c>
      <c r="I47" t="inlineStr"/>
    </row>
    <row r="48">
      <c r="A48" t="n">
        <v>1072</v>
      </c>
      <c r="B48" t="inlineStr">
        <is>
          <t>GARCIA DELGADO,JUAN MANUEL</t>
        </is>
      </c>
      <c r="C48" t="inlineStr">
        <is>
          <t>SALUSTIANA</t>
        </is>
      </c>
      <c r="D48" t="inlineStr">
        <is>
          <t>Cuota teórica</t>
        </is>
      </c>
      <c r="E48" t="n">
        <v>1749.15</v>
      </c>
      <c r="I48" t="inlineStr"/>
    </row>
    <row r="49">
      <c r="A49" t="n">
        <v>1072</v>
      </c>
      <c r="B49" t="inlineStr">
        <is>
          <t>GARCIA DELGADO,JUAN MANUEL</t>
        </is>
      </c>
      <c r="C49" t="inlineStr">
        <is>
          <t>SALUSTIANA</t>
        </is>
      </c>
      <c r="D49" t="inlineStr">
        <is>
          <t>Kg campaña</t>
        </is>
      </c>
      <c r="E49" t="n">
        <v>117422</v>
      </c>
      <c r="I49" t="inlineStr"/>
    </row>
    <row r="50">
      <c r="A50" t="n">
        <v>1072</v>
      </c>
      <c r="B50" t="inlineStr">
        <is>
          <t>GARCIA DELGADO,JUAN MANUEL</t>
        </is>
      </c>
      <c r="C50" t="inlineStr">
        <is>
          <t>SALUSTIANA</t>
        </is>
      </c>
      <c r="D50" t="inlineStr">
        <is>
          <t>Índice</t>
        </is>
      </c>
      <c r="E50" t="n">
        <v>0.01489627156750864</v>
      </c>
      <c r="I50" t="inlineStr"/>
    </row>
    <row r="51">
      <c r="A51" t="n">
        <v>1072</v>
      </c>
      <c r="B51" t="inlineStr">
        <is>
          <t>GARCIA DELGADO,JUAN MANUEL</t>
        </is>
      </c>
      <c r="C51" t="inlineStr">
        <is>
          <t>SALUSTIANA</t>
        </is>
      </c>
      <c r="D51" t="inlineStr">
        <is>
          <t>Kg remesa</t>
        </is>
      </c>
      <c r="E51" t="n">
        <v>11898</v>
      </c>
      <c r="I51" t="inlineStr"/>
    </row>
    <row r="52">
      <c r="A52" t="n">
        <v>1072</v>
      </c>
      <c r="B52" t="inlineStr">
        <is>
          <t>GARCIA DELGADO,JUAN MANUEL</t>
        </is>
      </c>
      <c r="C52" t="inlineStr">
        <is>
          <t>SALUSTIANA</t>
        </is>
      </c>
      <c r="D52" t="inlineStr">
        <is>
          <t>Cuota parcial</t>
        </is>
      </c>
      <c r="E52" t="n">
        <v>177.24</v>
      </c>
      <c r="I52" t="inlineStr"/>
    </row>
    <row r="53">
      <c r="A53" t="n">
        <v>1072</v>
      </c>
      <c r="B53" t="inlineStr">
        <is>
          <t>GARCIA DELGADO,JUAN MANUEL</t>
        </is>
      </c>
      <c r="C53" t="inlineStr">
        <is>
          <t>SALUSTIANA</t>
        </is>
      </c>
      <c r="D53" t="inlineStr">
        <is>
          <t>Importe bruto</t>
        </is>
      </c>
      <c r="E53" t="n">
        <v>4208.14</v>
      </c>
      <c r="I53" t="inlineStr"/>
    </row>
    <row r="54">
      <c r="A54" t="n">
        <v>1072</v>
      </c>
      <c r="B54" t="inlineStr">
        <is>
          <t>GARCIA DELGADO,JUAN MANUEL</t>
        </is>
      </c>
      <c r="C54" t="inlineStr">
        <is>
          <t>SALUSTIANA</t>
        </is>
      </c>
      <c r="D54" t="inlineStr">
        <is>
          <t>Recolección</t>
        </is>
      </c>
      <c r="E54" t="n">
        <v>856.66</v>
      </c>
      <c r="I54" t="inlineStr"/>
    </row>
    <row r="55">
      <c r="A55" t="n">
        <v>1072</v>
      </c>
      <c r="B55" t="inlineStr">
        <is>
          <t>GARCIA DELGADO,JUAN MANUEL</t>
        </is>
      </c>
      <c r="C55" t="inlineStr">
        <is>
          <t>SALUSTIANA</t>
        </is>
      </c>
      <c r="D55" t="inlineStr">
        <is>
          <t>Transporte</t>
        </is>
      </c>
      <c r="E55" t="n">
        <v>0</v>
      </c>
      <c r="I55" t="inlineStr"/>
    </row>
    <row r="56">
      <c r="A56" t="n">
        <v>1072</v>
      </c>
      <c r="B56" t="inlineStr">
        <is>
          <t>GARCIA DELGADO,JUAN MANUEL</t>
        </is>
      </c>
      <c r="C56" t="inlineStr">
        <is>
          <t>SALUSTIANA</t>
        </is>
      </c>
      <c r="D56" t="inlineStr">
        <is>
          <t>Calidad</t>
        </is>
      </c>
      <c r="E56" t="n">
        <v>0</v>
      </c>
      <c r="I56" t="inlineStr"/>
    </row>
    <row r="57">
      <c r="A57" t="n">
        <v>1072</v>
      </c>
      <c r="B57" t="inlineStr">
        <is>
          <t>GARCIA DELGADO,JUAN MANUEL</t>
        </is>
      </c>
      <c r="C57" t="inlineStr">
        <is>
          <t>SALUSTIANA</t>
        </is>
      </c>
      <c r="D57" t="inlineStr">
        <is>
          <t>GlobalGAP</t>
        </is>
      </c>
      <c r="E57" t="n">
        <v>0</v>
      </c>
      <c r="I57" t="inlineStr"/>
    </row>
    <row r="58">
      <c r="A58" t="n">
        <v>1072</v>
      </c>
      <c r="B58" t="inlineStr">
        <is>
          <t>GARCIA DELGADO,JUAN MANUEL</t>
        </is>
      </c>
      <c r="C58" t="inlineStr">
        <is>
          <t>SALUSTIANA</t>
        </is>
      </c>
      <c r="D58" t="inlineStr">
        <is>
          <t>Base imponible</t>
        </is>
      </c>
      <c r="E58" t="n">
        <v>3174.24</v>
      </c>
      <c r="I58" t="inlineStr"/>
    </row>
    <row r="59">
      <c r="A59" t="n">
        <v>1072</v>
      </c>
      <c r="B59" t="inlineStr">
        <is>
          <t>GARCIA DELGADO,JUAN MANUEL</t>
        </is>
      </c>
      <c r="C59" t="inlineStr">
        <is>
          <t>SALUSTIANA</t>
        </is>
      </c>
      <c r="D59" t="inlineStr">
        <is>
          <t>IVA</t>
        </is>
      </c>
      <c r="E59" t="n">
        <v>380.91</v>
      </c>
      <c r="I59" t="inlineStr"/>
    </row>
    <row r="60">
      <c r="A60" t="n">
        <v>1072</v>
      </c>
      <c r="B60" t="inlineStr">
        <is>
          <t>GARCIA DELGADO,JUAN MANUEL</t>
        </is>
      </c>
      <c r="C60" t="inlineStr">
        <is>
          <t>SALUSTIANA</t>
        </is>
      </c>
      <c r="D60" t="inlineStr">
        <is>
          <t>Retención</t>
        </is>
      </c>
      <c r="E60" t="n">
        <v>71.09999999999999</v>
      </c>
      <c r="I60" t="inlineStr"/>
    </row>
    <row r="61">
      <c r="A61" t="n">
        <v>1072</v>
      </c>
      <c r="B61" t="inlineStr">
        <is>
          <t>GARCIA DELGADO,JUAN MANUEL</t>
        </is>
      </c>
      <c r="C61" t="inlineStr">
        <is>
          <t>SALUSTIANA</t>
        </is>
      </c>
      <c r="D61" t="inlineStr">
        <is>
          <t>Total</t>
        </is>
      </c>
      <c r="E61" t="n">
        <v>3484.05</v>
      </c>
      <c r="I61" t="inlineStr"/>
    </row>
    <row r="62">
      <c r="A62" t="n">
        <v>1128</v>
      </c>
      <c r="B62" t="inlineStr">
        <is>
          <t>CARRILLO PEÑALVER,JOSE</t>
        </is>
      </c>
      <c r="C62" t="inlineStr">
        <is>
          <t>SALUSTIANA</t>
        </is>
      </c>
      <c r="D62" t="inlineStr">
        <is>
          <t>Hectáreas</t>
        </is>
      </c>
      <c r="E62" t="n">
        <v>4.12</v>
      </c>
      <c r="I62" t="inlineStr"/>
    </row>
    <row r="63">
      <c r="A63" t="n">
        <v>1128</v>
      </c>
      <c r="B63" t="inlineStr">
        <is>
          <t>CARRILLO PEÑALVER,JOSE</t>
        </is>
      </c>
      <c r="C63" t="inlineStr">
        <is>
          <t>SALUSTIANA</t>
        </is>
      </c>
      <c r="D63" t="inlineStr">
        <is>
          <t>Cuota teórica</t>
        </is>
      </c>
      <c r="E63" t="n">
        <v>803.4</v>
      </c>
      <c r="I63" t="inlineStr"/>
    </row>
    <row r="64">
      <c r="A64" t="n">
        <v>1128</v>
      </c>
      <c r="B64" t="inlineStr">
        <is>
          <t>CARRILLO PEÑALVER,JOSE</t>
        </is>
      </c>
      <c r="C64" t="inlineStr">
        <is>
          <t>SALUSTIANA</t>
        </is>
      </c>
      <c r="D64" t="inlineStr">
        <is>
          <t>Kg campaña</t>
        </is>
      </c>
      <c r="E64" t="n">
        <v>45545</v>
      </c>
      <c r="I64" t="inlineStr"/>
    </row>
    <row r="65">
      <c r="A65" t="n">
        <v>1128</v>
      </c>
      <c r="B65" t="inlineStr">
        <is>
          <t>CARRILLO PEÑALVER,JOSE</t>
        </is>
      </c>
      <c r="C65" t="inlineStr">
        <is>
          <t>SALUSTIANA</t>
        </is>
      </c>
      <c r="D65" t="inlineStr">
        <is>
          <t>Índice</t>
        </is>
      </c>
      <c r="E65" t="n">
        <v>0.0176396970029641</v>
      </c>
      <c r="I65" t="inlineStr"/>
    </row>
    <row r="66">
      <c r="A66" t="n">
        <v>1128</v>
      </c>
      <c r="B66" t="inlineStr">
        <is>
          <t>CARRILLO PEÑALVER,JOSE</t>
        </is>
      </c>
      <c r="C66" t="inlineStr">
        <is>
          <t>SALUSTIANA</t>
        </is>
      </c>
      <c r="D66" t="inlineStr">
        <is>
          <t>Kg remesa</t>
        </is>
      </c>
      <c r="E66" t="n">
        <v>20913</v>
      </c>
      <c r="I66" t="inlineStr"/>
    </row>
    <row r="67">
      <c r="A67" t="n">
        <v>1128</v>
      </c>
      <c r="B67" t="inlineStr">
        <is>
          <t>CARRILLO PEÑALVER,JOSE</t>
        </is>
      </c>
      <c r="C67" t="inlineStr">
        <is>
          <t>SALUSTIANA</t>
        </is>
      </c>
      <c r="D67" t="inlineStr">
        <is>
          <t>Cuota parcial</t>
        </is>
      </c>
      <c r="E67" t="n">
        <v>368.9</v>
      </c>
      <c r="I67" t="inlineStr"/>
    </row>
    <row r="68">
      <c r="A68" t="n">
        <v>1128</v>
      </c>
      <c r="B68" t="inlineStr">
        <is>
          <t>CARRILLO PEÑALVER,JOSE</t>
        </is>
      </c>
      <c r="C68" t="inlineStr">
        <is>
          <t>SALUSTIANA</t>
        </is>
      </c>
      <c r="D68" t="inlineStr">
        <is>
          <t>Importe bruto</t>
        </is>
      </c>
      <c r="E68" t="n">
        <v>8189</v>
      </c>
      <c r="I68" t="inlineStr"/>
    </row>
    <row r="69">
      <c r="A69" t="n">
        <v>1128</v>
      </c>
      <c r="B69" t="inlineStr">
        <is>
          <t>CARRILLO PEÑALVER,JOSE</t>
        </is>
      </c>
      <c r="C69" t="inlineStr">
        <is>
          <t>SALUSTIANA</t>
        </is>
      </c>
      <c r="D69" t="inlineStr">
        <is>
          <t>Recolección</t>
        </is>
      </c>
      <c r="E69" t="n">
        <v>0</v>
      </c>
      <c r="I69" t="inlineStr"/>
    </row>
    <row r="70">
      <c r="A70" t="n">
        <v>1128</v>
      </c>
      <c r="B70" t="inlineStr">
        <is>
          <t>CARRILLO PEÑALVER,JOSE</t>
        </is>
      </c>
      <c r="C70" t="inlineStr">
        <is>
          <t>SALUSTIANA</t>
        </is>
      </c>
      <c r="D70" t="inlineStr">
        <is>
          <t>Transporte</t>
        </is>
      </c>
      <c r="E70" t="n">
        <v>194.67</v>
      </c>
      <c r="I70" t="inlineStr"/>
    </row>
    <row r="71">
      <c r="A71" t="n">
        <v>1128</v>
      </c>
      <c r="B71" t="inlineStr">
        <is>
          <t>CARRILLO PEÑALVER,JOSE</t>
        </is>
      </c>
      <c r="C71" t="inlineStr">
        <is>
          <t>SALUSTIANA</t>
        </is>
      </c>
      <c r="D71" t="inlineStr">
        <is>
          <t>Calidad</t>
        </is>
      </c>
      <c r="E71" t="n">
        <v>0</v>
      </c>
      <c r="I71" t="inlineStr"/>
    </row>
    <row r="72">
      <c r="A72" t="n">
        <v>1128</v>
      </c>
      <c r="B72" t="inlineStr">
        <is>
          <t>CARRILLO PEÑALVER,JOSE</t>
        </is>
      </c>
      <c r="C72" t="inlineStr">
        <is>
          <t>SALUSTIANA</t>
        </is>
      </c>
      <c r="D72" t="inlineStr">
        <is>
          <t>GlobalGAP</t>
        </is>
      </c>
      <c r="E72" t="n">
        <v>0</v>
      </c>
      <c r="I72" t="inlineStr"/>
    </row>
    <row r="73">
      <c r="A73" t="n">
        <v>1128</v>
      </c>
      <c r="B73" t="inlineStr">
        <is>
          <t>CARRILLO PEÑALVER,JOSE</t>
        </is>
      </c>
      <c r="C73" t="inlineStr">
        <is>
          <t>SALUSTIANA</t>
        </is>
      </c>
      <c r="D73" t="inlineStr">
        <is>
          <t>Base imponible</t>
        </is>
      </c>
      <c r="E73" t="n">
        <v>8014.77</v>
      </c>
      <c r="I73" t="inlineStr"/>
    </row>
    <row r="74">
      <c r="A74" t="n">
        <v>1128</v>
      </c>
      <c r="B74" t="inlineStr">
        <is>
          <t>CARRILLO PEÑALVER,JOSE</t>
        </is>
      </c>
      <c r="C74" t="inlineStr">
        <is>
          <t>SALUSTIANA</t>
        </is>
      </c>
      <c r="D74" t="inlineStr">
        <is>
          <t>IVA</t>
        </is>
      </c>
      <c r="E74" t="n">
        <v>961.77</v>
      </c>
      <c r="I74" t="inlineStr"/>
    </row>
    <row r="75">
      <c r="A75" t="n">
        <v>1128</v>
      </c>
      <c r="B75" t="inlineStr">
        <is>
          <t>CARRILLO PEÑALVER,JOSE</t>
        </is>
      </c>
      <c r="C75" t="inlineStr">
        <is>
          <t>SALUSTIANA</t>
        </is>
      </c>
      <c r="D75" t="inlineStr">
        <is>
          <t>Retención</t>
        </is>
      </c>
      <c r="E75" t="n">
        <v>179.53</v>
      </c>
      <c r="I75" t="inlineStr"/>
    </row>
    <row r="76">
      <c r="A76" t="n">
        <v>1128</v>
      </c>
      <c r="B76" t="inlineStr">
        <is>
          <t>CARRILLO PEÑALVER,JOSE</t>
        </is>
      </c>
      <c r="C76" t="inlineStr">
        <is>
          <t>SALUSTIANA</t>
        </is>
      </c>
      <c r="D76" t="inlineStr">
        <is>
          <t>Total</t>
        </is>
      </c>
      <c r="E76" t="n">
        <v>8797.01</v>
      </c>
      <c r="I76" t="inlineStr"/>
    </row>
    <row r="77">
      <c r="A77" t="n">
        <v>1133</v>
      </c>
      <c r="B77" t="inlineStr">
        <is>
          <t>MAYFE S.C.</t>
        </is>
      </c>
      <c r="C77" t="inlineStr">
        <is>
          <t>SALUSTIANA</t>
        </is>
      </c>
      <c r="D77" t="inlineStr">
        <is>
          <t>Hectáreas</t>
        </is>
      </c>
      <c r="E77" t="n">
        <v>14.28</v>
      </c>
      <c r="I77" t="inlineStr"/>
    </row>
    <row r="78">
      <c r="A78" t="n">
        <v>1133</v>
      </c>
      <c r="B78" t="inlineStr">
        <is>
          <t>MAYFE S.C.</t>
        </is>
      </c>
      <c r="C78" t="inlineStr">
        <is>
          <t>SALUSTIANA</t>
        </is>
      </c>
      <c r="D78" t="inlineStr">
        <is>
          <t>Cuota teórica</t>
        </is>
      </c>
      <c r="E78" t="n">
        <v>2784.6</v>
      </c>
      <c r="I78" t="inlineStr"/>
    </row>
    <row r="79">
      <c r="A79" t="n">
        <v>1133</v>
      </c>
      <c r="B79" t="inlineStr">
        <is>
          <t>MAYFE S.C.</t>
        </is>
      </c>
      <c r="C79" t="inlineStr">
        <is>
          <t>SALUSTIANA</t>
        </is>
      </c>
      <c r="D79" t="inlineStr">
        <is>
          <t>Kg campaña</t>
        </is>
      </c>
      <c r="E79" t="n">
        <v>293106</v>
      </c>
      <c r="I79" t="inlineStr"/>
    </row>
    <row r="80">
      <c r="A80" t="n">
        <v>1133</v>
      </c>
      <c r="B80" t="inlineStr">
        <is>
          <t>MAYFE S.C.</t>
        </is>
      </c>
      <c r="C80" t="inlineStr">
        <is>
          <t>SALUSTIANA</t>
        </is>
      </c>
      <c r="D80" t="inlineStr">
        <is>
          <t>Índice</t>
        </is>
      </c>
      <c r="E80" t="n">
        <v>0.009500317291355346</v>
      </c>
      <c r="I80" t="inlineStr"/>
    </row>
    <row r="81">
      <c r="A81" t="n">
        <v>1133</v>
      </c>
      <c r="B81" t="inlineStr">
        <is>
          <t>MAYFE S.C.</t>
        </is>
      </c>
      <c r="C81" t="inlineStr">
        <is>
          <t>SALUSTIANA</t>
        </is>
      </c>
      <c r="D81" t="inlineStr">
        <is>
          <t>Kg remesa</t>
        </is>
      </c>
      <c r="E81" t="n">
        <v>69429</v>
      </c>
      <c r="I81" t="inlineStr"/>
    </row>
    <row r="82">
      <c r="A82" t="n">
        <v>1133</v>
      </c>
      <c r="B82" t="inlineStr">
        <is>
          <t>MAYFE S.C.</t>
        </is>
      </c>
      <c r="C82" t="inlineStr">
        <is>
          <t>SALUSTIANA</t>
        </is>
      </c>
      <c r="D82" t="inlineStr">
        <is>
          <t>Cuota parcial</t>
        </is>
      </c>
      <c r="E82" t="n">
        <v>659.6</v>
      </c>
      <c r="I82" t="inlineStr"/>
    </row>
    <row r="83">
      <c r="A83" t="n">
        <v>1133</v>
      </c>
      <c r="B83" t="inlineStr">
        <is>
          <t>MAYFE S.C.</t>
        </is>
      </c>
      <c r="C83" t="inlineStr">
        <is>
          <t>SALUSTIANA</t>
        </is>
      </c>
      <c r="D83" t="inlineStr">
        <is>
          <t>Importe bruto</t>
        </is>
      </c>
      <c r="E83" t="n">
        <v>23375.98</v>
      </c>
      <c r="I83" t="inlineStr"/>
    </row>
    <row r="84">
      <c r="A84" t="n">
        <v>1133</v>
      </c>
      <c r="B84" t="inlineStr">
        <is>
          <t>MAYFE S.C.</t>
        </is>
      </c>
      <c r="C84" t="inlineStr">
        <is>
          <t>SALUSTIANA</t>
        </is>
      </c>
      <c r="D84" t="inlineStr">
        <is>
          <t>Recolección</t>
        </is>
      </c>
      <c r="E84" t="n">
        <v>4998.89</v>
      </c>
      <c r="I84" t="inlineStr"/>
    </row>
    <row r="85">
      <c r="A85" t="n">
        <v>1133</v>
      </c>
      <c r="B85" t="inlineStr">
        <is>
          <t>MAYFE S.C.</t>
        </is>
      </c>
      <c r="C85" t="inlineStr">
        <is>
          <t>SALUSTIANA</t>
        </is>
      </c>
      <c r="D85" t="inlineStr">
        <is>
          <t>Transporte</t>
        </is>
      </c>
      <c r="E85" t="n">
        <v>0</v>
      </c>
      <c r="I85" t="inlineStr"/>
    </row>
    <row r="86">
      <c r="A86" t="n">
        <v>1133</v>
      </c>
      <c r="B86" t="inlineStr">
        <is>
          <t>MAYFE S.C.</t>
        </is>
      </c>
      <c r="C86" t="inlineStr">
        <is>
          <t>SALUSTIANA</t>
        </is>
      </c>
      <c r="D86" t="inlineStr">
        <is>
          <t>Calidad</t>
        </is>
      </c>
      <c r="E86" t="n">
        <v>0</v>
      </c>
      <c r="I86" t="inlineStr"/>
    </row>
    <row r="87">
      <c r="A87" t="n">
        <v>1133</v>
      </c>
      <c r="B87" t="inlineStr">
        <is>
          <t>MAYFE S.C.</t>
        </is>
      </c>
      <c r="C87" t="inlineStr">
        <is>
          <t>SALUSTIANA</t>
        </is>
      </c>
      <c r="D87" t="inlineStr">
        <is>
          <t>GlobalGAP</t>
        </is>
      </c>
      <c r="E87" t="n">
        <v>0</v>
      </c>
      <c r="I87" t="inlineStr"/>
    </row>
    <row r="88">
      <c r="A88" t="n">
        <v>1133</v>
      </c>
      <c r="B88" t="inlineStr">
        <is>
          <t>MAYFE S.C.</t>
        </is>
      </c>
      <c r="C88" t="inlineStr">
        <is>
          <t>SALUSTIANA</t>
        </is>
      </c>
      <c r="D88" t="inlineStr">
        <is>
          <t>Base imponible</t>
        </is>
      </c>
      <c r="E88" t="n">
        <v>17717.49</v>
      </c>
      <c r="I88" t="inlineStr"/>
    </row>
    <row r="89">
      <c r="A89" t="n">
        <v>1133</v>
      </c>
      <c r="B89" t="inlineStr">
        <is>
          <t>MAYFE S.C.</t>
        </is>
      </c>
      <c r="C89" t="inlineStr">
        <is>
          <t>SALUSTIANA</t>
        </is>
      </c>
      <c r="D89" t="inlineStr">
        <is>
          <t>IVA</t>
        </is>
      </c>
      <c r="E89" t="n">
        <v>2126.1</v>
      </c>
      <c r="I89" t="inlineStr"/>
    </row>
    <row r="90">
      <c r="A90" t="n">
        <v>1133</v>
      </c>
      <c r="B90" t="inlineStr">
        <is>
          <t>MAYFE S.C.</t>
        </is>
      </c>
      <c r="C90" t="inlineStr">
        <is>
          <t>SALUSTIANA</t>
        </is>
      </c>
      <c r="D90" t="inlineStr">
        <is>
          <t>Retención</t>
        </is>
      </c>
      <c r="E90" t="n">
        <v>396.87</v>
      </c>
      <c r="I90" t="inlineStr"/>
    </row>
    <row r="91">
      <c r="A91" t="n">
        <v>1133</v>
      </c>
      <c r="B91" t="inlineStr">
        <is>
          <t>MAYFE S.C.</t>
        </is>
      </c>
      <c r="C91" t="inlineStr">
        <is>
          <t>SALUSTIANA</t>
        </is>
      </c>
      <c r="D91" t="inlineStr">
        <is>
          <t>Total</t>
        </is>
      </c>
      <c r="E91" t="n">
        <v>19446.72</v>
      </c>
      <c r="I91" t="inlineStr"/>
    </row>
    <row r="92">
      <c r="A92" t="n">
        <v>1178</v>
      </c>
      <c r="B92" t="inlineStr">
        <is>
          <t>CALZADO GARCIA,FRANCISCO JAVIER</t>
        </is>
      </c>
      <c r="C92" t="inlineStr">
        <is>
          <t>SALUSTIANA</t>
        </is>
      </c>
      <c r="D92" t="inlineStr">
        <is>
          <t>Hectáreas</t>
        </is>
      </c>
      <c r="E92" t="n">
        <v>9.630000000000001</v>
      </c>
      <c r="I92" t="inlineStr"/>
    </row>
    <row r="93">
      <c r="A93" t="n">
        <v>1178</v>
      </c>
      <c r="B93" t="inlineStr">
        <is>
          <t>CALZADO GARCIA,FRANCISCO JAVIER</t>
        </is>
      </c>
      <c r="C93" t="inlineStr">
        <is>
          <t>SALUSTIANA</t>
        </is>
      </c>
      <c r="D93" t="inlineStr">
        <is>
          <t>Cuota teórica</t>
        </is>
      </c>
      <c r="E93" t="n">
        <v>1877.85</v>
      </c>
      <c r="I93" t="inlineStr"/>
    </row>
    <row r="94">
      <c r="A94" t="n">
        <v>1178</v>
      </c>
      <c r="B94" t="inlineStr">
        <is>
          <t>CALZADO GARCIA,FRANCISCO JAVIER</t>
        </is>
      </c>
      <c r="C94" t="inlineStr">
        <is>
          <t>SALUSTIANA</t>
        </is>
      </c>
      <c r="D94" t="inlineStr">
        <is>
          <t>Kg campaña</t>
        </is>
      </c>
      <c r="E94" t="n">
        <v>152504</v>
      </c>
      <c r="I94" t="inlineStr"/>
    </row>
    <row r="95">
      <c r="A95" t="n">
        <v>1178</v>
      </c>
      <c r="B95" t="inlineStr">
        <is>
          <t>CALZADO GARCIA,FRANCISCO JAVIER</t>
        </is>
      </c>
      <c r="C95" t="inlineStr">
        <is>
          <t>SALUSTIANA</t>
        </is>
      </c>
      <c r="D95" t="inlineStr">
        <is>
          <t>Índice</t>
        </is>
      </c>
      <c r="E95" t="n">
        <v>0.01231344751613072</v>
      </c>
      <c r="I95" t="inlineStr"/>
    </row>
    <row r="96">
      <c r="A96" t="n">
        <v>1178</v>
      </c>
      <c r="B96" t="inlineStr">
        <is>
          <t>CALZADO GARCIA,FRANCISCO JAVIER</t>
        </is>
      </c>
      <c r="C96" t="inlineStr">
        <is>
          <t>SALUSTIANA</t>
        </is>
      </c>
      <c r="D96" t="inlineStr">
        <is>
          <t>Kg remesa</t>
        </is>
      </c>
      <c r="E96" t="n">
        <v>73741</v>
      </c>
      <c r="I96" t="inlineStr"/>
    </row>
    <row r="97">
      <c r="A97" t="n">
        <v>1178</v>
      </c>
      <c r="B97" t="inlineStr">
        <is>
          <t>CALZADO GARCIA,FRANCISCO JAVIER</t>
        </is>
      </c>
      <c r="C97" t="inlineStr">
        <is>
          <t>SALUSTIANA</t>
        </is>
      </c>
      <c r="D97" t="inlineStr">
        <is>
          <t>Cuota parcial</t>
        </is>
      </c>
      <c r="E97" t="n">
        <v>908.01</v>
      </c>
      <c r="I97" t="inlineStr"/>
    </row>
    <row r="98">
      <c r="A98" t="n">
        <v>1178</v>
      </c>
      <c r="B98" t="inlineStr">
        <is>
          <t>CALZADO GARCIA,FRANCISCO JAVIER</t>
        </is>
      </c>
      <c r="C98" t="inlineStr">
        <is>
          <t>SALUSTIANA</t>
        </is>
      </c>
      <c r="D98" t="inlineStr">
        <is>
          <t>Importe bruto</t>
        </is>
      </c>
      <c r="E98" t="n">
        <v>27580.1</v>
      </c>
      <c r="I98" t="inlineStr"/>
    </row>
    <row r="99">
      <c r="A99" t="n">
        <v>1178</v>
      </c>
      <c r="B99" t="inlineStr">
        <is>
          <t>CALZADO GARCIA,FRANCISCO JAVIER</t>
        </is>
      </c>
      <c r="C99" t="inlineStr">
        <is>
          <t>SALUSTIANA</t>
        </is>
      </c>
      <c r="D99" t="inlineStr">
        <is>
          <t>Recolección</t>
        </is>
      </c>
      <c r="E99" t="n">
        <v>5309.36</v>
      </c>
      <c r="I99" t="inlineStr"/>
    </row>
    <row r="100">
      <c r="A100" t="n">
        <v>1178</v>
      </c>
      <c r="B100" t="inlineStr">
        <is>
          <t>CALZADO GARCIA,FRANCISCO JAVIER</t>
        </is>
      </c>
      <c r="C100" t="inlineStr">
        <is>
          <t>SALUSTIANA</t>
        </is>
      </c>
      <c r="D100" t="inlineStr">
        <is>
          <t>Transporte</t>
        </is>
      </c>
      <c r="E100" t="n">
        <v>0</v>
      </c>
      <c r="I100" t="inlineStr"/>
    </row>
    <row r="101">
      <c r="A101" t="n">
        <v>1178</v>
      </c>
      <c r="B101" t="inlineStr">
        <is>
          <t>CALZADO GARCIA,FRANCISCO JAVIER</t>
        </is>
      </c>
      <c r="C101" t="inlineStr">
        <is>
          <t>SALUSTIANA</t>
        </is>
      </c>
      <c r="D101" t="inlineStr">
        <is>
          <t>Calidad</t>
        </is>
      </c>
      <c r="E101" t="n">
        <v>0</v>
      </c>
      <c r="I101" t="inlineStr"/>
    </row>
    <row r="102">
      <c r="A102" t="n">
        <v>1178</v>
      </c>
      <c r="B102" t="inlineStr">
        <is>
          <t>CALZADO GARCIA,FRANCISCO JAVIER</t>
        </is>
      </c>
      <c r="C102" t="inlineStr">
        <is>
          <t>SALUSTIANA</t>
        </is>
      </c>
      <c r="D102" t="inlineStr">
        <is>
          <t>GlobalGAP</t>
        </is>
      </c>
      <c r="E102" t="n">
        <v>1175.79</v>
      </c>
      <c r="I102" t="inlineStr"/>
    </row>
    <row r="103">
      <c r="A103" t="n">
        <v>1178</v>
      </c>
      <c r="B103" t="inlineStr">
        <is>
          <t>CALZADO GARCIA,FRANCISCO JAVIER</t>
        </is>
      </c>
      <c r="C103" t="inlineStr">
        <is>
          <t>SALUSTIANA</t>
        </is>
      </c>
      <c r="D103" t="inlineStr">
        <is>
          <t>Base imponible</t>
        </is>
      </c>
      <c r="E103" t="n">
        <v>22538.52</v>
      </c>
      <c r="I103" t="inlineStr"/>
    </row>
    <row r="104">
      <c r="A104" t="n">
        <v>1178</v>
      </c>
      <c r="B104" t="inlineStr">
        <is>
          <t>CALZADO GARCIA,FRANCISCO JAVIER</t>
        </is>
      </c>
      <c r="C104" t="inlineStr">
        <is>
          <t>SALUSTIANA</t>
        </is>
      </c>
      <c r="D104" t="inlineStr">
        <is>
          <t>IVA</t>
        </is>
      </c>
      <c r="E104" t="n">
        <v>2704.62</v>
      </c>
      <c r="I104" t="inlineStr"/>
    </row>
    <row r="105">
      <c r="A105" t="n">
        <v>1178</v>
      </c>
      <c r="B105" t="inlineStr">
        <is>
          <t>CALZADO GARCIA,FRANCISCO JAVIER</t>
        </is>
      </c>
      <c r="C105" t="inlineStr">
        <is>
          <t>SALUSTIANA</t>
        </is>
      </c>
      <c r="D105" t="inlineStr">
        <is>
          <t>Retención</t>
        </is>
      </c>
      <c r="E105" t="n">
        <v>504.86</v>
      </c>
      <c r="I105" t="inlineStr"/>
    </row>
    <row r="106">
      <c r="A106" t="n">
        <v>1178</v>
      </c>
      <c r="B106" t="inlineStr">
        <is>
          <t>CALZADO GARCIA,FRANCISCO JAVIER</t>
        </is>
      </c>
      <c r="C106" t="inlineStr">
        <is>
          <t>SALUSTIANA</t>
        </is>
      </c>
      <c r="D106" t="inlineStr">
        <is>
          <t>Total</t>
        </is>
      </c>
      <c r="E106" t="n">
        <v>24738.28</v>
      </c>
      <c r="I106" t="inlineStr"/>
    </row>
    <row r="107">
      <c r="A107" t="n">
        <v>1202</v>
      </c>
      <c r="B107" t="inlineStr">
        <is>
          <t>FUENTES HINOJOSA,MANUEL</t>
        </is>
      </c>
      <c r="C107" t="inlineStr">
        <is>
          <t>SALUSTIANA</t>
        </is>
      </c>
      <c r="D107" t="inlineStr">
        <is>
          <t>Hectáreas</t>
        </is>
      </c>
      <c r="E107" t="n">
        <v>2.36</v>
      </c>
      <c r="I107" t="inlineStr"/>
    </row>
    <row r="108">
      <c r="A108" t="n">
        <v>1202</v>
      </c>
      <c r="B108" t="inlineStr">
        <is>
          <t>FUENTES HINOJOSA,MANUEL</t>
        </is>
      </c>
      <c r="C108" t="inlineStr">
        <is>
          <t>SALUSTIANA</t>
        </is>
      </c>
      <c r="D108" t="inlineStr">
        <is>
          <t>Cuota teórica</t>
        </is>
      </c>
      <c r="E108" t="n">
        <v>460.2</v>
      </c>
      <c r="I108" t="inlineStr"/>
    </row>
    <row r="109">
      <c r="A109" t="n">
        <v>1202</v>
      </c>
      <c r="B109" t="inlineStr">
        <is>
          <t>FUENTES HINOJOSA,MANUEL</t>
        </is>
      </c>
      <c r="C109" t="inlineStr">
        <is>
          <t>SALUSTIANA</t>
        </is>
      </c>
      <c r="D109" t="inlineStr">
        <is>
          <t>Kg campaña</t>
        </is>
      </c>
      <c r="E109" t="n">
        <v>31005</v>
      </c>
      <c r="I109" t="inlineStr"/>
    </row>
    <row r="110">
      <c r="A110" t="n">
        <v>1202</v>
      </c>
      <c r="B110" t="inlineStr">
        <is>
          <t>FUENTES HINOJOSA,MANUEL</t>
        </is>
      </c>
      <c r="C110" t="inlineStr">
        <is>
          <t>SALUSTIANA</t>
        </is>
      </c>
      <c r="D110" t="inlineStr">
        <is>
          <t>Índice</t>
        </is>
      </c>
      <c r="E110" t="n">
        <v>0.01484276729559748</v>
      </c>
      <c r="I110" t="inlineStr"/>
    </row>
    <row r="111">
      <c r="A111" t="n">
        <v>1202</v>
      </c>
      <c r="B111" t="inlineStr">
        <is>
          <t>FUENTES HINOJOSA,MANUEL</t>
        </is>
      </c>
      <c r="C111" t="inlineStr">
        <is>
          <t>SALUSTIANA</t>
        </is>
      </c>
      <c r="D111" t="inlineStr">
        <is>
          <t>Kg remesa</t>
        </is>
      </c>
      <c r="E111" t="n">
        <v>30834</v>
      </c>
      <c r="I111" t="inlineStr"/>
    </row>
    <row r="112">
      <c r="A112" t="n">
        <v>1202</v>
      </c>
      <c r="B112" t="inlineStr">
        <is>
          <t>FUENTES HINOJOSA,MANUEL</t>
        </is>
      </c>
      <c r="C112" t="inlineStr">
        <is>
          <t>SALUSTIANA</t>
        </is>
      </c>
      <c r="D112" t="inlineStr">
        <is>
          <t>Cuota parcial</t>
        </is>
      </c>
      <c r="E112" t="n">
        <v>457.66</v>
      </c>
      <c r="I112" t="inlineStr"/>
    </row>
    <row r="113">
      <c r="A113" t="n">
        <v>1202</v>
      </c>
      <c r="B113" t="inlineStr">
        <is>
          <t>FUENTES HINOJOSA,MANUEL</t>
        </is>
      </c>
      <c r="C113" t="inlineStr">
        <is>
          <t>SALUSTIANA</t>
        </is>
      </c>
      <c r="D113" t="inlineStr">
        <is>
          <t>Importe bruto</t>
        </is>
      </c>
      <c r="E113" t="n">
        <v>11947.03</v>
      </c>
      <c r="I113" t="inlineStr"/>
    </row>
    <row r="114">
      <c r="A114" t="n">
        <v>1202</v>
      </c>
      <c r="B114" t="inlineStr">
        <is>
          <t>FUENTES HINOJOSA,MANUEL</t>
        </is>
      </c>
      <c r="C114" t="inlineStr">
        <is>
          <t>SALUSTIANA</t>
        </is>
      </c>
      <c r="D114" t="inlineStr">
        <is>
          <t>Recolección</t>
        </is>
      </c>
      <c r="E114" t="n">
        <v>2220.05</v>
      </c>
      <c r="I114" t="inlineStr"/>
    </row>
    <row r="115">
      <c r="A115" t="n">
        <v>1202</v>
      </c>
      <c r="B115" t="inlineStr">
        <is>
          <t>FUENTES HINOJOSA,MANUEL</t>
        </is>
      </c>
      <c r="C115" t="inlineStr">
        <is>
          <t>SALUSTIANA</t>
        </is>
      </c>
      <c r="D115" t="inlineStr">
        <is>
          <t>Transporte</t>
        </is>
      </c>
      <c r="E115" t="n">
        <v>0</v>
      </c>
      <c r="I115" t="inlineStr"/>
    </row>
    <row r="116">
      <c r="A116" t="n">
        <v>1202</v>
      </c>
      <c r="B116" t="inlineStr">
        <is>
          <t>FUENTES HINOJOSA,MANUEL</t>
        </is>
      </c>
      <c r="C116" t="inlineStr">
        <is>
          <t>SALUSTIANA</t>
        </is>
      </c>
      <c r="D116" t="inlineStr">
        <is>
          <t>Calidad</t>
        </is>
      </c>
      <c r="E116" t="n">
        <v>0</v>
      </c>
      <c r="I116" t="inlineStr"/>
    </row>
    <row r="117">
      <c r="A117" t="n">
        <v>1202</v>
      </c>
      <c r="B117" t="inlineStr">
        <is>
          <t>FUENTES HINOJOSA,MANUEL</t>
        </is>
      </c>
      <c r="C117" t="inlineStr">
        <is>
          <t>SALUSTIANA</t>
        </is>
      </c>
      <c r="D117" t="inlineStr">
        <is>
          <t>GlobalGAP</t>
        </is>
      </c>
      <c r="E117" t="n">
        <v>0</v>
      </c>
      <c r="I117" t="inlineStr"/>
    </row>
    <row r="118">
      <c r="A118" t="n">
        <v>1202</v>
      </c>
      <c r="B118" t="inlineStr">
        <is>
          <t>FUENTES HINOJOSA,MANUEL</t>
        </is>
      </c>
      <c r="C118" t="inlineStr">
        <is>
          <t>SALUSTIANA</t>
        </is>
      </c>
      <c r="D118" t="inlineStr">
        <is>
          <t>Base imponible</t>
        </is>
      </c>
      <c r="E118" t="n">
        <v>9269.32</v>
      </c>
      <c r="I118" t="inlineStr"/>
    </row>
    <row r="119">
      <c r="A119" t="n">
        <v>1202</v>
      </c>
      <c r="B119" t="inlineStr">
        <is>
          <t>FUENTES HINOJOSA,MANUEL</t>
        </is>
      </c>
      <c r="C119" t="inlineStr">
        <is>
          <t>SALUSTIANA</t>
        </is>
      </c>
      <c r="D119" t="inlineStr">
        <is>
          <t>IVA</t>
        </is>
      </c>
      <c r="E119" t="n">
        <v>1112.32</v>
      </c>
      <c r="I119" t="inlineStr"/>
    </row>
    <row r="120">
      <c r="A120" t="n">
        <v>1202</v>
      </c>
      <c r="B120" t="inlineStr">
        <is>
          <t>FUENTES HINOJOSA,MANUEL</t>
        </is>
      </c>
      <c r="C120" t="inlineStr">
        <is>
          <t>SALUSTIANA</t>
        </is>
      </c>
      <c r="D120" t="inlineStr">
        <is>
          <t>Retención</t>
        </is>
      </c>
      <c r="E120" t="n">
        <v>207.63</v>
      </c>
      <c r="I120" t="inlineStr"/>
    </row>
    <row r="121">
      <c r="A121" t="n">
        <v>1202</v>
      </c>
      <c r="B121" t="inlineStr">
        <is>
          <t>FUENTES HINOJOSA,MANUEL</t>
        </is>
      </c>
      <c r="C121" t="inlineStr">
        <is>
          <t>SALUSTIANA</t>
        </is>
      </c>
      <c r="D121" t="inlineStr">
        <is>
          <t>Total</t>
        </is>
      </c>
      <c r="E121" t="n">
        <v>10174.01</v>
      </c>
      <c r="I121" t="inlineStr"/>
    </row>
    <row r="122">
      <c r="A122" t="n">
        <v>1219</v>
      </c>
      <c r="B122" t="inlineStr">
        <is>
          <t>LORA BUIZA,GREGORIO</t>
        </is>
      </c>
      <c r="C122" t="inlineStr">
        <is>
          <t>SALUSTIANA</t>
        </is>
      </c>
      <c r="D122" t="inlineStr">
        <is>
          <t>Hectáreas</t>
        </is>
      </c>
      <c r="E122" t="n">
        <v>0.28</v>
      </c>
      <c r="I122" t="inlineStr"/>
    </row>
    <row r="123">
      <c r="A123" t="n">
        <v>1219</v>
      </c>
      <c r="B123" t="inlineStr">
        <is>
          <t>LORA BUIZA,GREGORIO</t>
        </is>
      </c>
      <c r="C123" t="inlineStr">
        <is>
          <t>SALUSTIANA</t>
        </is>
      </c>
      <c r="D123" t="inlineStr">
        <is>
          <t>Cuota teórica</t>
        </is>
      </c>
      <c r="E123" t="n">
        <v>54.6</v>
      </c>
      <c r="I123" t="inlineStr"/>
    </row>
    <row r="124">
      <c r="A124" t="n">
        <v>1219</v>
      </c>
      <c r="B124" t="inlineStr">
        <is>
          <t>LORA BUIZA,GREGORIO</t>
        </is>
      </c>
      <c r="C124" t="inlineStr">
        <is>
          <t>SALUSTIANA</t>
        </is>
      </c>
      <c r="D124" t="inlineStr">
        <is>
          <t>Kg campaña</t>
        </is>
      </c>
      <c r="E124" t="n">
        <v>7272</v>
      </c>
      <c r="I124" t="inlineStr"/>
    </row>
    <row r="125">
      <c r="A125" t="n">
        <v>1219</v>
      </c>
      <c r="B125" t="inlineStr">
        <is>
          <t>LORA BUIZA,GREGORIO</t>
        </is>
      </c>
      <c r="C125" t="inlineStr">
        <is>
          <t>SALUSTIANA</t>
        </is>
      </c>
      <c r="D125" t="inlineStr">
        <is>
          <t>Índice</t>
        </is>
      </c>
      <c r="E125" t="n">
        <v>0.007508250825082509</v>
      </c>
      <c r="I125" t="inlineStr"/>
    </row>
    <row r="126">
      <c r="A126" t="n">
        <v>1219</v>
      </c>
      <c r="B126" t="inlineStr">
        <is>
          <t>LORA BUIZA,GREGORIO</t>
        </is>
      </c>
      <c r="C126" t="inlineStr">
        <is>
          <t>SALUSTIANA</t>
        </is>
      </c>
      <c r="D126" t="inlineStr">
        <is>
          <t>Kg remesa</t>
        </is>
      </c>
      <c r="E126" t="n">
        <v>3679</v>
      </c>
      <c r="I126" t="inlineStr"/>
    </row>
    <row r="127">
      <c r="A127" t="n">
        <v>1219</v>
      </c>
      <c r="B127" t="inlineStr">
        <is>
          <t>LORA BUIZA,GREGORIO</t>
        </is>
      </c>
      <c r="C127" t="inlineStr">
        <is>
          <t>SALUSTIANA</t>
        </is>
      </c>
      <c r="D127" t="inlineStr">
        <is>
          <t>Cuota parcial</t>
        </is>
      </c>
      <c r="E127" t="n">
        <v>27.62</v>
      </c>
      <c r="I127" t="inlineStr"/>
    </row>
    <row r="128">
      <c r="A128" t="n">
        <v>1219</v>
      </c>
      <c r="B128" t="inlineStr">
        <is>
          <t>LORA BUIZA,GREGORIO</t>
        </is>
      </c>
      <c r="C128" t="inlineStr">
        <is>
          <t>SALUSTIANA</t>
        </is>
      </c>
      <c r="D128" t="inlineStr">
        <is>
          <t>Importe bruto</t>
        </is>
      </c>
      <c r="E128" t="n">
        <v>1259.38</v>
      </c>
      <c r="I128" t="inlineStr"/>
    </row>
    <row r="129">
      <c r="A129" t="n">
        <v>1219</v>
      </c>
      <c r="B129" t="inlineStr">
        <is>
          <t>LORA BUIZA,GREGORIO</t>
        </is>
      </c>
      <c r="C129" t="inlineStr">
        <is>
          <t>SALUSTIANA</t>
        </is>
      </c>
      <c r="D129" t="inlineStr">
        <is>
          <t>Recolección</t>
        </is>
      </c>
      <c r="E129" t="n">
        <v>264.89</v>
      </c>
      <c r="I129" t="inlineStr"/>
    </row>
    <row r="130">
      <c r="A130" t="n">
        <v>1219</v>
      </c>
      <c r="B130" t="inlineStr">
        <is>
          <t>LORA BUIZA,GREGORIO</t>
        </is>
      </c>
      <c r="C130" t="inlineStr">
        <is>
          <t>SALUSTIANA</t>
        </is>
      </c>
      <c r="D130" t="inlineStr">
        <is>
          <t>Transporte</t>
        </is>
      </c>
      <c r="E130" t="n">
        <v>0</v>
      </c>
      <c r="I130" t="inlineStr"/>
    </row>
    <row r="131">
      <c r="A131" t="n">
        <v>1219</v>
      </c>
      <c r="B131" t="inlineStr">
        <is>
          <t>LORA BUIZA,GREGORIO</t>
        </is>
      </c>
      <c r="C131" t="inlineStr">
        <is>
          <t>SALUSTIANA</t>
        </is>
      </c>
      <c r="D131" t="inlineStr">
        <is>
          <t>Calidad</t>
        </is>
      </c>
      <c r="E131" t="n">
        <v>0</v>
      </c>
      <c r="I131" t="inlineStr"/>
    </row>
    <row r="132">
      <c r="A132" t="n">
        <v>1219</v>
      </c>
      <c r="B132" t="inlineStr">
        <is>
          <t>LORA BUIZA,GREGORIO</t>
        </is>
      </c>
      <c r="C132" t="inlineStr">
        <is>
          <t>SALUSTIANA</t>
        </is>
      </c>
      <c r="D132" t="inlineStr">
        <is>
          <t>GlobalGAP</t>
        </is>
      </c>
      <c r="E132" t="n">
        <v>0</v>
      </c>
      <c r="I132" t="inlineStr"/>
    </row>
    <row r="133">
      <c r="A133" t="n">
        <v>1219</v>
      </c>
      <c r="B133" t="inlineStr">
        <is>
          <t>LORA BUIZA,GREGORIO</t>
        </is>
      </c>
      <c r="C133" t="inlineStr">
        <is>
          <t>SALUSTIANA</t>
        </is>
      </c>
      <c r="D133" t="inlineStr">
        <is>
          <t>Base imponible</t>
        </is>
      </c>
      <c r="E133" t="n">
        <v>966.87</v>
      </c>
      <c r="I133" t="inlineStr"/>
    </row>
    <row r="134">
      <c r="A134" t="n">
        <v>1219</v>
      </c>
      <c r="B134" t="inlineStr">
        <is>
          <t>LORA BUIZA,GREGORIO</t>
        </is>
      </c>
      <c r="C134" t="inlineStr">
        <is>
          <t>SALUSTIANA</t>
        </is>
      </c>
      <c r="D134" t="inlineStr">
        <is>
          <t>IVA</t>
        </is>
      </c>
      <c r="E134" t="n">
        <v>116.02</v>
      </c>
      <c r="I134" t="inlineStr"/>
    </row>
    <row r="135">
      <c r="A135" t="n">
        <v>1219</v>
      </c>
      <c r="B135" t="inlineStr">
        <is>
          <t>LORA BUIZA,GREGORIO</t>
        </is>
      </c>
      <c r="C135" t="inlineStr">
        <is>
          <t>SALUSTIANA</t>
        </is>
      </c>
      <c r="D135" t="inlineStr">
        <is>
          <t>Retención</t>
        </is>
      </c>
      <c r="E135" t="n">
        <v>21.66</v>
      </c>
      <c r="I135" t="inlineStr"/>
    </row>
    <row r="136">
      <c r="A136" t="n">
        <v>1219</v>
      </c>
      <c r="B136" t="inlineStr">
        <is>
          <t>LORA BUIZA,GREGORIO</t>
        </is>
      </c>
      <c r="C136" t="inlineStr">
        <is>
          <t>SALUSTIANA</t>
        </is>
      </c>
      <c r="D136" t="inlineStr">
        <is>
          <t>Total</t>
        </is>
      </c>
      <c r="E136" t="n">
        <v>1061.24</v>
      </c>
      <c r="I136" t="inlineStr"/>
    </row>
    <row r="137">
      <c r="A137" t="n">
        <v>1251</v>
      </c>
      <c r="B137" t="inlineStr">
        <is>
          <t>DURAN ALMENARA,ANGELES</t>
        </is>
      </c>
      <c r="C137" t="inlineStr">
        <is>
          <t>SALUSTIANA</t>
        </is>
      </c>
      <c r="D137" t="inlineStr">
        <is>
          <t>Hectáreas</t>
        </is>
      </c>
      <c r="E137" t="n">
        <v>2.12</v>
      </c>
      <c r="I137" t="inlineStr"/>
    </row>
    <row r="138">
      <c r="A138" t="n">
        <v>1251</v>
      </c>
      <c r="B138" t="inlineStr">
        <is>
          <t>DURAN ALMENARA,ANGELES</t>
        </is>
      </c>
      <c r="C138" t="inlineStr">
        <is>
          <t>SALUSTIANA</t>
        </is>
      </c>
      <c r="D138" t="inlineStr">
        <is>
          <t>Cuota teórica</t>
        </is>
      </c>
      <c r="E138" t="n">
        <v>413.4</v>
      </c>
      <c r="I138" t="inlineStr"/>
    </row>
    <row r="139">
      <c r="A139" t="n">
        <v>1251</v>
      </c>
      <c r="B139" t="inlineStr">
        <is>
          <t>DURAN ALMENARA,ANGELES</t>
        </is>
      </c>
      <c r="C139" t="inlineStr">
        <is>
          <t>SALUSTIANA</t>
        </is>
      </c>
      <c r="D139" t="inlineStr">
        <is>
          <t>Kg campaña</t>
        </is>
      </c>
      <c r="E139" t="n">
        <v>90674</v>
      </c>
      <c r="I139" t="inlineStr"/>
    </row>
    <row r="140">
      <c r="A140" t="n">
        <v>1251</v>
      </c>
      <c r="B140" t="inlineStr">
        <is>
          <t>DURAN ALMENARA,ANGELES</t>
        </is>
      </c>
      <c r="C140" t="inlineStr">
        <is>
          <t>SALUSTIANA</t>
        </is>
      </c>
      <c r="D140" t="inlineStr">
        <is>
          <t>Índice</t>
        </is>
      </c>
      <c r="E140" t="n">
        <v>0.004559190065509407</v>
      </c>
      <c r="I140" t="inlineStr"/>
    </row>
    <row r="141">
      <c r="A141" t="n">
        <v>1251</v>
      </c>
      <c r="B141" t="inlineStr">
        <is>
          <t>DURAN ALMENARA,ANGELES</t>
        </is>
      </c>
      <c r="C141" t="inlineStr">
        <is>
          <t>SALUSTIANA</t>
        </is>
      </c>
      <c r="D141" t="inlineStr">
        <is>
          <t>Kg remesa</t>
        </is>
      </c>
      <c r="E141" t="n">
        <v>38737</v>
      </c>
      <c r="I141" t="inlineStr"/>
    </row>
    <row r="142">
      <c r="A142" t="n">
        <v>1251</v>
      </c>
      <c r="B142" t="inlineStr">
        <is>
          <t>DURAN ALMENARA,ANGELES</t>
        </is>
      </c>
      <c r="C142" t="inlineStr">
        <is>
          <t>SALUSTIANA</t>
        </is>
      </c>
      <c r="D142" t="inlineStr">
        <is>
          <t>Cuota parcial</t>
        </is>
      </c>
      <c r="E142" t="n">
        <v>176.61</v>
      </c>
      <c r="I142" t="inlineStr"/>
    </row>
    <row r="143">
      <c r="A143" t="n">
        <v>1251</v>
      </c>
      <c r="B143" t="inlineStr">
        <is>
          <t>DURAN ALMENARA,ANGELES</t>
        </is>
      </c>
      <c r="C143" t="inlineStr">
        <is>
          <t>SALUSTIANA</t>
        </is>
      </c>
      <c r="D143" t="inlineStr">
        <is>
          <t>Importe bruto</t>
        </is>
      </c>
      <c r="E143" t="n">
        <v>13484.29</v>
      </c>
      <c r="I143" t="inlineStr"/>
    </row>
    <row r="144">
      <c r="A144" t="n">
        <v>1251</v>
      </c>
      <c r="B144" t="inlineStr">
        <is>
          <t>DURAN ALMENARA,ANGELES</t>
        </is>
      </c>
      <c r="C144" t="inlineStr">
        <is>
          <t>SALUSTIANA</t>
        </is>
      </c>
      <c r="D144" t="inlineStr">
        <is>
          <t>Recolección</t>
        </is>
      </c>
      <c r="E144" t="n">
        <v>2789.06</v>
      </c>
      <c r="I144" t="inlineStr"/>
    </row>
    <row r="145">
      <c r="A145" t="n">
        <v>1251</v>
      </c>
      <c r="B145" t="inlineStr">
        <is>
          <t>DURAN ALMENARA,ANGELES</t>
        </is>
      </c>
      <c r="C145" t="inlineStr">
        <is>
          <t>SALUSTIANA</t>
        </is>
      </c>
      <c r="D145" t="inlineStr">
        <is>
          <t>Transporte</t>
        </is>
      </c>
      <c r="E145" t="n">
        <v>0</v>
      </c>
      <c r="I145" t="inlineStr"/>
    </row>
    <row r="146">
      <c r="A146" t="n">
        <v>1251</v>
      </c>
      <c r="B146" t="inlineStr">
        <is>
          <t>DURAN ALMENARA,ANGELES</t>
        </is>
      </c>
      <c r="C146" t="inlineStr">
        <is>
          <t>SALUSTIANA</t>
        </is>
      </c>
      <c r="D146" t="inlineStr">
        <is>
          <t>Calidad</t>
        </is>
      </c>
      <c r="E146" t="n">
        <v>0</v>
      </c>
      <c r="I146" t="inlineStr"/>
    </row>
    <row r="147">
      <c r="A147" t="n">
        <v>1251</v>
      </c>
      <c r="B147" t="inlineStr">
        <is>
          <t>DURAN ALMENARA,ANGELES</t>
        </is>
      </c>
      <c r="C147" t="inlineStr">
        <is>
          <t>SALUSTIANA</t>
        </is>
      </c>
      <c r="D147" t="inlineStr">
        <is>
          <t>GlobalGAP</t>
        </is>
      </c>
      <c r="E147" t="n">
        <v>0</v>
      </c>
      <c r="I147" t="inlineStr"/>
    </row>
    <row r="148">
      <c r="A148" t="n">
        <v>1251</v>
      </c>
      <c r="B148" t="inlineStr">
        <is>
          <t>DURAN ALMENARA,ANGELES</t>
        </is>
      </c>
      <c r="C148" t="inlineStr">
        <is>
          <t>SALUSTIANA</t>
        </is>
      </c>
      <c r="D148" t="inlineStr">
        <is>
          <t>Base imponible</t>
        </is>
      </c>
      <c r="E148" t="n">
        <v>10518.62</v>
      </c>
      <c r="I148" t="inlineStr"/>
    </row>
    <row r="149">
      <c r="A149" t="n">
        <v>1251</v>
      </c>
      <c r="B149" t="inlineStr">
        <is>
          <t>DURAN ALMENARA,ANGELES</t>
        </is>
      </c>
      <c r="C149" t="inlineStr">
        <is>
          <t>SALUSTIANA</t>
        </is>
      </c>
      <c r="D149" t="inlineStr">
        <is>
          <t>IVA</t>
        </is>
      </c>
      <c r="E149" t="n">
        <v>1262.23</v>
      </c>
      <c r="I149" t="inlineStr"/>
    </row>
    <row r="150">
      <c r="A150" t="n">
        <v>1251</v>
      </c>
      <c r="B150" t="inlineStr">
        <is>
          <t>DURAN ALMENARA,ANGELES</t>
        </is>
      </c>
      <c r="C150" t="inlineStr">
        <is>
          <t>SALUSTIANA</t>
        </is>
      </c>
      <c r="D150" t="inlineStr">
        <is>
          <t>Retención</t>
        </is>
      </c>
      <c r="E150" t="n">
        <v>235.62</v>
      </c>
      <c r="I150" t="inlineStr"/>
    </row>
    <row r="151">
      <c r="A151" t="n">
        <v>1251</v>
      </c>
      <c r="B151" t="inlineStr">
        <is>
          <t>DURAN ALMENARA,ANGELES</t>
        </is>
      </c>
      <c r="C151" t="inlineStr">
        <is>
          <t>SALUSTIANA</t>
        </is>
      </c>
      <c r="D151" t="inlineStr">
        <is>
          <t>Total</t>
        </is>
      </c>
      <c r="E151" t="n">
        <v>11545.24</v>
      </c>
      <c r="I151" t="inlineStr"/>
    </row>
    <row r="152">
      <c r="A152" t="n">
        <v>1272</v>
      </c>
      <c r="B152" t="inlineStr">
        <is>
          <t>HERMANOS GONZALEZ ROLDAN,S.C.</t>
        </is>
      </c>
      <c r="C152" t="inlineStr">
        <is>
          <t>SALUSTIANA</t>
        </is>
      </c>
      <c r="D152" t="inlineStr">
        <is>
          <t>Hectáreas</t>
        </is>
      </c>
      <c r="E152" t="n">
        <v>60.01</v>
      </c>
      <c r="I152" t="inlineStr"/>
    </row>
    <row r="153">
      <c r="A153" t="n">
        <v>1272</v>
      </c>
      <c r="B153" t="inlineStr">
        <is>
          <t>HERMANOS GONZALEZ ROLDAN,S.C.</t>
        </is>
      </c>
      <c r="C153" t="inlineStr">
        <is>
          <t>SALUSTIANA</t>
        </is>
      </c>
      <c r="D153" t="inlineStr">
        <is>
          <t>Cuota teórica</t>
        </is>
      </c>
      <c r="E153" t="n">
        <v>11701.95</v>
      </c>
      <c r="I153" t="inlineStr"/>
    </row>
    <row r="154">
      <c r="A154" t="n">
        <v>1272</v>
      </c>
      <c r="B154" t="inlineStr">
        <is>
          <t>HERMANOS GONZALEZ ROLDAN,S.C.</t>
        </is>
      </c>
      <c r="C154" t="inlineStr">
        <is>
          <t>SALUSTIANA</t>
        </is>
      </c>
      <c r="D154" t="inlineStr">
        <is>
          <t>Kg campaña</t>
        </is>
      </c>
      <c r="E154" t="n">
        <v>636702</v>
      </c>
      <c r="I154" t="inlineStr"/>
    </row>
    <row r="155">
      <c r="A155" t="n">
        <v>1272</v>
      </c>
      <c r="B155" t="inlineStr">
        <is>
          <t>HERMANOS GONZALEZ ROLDAN,S.C.</t>
        </is>
      </c>
      <c r="C155" t="inlineStr">
        <is>
          <t>SALUSTIANA</t>
        </is>
      </c>
      <c r="D155" t="inlineStr">
        <is>
          <t>Índice</t>
        </is>
      </c>
      <c r="E155" t="n">
        <v>0.01837900619127944</v>
      </c>
      <c r="I155" t="inlineStr"/>
    </row>
    <row r="156">
      <c r="A156" t="n">
        <v>1272</v>
      </c>
      <c r="B156" t="inlineStr">
        <is>
          <t>HERMANOS GONZALEZ ROLDAN,S.C.</t>
        </is>
      </c>
      <c r="C156" t="inlineStr">
        <is>
          <t>SALUSTIANA</t>
        </is>
      </c>
      <c r="D156" t="inlineStr">
        <is>
          <t>Kg remesa</t>
        </is>
      </c>
      <c r="E156" t="n">
        <v>74671</v>
      </c>
      <c r="I156" t="inlineStr"/>
    </row>
    <row r="157">
      <c r="A157" t="n">
        <v>1272</v>
      </c>
      <c r="B157" t="inlineStr">
        <is>
          <t>HERMANOS GONZALEZ ROLDAN,S.C.</t>
        </is>
      </c>
      <c r="C157" t="inlineStr">
        <is>
          <t>SALUSTIANA</t>
        </is>
      </c>
      <c r="D157" t="inlineStr">
        <is>
          <t>Cuota parcial</t>
        </is>
      </c>
      <c r="E157" t="n">
        <v>1372.38</v>
      </c>
      <c r="I157" t="inlineStr"/>
    </row>
    <row r="158">
      <c r="A158" t="n">
        <v>1272</v>
      </c>
      <c r="B158" t="inlineStr">
        <is>
          <t>HERMANOS GONZALEZ ROLDAN,S.C.</t>
        </is>
      </c>
      <c r="C158" t="inlineStr">
        <is>
          <t>SALUSTIANA</t>
        </is>
      </c>
      <c r="D158" t="inlineStr">
        <is>
          <t>Importe bruto</t>
        </is>
      </c>
      <c r="E158" t="n">
        <v>23566.58</v>
      </c>
      <c r="I158" t="inlineStr"/>
    </row>
    <row r="159">
      <c r="A159" t="n">
        <v>1272</v>
      </c>
      <c r="B159" t="inlineStr">
        <is>
          <t>HERMANOS GONZALEZ ROLDAN,S.C.</t>
        </is>
      </c>
      <c r="C159" t="inlineStr">
        <is>
          <t>SALUSTIANA</t>
        </is>
      </c>
      <c r="D159" t="inlineStr">
        <is>
          <t>Recolección</t>
        </is>
      </c>
      <c r="E159" t="n">
        <v>5376.32</v>
      </c>
      <c r="I159" t="inlineStr"/>
    </row>
    <row r="160">
      <c r="A160" t="n">
        <v>1272</v>
      </c>
      <c r="B160" t="inlineStr">
        <is>
          <t>HERMANOS GONZALEZ ROLDAN,S.C.</t>
        </is>
      </c>
      <c r="C160" t="inlineStr">
        <is>
          <t>SALUSTIANA</t>
        </is>
      </c>
      <c r="D160" t="inlineStr">
        <is>
          <t>Transporte</t>
        </is>
      </c>
      <c r="E160" t="n">
        <v>0</v>
      </c>
      <c r="I160" t="inlineStr"/>
    </row>
    <row r="161">
      <c r="A161" t="n">
        <v>1272</v>
      </c>
      <c r="B161" t="inlineStr">
        <is>
          <t>HERMANOS GONZALEZ ROLDAN,S.C.</t>
        </is>
      </c>
      <c r="C161" t="inlineStr">
        <is>
          <t>SALUSTIANA</t>
        </is>
      </c>
      <c r="D161" t="inlineStr">
        <is>
          <t>Calidad</t>
        </is>
      </c>
      <c r="E161" t="n">
        <v>328.139992067</v>
      </c>
      <c r="I161" t="inlineStr"/>
    </row>
    <row r="162">
      <c r="A162" t="n">
        <v>1272</v>
      </c>
      <c r="B162" t="inlineStr">
        <is>
          <t>HERMANOS GONZALEZ ROLDAN,S.C.</t>
        </is>
      </c>
      <c r="C162" t="inlineStr">
        <is>
          <t>SALUSTIANA</t>
        </is>
      </c>
      <c r="D162" t="inlineStr">
        <is>
          <t>GlobalGAP</t>
        </is>
      </c>
      <c r="E162" t="n">
        <v>921.38</v>
      </c>
      <c r="I162" t="inlineStr"/>
    </row>
    <row r="163">
      <c r="A163" t="n">
        <v>1272</v>
      </c>
      <c r="B163" t="inlineStr">
        <is>
          <t>HERMANOS GONZALEZ ROLDAN,S.C.</t>
        </is>
      </c>
      <c r="C163" t="inlineStr">
        <is>
          <t>SALUSTIANA</t>
        </is>
      </c>
      <c r="D163" t="inlineStr">
        <is>
          <t>Base imponible</t>
        </is>
      </c>
      <c r="E163" t="n">
        <v>18067.4</v>
      </c>
      <c r="I163" t="inlineStr"/>
    </row>
    <row r="164">
      <c r="A164" t="n">
        <v>1272</v>
      </c>
      <c r="B164" t="inlineStr">
        <is>
          <t>HERMANOS GONZALEZ ROLDAN,S.C.</t>
        </is>
      </c>
      <c r="C164" t="inlineStr">
        <is>
          <t>SALUSTIANA</t>
        </is>
      </c>
      <c r="D164" t="inlineStr">
        <is>
          <t>IVA</t>
        </is>
      </c>
      <c r="E164" t="n">
        <v>2168.09</v>
      </c>
      <c r="I164" t="inlineStr"/>
    </row>
    <row r="165">
      <c r="A165" t="n">
        <v>1272</v>
      </c>
      <c r="B165" t="inlineStr">
        <is>
          <t>HERMANOS GONZALEZ ROLDAN,S.C.</t>
        </is>
      </c>
      <c r="C165" t="inlineStr">
        <is>
          <t>SALUSTIANA</t>
        </is>
      </c>
      <c r="D165" t="inlineStr">
        <is>
          <t>Retención</t>
        </is>
      </c>
      <c r="E165" t="n">
        <v>404.71</v>
      </c>
      <c r="I165" t="inlineStr"/>
    </row>
    <row r="166">
      <c r="A166" t="n">
        <v>1272</v>
      </c>
      <c r="B166" t="inlineStr">
        <is>
          <t>HERMANOS GONZALEZ ROLDAN,S.C.</t>
        </is>
      </c>
      <c r="C166" t="inlineStr">
        <is>
          <t>SALUSTIANA</t>
        </is>
      </c>
      <c r="D166" t="inlineStr">
        <is>
          <t>Total</t>
        </is>
      </c>
      <c r="E166" t="n">
        <v>19830.78</v>
      </c>
      <c r="I166" t="inlineStr"/>
    </row>
    <row r="167">
      <c r="A167" t="n">
        <v>1316</v>
      </c>
      <c r="B167" t="inlineStr">
        <is>
          <t>JIMENA GARCIA,JUAN MANUEL</t>
        </is>
      </c>
      <c r="C167" t="inlineStr">
        <is>
          <t>SALUSTIANA</t>
        </is>
      </c>
      <c r="D167" t="inlineStr">
        <is>
          <t>Hectáreas</t>
        </is>
      </c>
      <c r="E167" t="n">
        <v>3.23</v>
      </c>
      <c r="I167" t="inlineStr"/>
    </row>
    <row r="168">
      <c r="A168" t="n">
        <v>1316</v>
      </c>
      <c r="B168" t="inlineStr">
        <is>
          <t>JIMENA GARCIA,JUAN MANUEL</t>
        </is>
      </c>
      <c r="C168" t="inlineStr">
        <is>
          <t>SALUSTIANA</t>
        </is>
      </c>
      <c r="D168" t="inlineStr">
        <is>
          <t>Cuota teórica</t>
        </is>
      </c>
      <c r="E168" t="n">
        <v>629.85</v>
      </c>
      <c r="I168" t="inlineStr"/>
    </row>
    <row r="169">
      <c r="A169" t="n">
        <v>1316</v>
      </c>
      <c r="B169" t="inlineStr">
        <is>
          <t>JIMENA GARCIA,JUAN MANUEL</t>
        </is>
      </c>
      <c r="C169" t="inlineStr">
        <is>
          <t>SALUSTIANA</t>
        </is>
      </c>
      <c r="D169" t="inlineStr">
        <is>
          <t>Kg campaña</t>
        </is>
      </c>
      <c r="E169" t="n">
        <v>93689</v>
      </c>
      <c r="I169" t="inlineStr"/>
    </row>
    <row r="170">
      <c r="A170" t="n">
        <v>1316</v>
      </c>
      <c r="B170" t="inlineStr">
        <is>
          <t>JIMENA GARCIA,JUAN MANUEL</t>
        </is>
      </c>
      <c r="C170" t="inlineStr">
        <is>
          <t>SALUSTIANA</t>
        </is>
      </c>
      <c r="D170" t="inlineStr">
        <is>
          <t>Índice</t>
        </is>
      </c>
      <c r="E170" t="n">
        <v>0.006722774285134861</v>
      </c>
      <c r="I170" t="inlineStr"/>
    </row>
    <row r="171">
      <c r="A171" t="n">
        <v>1316</v>
      </c>
      <c r="B171" t="inlineStr">
        <is>
          <t>JIMENA GARCIA,JUAN MANUEL</t>
        </is>
      </c>
      <c r="C171" t="inlineStr">
        <is>
          <t>SALUSTIANA</t>
        </is>
      </c>
      <c r="D171" t="inlineStr">
        <is>
          <t>Kg remesa</t>
        </is>
      </c>
      <c r="E171" t="n">
        <v>57732</v>
      </c>
      <c r="I171" t="inlineStr"/>
    </row>
    <row r="172">
      <c r="A172" t="n">
        <v>1316</v>
      </c>
      <c r="B172" t="inlineStr">
        <is>
          <t>JIMENA GARCIA,JUAN MANUEL</t>
        </is>
      </c>
      <c r="C172" t="inlineStr">
        <is>
          <t>SALUSTIANA</t>
        </is>
      </c>
      <c r="D172" t="inlineStr">
        <is>
          <t>Cuota parcial</t>
        </is>
      </c>
      <c r="E172" t="n">
        <v>388.12</v>
      </c>
      <c r="I172" t="inlineStr"/>
    </row>
    <row r="173">
      <c r="A173" t="n">
        <v>1316</v>
      </c>
      <c r="B173" t="inlineStr">
        <is>
          <t>JIMENA GARCIA,JUAN MANUEL</t>
        </is>
      </c>
      <c r="C173" t="inlineStr">
        <is>
          <t>SALUSTIANA</t>
        </is>
      </c>
      <c r="D173" t="inlineStr">
        <is>
          <t>Importe bruto</t>
        </is>
      </c>
      <c r="E173" t="n">
        <v>19428.84</v>
      </c>
      <c r="I173" t="inlineStr"/>
    </row>
    <row r="174">
      <c r="A174" t="n">
        <v>1316</v>
      </c>
      <c r="B174" t="inlineStr">
        <is>
          <t>JIMENA GARCIA,JUAN MANUEL</t>
        </is>
      </c>
      <c r="C174" t="inlineStr">
        <is>
          <t>SALUSTIANA</t>
        </is>
      </c>
      <c r="D174" t="inlineStr">
        <is>
          <t>Recolección</t>
        </is>
      </c>
      <c r="E174" t="n">
        <v>4156.7</v>
      </c>
      <c r="I174" t="inlineStr"/>
    </row>
    <row r="175">
      <c r="A175" t="n">
        <v>1316</v>
      </c>
      <c r="B175" t="inlineStr">
        <is>
          <t>JIMENA GARCIA,JUAN MANUEL</t>
        </is>
      </c>
      <c r="C175" t="inlineStr">
        <is>
          <t>SALUSTIANA</t>
        </is>
      </c>
      <c r="D175" t="inlineStr">
        <is>
          <t>Transporte</t>
        </is>
      </c>
      <c r="E175" t="n">
        <v>0</v>
      </c>
      <c r="I175" t="inlineStr"/>
    </row>
    <row r="176">
      <c r="A176" t="n">
        <v>1316</v>
      </c>
      <c r="B176" t="inlineStr">
        <is>
          <t>JIMENA GARCIA,JUAN MANUEL</t>
        </is>
      </c>
      <c r="C176" t="inlineStr">
        <is>
          <t>SALUSTIANA</t>
        </is>
      </c>
      <c r="D176" t="inlineStr">
        <is>
          <t>Calidad</t>
        </is>
      </c>
      <c r="E176" t="n">
        <v>0</v>
      </c>
      <c r="I176" t="inlineStr"/>
    </row>
    <row r="177">
      <c r="A177" t="n">
        <v>1316</v>
      </c>
      <c r="B177" t="inlineStr">
        <is>
          <t>JIMENA GARCIA,JUAN MANUEL</t>
        </is>
      </c>
      <c r="C177" t="inlineStr">
        <is>
          <t>SALUSTIANA</t>
        </is>
      </c>
      <c r="D177" t="inlineStr">
        <is>
          <t>GlobalGAP</t>
        </is>
      </c>
      <c r="E177" t="n">
        <v>0</v>
      </c>
      <c r="I177" t="inlineStr"/>
    </row>
    <row r="178">
      <c r="A178" t="n">
        <v>1316</v>
      </c>
      <c r="B178" t="inlineStr">
        <is>
          <t>JIMENA GARCIA,JUAN MANUEL</t>
        </is>
      </c>
      <c r="C178" t="inlineStr">
        <is>
          <t>SALUSTIANA</t>
        </is>
      </c>
      <c r="D178" t="inlineStr">
        <is>
          <t>Base imponible</t>
        </is>
      </c>
      <c r="E178" t="n">
        <v>14884.02</v>
      </c>
      <c r="I178" t="inlineStr"/>
    </row>
    <row r="179">
      <c r="A179" t="n">
        <v>1316</v>
      </c>
      <c r="B179" t="inlineStr">
        <is>
          <t>JIMENA GARCIA,JUAN MANUEL</t>
        </is>
      </c>
      <c r="C179" t="inlineStr">
        <is>
          <t>SALUSTIANA</t>
        </is>
      </c>
      <c r="D179" t="inlineStr">
        <is>
          <t>IVA</t>
        </is>
      </c>
      <c r="E179" t="n">
        <v>1786.08</v>
      </c>
      <c r="I179" t="inlineStr"/>
    </row>
    <row r="180">
      <c r="A180" t="n">
        <v>1316</v>
      </c>
      <c r="B180" t="inlineStr">
        <is>
          <t>JIMENA GARCIA,JUAN MANUEL</t>
        </is>
      </c>
      <c r="C180" t="inlineStr">
        <is>
          <t>SALUSTIANA</t>
        </is>
      </c>
      <c r="D180" t="inlineStr">
        <is>
          <t>Retención</t>
        </is>
      </c>
      <c r="E180" t="n">
        <v>333.4</v>
      </c>
      <c r="I180" t="inlineStr"/>
    </row>
    <row r="181">
      <c r="A181" t="n">
        <v>1316</v>
      </c>
      <c r="B181" t="inlineStr">
        <is>
          <t>JIMENA GARCIA,JUAN MANUEL</t>
        </is>
      </c>
      <c r="C181" t="inlineStr">
        <is>
          <t>SALUSTIANA</t>
        </is>
      </c>
      <c r="D181" t="inlineStr">
        <is>
          <t>Total</t>
        </is>
      </c>
      <c r="E181" t="n">
        <v>16336.7</v>
      </c>
      <c r="I181" t="inlineStr"/>
    </row>
    <row r="182">
      <c r="A182" t="n">
        <v>1350</v>
      </c>
      <c r="B182" t="inlineStr">
        <is>
          <t>FAMILIA GONZALEZ LACAL S.C.</t>
        </is>
      </c>
      <c r="C182" t="inlineStr">
        <is>
          <t>SALUSTIANA</t>
        </is>
      </c>
      <c r="D182" t="inlineStr">
        <is>
          <t>Hectáreas</t>
        </is>
      </c>
      <c r="E182" t="n">
        <v>9.16</v>
      </c>
      <c r="I182" t="inlineStr"/>
    </row>
    <row r="183">
      <c r="A183" t="n">
        <v>1350</v>
      </c>
      <c r="B183" t="inlineStr">
        <is>
          <t>FAMILIA GONZALEZ LACAL S.C.</t>
        </is>
      </c>
      <c r="C183" t="inlineStr">
        <is>
          <t>SALUSTIANA</t>
        </is>
      </c>
      <c r="D183" t="inlineStr">
        <is>
          <t>Cuota teórica</t>
        </is>
      </c>
      <c r="E183" t="n">
        <v>1786.2</v>
      </c>
      <c r="I183" t="inlineStr"/>
    </row>
    <row r="184">
      <c r="A184" t="n">
        <v>1350</v>
      </c>
      <c r="B184" t="inlineStr">
        <is>
          <t>FAMILIA GONZALEZ LACAL S.C.</t>
        </is>
      </c>
      <c r="C184" t="inlineStr">
        <is>
          <t>SALUSTIANA</t>
        </is>
      </c>
      <c r="D184" t="inlineStr">
        <is>
          <t>Kg campaña</t>
        </is>
      </c>
      <c r="E184" t="n">
        <v>127892</v>
      </c>
      <c r="I184" t="inlineStr"/>
    </row>
    <row r="185">
      <c r="A185" t="n">
        <v>1350</v>
      </c>
      <c r="B185" t="inlineStr">
        <is>
          <t>FAMILIA GONZALEZ LACAL S.C.</t>
        </is>
      </c>
      <c r="C185" t="inlineStr">
        <is>
          <t>SALUSTIANA</t>
        </is>
      </c>
      <c r="D185" t="inlineStr">
        <is>
          <t>Índice</t>
        </is>
      </c>
      <c r="E185" t="n">
        <v>0.01396647171050574</v>
      </c>
      <c r="I185" t="inlineStr"/>
    </row>
    <row r="186">
      <c r="A186" t="n">
        <v>1350</v>
      </c>
      <c r="B186" t="inlineStr">
        <is>
          <t>FAMILIA GONZALEZ LACAL S.C.</t>
        </is>
      </c>
      <c r="C186" t="inlineStr">
        <is>
          <t>SALUSTIANA</t>
        </is>
      </c>
      <c r="D186" t="inlineStr">
        <is>
          <t>Kg remesa</t>
        </is>
      </c>
      <c r="E186" t="n">
        <v>24320</v>
      </c>
      <c r="I186" t="inlineStr"/>
    </row>
    <row r="187">
      <c r="A187" t="n">
        <v>1350</v>
      </c>
      <c r="B187" t="inlineStr">
        <is>
          <t>FAMILIA GONZALEZ LACAL S.C.</t>
        </is>
      </c>
      <c r="C187" t="inlineStr">
        <is>
          <t>SALUSTIANA</t>
        </is>
      </c>
      <c r="D187" t="inlineStr">
        <is>
          <t>Cuota parcial</t>
        </is>
      </c>
      <c r="E187" t="n">
        <v>339.66</v>
      </c>
      <c r="I187" t="inlineStr"/>
    </row>
    <row r="188">
      <c r="A188" t="n">
        <v>1350</v>
      </c>
      <c r="B188" t="inlineStr">
        <is>
          <t>FAMILIA GONZALEZ LACAL S.C.</t>
        </is>
      </c>
      <c r="C188" t="inlineStr">
        <is>
          <t>SALUSTIANA</t>
        </is>
      </c>
      <c r="D188" t="inlineStr">
        <is>
          <t>Importe bruto</t>
        </is>
      </c>
      <c r="E188" t="n">
        <v>8122.34</v>
      </c>
      <c r="I188" t="inlineStr"/>
    </row>
    <row r="189">
      <c r="A189" t="n">
        <v>1350</v>
      </c>
      <c r="B189" t="inlineStr">
        <is>
          <t>FAMILIA GONZALEZ LACAL S.C.</t>
        </is>
      </c>
      <c r="C189" t="inlineStr">
        <is>
          <t>SALUSTIANA</t>
        </is>
      </c>
      <c r="D189" t="inlineStr">
        <is>
          <t>Recolección</t>
        </is>
      </c>
      <c r="E189" t="n">
        <v>1751.04</v>
      </c>
      <c r="I189" t="inlineStr"/>
    </row>
    <row r="190">
      <c r="A190" t="n">
        <v>1350</v>
      </c>
      <c r="B190" t="inlineStr">
        <is>
          <t>FAMILIA GONZALEZ LACAL S.C.</t>
        </is>
      </c>
      <c r="C190" t="inlineStr">
        <is>
          <t>SALUSTIANA</t>
        </is>
      </c>
      <c r="D190" t="inlineStr">
        <is>
          <t>Transporte</t>
        </is>
      </c>
      <c r="E190" t="n">
        <v>0</v>
      </c>
      <c r="I190" t="inlineStr"/>
    </row>
    <row r="191">
      <c r="A191" t="n">
        <v>1350</v>
      </c>
      <c r="B191" t="inlineStr">
        <is>
          <t>FAMILIA GONZALEZ LACAL S.C.</t>
        </is>
      </c>
      <c r="C191" t="inlineStr">
        <is>
          <t>SALUSTIANA</t>
        </is>
      </c>
      <c r="D191" t="inlineStr">
        <is>
          <t>Calidad</t>
        </is>
      </c>
      <c r="E191" t="n">
        <v>0</v>
      </c>
      <c r="I191" t="inlineStr"/>
    </row>
    <row r="192">
      <c r="A192" t="n">
        <v>1350</v>
      </c>
      <c r="B192" t="inlineStr">
        <is>
          <t>FAMILIA GONZALEZ LACAL S.C.</t>
        </is>
      </c>
      <c r="C192" t="inlineStr">
        <is>
          <t>SALUSTIANA</t>
        </is>
      </c>
      <c r="D192" t="inlineStr">
        <is>
          <t>GlobalGAP</t>
        </is>
      </c>
      <c r="E192" t="n">
        <v>306.98</v>
      </c>
      <c r="I192" t="inlineStr"/>
    </row>
    <row r="193">
      <c r="A193" t="n">
        <v>1350</v>
      </c>
      <c r="B193" t="inlineStr">
        <is>
          <t>FAMILIA GONZALEZ LACAL S.C.</t>
        </is>
      </c>
      <c r="C193" t="inlineStr">
        <is>
          <t>SALUSTIANA</t>
        </is>
      </c>
      <c r="D193" t="inlineStr">
        <is>
          <t>Base imponible</t>
        </is>
      </c>
      <c r="E193" t="n">
        <v>6338.62</v>
      </c>
      <c r="I193" t="inlineStr"/>
    </row>
    <row r="194">
      <c r="A194" t="n">
        <v>1350</v>
      </c>
      <c r="B194" t="inlineStr">
        <is>
          <t>FAMILIA GONZALEZ LACAL S.C.</t>
        </is>
      </c>
      <c r="C194" t="inlineStr">
        <is>
          <t>SALUSTIANA</t>
        </is>
      </c>
      <c r="D194" t="inlineStr">
        <is>
          <t>IVA</t>
        </is>
      </c>
      <c r="E194" t="n">
        <v>760.63</v>
      </c>
      <c r="I194" t="inlineStr"/>
    </row>
    <row r="195">
      <c r="A195" t="n">
        <v>1350</v>
      </c>
      <c r="B195" t="inlineStr">
        <is>
          <t>FAMILIA GONZALEZ LACAL S.C.</t>
        </is>
      </c>
      <c r="C195" t="inlineStr">
        <is>
          <t>SALUSTIANA</t>
        </is>
      </c>
      <c r="D195" t="inlineStr">
        <is>
          <t>Retención</t>
        </is>
      </c>
      <c r="E195" t="n">
        <v>141.99</v>
      </c>
      <c r="I195" t="inlineStr"/>
    </row>
    <row r="196">
      <c r="A196" t="n">
        <v>1350</v>
      </c>
      <c r="B196" t="inlineStr">
        <is>
          <t>FAMILIA GONZALEZ LACAL S.C.</t>
        </is>
      </c>
      <c r="C196" t="inlineStr">
        <is>
          <t>SALUSTIANA</t>
        </is>
      </c>
      <c r="D196" t="inlineStr">
        <is>
          <t>Total</t>
        </is>
      </c>
      <c r="E196" t="n">
        <v>6957.27</v>
      </c>
      <c r="I196" t="inlineStr"/>
    </row>
    <row r="197">
      <c r="A197" t="n">
        <v>1354</v>
      </c>
      <c r="B197" t="inlineStr">
        <is>
          <t>MARTIN PORTALES,ALFREDO</t>
        </is>
      </c>
      <c r="C197" t="inlineStr">
        <is>
          <t>SALUSTIANA</t>
        </is>
      </c>
      <c r="D197" t="inlineStr">
        <is>
          <t>Hectáreas</t>
        </is>
      </c>
      <c r="E197" t="n">
        <v>5.24</v>
      </c>
      <c r="I197" t="inlineStr"/>
    </row>
    <row r="198">
      <c r="A198" t="n">
        <v>1354</v>
      </c>
      <c r="B198" t="inlineStr">
        <is>
          <t>MARTIN PORTALES,ALFREDO</t>
        </is>
      </c>
      <c r="C198" t="inlineStr">
        <is>
          <t>SALUSTIANA</t>
        </is>
      </c>
      <c r="D198" t="inlineStr">
        <is>
          <t>Cuota teórica</t>
        </is>
      </c>
      <c r="E198" t="n">
        <v>1021.8</v>
      </c>
      <c r="I198" t="inlineStr"/>
    </row>
    <row r="199">
      <c r="A199" t="n">
        <v>1354</v>
      </c>
      <c r="B199" t="inlineStr">
        <is>
          <t>MARTIN PORTALES,ALFREDO</t>
        </is>
      </c>
      <c r="C199" t="inlineStr">
        <is>
          <t>SALUSTIANA</t>
        </is>
      </c>
      <c r="D199" t="inlineStr">
        <is>
          <t>Kg campaña</t>
        </is>
      </c>
      <c r="E199" t="n">
        <v>152989</v>
      </c>
      <c r="I199" t="inlineStr"/>
    </row>
    <row r="200">
      <c r="A200" t="n">
        <v>1354</v>
      </c>
      <c r="B200" t="inlineStr">
        <is>
          <t>MARTIN PORTALES,ALFREDO</t>
        </is>
      </c>
      <c r="C200" t="inlineStr">
        <is>
          <t>SALUSTIANA</t>
        </is>
      </c>
      <c r="D200" t="inlineStr">
        <is>
          <t>Índice</t>
        </is>
      </c>
      <c r="E200" t="n">
        <v>0.006678911555732765</v>
      </c>
      <c r="I200" t="inlineStr"/>
    </row>
    <row r="201">
      <c r="A201" t="n">
        <v>1354</v>
      </c>
      <c r="B201" t="inlineStr">
        <is>
          <t>MARTIN PORTALES,ALFREDO</t>
        </is>
      </c>
      <c r="C201" t="inlineStr">
        <is>
          <t>SALUSTIANA</t>
        </is>
      </c>
      <c r="D201" t="inlineStr">
        <is>
          <t>Kg remesa</t>
        </is>
      </c>
      <c r="E201" t="n">
        <v>148012</v>
      </c>
      <c r="I201" t="inlineStr"/>
    </row>
    <row r="202">
      <c r="A202" t="n">
        <v>1354</v>
      </c>
      <c r="B202" t="inlineStr">
        <is>
          <t>MARTIN PORTALES,ALFREDO</t>
        </is>
      </c>
      <c r="C202" t="inlineStr">
        <is>
          <t>SALUSTIANA</t>
        </is>
      </c>
      <c r="D202" t="inlineStr">
        <is>
          <t>Cuota parcial</t>
        </is>
      </c>
      <c r="E202" t="n">
        <v>988.5599999999999</v>
      </c>
      <c r="I202" t="inlineStr"/>
    </row>
    <row r="203">
      <c r="A203" t="n">
        <v>1354</v>
      </c>
      <c r="B203" t="inlineStr">
        <is>
          <t>MARTIN PORTALES,ALFREDO</t>
        </is>
      </c>
      <c r="C203" t="inlineStr">
        <is>
          <t>SALUSTIANA</t>
        </is>
      </c>
      <c r="D203" t="inlineStr">
        <is>
          <t>Importe bruto</t>
        </is>
      </c>
      <c r="E203" t="n">
        <v>53301.47</v>
      </c>
      <c r="I203" t="inlineStr"/>
    </row>
    <row r="204">
      <c r="A204" t="n">
        <v>1354</v>
      </c>
      <c r="B204" t="inlineStr">
        <is>
          <t>MARTIN PORTALES,ALFREDO</t>
        </is>
      </c>
      <c r="C204" t="inlineStr">
        <is>
          <t>SALUSTIANA</t>
        </is>
      </c>
      <c r="D204" t="inlineStr">
        <is>
          <t>Recolección</t>
        </is>
      </c>
      <c r="E204" t="n">
        <v>10656.87</v>
      </c>
      <c r="I204" t="inlineStr"/>
    </row>
    <row r="205">
      <c r="A205" t="n">
        <v>1354</v>
      </c>
      <c r="B205" t="inlineStr">
        <is>
          <t>MARTIN PORTALES,ALFREDO</t>
        </is>
      </c>
      <c r="C205" t="inlineStr">
        <is>
          <t>SALUSTIANA</t>
        </is>
      </c>
      <c r="D205" t="inlineStr">
        <is>
          <t>Transporte</t>
        </is>
      </c>
      <c r="E205" t="n">
        <v>0</v>
      </c>
      <c r="I205" t="inlineStr"/>
    </row>
    <row r="206">
      <c r="A206" t="n">
        <v>1354</v>
      </c>
      <c r="B206" t="inlineStr">
        <is>
          <t>MARTIN PORTALES,ALFREDO</t>
        </is>
      </c>
      <c r="C206" t="inlineStr">
        <is>
          <t>SALUSTIANA</t>
        </is>
      </c>
      <c r="D206" t="inlineStr">
        <is>
          <t>Calidad</t>
        </is>
      </c>
      <c r="E206" t="n">
        <v>0</v>
      </c>
      <c r="I206" t="inlineStr"/>
    </row>
    <row r="207">
      <c r="A207" t="n">
        <v>1354</v>
      </c>
      <c r="B207" t="inlineStr">
        <is>
          <t>MARTIN PORTALES,ALFREDO</t>
        </is>
      </c>
      <c r="C207" t="inlineStr">
        <is>
          <t>SALUSTIANA</t>
        </is>
      </c>
      <c r="D207" t="inlineStr">
        <is>
          <t>GlobalGAP</t>
        </is>
      </c>
      <c r="E207" t="n">
        <v>0</v>
      </c>
      <c r="I207" t="inlineStr"/>
    </row>
    <row r="208">
      <c r="A208" t="n">
        <v>1354</v>
      </c>
      <c r="B208" t="inlineStr">
        <is>
          <t>MARTIN PORTALES,ALFREDO</t>
        </is>
      </c>
      <c r="C208" t="inlineStr">
        <is>
          <t>SALUSTIANA</t>
        </is>
      </c>
      <c r="D208" t="inlineStr">
        <is>
          <t>Base imponible</t>
        </is>
      </c>
      <c r="E208" t="n">
        <v>41656.04</v>
      </c>
      <c r="I208" t="inlineStr"/>
    </row>
    <row r="209">
      <c r="A209" t="n">
        <v>1354</v>
      </c>
      <c r="B209" t="inlineStr">
        <is>
          <t>MARTIN PORTALES,ALFREDO</t>
        </is>
      </c>
      <c r="C209" t="inlineStr">
        <is>
          <t>SALUSTIANA</t>
        </is>
      </c>
      <c r="D209" t="inlineStr">
        <is>
          <t>IVA</t>
        </is>
      </c>
      <c r="E209" t="n">
        <v>4998.72</v>
      </c>
      <c r="I209" t="inlineStr"/>
    </row>
    <row r="210">
      <c r="A210" t="n">
        <v>1354</v>
      </c>
      <c r="B210" t="inlineStr">
        <is>
          <t>MARTIN PORTALES,ALFREDO</t>
        </is>
      </c>
      <c r="C210" t="inlineStr">
        <is>
          <t>SALUSTIANA</t>
        </is>
      </c>
      <c r="D210" t="inlineStr">
        <is>
          <t>Retención</t>
        </is>
      </c>
      <c r="E210" t="n">
        <v>933.1</v>
      </c>
      <c r="I210" t="inlineStr"/>
    </row>
    <row r="211">
      <c r="A211" t="n">
        <v>1354</v>
      </c>
      <c r="B211" t="inlineStr">
        <is>
          <t>MARTIN PORTALES,ALFREDO</t>
        </is>
      </c>
      <c r="C211" t="inlineStr">
        <is>
          <t>SALUSTIANA</t>
        </is>
      </c>
      <c r="D211" t="inlineStr">
        <is>
          <t>Total</t>
        </is>
      </c>
      <c r="E211" t="n">
        <v>45721.67</v>
      </c>
      <c r="I211" t="inlineStr"/>
    </row>
    <row r="212">
      <c r="A212" t="n">
        <v>1355</v>
      </c>
      <c r="B212" t="inlineStr">
        <is>
          <t>CANO MANZANARES,JUAN ANTONIO</t>
        </is>
      </c>
      <c r="C212" t="inlineStr">
        <is>
          <t>SALUSTIANA</t>
        </is>
      </c>
      <c r="D212" t="inlineStr">
        <is>
          <t>Hectáreas</t>
        </is>
      </c>
      <c r="E212" t="n">
        <v>7.21</v>
      </c>
      <c r="I212" t="inlineStr"/>
    </row>
    <row r="213">
      <c r="A213" t="n">
        <v>1355</v>
      </c>
      <c r="B213" t="inlineStr">
        <is>
          <t>CANO MANZANARES,JUAN ANTONIO</t>
        </is>
      </c>
      <c r="C213" t="inlineStr">
        <is>
          <t>SALUSTIANA</t>
        </is>
      </c>
      <c r="D213" t="inlineStr">
        <is>
          <t>Cuota teórica</t>
        </is>
      </c>
      <c r="E213" t="n">
        <v>1405.95</v>
      </c>
      <c r="I213" t="inlineStr"/>
    </row>
    <row r="214">
      <c r="A214" t="n">
        <v>1355</v>
      </c>
      <c r="B214" t="inlineStr">
        <is>
          <t>CANO MANZANARES,JUAN ANTONIO</t>
        </is>
      </c>
      <c r="C214" t="inlineStr">
        <is>
          <t>SALUSTIANA</t>
        </is>
      </c>
      <c r="D214" t="inlineStr">
        <is>
          <t>Kg campaña</t>
        </is>
      </c>
      <c r="E214" t="n">
        <v>357726</v>
      </c>
      <c r="I214" t="inlineStr"/>
    </row>
    <row r="215">
      <c r="A215" t="n">
        <v>1355</v>
      </c>
      <c r="B215" t="inlineStr">
        <is>
          <t>CANO MANZANARES,JUAN ANTONIO</t>
        </is>
      </c>
      <c r="C215" t="inlineStr">
        <is>
          <t>SALUSTIANA</t>
        </is>
      </c>
      <c r="D215" t="inlineStr">
        <is>
          <t>Índice</t>
        </is>
      </c>
      <c r="E215" t="n">
        <v>0.003930242699719897</v>
      </c>
      <c r="I215" t="inlineStr"/>
    </row>
    <row r="216">
      <c r="A216" t="n">
        <v>1355</v>
      </c>
      <c r="B216" t="inlineStr">
        <is>
          <t>CANO MANZANARES,JUAN ANTONIO</t>
        </is>
      </c>
      <c r="C216" t="inlineStr">
        <is>
          <t>SALUSTIANA</t>
        </is>
      </c>
      <c r="D216" t="inlineStr">
        <is>
          <t>Kg remesa</t>
        </is>
      </c>
      <c r="E216" t="n">
        <v>212858</v>
      </c>
      <c r="I216" t="inlineStr"/>
    </row>
    <row r="217">
      <c r="A217" t="n">
        <v>1355</v>
      </c>
      <c r="B217" t="inlineStr">
        <is>
          <t>CANO MANZANARES,JUAN ANTONIO</t>
        </is>
      </c>
      <c r="C217" t="inlineStr">
        <is>
          <t>SALUSTIANA</t>
        </is>
      </c>
      <c r="D217" t="inlineStr">
        <is>
          <t>Cuota parcial</t>
        </is>
      </c>
      <c r="E217" t="n">
        <v>836.58</v>
      </c>
      <c r="I217" t="inlineStr"/>
    </row>
    <row r="218">
      <c r="A218" t="n">
        <v>1355</v>
      </c>
      <c r="B218" t="inlineStr">
        <is>
          <t>CANO MANZANARES,JUAN ANTONIO</t>
        </is>
      </c>
      <c r="C218" t="inlineStr">
        <is>
          <t>SALUSTIANA</t>
        </is>
      </c>
      <c r="D218" t="inlineStr">
        <is>
          <t>Importe bruto</t>
        </is>
      </c>
      <c r="E218" t="n">
        <v>81403.11</v>
      </c>
      <c r="I218" t="inlineStr"/>
    </row>
    <row r="219">
      <c r="A219" t="n">
        <v>1355</v>
      </c>
      <c r="B219" t="inlineStr">
        <is>
          <t>CANO MANZANARES,JUAN ANTONIO</t>
        </is>
      </c>
      <c r="C219" t="inlineStr">
        <is>
          <t>SALUSTIANA</t>
        </is>
      </c>
      <c r="D219" t="inlineStr">
        <is>
          <t>Recolección</t>
        </is>
      </c>
      <c r="E219" t="n">
        <v>15356.78</v>
      </c>
      <c r="I219" t="inlineStr"/>
    </row>
    <row r="220">
      <c r="A220" t="n">
        <v>1355</v>
      </c>
      <c r="B220" t="inlineStr">
        <is>
          <t>CANO MANZANARES,JUAN ANTONIO</t>
        </is>
      </c>
      <c r="C220" t="inlineStr">
        <is>
          <t>SALUSTIANA</t>
        </is>
      </c>
      <c r="D220" t="inlineStr">
        <is>
          <t>Transporte</t>
        </is>
      </c>
      <c r="E220" t="n">
        <v>2094.37</v>
      </c>
      <c r="I220" t="inlineStr"/>
    </row>
    <row r="221">
      <c r="A221" t="n">
        <v>1355</v>
      </c>
      <c r="B221" t="inlineStr">
        <is>
          <t>CANO MANZANARES,JUAN ANTONIO</t>
        </is>
      </c>
      <c r="C221" t="inlineStr">
        <is>
          <t>SALUSTIANA</t>
        </is>
      </c>
      <c r="D221" t="inlineStr">
        <is>
          <t>Calidad</t>
        </is>
      </c>
      <c r="E221" t="n">
        <v>0</v>
      </c>
      <c r="I221" t="inlineStr"/>
    </row>
    <row r="222">
      <c r="A222" t="n">
        <v>1355</v>
      </c>
      <c r="B222" t="inlineStr">
        <is>
          <t>CANO MANZANARES,JUAN ANTONIO</t>
        </is>
      </c>
      <c r="C222" t="inlineStr">
        <is>
          <t>SALUSTIANA</t>
        </is>
      </c>
      <c r="D222" t="inlineStr">
        <is>
          <t>GlobalGAP</t>
        </is>
      </c>
      <c r="E222" t="n">
        <v>3410.06</v>
      </c>
      <c r="I222" t="inlineStr"/>
    </row>
    <row r="223">
      <c r="A223" t="n">
        <v>1355</v>
      </c>
      <c r="B223" t="inlineStr">
        <is>
          <t>CANO MANZANARES,JUAN ANTONIO</t>
        </is>
      </c>
      <c r="C223" t="inlineStr">
        <is>
          <t>SALUSTIANA</t>
        </is>
      </c>
      <c r="D223" t="inlineStr">
        <is>
          <t>Base imponible</t>
        </is>
      </c>
      <c r="E223" t="n">
        <v>70714.17999999999</v>
      </c>
      <c r="I223" t="inlineStr"/>
    </row>
    <row r="224">
      <c r="A224" t="n">
        <v>1355</v>
      </c>
      <c r="B224" t="inlineStr">
        <is>
          <t>CANO MANZANARES,JUAN ANTONIO</t>
        </is>
      </c>
      <c r="C224" t="inlineStr">
        <is>
          <t>SALUSTIANA</t>
        </is>
      </c>
      <c r="D224" t="inlineStr">
        <is>
          <t>IVA</t>
        </is>
      </c>
      <c r="E224" t="n">
        <v>8485.700000000001</v>
      </c>
      <c r="I224" t="inlineStr"/>
    </row>
    <row r="225">
      <c r="A225" t="n">
        <v>1355</v>
      </c>
      <c r="B225" t="inlineStr">
        <is>
          <t>CANO MANZANARES,JUAN ANTONIO</t>
        </is>
      </c>
      <c r="C225" t="inlineStr">
        <is>
          <t>SALUSTIANA</t>
        </is>
      </c>
      <c r="D225" t="inlineStr">
        <is>
          <t>Retención</t>
        </is>
      </c>
      <c r="E225" t="n">
        <v>1584</v>
      </c>
      <c r="I225" t="inlineStr"/>
    </row>
    <row r="226">
      <c r="A226" t="n">
        <v>1355</v>
      </c>
      <c r="B226" t="inlineStr">
        <is>
          <t>CANO MANZANARES,JUAN ANTONIO</t>
        </is>
      </c>
      <c r="C226" t="inlineStr">
        <is>
          <t>SALUSTIANA</t>
        </is>
      </c>
      <c r="D226" t="inlineStr">
        <is>
          <t>Total</t>
        </is>
      </c>
      <c r="E226" t="n">
        <v>77615.88</v>
      </c>
      <c r="I226" t="inlineStr"/>
    </row>
    <row r="227">
      <c r="A227" t="n">
        <v>1374</v>
      </c>
      <c r="B227" t="inlineStr">
        <is>
          <t>MORENO SANCHEZ,JOSE ANTONIO</t>
        </is>
      </c>
      <c r="C227" t="inlineStr">
        <is>
          <t>SALUSTIANA</t>
        </is>
      </c>
      <c r="D227" t="inlineStr">
        <is>
          <t>Hectáreas</t>
        </is>
      </c>
      <c r="E227" t="n">
        <v>1.8</v>
      </c>
      <c r="I227" t="inlineStr"/>
    </row>
    <row r="228">
      <c r="A228" t="n">
        <v>1374</v>
      </c>
      <c r="B228" t="inlineStr">
        <is>
          <t>MORENO SANCHEZ,JOSE ANTONIO</t>
        </is>
      </c>
      <c r="C228" t="inlineStr">
        <is>
          <t>SALUSTIANA</t>
        </is>
      </c>
      <c r="D228" t="inlineStr">
        <is>
          <t>Cuota teórica</t>
        </is>
      </c>
      <c r="E228" t="n">
        <v>351</v>
      </c>
      <c r="I228" t="inlineStr"/>
    </row>
    <row r="229">
      <c r="A229" t="n">
        <v>1374</v>
      </c>
      <c r="B229" t="inlineStr">
        <is>
          <t>MORENO SANCHEZ,JOSE ANTONIO</t>
        </is>
      </c>
      <c r="C229" t="inlineStr">
        <is>
          <t>SALUSTIANA</t>
        </is>
      </c>
      <c r="D229" t="inlineStr">
        <is>
          <t>Kg campaña</t>
        </is>
      </c>
      <c r="E229" t="n">
        <v>63484</v>
      </c>
      <c r="I229" t="inlineStr"/>
    </row>
    <row r="230">
      <c r="A230" t="n">
        <v>1374</v>
      </c>
      <c r="B230" t="inlineStr">
        <is>
          <t>MORENO SANCHEZ,JOSE ANTONIO</t>
        </is>
      </c>
      <c r="C230" t="inlineStr">
        <is>
          <t>SALUSTIANA</t>
        </is>
      </c>
      <c r="D230" t="inlineStr">
        <is>
          <t>Índice</t>
        </is>
      </c>
      <c r="E230" t="n">
        <v>0.005528952176926469</v>
      </c>
      <c r="I230" t="inlineStr"/>
    </row>
    <row r="231">
      <c r="A231" t="n">
        <v>1374</v>
      </c>
      <c r="B231" t="inlineStr">
        <is>
          <t>MORENO SANCHEZ,JOSE ANTONIO</t>
        </is>
      </c>
      <c r="C231" t="inlineStr">
        <is>
          <t>SALUSTIANA</t>
        </is>
      </c>
      <c r="D231" t="inlineStr">
        <is>
          <t>Kg remesa</t>
        </is>
      </c>
      <c r="E231" t="n">
        <v>51699</v>
      </c>
      <c r="I231" t="inlineStr"/>
    </row>
    <row r="232">
      <c r="A232" t="n">
        <v>1374</v>
      </c>
      <c r="B232" t="inlineStr">
        <is>
          <t>MORENO SANCHEZ,JOSE ANTONIO</t>
        </is>
      </c>
      <c r="C232" t="inlineStr">
        <is>
          <t>SALUSTIANA</t>
        </is>
      </c>
      <c r="D232" t="inlineStr">
        <is>
          <t>Cuota parcial</t>
        </is>
      </c>
      <c r="E232" t="n">
        <v>285.84</v>
      </c>
      <c r="I232" t="inlineStr"/>
    </row>
    <row r="233">
      <c r="A233" t="n">
        <v>1374</v>
      </c>
      <c r="B233" t="inlineStr">
        <is>
          <t>MORENO SANCHEZ,JOSE ANTONIO</t>
        </is>
      </c>
      <c r="C233" t="inlineStr">
        <is>
          <t>SALUSTIANA</t>
        </is>
      </c>
      <c r="D233" t="inlineStr">
        <is>
          <t>Importe bruto</t>
        </is>
      </c>
      <c r="E233" t="n">
        <v>19898.38</v>
      </c>
      <c r="I233" t="inlineStr"/>
    </row>
    <row r="234">
      <c r="A234" t="n">
        <v>1374</v>
      </c>
      <c r="B234" t="inlineStr">
        <is>
          <t>MORENO SANCHEZ,JOSE ANTONIO</t>
        </is>
      </c>
      <c r="C234" t="inlineStr">
        <is>
          <t>SALUSTIANA</t>
        </is>
      </c>
      <c r="D234" t="inlineStr">
        <is>
          <t>Recolección</t>
        </is>
      </c>
      <c r="E234" t="n">
        <v>3722.33</v>
      </c>
      <c r="I234" t="inlineStr"/>
    </row>
    <row r="235">
      <c r="A235" t="n">
        <v>1374</v>
      </c>
      <c r="B235" t="inlineStr">
        <is>
          <t>MORENO SANCHEZ,JOSE ANTONIO</t>
        </is>
      </c>
      <c r="C235" t="inlineStr">
        <is>
          <t>SALUSTIANA</t>
        </is>
      </c>
      <c r="D235" t="inlineStr">
        <is>
          <t>Transporte</t>
        </is>
      </c>
      <c r="E235" t="n">
        <v>0</v>
      </c>
      <c r="I235" t="inlineStr"/>
    </row>
    <row r="236">
      <c r="A236" t="n">
        <v>1374</v>
      </c>
      <c r="B236" t="inlineStr">
        <is>
          <t>MORENO SANCHEZ,JOSE ANTONIO</t>
        </is>
      </c>
      <c r="C236" t="inlineStr">
        <is>
          <t>SALUSTIANA</t>
        </is>
      </c>
      <c r="D236" t="inlineStr">
        <is>
          <t>Calidad</t>
        </is>
      </c>
      <c r="E236" t="n">
        <v>0</v>
      </c>
      <c r="I236" t="inlineStr"/>
    </row>
    <row r="237">
      <c r="A237" t="n">
        <v>1374</v>
      </c>
      <c r="B237" t="inlineStr">
        <is>
          <t>MORENO SANCHEZ,JOSE ANTONIO</t>
        </is>
      </c>
      <c r="C237" t="inlineStr">
        <is>
          <t>SALUSTIANA</t>
        </is>
      </c>
      <c r="D237" t="inlineStr">
        <is>
          <t>GlobalGAP</t>
        </is>
      </c>
      <c r="E237" t="n">
        <v>0</v>
      </c>
      <c r="I237" t="inlineStr"/>
    </row>
    <row r="238">
      <c r="A238" t="n">
        <v>1374</v>
      </c>
      <c r="B238" t="inlineStr">
        <is>
          <t>MORENO SANCHEZ,JOSE ANTONIO</t>
        </is>
      </c>
      <c r="C238" t="inlineStr">
        <is>
          <t>SALUSTIANA</t>
        </is>
      </c>
      <c r="D238" t="inlineStr">
        <is>
          <t>Base imponible</t>
        </is>
      </c>
      <c r="E238" t="n">
        <v>15890.21</v>
      </c>
      <c r="I238" t="inlineStr"/>
    </row>
    <row r="239">
      <c r="A239" t="n">
        <v>1374</v>
      </c>
      <c r="B239" t="inlineStr">
        <is>
          <t>MORENO SANCHEZ,JOSE ANTONIO</t>
        </is>
      </c>
      <c r="C239" t="inlineStr">
        <is>
          <t>SALUSTIANA</t>
        </is>
      </c>
      <c r="D239" t="inlineStr">
        <is>
          <t>IVA</t>
        </is>
      </c>
      <c r="E239" t="n">
        <v>1906.83</v>
      </c>
      <c r="I239" t="inlineStr"/>
    </row>
    <row r="240">
      <c r="A240" t="n">
        <v>1374</v>
      </c>
      <c r="B240" t="inlineStr">
        <is>
          <t>MORENO SANCHEZ,JOSE ANTONIO</t>
        </is>
      </c>
      <c r="C240" t="inlineStr">
        <is>
          <t>SALUSTIANA</t>
        </is>
      </c>
      <c r="D240" t="inlineStr">
        <is>
          <t>Retención</t>
        </is>
      </c>
      <c r="E240" t="n">
        <v>355.94</v>
      </c>
      <c r="I240" t="inlineStr"/>
    </row>
    <row r="241">
      <c r="A241" t="n">
        <v>1374</v>
      </c>
      <c r="B241" t="inlineStr">
        <is>
          <t>MORENO SANCHEZ,JOSE ANTONIO</t>
        </is>
      </c>
      <c r="C241" t="inlineStr">
        <is>
          <t>SALUSTIANA</t>
        </is>
      </c>
      <c r="D241" t="inlineStr">
        <is>
          <t>Total</t>
        </is>
      </c>
      <c r="E241" t="n">
        <v>17441.09</v>
      </c>
      <c r="I241" t="inlineStr"/>
    </row>
    <row r="242">
      <c r="A242" t="n">
        <v>1389</v>
      </c>
      <c r="B242" t="inlineStr">
        <is>
          <t>AGRICOLA HUERTA LA MEJORA S.C.</t>
        </is>
      </c>
      <c r="C242" t="inlineStr">
        <is>
          <t>SALUSTIANA</t>
        </is>
      </c>
      <c r="D242" t="inlineStr">
        <is>
          <t>Hectáreas</t>
        </is>
      </c>
      <c r="E242" t="n">
        <v>4.32</v>
      </c>
      <c r="I242" t="inlineStr"/>
    </row>
    <row r="243">
      <c r="A243" t="n">
        <v>1389</v>
      </c>
      <c r="B243" t="inlineStr">
        <is>
          <t>AGRICOLA HUERTA LA MEJORA S.C.</t>
        </is>
      </c>
      <c r="C243" t="inlineStr">
        <is>
          <t>SALUSTIANA</t>
        </is>
      </c>
      <c r="D243" t="inlineStr">
        <is>
          <t>Cuota teórica</t>
        </is>
      </c>
      <c r="E243" t="n">
        <v>842.4</v>
      </c>
      <c r="I243" t="inlineStr"/>
    </row>
    <row r="244">
      <c r="A244" t="n">
        <v>1389</v>
      </c>
      <c r="B244" t="inlineStr">
        <is>
          <t>AGRICOLA HUERTA LA MEJORA S.C.</t>
        </is>
      </c>
      <c r="C244" t="inlineStr">
        <is>
          <t>SALUSTIANA</t>
        </is>
      </c>
      <c r="D244" t="inlineStr">
        <is>
          <t>Kg campaña</t>
        </is>
      </c>
      <c r="E244" t="n">
        <v>56000</v>
      </c>
      <c r="I244" t="inlineStr"/>
    </row>
    <row r="245">
      <c r="A245" t="n">
        <v>1389</v>
      </c>
      <c r="B245" t="inlineStr">
        <is>
          <t>AGRICOLA HUERTA LA MEJORA S.C.</t>
        </is>
      </c>
      <c r="C245" t="inlineStr">
        <is>
          <t>SALUSTIANA</t>
        </is>
      </c>
      <c r="D245" t="inlineStr">
        <is>
          <t>Índice</t>
        </is>
      </c>
      <c r="E245" t="n">
        <v>0.01504285714285714</v>
      </c>
      <c r="I245" t="inlineStr"/>
    </row>
    <row r="246">
      <c r="A246" t="n">
        <v>1389</v>
      </c>
      <c r="B246" t="inlineStr">
        <is>
          <t>AGRICOLA HUERTA LA MEJORA S.C.</t>
        </is>
      </c>
      <c r="C246" t="inlineStr">
        <is>
          <t>SALUSTIANA</t>
        </is>
      </c>
      <c r="D246" t="inlineStr">
        <is>
          <t>Kg remesa</t>
        </is>
      </c>
      <c r="E246" t="n">
        <v>47840</v>
      </c>
      <c r="I246" t="inlineStr"/>
    </row>
    <row r="247">
      <c r="A247" t="n">
        <v>1389</v>
      </c>
      <c r="B247" t="inlineStr">
        <is>
          <t>AGRICOLA HUERTA LA MEJORA S.C.</t>
        </is>
      </c>
      <c r="C247" t="inlineStr">
        <is>
          <t>SALUSTIANA</t>
        </is>
      </c>
      <c r="D247" t="inlineStr">
        <is>
          <t>Cuota parcial</t>
        </is>
      </c>
      <c r="E247" t="n">
        <v>719.65</v>
      </c>
      <c r="I247" t="inlineStr"/>
    </row>
    <row r="248">
      <c r="A248" t="n">
        <v>1389</v>
      </c>
      <c r="B248" t="inlineStr">
        <is>
          <t>AGRICOLA HUERTA LA MEJORA S.C.</t>
        </is>
      </c>
      <c r="C248" t="inlineStr">
        <is>
          <t>SALUSTIANA</t>
        </is>
      </c>
      <c r="D248" t="inlineStr">
        <is>
          <t>Importe bruto</t>
        </is>
      </c>
      <c r="E248" t="n">
        <v>18031.68</v>
      </c>
      <c r="I248" t="inlineStr"/>
    </row>
    <row r="249">
      <c r="A249" t="n">
        <v>1389</v>
      </c>
      <c r="B249" t="inlineStr">
        <is>
          <t>AGRICOLA HUERTA LA MEJORA S.C.</t>
        </is>
      </c>
      <c r="C249" t="inlineStr">
        <is>
          <t>SALUSTIANA</t>
        </is>
      </c>
      <c r="D249" t="inlineStr">
        <is>
          <t>Recolección</t>
        </is>
      </c>
      <c r="E249" t="n">
        <v>3444.48</v>
      </c>
      <c r="I249" t="inlineStr"/>
    </row>
    <row r="250">
      <c r="A250" t="n">
        <v>1389</v>
      </c>
      <c r="B250" t="inlineStr">
        <is>
          <t>AGRICOLA HUERTA LA MEJORA S.C.</t>
        </is>
      </c>
      <c r="C250" t="inlineStr">
        <is>
          <t>SALUSTIANA</t>
        </is>
      </c>
      <c r="D250" t="inlineStr">
        <is>
          <t>Transporte</t>
        </is>
      </c>
      <c r="E250" t="n">
        <v>0</v>
      </c>
      <c r="I250" t="inlineStr"/>
    </row>
    <row r="251">
      <c r="A251" t="n">
        <v>1389</v>
      </c>
      <c r="B251" t="inlineStr">
        <is>
          <t>AGRICOLA HUERTA LA MEJORA S.C.</t>
        </is>
      </c>
      <c r="C251" t="inlineStr">
        <is>
          <t>SALUSTIANA</t>
        </is>
      </c>
      <c r="D251" t="inlineStr">
        <is>
          <t>Calidad</t>
        </is>
      </c>
      <c r="E251" t="n">
        <v>0</v>
      </c>
      <c r="I251" t="inlineStr"/>
    </row>
    <row r="252">
      <c r="A252" t="n">
        <v>1389</v>
      </c>
      <c r="B252" t="inlineStr">
        <is>
          <t>AGRICOLA HUERTA LA MEJORA S.C.</t>
        </is>
      </c>
      <c r="C252" t="inlineStr">
        <is>
          <t>SALUSTIANA</t>
        </is>
      </c>
      <c r="D252" t="inlineStr">
        <is>
          <t>GlobalGAP</t>
        </is>
      </c>
      <c r="E252" t="n">
        <v>757.92</v>
      </c>
      <c r="I252" t="inlineStr"/>
    </row>
    <row r="253">
      <c r="A253" t="n">
        <v>1389</v>
      </c>
      <c r="B253" t="inlineStr">
        <is>
          <t>AGRICOLA HUERTA LA MEJORA S.C.</t>
        </is>
      </c>
      <c r="C253" t="inlineStr">
        <is>
          <t>SALUSTIANA</t>
        </is>
      </c>
      <c r="D253" t="inlineStr">
        <is>
          <t>Base imponible</t>
        </is>
      </c>
      <c r="E253" t="n">
        <v>14625.47</v>
      </c>
      <c r="I253" t="inlineStr"/>
    </row>
    <row r="254">
      <c r="A254" t="n">
        <v>1389</v>
      </c>
      <c r="B254" t="inlineStr">
        <is>
          <t>AGRICOLA HUERTA LA MEJORA S.C.</t>
        </is>
      </c>
      <c r="C254" t="inlineStr">
        <is>
          <t>SALUSTIANA</t>
        </is>
      </c>
      <c r="D254" t="inlineStr">
        <is>
          <t>IVA</t>
        </is>
      </c>
      <c r="E254" t="n">
        <v>1755.06</v>
      </c>
      <c r="I254" t="inlineStr"/>
    </row>
    <row r="255">
      <c r="A255" t="n">
        <v>1389</v>
      </c>
      <c r="B255" t="inlineStr">
        <is>
          <t>AGRICOLA HUERTA LA MEJORA S.C.</t>
        </is>
      </c>
      <c r="C255" t="inlineStr">
        <is>
          <t>SALUSTIANA</t>
        </is>
      </c>
      <c r="D255" t="inlineStr">
        <is>
          <t>Retención</t>
        </is>
      </c>
      <c r="E255" t="n">
        <v>327.61</v>
      </c>
      <c r="I255" t="inlineStr"/>
    </row>
    <row r="256">
      <c r="A256" t="n">
        <v>1389</v>
      </c>
      <c r="B256" t="inlineStr">
        <is>
          <t>AGRICOLA HUERTA LA MEJORA S.C.</t>
        </is>
      </c>
      <c r="C256" t="inlineStr">
        <is>
          <t>SALUSTIANA</t>
        </is>
      </c>
      <c r="D256" t="inlineStr">
        <is>
          <t>Total</t>
        </is>
      </c>
      <c r="E256" t="n">
        <v>16052.92</v>
      </c>
      <c r="I256" t="inlineStr"/>
    </row>
    <row r="257">
      <c r="A257" t="n">
        <v>1395</v>
      </c>
      <c r="B257" t="inlineStr">
        <is>
          <t>AGRICOLA HERMANOS BUIZA S.C.</t>
        </is>
      </c>
      <c r="C257" t="inlineStr">
        <is>
          <t>SALUSTIANA</t>
        </is>
      </c>
      <c r="D257" t="inlineStr">
        <is>
          <t>Hectáreas</t>
        </is>
      </c>
      <c r="E257" t="n">
        <v>8.27</v>
      </c>
      <c r="I257" t="inlineStr"/>
    </row>
    <row r="258">
      <c r="A258" t="n">
        <v>1395</v>
      </c>
      <c r="B258" t="inlineStr">
        <is>
          <t>AGRICOLA HERMANOS BUIZA S.C.</t>
        </is>
      </c>
      <c r="C258" t="inlineStr">
        <is>
          <t>SALUSTIANA</t>
        </is>
      </c>
      <c r="D258" t="inlineStr">
        <is>
          <t>Cuota teórica</t>
        </is>
      </c>
      <c r="E258" t="n">
        <v>1612.65</v>
      </c>
      <c r="I258" t="inlineStr"/>
    </row>
    <row r="259">
      <c r="A259" t="n">
        <v>1395</v>
      </c>
      <c r="B259" t="inlineStr">
        <is>
          <t>AGRICOLA HERMANOS BUIZA S.C.</t>
        </is>
      </c>
      <c r="C259" t="inlineStr">
        <is>
          <t>SALUSTIANA</t>
        </is>
      </c>
      <c r="D259" t="inlineStr">
        <is>
          <t>Kg campaña</t>
        </is>
      </c>
      <c r="E259" t="n">
        <v>426827</v>
      </c>
      <c r="I259" t="inlineStr"/>
    </row>
    <row r="260">
      <c r="A260" t="n">
        <v>1395</v>
      </c>
      <c r="B260" t="inlineStr">
        <is>
          <t>AGRICOLA HERMANOS BUIZA S.C.</t>
        </is>
      </c>
      <c r="C260" t="inlineStr">
        <is>
          <t>SALUSTIANA</t>
        </is>
      </c>
      <c r="D260" t="inlineStr">
        <is>
          <t>Índice</t>
        </is>
      </c>
      <c r="E260" t="n">
        <v>0.003778228650015111</v>
      </c>
      <c r="I260" t="inlineStr"/>
    </row>
    <row r="261">
      <c r="A261" t="n">
        <v>1395</v>
      </c>
      <c r="B261" t="inlineStr">
        <is>
          <t>AGRICOLA HERMANOS BUIZA S.C.</t>
        </is>
      </c>
      <c r="C261" t="inlineStr">
        <is>
          <t>SALUSTIANA</t>
        </is>
      </c>
      <c r="D261" t="inlineStr">
        <is>
          <t>Kg remesa</t>
        </is>
      </c>
      <c r="E261" t="n">
        <v>22880</v>
      </c>
      <c r="I261" t="inlineStr"/>
    </row>
    <row r="262">
      <c r="A262" t="n">
        <v>1395</v>
      </c>
      <c r="B262" t="inlineStr">
        <is>
          <t>AGRICOLA HERMANOS BUIZA S.C.</t>
        </is>
      </c>
      <c r="C262" t="inlineStr">
        <is>
          <t>SALUSTIANA</t>
        </is>
      </c>
      <c r="D262" t="inlineStr">
        <is>
          <t>Cuota parcial</t>
        </is>
      </c>
      <c r="E262" t="n">
        <v>86.45</v>
      </c>
      <c r="I262" t="inlineStr"/>
    </row>
    <row r="263">
      <c r="A263" t="n">
        <v>1395</v>
      </c>
      <c r="B263" t="inlineStr">
        <is>
          <t>AGRICOLA HERMANOS BUIZA S.C.</t>
        </is>
      </c>
      <c r="C263" t="inlineStr">
        <is>
          <t>SALUSTIANA</t>
        </is>
      </c>
      <c r="D263" t="inlineStr">
        <is>
          <t>Importe bruto</t>
        </is>
      </c>
      <c r="E263" t="n">
        <v>7948.23</v>
      </c>
      <c r="I263" t="inlineStr"/>
    </row>
    <row r="264">
      <c r="A264" t="n">
        <v>1395</v>
      </c>
      <c r="B264" t="inlineStr">
        <is>
          <t>AGRICOLA HERMANOS BUIZA S.C.</t>
        </is>
      </c>
      <c r="C264" t="inlineStr">
        <is>
          <t>SALUSTIANA</t>
        </is>
      </c>
      <c r="D264" t="inlineStr">
        <is>
          <t>Recolección</t>
        </is>
      </c>
      <c r="E264" t="n">
        <v>1647.36</v>
      </c>
      <c r="I264" t="inlineStr"/>
    </row>
    <row r="265">
      <c r="A265" t="n">
        <v>1395</v>
      </c>
      <c r="B265" t="inlineStr">
        <is>
          <t>AGRICOLA HERMANOS BUIZA S.C.</t>
        </is>
      </c>
      <c r="C265" t="inlineStr">
        <is>
          <t>SALUSTIANA</t>
        </is>
      </c>
      <c r="D265" t="inlineStr">
        <is>
          <t>Transporte</t>
        </is>
      </c>
      <c r="E265" t="n">
        <v>114.55</v>
      </c>
      <c r="I265" t="inlineStr"/>
    </row>
    <row r="266">
      <c r="A266" t="n">
        <v>1395</v>
      </c>
      <c r="B266" t="inlineStr">
        <is>
          <t>AGRICOLA HERMANOS BUIZA S.C.</t>
        </is>
      </c>
      <c r="C266" t="inlineStr">
        <is>
          <t>SALUSTIANA</t>
        </is>
      </c>
      <c r="D266" t="inlineStr">
        <is>
          <t>Calidad</t>
        </is>
      </c>
      <c r="E266" t="n">
        <v>0</v>
      </c>
      <c r="I266" t="inlineStr"/>
    </row>
    <row r="267">
      <c r="A267" t="n">
        <v>1395</v>
      </c>
      <c r="B267" t="inlineStr">
        <is>
          <t>AGRICOLA HERMANOS BUIZA S.C.</t>
        </is>
      </c>
      <c r="C267" t="inlineStr">
        <is>
          <t>SALUSTIANA</t>
        </is>
      </c>
      <c r="D267" t="inlineStr">
        <is>
          <t>GlobalGAP</t>
        </is>
      </c>
      <c r="E267" t="n">
        <v>328.22</v>
      </c>
      <c r="I267" t="inlineStr"/>
    </row>
    <row r="268">
      <c r="A268" t="n">
        <v>1395</v>
      </c>
      <c r="B268" t="inlineStr">
        <is>
          <t>AGRICOLA HERMANOS BUIZA S.C.</t>
        </is>
      </c>
      <c r="C268" t="inlineStr">
        <is>
          <t>SALUSTIANA</t>
        </is>
      </c>
      <c r="D268" t="inlineStr">
        <is>
          <t>Base imponible</t>
        </is>
      </c>
      <c r="E268" t="n">
        <v>6657.19</v>
      </c>
      <c r="I268" t="inlineStr"/>
    </row>
    <row r="269">
      <c r="A269" t="n">
        <v>1395</v>
      </c>
      <c r="B269" t="inlineStr">
        <is>
          <t>AGRICOLA HERMANOS BUIZA S.C.</t>
        </is>
      </c>
      <c r="C269" t="inlineStr">
        <is>
          <t>SALUSTIANA</t>
        </is>
      </c>
      <c r="D269" t="inlineStr">
        <is>
          <t>IVA</t>
        </is>
      </c>
      <c r="E269" t="n">
        <v>798.86</v>
      </c>
      <c r="I269" t="inlineStr"/>
    </row>
    <row r="270">
      <c r="A270" t="n">
        <v>1395</v>
      </c>
      <c r="B270" t="inlineStr">
        <is>
          <t>AGRICOLA HERMANOS BUIZA S.C.</t>
        </is>
      </c>
      <c r="C270" t="inlineStr">
        <is>
          <t>SALUSTIANA</t>
        </is>
      </c>
      <c r="D270" t="inlineStr">
        <is>
          <t>Retención</t>
        </is>
      </c>
      <c r="E270" t="n">
        <v>149.12</v>
      </c>
      <c r="I270" t="inlineStr"/>
    </row>
    <row r="271">
      <c r="A271" t="n">
        <v>1395</v>
      </c>
      <c r="B271" t="inlineStr">
        <is>
          <t>AGRICOLA HERMANOS BUIZA S.C.</t>
        </is>
      </c>
      <c r="C271" t="inlineStr">
        <is>
          <t>SALUSTIANA</t>
        </is>
      </c>
      <c r="D271" t="inlineStr">
        <is>
          <t>Total</t>
        </is>
      </c>
      <c r="E271" t="n">
        <v>7306.93</v>
      </c>
      <c r="I271" t="inlineStr"/>
    </row>
    <row r="272">
      <c r="A272" t="n">
        <v>1411</v>
      </c>
      <c r="B272" t="inlineStr">
        <is>
          <t>HERMANOS PEÑA GRIÑAN S.C.</t>
        </is>
      </c>
      <c r="C272" t="inlineStr">
        <is>
          <t>SALUSTIANA</t>
        </is>
      </c>
      <c r="D272" t="inlineStr">
        <is>
          <t>Hectáreas</t>
        </is>
      </c>
      <c r="E272" t="n">
        <v>12.74</v>
      </c>
      <c r="I272" t="inlineStr"/>
    </row>
    <row r="273">
      <c r="A273" t="n">
        <v>1411</v>
      </c>
      <c r="B273" t="inlineStr">
        <is>
          <t>HERMANOS PEÑA GRIÑAN S.C.</t>
        </is>
      </c>
      <c r="C273" t="inlineStr">
        <is>
          <t>SALUSTIANA</t>
        </is>
      </c>
      <c r="D273" t="inlineStr">
        <is>
          <t>Cuota teórica</t>
        </is>
      </c>
      <c r="E273" t="n">
        <v>2484.3</v>
      </c>
      <c r="I273" t="inlineStr"/>
    </row>
    <row r="274">
      <c r="A274" t="n">
        <v>1411</v>
      </c>
      <c r="B274" t="inlineStr">
        <is>
          <t>HERMANOS PEÑA GRIÑAN S.C.</t>
        </is>
      </c>
      <c r="C274" t="inlineStr">
        <is>
          <t>SALUSTIANA</t>
        </is>
      </c>
      <c r="D274" t="inlineStr">
        <is>
          <t>Kg campaña</t>
        </is>
      </c>
      <c r="E274" t="n">
        <v>299255</v>
      </c>
      <c r="I274" t="inlineStr"/>
    </row>
    <row r="275">
      <c r="A275" t="n">
        <v>1411</v>
      </c>
      <c r="B275" t="inlineStr">
        <is>
          <t>HERMANOS PEÑA GRIÑAN S.C.</t>
        </is>
      </c>
      <c r="C275" t="inlineStr">
        <is>
          <t>SALUSTIANA</t>
        </is>
      </c>
      <c r="D275" t="inlineStr">
        <is>
          <t>Índice</t>
        </is>
      </c>
      <c r="E275" t="n">
        <v>0.008301615678936024</v>
      </c>
      <c r="I275" t="inlineStr"/>
    </row>
    <row r="276">
      <c r="A276" t="n">
        <v>1411</v>
      </c>
      <c r="B276" t="inlineStr">
        <is>
          <t>HERMANOS PEÑA GRIÑAN S.C.</t>
        </is>
      </c>
      <c r="C276" t="inlineStr">
        <is>
          <t>SALUSTIANA</t>
        </is>
      </c>
      <c r="D276" t="inlineStr">
        <is>
          <t>Kg remesa</t>
        </is>
      </c>
      <c r="E276" t="n">
        <v>66051</v>
      </c>
      <c r="I276" t="inlineStr"/>
    </row>
    <row r="277">
      <c r="A277" t="n">
        <v>1411</v>
      </c>
      <c r="B277" t="inlineStr">
        <is>
          <t>HERMANOS PEÑA GRIÑAN S.C.</t>
        </is>
      </c>
      <c r="C277" t="inlineStr">
        <is>
          <t>SALUSTIANA</t>
        </is>
      </c>
      <c r="D277" t="inlineStr">
        <is>
          <t>Cuota parcial</t>
        </is>
      </c>
      <c r="E277" t="n">
        <v>548.33</v>
      </c>
      <c r="I277" t="inlineStr"/>
    </row>
    <row r="278">
      <c r="A278" t="n">
        <v>1411</v>
      </c>
      <c r="B278" t="inlineStr">
        <is>
          <t>HERMANOS PEÑA GRIÑAN S.C.</t>
        </is>
      </c>
      <c r="C278" t="inlineStr">
        <is>
          <t>SALUSTIANA</t>
        </is>
      </c>
      <c r="D278" t="inlineStr">
        <is>
          <t>Importe bruto</t>
        </is>
      </c>
      <c r="E278" t="n">
        <v>24568.15</v>
      </c>
      <c r="I278" t="inlineStr"/>
    </row>
    <row r="279">
      <c r="A279" t="n">
        <v>1411</v>
      </c>
      <c r="B279" t="inlineStr">
        <is>
          <t>HERMANOS PEÑA GRIÑAN S.C.</t>
        </is>
      </c>
      <c r="C279" t="inlineStr">
        <is>
          <t>SALUSTIANA</t>
        </is>
      </c>
      <c r="D279" t="inlineStr">
        <is>
          <t>Recolección</t>
        </is>
      </c>
      <c r="E279" t="n">
        <v>4753.65</v>
      </c>
      <c r="I279" t="inlineStr"/>
    </row>
    <row r="280">
      <c r="A280" t="n">
        <v>1411</v>
      </c>
      <c r="B280" t="inlineStr">
        <is>
          <t>HERMANOS PEÑA GRIÑAN S.C.</t>
        </is>
      </c>
      <c r="C280" t="inlineStr">
        <is>
          <t>SALUSTIANA</t>
        </is>
      </c>
      <c r="D280" t="inlineStr">
        <is>
          <t>Transporte</t>
        </is>
      </c>
      <c r="E280" t="n">
        <v>0</v>
      </c>
      <c r="I280" t="inlineStr"/>
    </row>
    <row r="281">
      <c r="A281" t="n">
        <v>1411</v>
      </c>
      <c r="B281" t="inlineStr">
        <is>
          <t>HERMANOS PEÑA GRIÑAN S.C.</t>
        </is>
      </c>
      <c r="C281" t="inlineStr">
        <is>
          <t>SALUSTIANA</t>
        </is>
      </c>
      <c r="D281" t="inlineStr">
        <is>
          <t>Calidad</t>
        </is>
      </c>
      <c r="E281" t="n">
        <v>0</v>
      </c>
      <c r="I281" t="inlineStr"/>
    </row>
    <row r="282">
      <c r="A282" t="n">
        <v>1411</v>
      </c>
      <c r="B282" t="inlineStr">
        <is>
          <t>HERMANOS PEÑA GRIÑAN S.C.</t>
        </is>
      </c>
      <c r="C282" t="inlineStr">
        <is>
          <t>SALUSTIANA</t>
        </is>
      </c>
      <c r="D282" t="inlineStr">
        <is>
          <t>GlobalGAP</t>
        </is>
      </c>
      <c r="E282" t="n">
        <v>0</v>
      </c>
      <c r="I282" t="inlineStr"/>
    </row>
    <row r="283">
      <c r="A283" t="n">
        <v>1411</v>
      </c>
      <c r="B283" t="inlineStr">
        <is>
          <t>HERMANOS PEÑA GRIÑAN S.C.</t>
        </is>
      </c>
      <c r="C283" t="inlineStr">
        <is>
          <t>SALUSTIANA</t>
        </is>
      </c>
      <c r="D283" t="inlineStr">
        <is>
          <t>Base imponible</t>
        </is>
      </c>
      <c r="E283" t="n">
        <v>19266.17</v>
      </c>
      <c r="I283" t="inlineStr"/>
    </row>
    <row r="284">
      <c r="A284" t="n">
        <v>1411</v>
      </c>
      <c r="B284" t="inlineStr">
        <is>
          <t>HERMANOS PEÑA GRIÑAN S.C.</t>
        </is>
      </c>
      <c r="C284" t="inlineStr">
        <is>
          <t>SALUSTIANA</t>
        </is>
      </c>
      <c r="D284" t="inlineStr">
        <is>
          <t>IVA</t>
        </is>
      </c>
      <c r="E284" t="n">
        <v>2311.94</v>
      </c>
      <c r="I284" t="inlineStr"/>
    </row>
    <row r="285">
      <c r="A285" t="n">
        <v>1411</v>
      </c>
      <c r="B285" t="inlineStr">
        <is>
          <t>HERMANOS PEÑA GRIÑAN S.C.</t>
        </is>
      </c>
      <c r="C285" t="inlineStr">
        <is>
          <t>SALUSTIANA</t>
        </is>
      </c>
      <c r="D285" t="inlineStr">
        <is>
          <t>Retención</t>
        </is>
      </c>
      <c r="E285" t="n">
        <v>431.56</v>
      </c>
      <c r="I285" t="inlineStr"/>
    </row>
    <row r="286">
      <c r="A286" t="n">
        <v>1411</v>
      </c>
      <c r="B286" t="inlineStr">
        <is>
          <t>HERMANOS PEÑA GRIÑAN S.C.</t>
        </is>
      </c>
      <c r="C286" t="inlineStr">
        <is>
          <t>SALUSTIANA</t>
        </is>
      </c>
      <c r="D286" t="inlineStr">
        <is>
          <t>Total</t>
        </is>
      </c>
      <c r="E286" t="n">
        <v>21146.55</v>
      </c>
      <c r="I286" t="inlineStr"/>
    </row>
    <row r="287">
      <c r="A287" t="n">
        <v>1419</v>
      </c>
      <c r="B287" t="inlineStr">
        <is>
          <t>MORAL GARCIA,JOSE ANTONIO</t>
        </is>
      </c>
      <c r="C287" t="inlineStr">
        <is>
          <t>SALUSTIANA</t>
        </is>
      </c>
      <c r="D287" t="inlineStr">
        <is>
          <t>Hectáreas</t>
        </is>
      </c>
      <c r="E287" t="n">
        <v>3.83</v>
      </c>
      <c r="I287" t="inlineStr"/>
    </row>
    <row r="288">
      <c r="A288" t="n">
        <v>1419</v>
      </c>
      <c r="B288" t="inlineStr">
        <is>
          <t>MORAL GARCIA,JOSE ANTONIO</t>
        </is>
      </c>
      <c r="C288" t="inlineStr">
        <is>
          <t>SALUSTIANA</t>
        </is>
      </c>
      <c r="D288" t="inlineStr">
        <is>
          <t>Cuota teórica</t>
        </is>
      </c>
      <c r="E288" t="n">
        <v>746.85</v>
      </c>
      <c r="I288" t="inlineStr"/>
    </row>
    <row r="289">
      <c r="A289" t="n">
        <v>1419</v>
      </c>
      <c r="B289" t="inlineStr">
        <is>
          <t>MORAL GARCIA,JOSE ANTONIO</t>
        </is>
      </c>
      <c r="C289" t="inlineStr">
        <is>
          <t>SALUSTIANA</t>
        </is>
      </c>
      <c r="D289" t="inlineStr">
        <is>
          <t>Kg campaña</t>
        </is>
      </c>
      <c r="E289" t="n">
        <v>119951</v>
      </c>
      <c r="I289" t="inlineStr"/>
    </row>
    <row r="290">
      <c r="A290" t="n">
        <v>1419</v>
      </c>
      <c r="B290" t="inlineStr">
        <is>
          <t>MORAL GARCIA,JOSE ANTONIO</t>
        </is>
      </c>
      <c r="C290" t="inlineStr">
        <is>
          <t>SALUSTIANA</t>
        </is>
      </c>
      <c r="D290" t="inlineStr">
        <is>
          <t>Índice</t>
        </is>
      </c>
      <c r="E290" t="n">
        <v>0.006226292402731115</v>
      </c>
      <c r="I290" t="inlineStr"/>
    </row>
    <row r="291">
      <c r="A291" t="n">
        <v>1419</v>
      </c>
      <c r="B291" t="inlineStr">
        <is>
          <t>MORAL GARCIA,JOSE ANTONIO</t>
        </is>
      </c>
      <c r="C291" t="inlineStr">
        <is>
          <t>SALUSTIANA</t>
        </is>
      </c>
      <c r="D291" t="inlineStr">
        <is>
          <t>Kg remesa</t>
        </is>
      </c>
      <c r="E291" t="n">
        <v>22950</v>
      </c>
      <c r="I291" t="inlineStr"/>
    </row>
    <row r="292">
      <c r="A292" t="n">
        <v>1419</v>
      </c>
      <c r="B292" t="inlineStr">
        <is>
          <t>MORAL GARCIA,JOSE ANTONIO</t>
        </is>
      </c>
      <c r="C292" t="inlineStr">
        <is>
          <t>SALUSTIANA</t>
        </is>
      </c>
      <c r="D292" t="inlineStr">
        <is>
          <t>Cuota parcial</t>
        </is>
      </c>
      <c r="E292" t="n">
        <v>142.89</v>
      </c>
      <c r="I292" t="inlineStr"/>
    </row>
    <row r="293">
      <c r="A293" t="n">
        <v>1419</v>
      </c>
      <c r="B293" t="inlineStr">
        <is>
          <t>MORAL GARCIA,JOSE ANTONIO</t>
        </is>
      </c>
      <c r="C293" t="inlineStr">
        <is>
          <t>SALUSTIANA</t>
        </is>
      </c>
      <c r="D293" t="inlineStr">
        <is>
          <t>Importe bruto</t>
        </is>
      </c>
      <c r="E293" t="n">
        <v>7464.66</v>
      </c>
      <c r="I293" t="inlineStr"/>
    </row>
    <row r="294">
      <c r="A294" t="n">
        <v>1419</v>
      </c>
      <c r="B294" t="inlineStr">
        <is>
          <t>MORAL GARCIA,JOSE ANTONIO</t>
        </is>
      </c>
      <c r="C294" t="inlineStr">
        <is>
          <t>SALUSTIANA</t>
        </is>
      </c>
      <c r="D294" t="inlineStr">
        <is>
          <t>Recolección</t>
        </is>
      </c>
      <c r="E294" t="n">
        <v>1652.4</v>
      </c>
      <c r="I294" t="inlineStr"/>
    </row>
    <row r="295">
      <c r="A295" t="n">
        <v>1419</v>
      </c>
      <c r="B295" t="inlineStr">
        <is>
          <t>MORAL GARCIA,JOSE ANTONIO</t>
        </is>
      </c>
      <c r="C295" t="inlineStr">
        <is>
          <t>SALUSTIANA</t>
        </is>
      </c>
      <c r="D295" t="inlineStr">
        <is>
          <t>Transporte</t>
        </is>
      </c>
      <c r="E295" t="n">
        <v>114.44</v>
      </c>
      <c r="I295" t="inlineStr"/>
    </row>
    <row r="296">
      <c r="A296" t="n">
        <v>1419</v>
      </c>
      <c r="B296" t="inlineStr">
        <is>
          <t>MORAL GARCIA,JOSE ANTONIO</t>
        </is>
      </c>
      <c r="C296" t="inlineStr">
        <is>
          <t>SALUSTIANA</t>
        </is>
      </c>
      <c r="D296" t="inlineStr">
        <is>
          <t>Calidad</t>
        </is>
      </c>
      <c r="E296" t="n">
        <v>0</v>
      </c>
      <c r="I296" t="inlineStr"/>
    </row>
    <row r="297">
      <c r="A297" t="n">
        <v>1419</v>
      </c>
      <c r="B297" t="inlineStr">
        <is>
          <t>MORAL GARCIA,JOSE ANTONIO</t>
        </is>
      </c>
      <c r="C297" t="inlineStr">
        <is>
          <t>SALUSTIANA</t>
        </is>
      </c>
      <c r="D297" t="inlineStr">
        <is>
          <t>GlobalGAP</t>
        </is>
      </c>
      <c r="E297" t="n">
        <v>0</v>
      </c>
      <c r="I297" t="inlineStr"/>
    </row>
    <row r="298">
      <c r="A298" t="n">
        <v>1419</v>
      </c>
      <c r="B298" t="inlineStr">
        <is>
          <t>MORAL GARCIA,JOSE ANTONIO</t>
        </is>
      </c>
      <c r="C298" t="inlineStr">
        <is>
          <t>SALUSTIANA</t>
        </is>
      </c>
      <c r="D298" t="inlineStr">
        <is>
          <t>Base imponible</t>
        </is>
      </c>
      <c r="E298" t="n">
        <v>5783.81</v>
      </c>
      <c r="I298" t="inlineStr"/>
    </row>
    <row r="299">
      <c r="A299" t="n">
        <v>1419</v>
      </c>
      <c r="B299" t="inlineStr">
        <is>
          <t>MORAL GARCIA,JOSE ANTONIO</t>
        </is>
      </c>
      <c r="C299" t="inlineStr">
        <is>
          <t>SALUSTIANA</t>
        </is>
      </c>
      <c r="D299" t="inlineStr">
        <is>
          <t>IVA</t>
        </is>
      </c>
      <c r="E299" t="n">
        <v>694.0599999999999</v>
      </c>
      <c r="I299" t="inlineStr"/>
    </row>
    <row r="300">
      <c r="A300" t="n">
        <v>1419</v>
      </c>
      <c r="B300" t="inlineStr">
        <is>
          <t>MORAL GARCIA,JOSE ANTONIO</t>
        </is>
      </c>
      <c r="C300" t="inlineStr">
        <is>
          <t>SALUSTIANA</t>
        </is>
      </c>
      <c r="D300" t="inlineStr">
        <is>
          <t>Retención</t>
        </is>
      </c>
      <c r="E300" t="n">
        <v>129.56</v>
      </c>
      <c r="I300" t="inlineStr"/>
    </row>
    <row r="301">
      <c r="A301" t="n">
        <v>1419</v>
      </c>
      <c r="B301" t="inlineStr">
        <is>
          <t>MORAL GARCIA,JOSE ANTONIO</t>
        </is>
      </c>
      <c r="C301" t="inlineStr">
        <is>
          <t>SALUSTIANA</t>
        </is>
      </c>
      <c r="D301" t="inlineStr">
        <is>
          <t>Total</t>
        </is>
      </c>
      <c r="E301" t="n">
        <v>6348.31</v>
      </c>
      <c r="I301" t="inlineStr"/>
    </row>
    <row r="302">
      <c r="A302" t="n">
        <v>1421</v>
      </c>
      <c r="B302" t="inlineStr">
        <is>
          <t>GARCIA GONZALEZ,ISIDORA</t>
        </is>
      </c>
      <c r="C302" t="inlineStr">
        <is>
          <t>SALUSTIANA</t>
        </is>
      </c>
      <c r="D302" t="inlineStr">
        <is>
          <t>Hectáreas</t>
        </is>
      </c>
      <c r="E302" t="n">
        <v>1.1</v>
      </c>
      <c r="I302" t="inlineStr"/>
    </row>
    <row r="303">
      <c r="A303" t="n">
        <v>1421</v>
      </c>
      <c r="B303" t="inlineStr">
        <is>
          <t>GARCIA GONZALEZ,ISIDORA</t>
        </is>
      </c>
      <c r="C303" t="inlineStr">
        <is>
          <t>SALUSTIANA</t>
        </is>
      </c>
      <c r="D303" t="inlineStr">
        <is>
          <t>Cuota teórica</t>
        </is>
      </c>
      <c r="E303" t="n">
        <v>214.5</v>
      </c>
      <c r="I303" t="inlineStr"/>
    </row>
    <row r="304">
      <c r="A304" t="n">
        <v>1421</v>
      </c>
      <c r="B304" t="inlineStr">
        <is>
          <t>GARCIA GONZALEZ,ISIDORA</t>
        </is>
      </c>
      <c r="C304" t="inlineStr">
        <is>
          <t>SALUSTIANA</t>
        </is>
      </c>
      <c r="D304" t="inlineStr">
        <is>
          <t>Kg campaña</t>
        </is>
      </c>
      <c r="E304" t="n">
        <v>36875</v>
      </c>
      <c r="I304" t="inlineStr"/>
    </row>
    <row r="305">
      <c r="A305" t="n">
        <v>1421</v>
      </c>
      <c r="B305" t="inlineStr">
        <is>
          <t>GARCIA GONZALEZ,ISIDORA</t>
        </is>
      </c>
      <c r="C305" t="inlineStr">
        <is>
          <t>SALUSTIANA</t>
        </is>
      </c>
      <c r="D305" t="inlineStr">
        <is>
          <t>Índice</t>
        </is>
      </c>
      <c r="E305" t="n">
        <v>0.005816949152542373</v>
      </c>
      <c r="I305" t="inlineStr"/>
    </row>
    <row r="306">
      <c r="A306" t="n">
        <v>1421</v>
      </c>
      <c r="B306" t="inlineStr">
        <is>
          <t>GARCIA GONZALEZ,ISIDORA</t>
        </is>
      </c>
      <c r="C306" t="inlineStr">
        <is>
          <t>SALUSTIANA</t>
        </is>
      </c>
      <c r="D306" t="inlineStr">
        <is>
          <t>Kg remesa</t>
        </is>
      </c>
      <c r="E306" t="n">
        <v>36875</v>
      </c>
      <c r="I306" t="inlineStr"/>
    </row>
    <row r="307">
      <c r="A307" t="n">
        <v>1421</v>
      </c>
      <c r="B307" t="inlineStr">
        <is>
          <t>GARCIA GONZALEZ,ISIDORA</t>
        </is>
      </c>
      <c r="C307" t="inlineStr">
        <is>
          <t>SALUSTIANA</t>
        </is>
      </c>
      <c r="D307" t="inlineStr">
        <is>
          <t>Cuota parcial</t>
        </is>
      </c>
      <c r="E307" t="n">
        <v>214.5</v>
      </c>
      <c r="I307" t="inlineStr"/>
    </row>
    <row r="308">
      <c r="A308" t="n">
        <v>1421</v>
      </c>
      <c r="B308" t="inlineStr">
        <is>
          <t>GARCIA GONZALEZ,ISIDORA</t>
        </is>
      </c>
      <c r="C308" t="inlineStr">
        <is>
          <t>SALUSTIANA</t>
        </is>
      </c>
      <c r="D308" t="inlineStr">
        <is>
          <t>Importe bruto</t>
        </is>
      </c>
      <c r="E308" t="n">
        <v>12343.35</v>
      </c>
      <c r="I308" t="inlineStr"/>
    </row>
    <row r="309">
      <c r="A309" t="n">
        <v>1421</v>
      </c>
      <c r="B309" t="inlineStr">
        <is>
          <t>GARCIA GONZALEZ,ISIDORA</t>
        </is>
      </c>
      <c r="C309" t="inlineStr">
        <is>
          <t>SALUSTIANA</t>
        </is>
      </c>
      <c r="D309" t="inlineStr">
        <is>
          <t>Recolección</t>
        </is>
      </c>
      <c r="E309" t="n">
        <v>2655</v>
      </c>
      <c r="I309" t="inlineStr"/>
    </row>
    <row r="310">
      <c r="A310" t="n">
        <v>1421</v>
      </c>
      <c r="B310" t="inlineStr">
        <is>
          <t>GARCIA GONZALEZ,ISIDORA</t>
        </is>
      </c>
      <c r="C310" t="inlineStr">
        <is>
          <t>SALUSTIANA</t>
        </is>
      </c>
      <c r="D310" t="inlineStr">
        <is>
          <t>Transporte</t>
        </is>
      </c>
      <c r="E310" t="n">
        <v>0</v>
      </c>
      <c r="I310" t="inlineStr"/>
    </row>
    <row r="311">
      <c r="A311" t="n">
        <v>1421</v>
      </c>
      <c r="B311" t="inlineStr">
        <is>
          <t>GARCIA GONZALEZ,ISIDORA</t>
        </is>
      </c>
      <c r="C311" t="inlineStr">
        <is>
          <t>SALUSTIANA</t>
        </is>
      </c>
      <c r="D311" t="inlineStr">
        <is>
          <t>Calidad</t>
        </is>
      </c>
      <c r="E311" t="n">
        <v>0</v>
      </c>
      <c r="I311" t="inlineStr"/>
    </row>
    <row r="312">
      <c r="A312" t="n">
        <v>1421</v>
      </c>
      <c r="B312" t="inlineStr">
        <is>
          <t>GARCIA GONZALEZ,ISIDORA</t>
        </is>
      </c>
      <c r="C312" t="inlineStr">
        <is>
          <t>SALUSTIANA</t>
        </is>
      </c>
      <c r="D312" t="inlineStr">
        <is>
          <t>GlobalGAP</t>
        </is>
      </c>
      <c r="E312" t="n">
        <v>0</v>
      </c>
      <c r="I312" t="inlineStr"/>
    </row>
    <row r="313">
      <c r="A313" t="n">
        <v>1421</v>
      </c>
      <c r="B313" t="inlineStr">
        <is>
          <t>GARCIA GONZALEZ,ISIDORA</t>
        </is>
      </c>
      <c r="C313" t="inlineStr">
        <is>
          <t>SALUSTIANA</t>
        </is>
      </c>
      <c r="D313" t="inlineStr">
        <is>
          <t>Base imponible</t>
        </is>
      </c>
      <c r="E313" t="n">
        <v>9473.85</v>
      </c>
      <c r="I313" t="inlineStr"/>
    </row>
    <row r="314">
      <c r="A314" t="n">
        <v>1421</v>
      </c>
      <c r="B314" t="inlineStr">
        <is>
          <t>GARCIA GONZALEZ,ISIDORA</t>
        </is>
      </c>
      <c r="C314" t="inlineStr">
        <is>
          <t>SALUSTIANA</t>
        </is>
      </c>
      <c r="D314" t="inlineStr">
        <is>
          <t>IVA</t>
        </is>
      </c>
      <c r="E314" t="n">
        <v>1136.86</v>
      </c>
      <c r="I314" t="inlineStr"/>
    </row>
    <row r="315">
      <c r="A315" t="n">
        <v>1421</v>
      </c>
      <c r="B315" t="inlineStr">
        <is>
          <t>GARCIA GONZALEZ,ISIDORA</t>
        </is>
      </c>
      <c r="C315" t="inlineStr">
        <is>
          <t>SALUSTIANA</t>
        </is>
      </c>
      <c r="D315" t="inlineStr">
        <is>
          <t>Retención</t>
        </is>
      </c>
      <c r="E315" t="n">
        <v>212.21</v>
      </c>
      <c r="I315" t="inlineStr"/>
    </row>
    <row r="316">
      <c r="A316" t="n">
        <v>1421</v>
      </c>
      <c r="B316" t="inlineStr">
        <is>
          <t>GARCIA GONZALEZ,ISIDORA</t>
        </is>
      </c>
      <c r="C316" t="inlineStr">
        <is>
          <t>SALUSTIANA</t>
        </is>
      </c>
      <c r="D316" t="inlineStr">
        <is>
          <t>Total</t>
        </is>
      </c>
      <c r="E316" t="n">
        <v>10398.5</v>
      </c>
      <c r="I316" t="inlineStr"/>
    </row>
    <row r="317">
      <c r="A317" t="n">
        <v>1443</v>
      </c>
      <c r="B317" t="inlineStr">
        <is>
          <t>TOMENO SUAREZ,ALBERTO</t>
        </is>
      </c>
      <c r="C317" t="inlineStr">
        <is>
          <t>SALUSTIANA</t>
        </is>
      </c>
      <c r="D317" t="inlineStr">
        <is>
          <t>Hectáreas</t>
        </is>
      </c>
      <c r="E317" t="n">
        <v>17.08</v>
      </c>
      <c r="I317" t="inlineStr"/>
    </row>
    <row r="318">
      <c r="A318" t="n">
        <v>1443</v>
      </c>
      <c r="B318" t="inlineStr">
        <is>
          <t>TOMENO SUAREZ,ALBERTO</t>
        </is>
      </c>
      <c r="C318" t="inlineStr">
        <is>
          <t>SALUSTIANA</t>
        </is>
      </c>
      <c r="D318" t="inlineStr">
        <is>
          <t>Cuota teórica</t>
        </is>
      </c>
      <c r="E318" t="n">
        <v>3330.6</v>
      </c>
      <c r="I318" t="inlineStr"/>
    </row>
    <row r="319">
      <c r="A319" t="n">
        <v>1443</v>
      </c>
      <c r="B319" t="inlineStr">
        <is>
          <t>TOMENO SUAREZ,ALBERTO</t>
        </is>
      </c>
      <c r="C319" t="inlineStr">
        <is>
          <t>SALUSTIANA</t>
        </is>
      </c>
      <c r="D319" t="inlineStr">
        <is>
          <t>Kg campaña</t>
        </is>
      </c>
      <c r="E319" t="n">
        <v>538619</v>
      </c>
      <c r="I319" t="inlineStr"/>
    </row>
    <row r="320">
      <c r="A320" t="n">
        <v>1443</v>
      </c>
      <c r="B320" t="inlineStr">
        <is>
          <t>TOMENO SUAREZ,ALBERTO</t>
        </is>
      </c>
      <c r="C320" t="inlineStr">
        <is>
          <t>SALUSTIANA</t>
        </is>
      </c>
      <c r="D320" t="inlineStr">
        <is>
          <t>Índice</t>
        </is>
      </c>
      <c r="E320" t="n">
        <v>0.006183591741100852</v>
      </c>
      <c r="I320" t="inlineStr"/>
    </row>
    <row r="321">
      <c r="A321" t="n">
        <v>1443</v>
      </c>
      <c r="B321" t="inlineStr">
        <is>
          <t>TOMENO SUAREZ,ALBERTO</t>
        </is>
      </c>
      <c r="C321" t="inlineStr">
        <is>
          <t>SALUSTIANA</t>
        </is>
      </c>
      <c r="D321" t="inlineStr">
        <is>
          <t>Kg remesa</t>
        </is>
      </c>
      <c r="E321" t="n">
        <v>34222</v>
      </c>
      <c r="I321" t="inlineStr"/>
    </row>
    <row r="322">
      <c r="A322" t="n">
        <v>1443</v>
      </c>
      <c r="B322" t="inlineStr">
        <is>
          <t>TOMENO SUAREZ,ALBERTO</t>
        </is>
      </c>
      <c r="C322" t="inlineStr">
        <is>
          <t>SALUSTIANA</t>
        </is>
      </c>
      <c r="D322" t="inlineStr">
        <is>
          <t>Cuota parcial</t>
        </is>
      </c>
      <c r="E322" t="n">
        <v>211.61</v>
      </c>
      <c r="I322" t="inlineStr"/>
    </row>
    <row r="323">
      <c r="A323" t="n">
        <v>1443</v>
      </c>
      <c r="B323" t="inlineStr">
        <is>
          <t>TOMENO SUAREZ,ALBERTO</t>
        </is>
      </c>
      <c r="C323" t="inlineStr">
        <is>
          <t>SALUSTIANA</t>
        </is>
      </c>
      <c r="D323" t="inlineStr">
        <is>
          <t>Importe bruto</t>
        </is>
      </c>
      <c r="E323" t="n">
        <v>11662.25</v>
      </c>
      <c r="I323" t="inlineStr"/>
    </row>
    <row r="324">
      <c r="A324" t="n">
        <v>1443</v>
      </c>
      <c r="B324" t="inlineStr">
        <is>
          <t>TOMENO SUAREZ,ALBERTO</t>
        </is>
      </c>
      <c r="C324" t="inlineStr">
        <is>
          <t>SALUSTIANA</t>
        </is>
      </c>
      <c r="D324" t="inlineStr">
        <is>
          <t>Recolección</t>
        </is>
      </c>
      <c r="E324" t="n">
        <v>0</v>
      </c>
      <c r="I324" t="inlineStr"/>
    </row>
    <row r="325">
      <c r="A325" t="n">
        <v>1443</v>
      </c>
      <c r="B325" t="inlineStr">
        <is>
          <t>TOMENO SUAREZ,ALBERTO</t>
        </is>
      </c>
      <c r="C325" t="inlineStr">
        <is>
          <t>SALUSTIANA</t>
        </is>
      </c>
      <c r="D325" t="inlineStr">
        <is>
          <t>Transporte</t>
        </is>
      </c>
      <c r="E325" t="n">
        <v>124.94</v>
      </c>
      <c r="I325" t="inlineStr"/>
    </row>
    <row r="326">
      <c r="A326" t="n">
        <v>1443</v>
      </c>
      <c r="B326" t="inlineStr">
        <is>
          <t>TOMENO SUAREZ,ALBERTO</t>
        </is>
      </c>
      <c r="C326" t="inlineStr">
        <is>
          <t>SALUSTIANA</t>
        </is>
      </c>
      <c r="D326" t="inlineStr">
        <is>
          <t>Calidad</t>
        </is>
      </c>
      <c r="E326" t="n">
        <v>0</v>
      </c>
      <c r="I326" t="inlineStr"/>
    </row>
    <row r="327">
      <c r="A327" t="n">
        <v>1443</v>
      </c>
      <c r="B327" t="inlineStr">
        <is>
          <t>TOMENO SUAREZ,ALBERTO</t>
        </is>
      </c>
      <c r="C327" t="inlineStr">
        <is>
          <t>SALUSTIANA</t>
        </is>
      </c>
      <c r="D327" t="inlineStr">
        <is>
          <t>GlobalGAP</t>
        </is>
      </c>
      <c r="E327" t="n">
        <v>492.06</v>
      </c>
      <c r="I327" t="inlineStr"/>
    </row>
    <row r="328">
      <c r="A328" t="n">
        <v>1443</v>
      </c>
      <c r="B328" t="inlineStr">
        <is>
          <t>TOMENO SUAREZ,ALBERTO</t>
        </is>
      </c>
      <c r="C328" t="inlineStr">
        <is>
          <t>SALUSTIANA</t>
        </is>
      </c>
      <c r="D328" t="inlineStr">
        <is>
          <t>Base imponible</t>
        </is>
      </c>
      <c r="E328" t="n">
        <v>12067.64</v>
      </c>
      <c r="I328" t="inlineStr"/>
    </row>
    <row r="329">
      <c r="A329" t="n">
        <v>1443</v>
      </c>
      <c r="B329" t="inlineStr">
        <is>
          <t>TOMENO SUAREZ,ALBERTO</t>
        </is>
      </c>
      <c r="C329" t="inlineStr">
        <is>
          <t>SALUSTIANA</t>
        </is>
      </c>
      <c r="D329" t="inlineStr">
        <is>
          <t>IVA</t>
        </is>
      </c>
      <c r="E329" t="n">
        <v>1448.12</v>
      </c>
      <c r="I329" t="inlineStr"/>
    </row>
    <row r="330">
      <c r="A330" t="n">
        <v>1443</v>
      </c>
      <c r="B330" t="inlineStr">
        <is>
          <t>TOMENO SUAREZ,ALBERTO</t>
        </is>
      </c>
      <c r="C330" t="inlineStr">
        <is>
          <t>SALUSTIANA</t>
        </is>
      </c>
      <c r="D330" t="inlineStr">
        <is>
          <t>Retención</t>
        </is>
      </c>
      <c r="E330" t="n">
        <v>270.32</v>
      </c>
      <c r="I330" t="inlineStr"/>
    </row>
    <row r="331">
      <c r="A331" t="n">
        <v>1443</v>
      </c>
      <c r="B331" t="inlineStr">
        <is>
          <t>TOMENO SUAREZ,ALBERTO</t>
        </is>
      </c>
      <c r="C331" t="inlineStr">
        <is>
          <t>SALUSTIANA</t>
        </is>
      </c>
      <c r="D331" t="inlineStr">
        <is>
          <t>Total</t>
        </is>
      </c>
      <c r="E331" t="n">
        <v>13245.44</v>
      </c>
      <c r="I331" t="inlineStr"/>
    </row>
    <row r="332">
      <c r="A332" t="n">
        <v>1485</v>
      </c>
      <c r="B332" t="inlineStr">
        <is>
          <t>HNOS. CRESPO RUIZ S.C.</t>
        </is>
      </c>
      <c r="C332" t="inlineStr">
        <is>
          <t>SALUSTIANA</t>
        </is>
      </c>
      <c r="D332" t="inlineStr">
        <is>
          <t>Hectáreas</t>
        </is>
      </c>
      <c r="E332" t="n">
        <v>3.24</v>
      </c>
      <c r="I332" t="inlineStr"/>
    </row>
    <row r="333">
      <c r="A333" t="n">
        <v>1485</v>
      </c>
      <c r="B333" t="inlineStr">
        <is>
          <t>HNOS. CRESPO RUIZ S.C.</t>
        </is>
      </c>
      <c r="C333" t="inlineStr">
        <is>
          <t>SALUSTIANA</t>
        </is>
      </c>
      <c r="D333" t="inlineStr">
        <is>
          <t>Cuota teórica</t>
        </is>
      </c>
      <c r="E333" t="n">
        <v>631.8</v>
      </c>
      <c r="I333" t="inlineStr"/>
    </row>
    <row r="334">
      <c r="A334" t="n">
        <v>1485</v>
      </c>
      <c r="B334" t="inlineStr">
        <is>
          <t>HNOS. CRESPO RUIZ S.C.</t>
        </is>
      </c>
      <c r="C334" t="inlineStr">
        <is>
          <t>SALUSTIANA</t>
        </is>
      </c>
      <c r="D334" t="inlineStr">
        <is>
          <t>Kg campaña</t>
        </is>
      </c>
      <c r="E334" t="n">
        <v>145310</v>
      </c>
      <c r="I334" t="inlineStr"/>
    </row>
    <row r="335">
      <c r="A335" t="n">
        <v>1485</v>
      </c>
      <c r="B335" t="inlineStr">
        <is>
          <t>HNOS. CRESPO RUIZ S.C.</t>
        </is>
      </c>
      <c r="C335" t="inlineStr">
        <is>
          <t>SALUSTIANA</t>
        </is>
      </c>
      <c r="D335" t="inlineStr">
        <is>
          <t>Índice</t>
        </is>
      </c>
      <c r="E335" t="n">
        <v>0.004347945771110041</v>
      </c>
      <c r="I335" t="inlineStr"/>
    </row>
    <row r="336">
      <c r="A336" t="n">
        <v>1485</v>
      </c>
      <c r="B336" t="inlineStr">
        <is>
          <t>HNOS. CRESPO RUIZ S.C.</t>
        </is>
      </c>
      <c r="C336" t="inlineStr">
        <is>
          <t>SALUSTIANA</t>
        </is>
      </c>
      <c r="D336" t="inlineStr">
        <is>
          <t>Kg remesa</t>
        </is>
      </c>
      <c r="E336" t="n">
        <v>143835</v>
      </c>
      <c r="I336" t="inlineStr"/>
    </row>
    <row r="337">
      <c r="A337" t="n">
        <v>1485</v>
      </c>
      <c r="B337" t="inlineStr">
        <is>
          <t>HNOS. CRESPO RUIZ S.C.</t>
        </is>
      </c>
      <c r="C337" t="inlineStr">
        <is>
          <t>SALUSTIANA</t>
        </is>
      </c>
      <c r="D337" t="inlineStr">
        <is>
          <t>Cuota parcial</t>
        </is>
      </c>
      <c r="E337" t="n">
        <v>625.39</v>
      </c>
      <c r="I337" t="inlineStr"/>
    </row>
    <row r="338">
      <c r="A338" t="n">
        <v>1485</v>
      </c>
      <c r="B338" t="inlineStr">
        <is>
          <t>HNOS. CRESPO RUIZ S.C.</t>
        </is>
      </c>
      <c r="C338" t="inlineStr">
        <is>
          <t>SALUSTIANA</t>
        </is>
      </c>
      <c r="D338" t="inlineStr">
        <is>
          <t>Importe bruto</t>
        </is>
      </c>
      <c r="E338" t="n">
        <v>55407.6</v>
      </c>
      <c r="I338" t="inlineStr"/>
    </row>
    <row r="339">
      <c r="A339" t="n">
        <v>1485</v>
      </c>
      <c r="B339" t="inlineStr">
        <is>
          <t>HNOS. CRESPO RUIZ S.C.</t>
        </is>
      </c>
      <c r="C339" t="inlineStr">
        <is>
          <t>SALUSTIANA</t>
        </is>
      </c>
      <c r="D339" t="inlineStr">
        <is>
          <t>Recolección</t>
        </is>
      </c>
      <c r="E339" t="n">
        <v>10356.12</v>
      </c>
      <c r="I339" t="inlineStr"/>
    </row>
    <row r="340">
      <c r="A340" t="n">
        <v>1485</v>
      </c>
      <c r="B340" t="inlineStr">
        <is>
          <t>HNOS. CRESPO RUIZ S.C.</t>
        </is>
      </c>
      <c r="C340" t="inlineStr">
        <is>
          <t>SALUSTIANA</t>
        </is>
      </c>
      <c r="D340" t="inlineStr">
        <is>
          <t>Transporte</t>
        </is>
      </c>
      <c r="E340" t="n">
        <v>0</v>
      </c>
      <c r="I340" t="inlineStr"/>
    </row>
    <row r="341">
      <c r="A341" t="n">
        <v>1485</v>
      </c>
      <c r="B341" t="inlineStr">
        <is>
          <t>HNOS. CRESPO RUIZ S.C.</t>
        </is>
      </c>
      <c r="C341" t="inlineStr">
        <is>
          <t>SALUSTIANA</t>
        </is>
      </c>
      <c r="D341" t="inlineStr">
        <is>
          <t>Calidad</t>
        </is>
      </c>
      <c r="E341" t="n">
        <v>0</v>
      </c>
      <c r="I341" t="inlineStr"/>
    </row>
    <row r="342">
      <c r="A342" t="n">
        <v>1485</v>
      </c>
      <c r="B342" t="inlineStr">
        <is>
          <t>HNOS. CRESPO RUIZ S.C.</t>
        </is>
      </c>
      <c r="C342" t="inlineStr">
        <is>
          <t>SALUSTIANA</t>
        </is>
      </c>
      <c r="D342" t="inlineStr">
        <is>
          <t>GlobalGAP</t>
        </is>
      </c>
      <c r="E342" t="n">
        <v>0</v>
      </c>
      <c r="I342" t="inlineStr"/>
    </row>
    <row r="343">
      <c r="A343" t="n">
        <v>1485</v>
      </c>
      <c r="B343" t="inlineStr">
        <is>
          <t>HNOS. CRESPO RUIZ S.C.</t>
        </is>
      </c>
      <c r="C343" t="inlineStr">
        <is>
          <t>SALUSTIANA</t>
        </is>
      </c>
      <c r="D343" t="inlineStr">
        <is>
          <t>Base imponible</t>
        </is>
      </c>
      <c r="E343" t="n">
        <v>44426.09</v>
      </c>
      <c r="I343" t="inlineStr"/>
    </row>
    <row r="344">
      <c r="A344" t="n">
        <v>1485</v>
      </c>
      <c r="B344" t="inlineStr">
        <is>
          <t>HNOS. CRESPO RUIZ S.C.</t>
        </is>
      </c>
      <c r="C344" t="inlineStr">
        <is>
          <t>SALUSTIANA</t>
        </is>
      </c>
      <c r="D344" t="inlineStr">
        <is>
          <t>IVA</t>
        </is>
      </c>
      <c r="E344" t="n">
        <v>5331.13</v>
      </c>
      <c r="I344" t="inlineStr"/>
    </row>
    <row r="345">
      <c r="A345" t="n">
        <v>1485</v>
      </c>
      <c r="B345" t="inlineStr">
        <is>
          <t>HNOS. CRESPO RUIZ S.C.</t>
        </is>
      </c>
      <c r="C345" t="inlineStr">
        <is>
          <t>SALUSTIANA</t>
        </is>
      </c>
      <c r="D345" t="inlineStr">
        <is>
          <t>Retención</t>
        </is>
      </c>
      <c r="E345" t="n">
        <v>995.14</v>
      </c>
      <c r="I345" t="inlineStr"/>
    </row>
    <row r="346">
      <c r="A346" t="n">
        <v>1485</v>
      </c>
      <c r="B346" t="inlineStr">
        <is>
          <t>HNOS. CRESPO RUIZ S.C.</t>
        </is>
      </c>
      <c r="C346" t="inlineStr">
        <is>
          <t>SALUSTIANA</t>
        </is>
      </c>
      <c r="D346" t="inlineStr">
        <is>
          <t>Total</t>
        </is>
      </c>
      <c r="E346" t="n">
        <v>48762.08</v>
      </c>
      <c r="I346" t="inlineStr"/>
    </row>
    <row r="347">
      <c r="A347" t="n">
        <v>1512</v>
      </c>
      <c r="B347" t="inlineStr">
        <is>
          <t>HERNANDEZ MOLINA,ANTONIO</t>
        </is>
      </c>
      <c r="C347" t="inlineStr">
        <is>
          <t>SALUSTIANA</t>
        </is>
      </c>
      <c r="D347" t="inlineStr">
        <is>
          <t>Hectáreas</t>
        </is>
      </c>
      <c r="E347" t="n">
        <v>1.58</v>
      </c>
      <c r="I347" t="inlineStr"/>
    </row>
    <row r="348">
      <c r="A348" t="n">
        <v>1512</v>
      </c>
      <c r="B348" t="inlineStr">
        <is>
          <t>HERNANDEZ MOLINA,ANTONIO</t>
        </is>
      </c>
      <c r="C348" t="inlineStr">
        <is>
          <t>SALUSTIANA</t>
        </is>
      </c>
      <c r="D348" t="inlineStr">
        <is>
          <t>Cuota teórica</t>
        </is>
      </c>
      <c r="E348" t="n">
        <v>308.1</v>
      </c>
      <c r="I348" t="inlineStr"/>
    </row>
    <row r="349">
      <c r="A349" t="n">
        <v>1512</v>
      </c>
      <c r="B349" t="inlineStr">
        <is>
          <t>HERNANDEZ MOLINA,ANTONIO</t>
        </is>
      </c>
      <c r="C349" t="inlineStr">
        <is>
          <t>SALUSTIANA</t>
        </is>
      </c>
      <c r="D349" t="inlineStr">
        <is>
          <t>Kg campaña</t>
        </is>
      </c>
      <c r="E349" t="n">
        <v>44550</v>
      </c>
      <c r="I349" t="inlineStr"/>
    </row>
    <row r="350">
      <c r="A350" t="n">
        <v>1512</v>
      </c>
      <c r="B350" t="inlineStr">
        <is>
          <t>HERNANDEZ MOLINA,ANTONIO</t>
        </is>
      </c>
      <c r="C350" t="inlineStr">
        <is>
          <t>SALUSTIANA</t>
        </is>
      </c>
      <c r="D350" t="inlineStr">
        <is>
          <t>Índice</t>
        </is>
      </c>
      <c r="E350" t="n">
        <v>0.006915824915824916</v>
      </c>
      <c r="I350" t="inlineStr"/>
    </row>
    <row r="351">
      <c r="A351" t="n">
        <v>1512</v>
      </c>
      <c r="B351" t="inlineStr">
        <is>
          <t>HERNANDEZ MOLINA,ANTONIO</t>
        </is>
      </c>
      <c r="C351" t="inlineStr">
        <is>
          <t>SALUSTIANA</t>
        </is>
      </c>
      <c r="D351" t="inlineStr">
        <is>
          <t>Kg remesa</t>
        </is>
      </c>
      <c r="E351" t="n">
        <v>41174</v>
      </c>
      <c r="I351" t="inlineStr"/>
    </row>
    <row r="352">
      <c r="A352" t="n">
        <v>1512</v>
      </c>
      <c r="B352" t="inlineStr">
        <is>
          <t>HERNANDEZ MOLINA,ANTONIO</t>
        </is>
      </c>
      <c r="C352" t="inlineStr">
        <is>
          <t>SALUSTIANA</t>
        </is>
      </c>
      <c r="D352" t="inlineStr">
        <is>
          <t>Cuota parcial</t>
        </is>
      </c>
      <c r="E352" t="n">
        <v>284.75</v>
      </c>
      <c r="I352" t="inlineStr"/>
    </row>
    <row r="353">
      <c r="A353" t="n">
        <v>1512</v>
      </c>
      <c r="B353" t="inlineStr">
        <is>
          <t>HERNANDEZ MOLINA,ANTONIO</t>
        </is>
      </c>
      <c r="C353" t="inlineStr">
        <is>
          <t>SALUSTIANA</t>
        </is>
      </c>
      <c r="D353" t="inlineStr">
        <is>
          <t>Importe bruto</t>
        </is>
      </c>
      <c r="E353" t="n">
        <v>13467.72</v>
      </c>
      <c r="I353" t="inlineStr"/>
    </row>
    <row r="354">
      <c r="A354" t="n">
        <v>1512</v>
      </c>
      <c r="B354" t="inlineStr">
        <is>
          <t>HERNANDEZ MOLINA,ANTONIO</t>
        </is>
      </c>
      <c r="C354" t="inlineStr">
        <is>
          <t>SALUSTIANA</t>
        </is>
      </c>
      <c r="D354" t="inlineStr">
        <is>
          <t>Recolección</t>
        </is>
      </c>
      <c r="E354" t="n">
        <v>2964.53</v>
      </c>
      <c r="I354" t="inlineStr"/>
    </row>
    <row r="355">
      <c r="A355" t="n">
        <v>1512</v>
      </c>
      <c r="B355" t="inlineStr">
        <is>
          <t>HERNANDEZ MOLINA,ANTONIO</t>
        </is>
      </c>
      <c r="C355" t="inlineStr">
        <is>
          <t>SALUSTIANA</t>
        </is>
      </c>
      <c r="D355" t="inlineStr">
        <is>
          <t>Transporte</t>
        </is>
      </c>
      <c r="E355" t="n">
        <v>0</v>
      </c>
      <c r="I355" t="inlineStr"/>
    </row>
    <row r="356">
      <c r="A356" t="n">
        <v>1512</v>
      </c>
      <c r="B356" t="inlineStr">
        <is>
          <t>HERNANDEZ MOLINA,ANTONIO</t>
        </is>
      </c>
      <c r="C356" t="inlineStr">
        <is>
          <t>SALUSTIANA</t>
        </is>
      </c>
      <c r="D356" t="inlineStr">
        <is>
          <t>Calidad</t>
        </is>
      </c>
      <c r="E356" t="n">
        <v>0</v>
      </c>
      <c r="I356" t="inlineStr"/>
    </row>
    <row r="357">
      <c r="A357" t="n">
        <v>1512</v>
      </c>
      <c r="B357" t="inlineStr">
        <is>
          <t>HERNANDEZ MOLINA,ANTONIO</t>
        </is>
      </c>
      <c r="C357" t="inlineStr">
        <is>
          <t>SALUSTIANA</t>
        </is>
      </c>
      <c r="D357" t="inlineStr">
        <is>
          <t>GlobalGAP</t>
        </is>
      </c>
      <c r="E357" t="n">
        <v>0</v>
      </c>
      <c r="I357" t="inlineStr"/>
    </row>
    <row r="358">
      <c r="A358" t="n">
        <v>1512</v>
      </c>
      <c r="B358" t="inlineStr">
        <is>
          <t>HERNANDEZ MOLINA,ANTONIO</t>
        </is>
      </c>
      <c r="C358" t="inlineStr">
        <is>
          <t>SALUSTIANA</t>
        </is>
      </c>
      <c r="D358" t="inlineStr">
        <is>
          <t>Base imponible</t>
        </is>
      </c>
      <c r="E358" t="n">
        <v>10218.44</v>
      </c>
      <c r="I358" t="inlineStr"/>
    </row>
    <row r="359">
      <c r="A359" t="n">
        <v>1512</v>
      </c>
      <c r="B359" t="inlineStr">
        <is>
          <t>HERNANDEZ MOLINA,ANTONIO</t>
        </is>
      </c>
      <c r="C359" t="inlineStr">
        <is>
          <t>SALUSTIANA</t>
        </is>
      </c>
      <c r="D359" t="inlineStr">
        <is>
          <t>IVA</t>
        </is>
      </c>
      <c r="E359" t="n">
        <v>1226.21</v>
      </c>
      <c r="I359" t="inlineStr"/>
    </row>
    <row r="360">
      <c r="A360" t="n">
        <v>1512</v>
      </c>
      <c r="B360" t="inlineStr">
        <is>
          <t>HERNANDEZ MOLINA,ANTONIO</t>
        </is>
      </c>
      <c r="C360" t="inlineStr">
        <is>
          <t>SALUSTIANA</t>
        </is>
      </c>
      <c r="D360" t="inlineStr">
        <is>
          <t>Retención</t>
        </is>
      </c>
      <c r="E360" t="n">
        <v>228.89</v>
      </c>
      <c r="I360" t="inlineStr"/>
    </row>
    <row r="361">
      <c r="A361" t="n">
        <v>1512</v>
      </c>
      <c r="B361" t="inlineStr">
        <is>
          <t>HERNANDEZ MOLINA,ANTONIO</t>
        </is>
      </c>
      <c r="C361" t="inlineStr">
        <is>
          <t>SALUSTIANA</t>
        </is>
      </c>
      <c r="D361" t="inlineStr">
        <is>
          <t>Total</t>
        </is>
      </c>
      <c r="E361" t="n">
        <v>11215.76</v>
      </c>
      <c r="I361" t="inlineStr"/>
    </row>
    <row r="362">
      <c r="A362" t="n">
        <v>1523</v>
      </c>
      <c r="B362" t="inlineStr">
        <is>
          <t>RODRIGUEZ MEJÍAS, JOSE ANTONIO</t>
        </is>
      </c>
      <c r="C362" t="inlineStr">
        <is>
          <t>SALUSTIANA</t>
        </is>
      </c>
      <c r="D362" t="inlineStr">
        <is>
          <t>Hectáreas</t>
        </is>
      </c>
      <c r="E362" t="n">
        <v>21.63</v>
      </c>
      <c r="I362" t="inlineStr"/>
    </row>
    <row r="363">
      <c r="A363" t="n">
        <v>1523</v>
      </c>
      <c r="B363" t="inlineStr">
        <is>
          <t>RODRIGUEZ MEJÍAS, JOSE ANTONIO</t>
        </is>
      </c>
      <c r="C363" t="inlineStr">
        <is>
          <t>SALUSTIANA</t>
        </is>
      </c>
      <c r="D363" t="inlineStr">
        <is>
          <t>Cuota teórica</t>
        </is>
      </c>
      <c r="E363" t="n">
        <v>4217.85</v>
      </c>
      <c r="I363" t="inlineStr"/>
    </row>
    <row r="364">
      <c r="A364" t="n">
        <v>1523</v>
      </c>
      <c r="B364" t="inlineStr">
        <is>
          <t>RODRIGUEZ MEJÍAS, JOSE ANTONIO</t>
        </is>
      </c>
      <c r="C364" t="inlineStr">
        <is>
          <t>SALUSTIANA</t>
        </is>
      </c>
      <c r="D364" t="inlineStr">
        <is>
          <t>Kg campaña</t>
        </is>
      </c>
      <c r="E364" t="n">
        <v>580520</v>
      </c>
      <c r="I364" t="inlineStr"/>
    </row>
    <row r="365">
      <c r="A365" t="n">
        <v>1523</v>
      </c>
      <c r="B365" t="inlineStr">
        <is>
          <t>RODRIGUEZ MEJÍAS, JOSE ANTONIO</t>
        </is>
      </c>
      <c r="C365" t="inlineStr">
        <is>
          <t>SALUSTIANA</t>
        </is>
      </c>
      <c r="D365" t="inlineStr">
        <is>
          <t>Índice</t>
        </is>
      </c>
      <c r="E365" t="n">
        <v>0.007265641149314408</v>
      </c>
      <c r="I365" t="inlineStr"/>
    </row>
    <row r="366">
      <c r="A366" t="n">
        <v>1523</v>
      </c>
      <c r="B366" t="inlineStr">
        <is>
          <t>RODRIGUEZ MEJÍAS, JOSE ANTONIO</t>
        </is>
      </c>
      <c r="C366" t="inlineStr">
        <is>
          <t>SALUSTIANA</t>
        </is>
      </c>
      <c r="D366" t="inlineStr">
        <is>
          <t>Kg remesa</t>
        </is>
      </c>
      <c r="E366" t="n">
        <v>243865</v>
      </c>
      <c r="I366" t="inlineStr"/>
    </row>
    <row r="367">
      <c r="A367" t="n">
        <v>1523</v>
      </c>
      <c r="B367" t="inlineStr">
        <is>
          <t>RODRIGUEZ MEJÍAS, JOSE ANTONIO</t>
        </is>
      </c>
      <c r="C367" t="inlineStr">
        <is>
          <t>SALUSTIANA</t>
        </is>
      </c>
      <c r="D367" t="inlineStr">
        <is>
          <t>Cuota parcial</t>
        </is>
      </c>
      <c r="E367" t="n">
        <v>1771.84</v>
      </c>
      <c r="I367" t="inlineStr"/>
    </row>
    <row r="368">
      <c r="A368" t="n">
        <v>1523</v>
      </c>
      <c r="B368" t="inlineStr">
        <is>
          <t>RODRIGUEZ MEJÍAS, JOSE ANTONIO</t>
        </is>
      </c>
      <c r="C368" t="inlineStr">
        <is>
          <t>SALUSTIANA</t>
        </is>
      </c>
      <c r="D368" t="inlineStr">
        <is>
          <t>Importe bruto</t>
        </is>
      </c>
      <c r="E368" t="n">
        <v>91744.92</v>
      </c>
      <c r="I368" t="inlineStr"/>
    </row>
    <row r="369">
      <c r="A369" t="n">
        <v>1523</v>
      </c>
      <c r="B369" t="inlineStr">
        <is>
          <t>RODRIGUEZ MEJÍAS, JOSE ANTONIO</t>
        </is>
      </c>
      <c r="C369" t="inlineStr">
        <is>
          <t>SALUSTIANA</t>
        </is>
      </c>
      <c r="D369" t="inlineStr">
        <is>
          <t>Recolección</t>
        </is>
      </c>
      <c r="E369" t="n">
        <v>17693.49</v>
      </c>
      <c r="I369" t="inlineStr"/>
    </row>
    <row r="370">
      <c r="A370" t="n">
        <v>1523</v>
      </c>
      <c r="B370" t="inlineStr">
        <is>
          <t>RODRIGUEZ MEJÍAS, JOSE ANTONIO</t>
        </is>
      </c>
      <c r="C370" t="inlineStr">
        <is>
          <t>SALUSTIANA</t>
        </is>
      </c>
      <c r="D370" t="inlineStr">
        <is>
          <t>Transporte</t>
        </is>
      </c>
      <c r="E370" t="n">
        <v>2247.92</v>
      </c>
      <c r="I370" t="inlineStr"/>
    </row>
    <row r="371">
      <c r="A371" t="n">
        <v>1523</v>
      </c>
      <c r="B371" t="inlineStr">
        <is>
          <t>RODRIGUEZ MEJÍAS, JOSE ANTONIO</t>
        </is>
      </c>
      <c r="C371" t="inlineStr">
        <is>
          <t>SALUSTIANA</t>
        </is>
      </c>
      <c r="D371" t="inlineStr">
        <is>
          <t>Calidad</t>
        </is>
      </c>
      <c r="E371" t="n">
        <v>0</v>
      </c>
      <c r="I371" t="inlineStr"/>
    </row>
    <row r="372">
      <c r="A372" t="n">
        <v>1523</v>
      </c>
      <c r="B372" t="inlineStr">
        <is>
          <t>RODRIGUEZ MEJÍAS, JOSE ANTONIO</t>
        </is>
      </c>
      <c r="C372" t="inlineStr">
        <is>
          <t>SALUSTIANA</t>
        </is>
      </c>
      <c r="D372" t="inlineStr">
        <is>
          <t>GlobalGAP</t>
        </is>
      </c>
      <c r="E372" t="n">
        <v>3868.67</v>
      </c>
      <c r="I372" t="inlineStr"/>
    </row>
    <row r="373">
      <c r="A373" t="n">
        <v>1523</v>
      </c>
      <c r="B373" t="inlineStr">
        <is>
          <t>RODRIGUEZ MEJÍAS, JOSE ANTONIO</t>
        </is>
      </c>
      <c r="C373" t="inlineStr">
        <is>
          <t>SALUSTIANA</t>
        </is>
      </c>
      <c r="D373" t="inlineStr">
        <is>
          <t>Base imponible</t>
        </is>
      </c>
      <c r="E373" t="n">
        <v>78396.17999999999</v>
      </c>
      <c r="I373" t="inlineStr"/>
    </row>
    <row r="374">
      <c r="A374" t="n">
        <v>1523</v>
      </c>
      <c r="B374" t="inlineStr">
        <is>
          <t>RODRIGUEZ MEJÍAS, JOSE ANTONIO</t>
        </is>
      </c>
      <c r="C374" t="inlineStr">
        <is>
          <t>SALUSTIANA</t>
        </is>
      </c>
      <c r="D374" t="inlineStr">
        <is>
          <t>IVA</t>
        </is>
      </c>
      <c r="E374" t="n">
        <v>9407.540000000001</v>
      </c>
      <c r="I374" t="inlineStr"/>
    </row>
    <row r="375">
      <c r="A375" t="n">
        <v>1523</v>
      </c>
      <c r="B375" t="inlineStr">
        <is>
          <t>RODRIGUEZ MEJÍAS, JOSE ANTONIO</t>
        </is>
      </c>
      <c r="C375" t="inlineStr">
        <is>
          <t>SALUSTIANA</t>
        </is>
      </c>
      <c r="D375" t="inlineStr">
        <is>
          <t>Retención</t>
        </is>
      </c>
      <c r="E375" t="n">
        <v>1756.07</v>
      </c>
      <c r="I375" t="inlineStr"/>
    </row>
    <row r="376">
      <c r="A376" t="n">
        <v>1523</v>
      </c>
      <c r="B376" t="inlineStr">
        <is>
          <t>RODRIGUEZ MEJÍAS, JOSE ANTONIO</t>
        </is>
      </c>
      <c r="C376" t="inlineStr">
        <is>
          <t>SALUSTIANA</t>
        </is>
      </c>
      <c r="D376" t="inlineStr">
        <is>
          <t>Total</t>
        </is>
      </c>
      <c r="E376" t="n">
        <v>86047.64999999999</v>
      </c>
      <c r="I376" t="inlineStr"/>
    </row>
    <row r="377">
      <c r="A377" t="n">
        <v>1529</v>
      </c>
      <c r="B377" t="inlineStr">
        <is>
          <t>RAMOS BRUGAROLAS, JOSE</t>
        </is>
      </c>
      <c r="C377" t="inlineStr">
        <is>
          <t>SALUSTIANA</t>
        </is>
      </c>
      <c r="D377" t="inlineStr">
        <is>
          <t>Hectáreas</t>
        </is>
      </c>
      <c r="E377" t="n">
        <v>19.8</v>
      </c>
      <c r="I377" t="inlineStr"/>
    </row>
    <row r="378">
      <c r="A378" t="n">
        <v>1529</v>
      </c>
      <c r="B378" t="inlineStr">
        <is>
          <t>RAMOS BRUGAROLAS, JOSE</t>
        </is>
      </c>
      <c r="C378" t="inlineStr">
        <is>
          <t>SALUSTIANA</t>
        </is>
      </c>
      <c r="D378" t="inlineStr">
        <is>
          <t>Cuota teórica</t>
        </is>
      </c>
      <c r="E378" t="n">
        <v>3861</v>
      </c>
      <c r="I378" t="inlineStr"/>
    </row>
    <row r="379">
      <c r="A379" t="n">
        <v>1529</v>
      </c>
      <c r="B379" t="inlineStr">
        <is>
          <t>RAMOS BRUGAROLAS, JOSE</t>
        </is>
      </c>
      <c r="C379" t="inlineStr">
        <is>
          <t>SALUSTIANA</t>
        </is>
      </c>
      <c r="D379" t="inlineStr">
        <is>
          <t>Kg campaña</t>
        </is>
      </c>
      <c r="E379" t="n">
        <v>584085</v>
      </c>
      <c r="I379" t="inlineStr"/>
    </row>
    <row r="380">
      <c r="A380" t="n">
        <v>1529</v>
      </c>
      <c r="B380" t="inlineStr">
        <is>
          <t>RAMOS BRUGAROLAS, JOSE</t>
        </is>
      </c>
      <c r="C380" t="inlineStr">
        <is>
          <t>SALUSTIANA</t>
        </is>
      </c>
      <c r="D380" t="inlineStr">
        <is>
          <t>Índice</t>
        </is>
      </c>
      <c r="E380" t="n">
        <v>0.006610339248568273</v>
      </c>
      <c r="I380" t="inlineStr"/>
    </row>
    <row r="381">
      <c r="A381" t="n">
        <v>1529</v>
      </c>
      <c r="B381" t="inlineStr">
        <is>
          <t>RAMOS BRUGAROLAS, JOSE</t>
        </is>
      </c>
      <c r="C381" t="inlineStr">
        <is>
          <t>SALUSTIANA</t>
        </is>
      </c>
      <c r="D381" t="inlineStr">
        <is>
          <t>Kg remesa</t>
        </is>
      </c>
      <c r="E381" t="n">
        <v>40245</v>
      </c>
      <c r="I381" t="inlineStr"/>
    </row>
    <row r="382">
      <c r="A382" t="n">
        <v>1529</v>
      </c>
      <c r="B382" t="inlineStr">
        <is>
          <t>RAMOS BRUGAROLAS, JOSE</t>
        </is>
      </c>
      <c r="C382" t="inlineStr">
        <is>
          <t>SALUSTIANA</t>
        </is>
      </c>
      <c r="D382" t="inlineStr">
        <is>
          <t>Cuota parcial</t>
        </is>
      </c>
      <c r="E382" t="n">
        <v>266.03</v>
      </c>
      <c r="I382" t="inlineStr"/>
    </row>
    <row r="383">
      <c r="A383" t="n">
        <v>1529</v>
      </c>
      <c r="B383" t="inlineStr">
        <is>
          <t>RAMOS BRUGAROLAS, JOSE</t>
        </is>
      </c>
      <c r="C383" t="inlineStr">
        <is>
          <t>SALUSTIANA</t>
        </is>
      </c>
      <c r="D383" t="inlineStr">
        <is>
          <t>Importe bruto</t>
        </is>
      </c>
      <c r="E383" t="n">
        <v>15237.54</v>
      </c>
      <c r="I383" t="inlineStr"/>
    </row>
    <row r="384">
      <c r="A384" t="n">
        <v>1529</v>
      </c>
      <c r="B384" t="inlineStr">
        <is>
          <t>RAMOS BRUGAROLAS, JOSE</t>
        </is>
      </c>
      <c r="C384" t="inlineStr">
        <is>
          <t>SALUSTIANA</t>
        </is>
      </c>
      <c r="D384" t="inlineStr">
        <is>
          <t>Recolección</t>
        </is>
      </c>
      <c r="E384" t="n">
        <v>3018.38</v>
      </c>
      <c r="I384" t="inlineStr"/>
    </row>
    <row r="385">
      <c r="A385" t="n">
        <v>1529</v>
      </c>
      <c r="B385" t="inlineStr">
        <is>
          <t>RAMOS BRUGAROLAS, JOSE</t>
        </is>
      </c>
      <c r="C385" t="inlineStr">
        <is>
          <t>SALUSTIANA</t>
        </is>
      </c>
      <c r="D385" t="inlineStr">
        <is>
          <t>Transporte</t>
        </is>
      </c>
      <c r="E385" t="n">
        <v>0</v>
      </c>
      <c r="I385" t="inlineStr"/>
    </row>
    <row r="386">
      <c r="A386" t="n">
        <v>1529</v>
      </c>
      <c r="B386" t="inlineStr">
        <is>
          <t>RAMOS BRUGAROLAS, JOSE</t>
        </is>
      </c>
      <c r="C386" t="inlineStr">
        <is>
          <t>SALUSTIANA</t>
        </is>
      </c>
      <c r="D386" t="inlineStr">
        <is>
          <t>Calidad</t>
        </is>
      </c>
      <c r="E386" t="n">
        <v>0</v>
      </c>
      <c r="I386" t="inlineStr"/>
    </row>
    <row r="387">
      <c r="A387" t="n">
        <v>1529</v>
      </c>
      <c r="B387" t="inlineStr">
        <is>
          <t>RAMOS BRUGAROLAS, JOSE</t>
        </is>
      </c>
      <c r="C387" t="inlineStr">
        <is>
          <t>SALUSTIANA</t>
        </is>
      </c>
      <c r="D387" t="inlineStr">
        <is>
          <t>GlobalGAP</t>
        </is>
      </c>
      <c r="E387" t="n">
        <v>0</v>
      </c>
      <c r="I387" t="inlineStr"/>
    </row>
    <row r="388">
      <c r="A388" t="n">
        <v>1529</v>
      </c>
      <c r="B388" t="inlineStr">
        <is>
          <t>RAMOS BRUGAROLAS, JOSE</t>
        </is>
      </c>
      <c r="C388" t="inlineStr">
        <is>
          <t>SALUSTIANA</t>
        </is>
      </c>
      <c r="D388" t="inlineStr">
        <is>
          <t>Base imponible</t>
        </is>
      </c>
      <c r="E388" t="n">
        <v>11953.13</v>
      </c>
      <c r="I388" t="inlineStr"/>
    </row>
    <row r="389">
      <c r="A389" t="n">
        <v>1529</v>
      </c>
      <c r="B389" t="inlineStr">
        <is>
          <t>RAMOS BRUGAROLAS, JOSE</t>
        </is>
      </c>
      <c r="C389" t="inlineStr">
        <is>
          <t>SALUSTIANA</t>
        </is>
      </c>
      <c r="D389" t="inlineStr">
        <is>
          <t>IVA</t>
        </is>
      </c>
      <c r="E389" t="n">
        <v>1434.38</v>
      </c>
      <c r="I389" t="inlineStr"/>
    </row>
    <row r="390">
      <c r="A390" t="n">
        <v>1529</v>
      </c>
      <c r="B390" t="inlineStr">
        <is>
          <t>RAMOS BRUGAROLAS, JOSE</t>
        </is>
      </c>
      <c r="C390" t="inlineStr">
        <is>
          <t>SALUSTIANA</t>
        </is>
      </c>
      <c r="D390" t="inlineStr">
        <is>
          <t>Retención</t>
        </is>
      </c>
      <c r="E390" t="n">
        <v>267.75</v>
      </c>
      <c r="I390" t="inlineStr"/>
    </row>
    <row r="391">
      <c r="A391" t="n">
        <v>1529</v>
      </c>
      <c r="B391" t="inlineStr">
        <is>
          <t>RAMOS BRUGAROLAS, JOSE</t>
        </is>
      </c>
      <c r="C391" t="inlineStr">
        <is>
          <t>SALUSTIANA</t>
        </is>
      </c>
      <c r="D391" t="inlineStr">
        <is>
          <t>Total</t>
        </is>
      </c>
      <c r="E391" t="n">
        <v>13119.76</v>
      </c>
      <c r="I391" t="inlineStr"/>
    </row>
    <row r="392">
      <c r="A392" t="n">
        <v>1540</v>
      </c>
      <c r="B392" t="inlineStr">
        <is>
          <t>AGRICOLA SANCHEZ CUENCA S.C.</t>
        </is>
      </c>
      <c r="C392" t="inlineStr">
        <is>
          <t>SALUSTIANA</t>
        </is>
      </c>
      <c r="D392" t="inlineStr">
        <is>
          <t>Hectáreas</t>
        </is>
      </c>
      <c r="E392" t="n">
        <v>5.96</v>
      </c>
      <c r="I392" t="inlineStr"/>
    </row>
    <row r="393">
      <c r="A393" t="n">
        <v>1540</v>
      </c>
      <c r="B393" t="inlineStr">
        <is>
          <t>AGRICOLA SANCHEZ CUENCA S.C.</t>
        </is>
      </c>
      <c r="C393" t="inlineStr">
        <is>
          <t>SALUSTIANA</t>
        </is>
      </c>
      <c r="D393" t="inlineStr">
        <is>
          <t>Cuota teórica</t>
        </is>
      </c>
      <c r="E393" t="n">
        <v>1162.2</v>
      </c>
      <c r="I393" t="inlineStr"/>
    </row>
    <row r="394">
      <c r="A394" t="n">
        <v>1540</v>
      </c>
      <c r="B394" t="inlineStr">
        <is>
          <t>AGRICOLA SANCHEZ CUENCA S.C.</t>
        </is>
      </c>
      <c r="C394" t="inlineStr">
        <is>
          <t>SALUSTIANA</t>
        </is>
      </c>
      <c r="D394" t="inlineStr">
        <is>
          <t>Kg campaña</t>
        </is>
      </c>
      <c r="E394" t="n">
        <v>224459</v>
      </c>
      <c r="I394" t="inlineStr"/>
    </row>
    <row r="395">
      <c r="A395" t="n">
        <v>1540</v>
      </c>
      <c r="B395" t="inlineStr">
        <is>
          <t>AGRICOLA SANCHEZ CUENCA S.C.</t>
        </is>
      </c>
      <c r="C395" t="inlineStr">
        <is>
          <t>SALUSTIANA</t>
        </is>
      </c>
      <c r="D395" t="inlineStr">
        <is>
          <t>Índice</t>
        </is>
      </c>
      <c r="E395" t="n">
        <v>0.005177783024962242</v>
      </c>
      <c r="I395" t="inlineStr"/>
    </row>
    <row r="396">
      <c r="A396" t="n">
        <v>1540</v>
      </c>
      <c r="B396" t="inlineStr">
        <is>
          <t>AGRICOLA SANCHEZ CUENCA S.C.</t>
        </is>
      </c>
      <c r="C396" t="inlineStr">
        <is>
          <t>SALUSTIANA</t>
        </is>
      </c>
      <c r="D396" t="inlineStr">
        <is>
          <t>Kg remesa</t>
        </is>
      </c>
      <c r="E396" t="n">
        <v>200979</v>
      </c>
      <c r="I396" t="inlineStr"/>
    </row>
    <row r="397">
      <c r="A397" t="n">
        <v>1540</v>
      </c>
      <c r="B397" t="inlineStr">
        <is>
          <t>AGRICOLA SANCHEZ CUENCA S.C.</t>
        </is>
      </c>
      <c r="C397" t="inlineStr">
        <is>
          <t>SALUSTIANA</t>
        </is>
      </c>
      <c r="D397" t="inlineStr">
        <is>
          <t>Cuota parcial</t>
        </is>
      </c>
      <c r="E397" t="n">
        <v>1040.63</v>
      </c>
      <c r="I397" t="inlineStr"/>
    </row>
    <row r="398">
      <c r="A398" t="n">
        <v>1540</v>
      </c>
      <c r="B398" t="inlineStr">
        <is>
          <t>AGRICOLA SANCHEZ CUENCA S.C.</t>
        </is>
      </c>
      <c r="C398" t="inlineStr">
        <is>
          <t>SALUSTIANA</t>
        </is>
      </c>
      <c r="D398" t="inlineStr">
        <is>
          <t>Importe bruto</t>
        </is>
      </c>
      <c r="E398" t="n">
        <v>74145.41</v>
      </c>
      <c r="I398" t="inlineStr"/>
    </row>
    <row r="399">
      <c r="A399" t="n">
        <v>1540</v>
      </c>
      <c r="B399" t="inlineStr">
        <is>
          <t>AGRICOLA SANCHEZ CUENCA S.C.</t>
        </is>
      </c>
      <c r="C399" t="inlineStr">
        <is>
          <t>SALUSTIANA</t>
        </is>
      </c>
      <c r="D399" t="inlineStr">
        <is>
          <t>Recolección</t>
        </is>
      </c>
      <c r="E399" t="n">
        <v>14470.49</v>
      </c>
      <c r="I399" t="inlineStr"/>
    </row>
    <row r="400">
      <c r="A400" t="n">
        <v>1540</v>
      </c>
      <c r="B400" t="inlineStr">
        <is>
          <t>AGRICOLA SANCHEZ CUENCA S.C.</t>
        </is>
      </c>
      <c r="C400" t="inlineStr">
        <is>
          <t>SALUSTIANA</t>
        </is>
      </c>
      <c r="D400" t="inlineStr">
        <is>
          <t>Transporte</t>
        </is>
      </c>
      <c r="E400" t="n">
        <v>0</v>
      </c>
      <c r="I400" t="inlineStr"/>
    </row>
    <row r="401">
      <c r="A401" t="n">
        <v>1540</v>
      </c>
      <c r="B401" t="inlineStr">
        <is>
          <t>AGRICOLA SANCHEZ CUENCA S.C.</t>
        </is>
      </c>
      <c r="C401" t="inlineStr">
        <is>
          <t>SALUSTIANA</t>
        </is>
      </c>
      <c r="D401" t="inlineStr">
        <is>
          <t>Calidad</t>
        </is>
      </c>
      <c r="E401" t="n">
        <v>0</v>
      </c>
      <c r="I401" t="inlineStr"/>
    </row>
    <row r="402">
      <c r="A402" t="n">
        <v>1540</v>
      </c>
      <c r="B402" t="inlineStr">
        <is>
          <t>AGRICOLA SANCHEZ CUENCA S.C.</t>
        </is>
      </c>
      <c r="C402" t="inlineStr">
        <is>
          <t>SALUSTIANA</t>
        </is>
      </c>
      <c r="D402" t="inlineStr">
        <is>
          <t>GlobalGAP</t>
        </is>
      </c>
      <c r="E402" t="n">
        <v>3067.91</v>
      </c>
      <c r="I402" t="inlineStr"/>
    </row>
    <row r="403">
      <c r="A403" t="n">
        <v>1540</v>
      </c>
      <c r="B403" t="inlineStr">
        <is>
          <t>AGRICOLA SANCHEZ CUENCA S.C.</t>
        </is>
      </c>
      <c r="C403" t="inlineStr">
        <is>
          <t>SALUSTIANA</t>
        </is>
      </c>
      <c r="D403" t="inlineStr">
        <is>
          <t>Base imponible</t>
        </is>
      </c>
      <c r="E403" t="n">
        <v>61702.2</v>
      </c>
      <c r="I403" t="inlineStr"/>
    </row>
    <row r="404">
      <c r="A404" t="n">
        <v>1540</v>
      </c>
      <c r="B404" t="inlineStr">
        <is>
          <t>AGRICOLA SANCHEZ CUENCA S.C.</t>
        </is>
      </c>
      <c r="C404" t="inlineStr">
        <is>
          <t>SALUSTIANA</t>
        </is>
      </c>
      <c r="D404" t="inlineStr">
        <is>
          <t>IVA</t>
        </is>
      </c>
      <c r="E404" t="n">
        <v>7404.26</v>
      </c>
      <c r="I404" t="inlineStr"/>
    </row>
    <row r="405">
      <c r="A405" t="n">
        <v>1540</v>
      </c>
      <c r="B405" t="inlineStr">
        <is>
          <t>AGRICOLA SANCHEZ CUENCA S.C.</t>
        </is>
      </c>
      <c r="C405" t="inlineStr">
        <is>
          <t>SALUSTIANA</t>
        </is>
      </c>
      <c r="D405" t="inlineStr">
        <is>
          <t>Retención</t>
        </is>
      </c>
      <c r="E405" t="n">
        <v>1382.13</v>
      </c>
      <c r="I405" t="inlineStr"/>
    </row>
    <row r="406">
      <c r="A406" t="n">
        <v>1540</v>
      </c>
      <c r="B406" t="inlineStr">
        <is>
          <t>AGRICOLA SANCHEZ CUENCA S.C.</t>
        </is>
      </c>
      <c r="C406" t="inlineStr">
        <is>
          <t>SALUSTIANA</t>
        </is>
      </c>
      <c r="D406" t="inlineStr">
        <is>
          <t>Total</t>
        </is>
      </c>
      <c r="E406" t="n">
        <v>67724.33</v>
      </c>
      <c r="I406" t="inlineStr"/>
    </row>
    <row r="407">
      <c r="A407" t="n">
        <v>1544</v>
      </c>
      <c r="B407" t="inlineStr">
        <is>
          <t>HARO ORDOÑO, ALVARO</t>
        </is>
      </c>
      <c r="C407" t="inlineStr">
        <is>
          <t>SALUSTIANA</t>
        </is>
      </c>
      <c r="D407" t="inlineStr">
        <is>
          <t>Hectáreas</t>
        </is>
      </c>
      <c r="E407" t="n">
        <v>3.8</v>
      </c>
      <c r="I407" t="inlineStr"/>
    </row>
    <row r="408">
      <c r="A408" t="n">
        <v>1544</v>
      </c>
      <c r="B408" t="inlineStr">
        <is>
          <t>HARO ORDOÑO, ALVARO</t>
        </is>
      </c>
      <c r="C408" t="inlineStr">
        <is>
          <t>SALUSTIANA</t>
        </is>
      </c>
      <c r="D408" t="inlineStr">
        <is>
          <t>Cuota teórica</t>
        </is>
      </c>
      <c r="E408" t="n">
        <v>741</v>
      </c>
      <c r="I408" t="inlineStr"/>
    </row>
    <row r="409">
      <c r="A409" t="n">
        <v>1544</v>
      </c>
      <c r="B409" t="inlineStr">
        <is>
          <t>HARO ORDOÑO, ALVARO</t>
        </is>
      </c>
      <c r="C409" t="inlineStr">
        <is>
          <t>SALUSTIANA</t>
        </is>
      </c>
      <c r="D409" t="inlineStr">
        <is>
          <t>Kg campaña</t>
        </is>
      </c>
      <c r="E409" t="n">
        <v>131717</v>
      </c>
      <c r="I409" t="inlineStr"/>
    </row>
    <row r="410">
      <c r="A410" t="n">
        <v>1544</v>
      </c>
      <c r="B410" t="inlineStr">
        <is>
          <t>HARO ORDOÑO, ALVARO</t>
        </is>
      </c>
      <c r="C410" t="inlineStr">
        <is>
          <t>SALUSTIANA</t>
        </is>
      </c>
      <c r="D410" t="inlineStr">
        <is>
          <t>Índice</t>
        </is>
      </c>
      <c r="E410" t="n">
        <v>0.005625697518163942</v>
      </c>
      <c r="I410" t="inlineStr"/>
    </row>
    <row r="411">
      <c r="A411" t="n">
        <v>1544</v>
      </c>
      <c r="B411" t="inlineStr">
        <is>
          <t>HARO ORDOÑO, ALVARO</t>
        </is>
      </c>
      <c r="C411" t="inlineStr">
        <is>
          <t>SALUSTIANA</t>
        </is>
      </c>
      <c r="D411" t="inlineStr">
        <is>
          <t>Kg remesa</t>
        </is>
      </c>
      <c r="E411" t="n">
        <v>30040</v>
      </c>
      <c r="I411" t="inlineStr"/>
    </row>
    <row r="412">
      <c r="A412" t="n">
        <v>1544</v>
      </c>
      <c r="B412" t="inlineStr">
        <is>
          <t>HARO ORDOÑO, ALVARO</t>
        </is>
      </c>
      <c r="C412" t="inlineStr">
        <is>
          <t>SALUSTIANA</t>
        </is>
      </c>
      <c r="D412" t="inlineStr">
        <is>
          <t>Cuota parcial</t>
        </is>
      </c>
      <c r="E412" t="n">
        <v>169</v>
      </c>
      <c r="I412" t="inlineStr"/>
    </row>
    <row r="413">
      <c r="A413" t="n">
        <v>1544</v>
      </c>
      <c r="B413" t="inlineStr">
        <is>
          <t>HARO ORDOÑO, ALVARO</t>
        </is>
      </c>
      <c r="C413" t="inlineStr">
        <is>
          <t>SALUSTIANA</t>
        </is>
      </c>
      <c r="D413" t="inlineStr">
        <is>
          <t>Importe bruto</t>
        </is>
      </c>
      <c r="E413" t="n">
        <v>10405.43</v>
      </c>
      <c r="I413" t="inlineStr"/>
    </row>
    <row r="414">
      <c r="A414" t="n">
        <v>1544</v>
      </c>
      <c r="B414" t="inlineStr">
        <is>
          <t>HARO ORDOÑO, ALVARO</t>
        </is>
      </c>
      <c r="C414" t="inlineStr">
        <is>
          <t>SALUSTIANA</t>
        </is>
      </c>
      <c r="D414" t="inlineStr">
        <is>
          <t>Recolección</t>
        </is>
      </c>
      <c r="E414" t="n">
        <v>2162.88</v>
      </c>
      <c r="I414" t="inlineStr"/>
    </row>
    <row r="415">
      <c r="A415" t="n">
        <v>1544</v>
      </c>
      <c r="B415" t="inlineStr">
        <is>
          <t>HARO ORDOÑO, ALVARO</t>
        </is>
      </c>
      <c r="C415" t="inlineStr">
        <is>
          <t>SALUSTIANA</t>
        </is>
      </c>
      <c r="D415" t="inlineStr">
        <is>
          <t>Transporte</t>
        </is>
      </c>
      <c r="E415" t="n">
        <v>0</v>
      </c>
      <c r="I415" t="inlineStr"/>
    </row>
    <row r="416">
      <c r="A416" t="n">
        <v>1544</v>
      </c>
      <c r="B416" t="inlineStr">
        <is>
          <t>HARO ORDOÑO, ALVARO</t>
        </is>
      </c>
      <c r="C416" t="inlineStr">
        <is>
          <t>SALUSTIANA</t>
        </is>
      </c>
      <c r="D416" t="inlineStr">
        <is>
          <t>Calidad</t>
        </is>
      </c>
      <c r="E416" t="n">
        <v>0</v>
      </c>
      <c r="I416" t="inlineStr"/>
    </row>
    <row r="417">
      <c r="A417" t="n">
        <v>1544</v>
      </c>
      <c r="B417" t="inlineStr">
        <is>
          <t>HARO ORDOÑO, ALVARO</t>
        </is>
      </c>
      <c r="C417" t="inlineStr">
        <is>
          <t>SALUSTIANA</t>
        </is>
      </c>
      <c r="D417" t="inlineStr">
        <is>
          <t>GlobalGAP</t>
        </is>
      </c>
      <c r="E417" t="n">
        <v>0</v>
      </c>
      <c r="I417" t="inlineStr"/>
    </row>
    <row r="418">
      <c r="A418" t="n">
        <v>1544</v>
      </c>
      <c r="B418" t="inlineStr">
        <is>
          <t>HARO ORDOÑO, ALVARO</t>
        </is>
      </c>
      <c r="C418" t="inlineStr">
        <is>
          <t>SALUSTIANA</t>
        </is>
      </c>
      <c r="D418" t="inlineStr">
        <is>
          <t>Base imponible</t>
        </is>
      </c>
      <c r="E418" t="n">
        <v>8073.55</v>
      </c>
      <c r="I418" t="inlineStr"/>
    </row>
    <row r="419">
      <c r="A419" t="n">
        <v>1544</v>
      </c>
      <c r="B419" t="inlineStr">
        <is>
          <t>HARO ORDOÑO, ALVARO</t>
        </is>
      </c>
      <c r="C419" t="inlineStr">
        <is>
          <t>SALUSTIANA</t>
        </is>
      </c>
      <c r="D419" t="inlineStr">
        <is>
          <t>IVA</t>
        </is>
      </c>
      <c r="E419" t="n">
        <v>968.83</v>
      </c>
      <c r="I419" t="inlineStr"/>
    </row>
    <row r="420">
      <c r="A420" t="n">
        <v>1544</v>
      </c>
      <c r="B420" t="inlineStr">
        <is>
          <t>HARO ORDOÑO, ALVARO</t>
        </is>
      </c>
      <c r="C420" t="inlineStr">
        <is>
          <t>SALUSTIANA</t>
        </is>
      </c>
      <c r="D420" t="inlineStr">
        <is>
          <t>Retención</t>
        </is>
      </c>
      <c r="E420" t="n">
        <v>180.85</v>
      </c>
      <c r="I420" t="inlineStr"/>
    </row>
    <row r="421">
      <c r="A421" t="n">
        <v>1544</v>
      </c>
      <c r="B421" t="inlineStr">
        <is>
          <t>HARO ORDOÑO, ALVARO</t>
        </is>
      </c>
      <c r="C421" t="inlineStr">
        <is>
          <t>SALUSTIANA</t>
        </is>
      </c>
      <c r="D421" t="inlineStr">
        <is>
          <t>Total</t>
        </is>
      </c>
      <c r="E421" t="n">
        <v>8861.530000000001</v>
      </c>
      <c r="I421" t="inlineStr"/>
    </row>
    <row r="422">
      <c r="A422" t="n">
        <v>1564</v>
      </c>
      <c r="B422" t="inlineStr">
        <is>
          <t>VARELA MUÑOZ, ANTONIO</t>
        </is>
      </c>
      <c r="C422" t="inlineStr">
        <is>
          <t>SALUSTIANA</t>
        </is>
      </c>
      <c r="D422" t="inlineStr">
        <is>
          <t>Hectáreas</t>
        </is>
      </c>
      <c r="E422" t="n">
        <v>0.89</v>
      </c>
      <c r="I422" t="inlineStr"/>
    </row>
    <row r="423">
      <c r="A423" t="n">
        <v>1564</v>
      </c>
      <c r="B423" t="inlineStr">
        <is>
          <t>VARELA MUÑOZ, ANTONIO</t>
        </is>
      </c>
      <c r="C423" t="inlineStr">
        <is>
          <t>SALUSTIANA</t>
        </is>
      </c>
      <c r="D423" t="inlineStr">
        <is>
          <t>Cuota teórica</t>
        </is>
      </c>
      <c r="E423" t="n">
        <v>173.55</v>
      </c>
      <c r="I423" t="inlineStr"/>
    </row>
    <row r="424">
      <c r="A424" t="n">
        <v>1564</v>
      </c>
      <c r="B424" t="inlineStr">
        <is>
          <t>VARELA MUÑOZ, ANTONIO</t>
        </is>
      </c>
      <c r="C424" t="inlineStr">
        <is>
          <t>SALUSTIANA</t>
        </is>
      </c>
      <c r="D424" t="inlineStr">
        <is>
          <t>Kg campaña</t>
        </is>
      </c>
      <c r="E424" t="n">
        <v>29668</v>
      </c>
      <c r="I424" t="inlineStr"/>
    </row>
    <row r="425">
      <c r="A425" t="n">
        <v>1564</v>
      </c>
      <c r="B425" t="inlineStr">
        <is>
          <t>VARELA MUÑOZ, ANTONIO</t>
        </is>
      </c>
      <c r="C425" t="inlineStr">
        <is>
          <t>SALUSTIANA</t>
        </is>
      </c>
      <c r="D425" t="inlineStr">
        <is>
          <t>Índice</t>
        </is>
      </c>
      <c r="E425" t="n">
        <v>0.005849737090467844</v>
      </c>
      <c r="I425" t="inlineStr"/>
    </row>
    <row r="426">
      <c r="A426" t="n">
        <v>1564</v>
      </c>
      <c r="B426" t="inlineStr">
        <is>
          <t>VARELA MUÑOZ, ANTONIO</t>
        </is>
      </c>
      <c r="C426" t="inlineStr">
        <is>
          <t>SALUSTIANA</t>
        </is>
      </c>
      <c r="D426" t="inlineStr">
        <is>
          <t>Kg remesa</t>
        </is>
      </c>
      <c r="E426" t="n">
        <v>28013</v>
      </c>
      <c r="I426" t="inlineStr"/>
    </row>
    <row r="427">
      <c r="A427" t="n">
        <v>1564</v>
      </c>
      <c r="B427" t="inlineStr">
        <is>
          <t>VARELA MUÑOZ, ANTONIO</t>
        </is>
      </c>
      <c r="C427" t="inlineStr">
        <is>
          <t>SALUSTIANA</t>
        </is>
      </c>
      <c r="D427" t="inlineStr">
        <is>
          <t>Cuota parcial</t>
        </is>
      </c>
      <c r="E427" t="n">
        <v>163.87</v>
      </c>
      <c r="I427" t="inlineStr"/>
    </row>
    <row r="428">
      <c r="A428" t="n">
        <v>1564</v>
      </c>
      <c r="B428" t="inlineStr">
        <is>
          <t>VARELA MUÑOZ, ANTONIO</t>
        </is>
      </c>
      <c r="C428" t="inlineStr">
        <is>
          <t>SALUSTIANA</t>
        </is>
      </c>
      <c r="D428" t="inlineStr">
        <is>
          <t>Importe bruto</t>
        </is>
      </c>
      <c r="E428" t="n">
        <v>9831.85</v>
      </c>
      <c r="I428" t="inlineStr"/>
    </row>
    <row r="429">
      <c r="A429" t="n">
        <v>1564</v>
      </c>
      <c r="B429" t="inlineStr">
        <is>
          <t>VARELA MUÑOZ, ANTONIO</t>
        </is>
      </c>
      <c r="C429" t="inlineStr">
        <is>
          <t>SALUSTIANA</t>
        </is>
      </c>
      <c r="D429" t="inlineStr">
        <is>
          <t>Recolección</t>
        </is>
      </c>
      <c r="E429" t="n">
        <v>2016.94</v>
      </c>
      <c r="I429" t="inlineStr"/>
    </row>
    <row r="430">
      <c r="A430" t="n">
        <v>1564</v>
      </c>
      <c r="B430" t="inlineStr">
        <is>
          <t>VARELA MUÑOZ, ANTONIO</t>
        </is>
      </c>
      <c r="C430" t="inlineStr">
        <is>
          <t>SALUSTIANA</t>
        </is>
      </c>
      <c r="D430" t="inlineStr">
        <is>
          <t>Transporte</t>
        </is>
      </c>
      <c r="E430" t="n">
        <v>0</v>
      </c>
      <c r="I430" t="inlineStr"/>
    </row>
    <row r="431">
      <c r="A431" t="n">
        <v>1564</v>
      </c>
      <c r="B431" t="inlineStr">
        <is>
          <t>VARELA MUÑOZ, ANTONIO</t>
        </is>
      </c>
      <c r="C431" t="inlineStr">
        <is>
          <t>SALUSTIANA</t>
        </is>
      </c>
      <c r="D431" t="inlineStr">
        <is>
          <t>Calidad</t>
        </is>
      </c>
      <c r="E431" t="n">
        <v>0</v>
      </c>
      <c r="I431" t="inlineStr"/>
    </row>
    <row r="432">
      <c r="A432" t="n">
        <v>1564</v>
      </c>
      <c r="B432" t="inlineStr">
        <is>
          <t>VARELA MUÑOZ, ANTONIO</t>
        </is>
      </c>
      <c r="C432" t="inlineStr">
        <is>
          <t>SALUSTIANA</t>
        </is>
      </c>
      <c r="D432" t="inlineStr">
        <is>
          <t>GlobalGAP</t>
        </is>
      </c>
      <c r="E432" t="n">
        <v>0</v>
      </c>
      <c r="I432" t="inlineStr"/>
    </row>
    <row r="433">
      <c r="A433" t="n">
        <v>1564</v>
      </c>
      <c r="B433" t="inlineStr">
        <is>
          <t>VARELA MUÑOZ, ANTONIO</t>
        </is>
      </c>
      <c r="C433" t="inlineStr">
        <is>
          <t>SALUSTIANA</t>
        </is>
      </c>
      <c r="D433" t="inlineStr">
        <is>
          <t>Base imponible</t>
        </is>
      </c>
      <c r="E433" t="n">
        <v>7651.04</v>
      </c>
      <c r="I433" t="inlineStr"/>
    </row>
    <row r="434">
      <c r="A434" t="n">
        <v>1564</v>
      </c>
      <c r="B434" t="inlineStr">
        <is>
          <t>VARELA MUÑOZ, ANTONIO</t>
        </is>
      </c>
      <c r="C434" t="inlineStr">
        <is>
          <t>SALUSTIANA</t>
        </is>
      </c>
      <c r="D434" t="inlineStr">
        <is>
          <t>IVA</t>
        </is>
      </c>
      <c r="E434" t="n">
        <v>918.12</v>
      </c>
      <c r="I434" t="inlineStr"/>
    </row>
    <row r="435">
      <c r="A435" t="n">
        <v>1564</v>
      </c>
      <c r="B435" t="inlineStr">
        <is>
          <t>VARELA MUÑOZ, ANTONIO</t>
        </is>
      </c>
      <c r="C435" t="inlineStr">
        <is>
          <t>SALUSTIANA</t>
        </is>
      </c>
      <c r="D435" t="inlineStr">
        <is>
          <t>Retención</t>
        </is>
      </c>
      <c r="E435" t="n">
        <v>171.38</v>
      </c>
      <c r="I435" t="inlineStr"/>
    </row>
    <row r="436">
      <c r="A436" t="n">
        <v>1564</v>
      </c>
      <c r="B436" t="inlineStr">
        <is>
          <t>VARELA MUÑOZ, ANTONIO</t>
        </is>
      </c>
      <c r="C436" t="inlineStr">
        <is>
          <t>SALUSTIANA</t>
        </is>
      </c>
      <c r="D436" t="inlineStr">
        <is>
          <t>Total</t>
        </is>
      </c>
      <c r="E436" t="n">
        <v>8397.780000000001</v>
      </c>
      <c r="I436" t="inlineStr"/>
    </row>
    <row r="437">
      <c r="A437" t="n">
        <v>1577</v>
      </c>
      <c r="B437" t="inlineStr">
        <is>
          <t>GOMEZ GUERRERO, MARIA MERCEDES</t>
        </is>
      </c>
      <c r="C437" t="inlineStr">
        <is>
          <t>SALUSTIANA</t>
        </is>
      </c>
      <c r="D437" t="inlineStr">
        <is>
          <t>Hectáreas</t>
        </is>
      </c>
      <c r="E437" t="n">
        <v>7.35</v>
      </c>
      <c r="I437" t="inlineStr"/>
    </row>
    <row r="438">
      <c r="A438" t="n">
        <v>1577</v>
      </c>
      <c r="B438" t="inlineStr">
        <is>
          <t>GOMEZ GUERRERO, MARIA MERCEDES</t>
        </is>
      </c>
      <c r="C438" t="inlineStr">
        <is>
          <t>SALUSTIANA</t>
        </is>
      </c>
      <c r="D438" t="inlineStr">
        <is>
          <t>Cuota teórica</t>
        </is>
      </c>
      <c r="E438" t="n">
        <v>1433.25</v>
      </c>
      <c r="I438" t="inlineStr"/>
    </row>
    <row r="439">
      <c r="A439" t="n">
        <v>1577</v>
      </c>
      <c r="B439" t="inlineStr">
        <is>
          <t>GOMEZ GUERRERO, MARIA MERCEDES</t>
        </is>
      </c>
      <c r="C439" t="inlineStr">
        <is>
          <t>SALUSTIANA</t>
        </is>
      </c>
      <c r="D439" t="inlineStr">
        <is>
          <t>Kg campaña</t>
        </is>
      </c>
      <c r="E439" t="n">
        <v>224568</v>
      </c>
      <c r="I439" t="inlineStr"/>
    </row>
    <row r="440">
      <c r="A440" t="n">
        <v>1577</v>
      </c>
      <c r="B440" t="inlineStr">
        <is>
          <t>GOMEZ GUERRERO, MARIA MERCEDES</t>
        </is>
      </c>
      <c r="C440" t="inlineStr">
        <is>
          <t>SALUSTIANA</t>
        </is>
      </c>
      <c r="D440" t="inlineStr">
        <is>
          <t>Índice</t>
        </is>
      </c>
      <c r="E440" t="n">
        <v>0.006382253927540878</v>
      </c>
      <c r="I440" t="inlineStr"/>
    </row>
    <row r="441">
      <c r="A441" t="n">
        <v>1577</v>
      </c>
      <c r="B441" t="inlineStr">
        <is>
          <t>GOMEZ GUERRERO, MARIA MERCEDES</t>
        </is>
      </c>
      <c r="C441" t="inlineStr">
        <is>
          <t>SALUSTIANA</t>
        </is>
      </c>
      <c r="D441" t="inlineStr">
        <is>
          <t>Kg remesa</t>
        </is>
      </c>
      <c r="E441" t="n">
        <v>139693</v>
      </c>
      <c r="I441" t="inlineStr"/>
    </row>
    <row r="442">
      <c r="A442" t="n">
        <v>1577</v>
      </c>
      <c r="B442" t="inlineStr">
        <is>
          <t>GOMEZ GUERRERO, MARIA MERCEDES</t>
        </is>
      </c>
      <c r="C442" t="inlineStr">
        <is>
          <t>SALUSTIANA</t>
        </is>
      </c>
      <c r="D442" t="inlineStr">
        <is>
          <t>Cuota parcial</t>
        </is>
      </c>
      <c r="E442" t="n">
        <v>891.5599999999999</v>
      </c>
      <c r="I442" t="inlineStr"/>
    </row>
    <row r="443">
      <c r="A443" t="n">
        <v>1577</v>
      </c>
      <c r="B443" t="inlineStr">
        <is>
          <t>GOMEZ GUERRERO, MARIA MERCEDES</t>
        </is>
      </c>
      <c r="C443" t="inlineStr">
        <is>
          <t>SALUSTIANA</t>
        </is>
      </c>
      <c r="D443" t="inlineStr">
        <is>
          <t>Importe bruto</t>
        </is>
      </c>
      <c r="E443" t="n">
        <v>51769.2</v>
      </c>
      <c r="I443" t="inlineStr"/>
    </row>
    <row r="444">
      <c r="A444" t="n">
        <v>1577</v>
      </c>
      <c r="B444" t="inlineStr">
        <is>
          <t>GOMEZ GUERRERO, MARIA MERCEDES</t>
        </is>
      </c>
      <c r="C444" t="inlineStr">
        <is>
          <t>SALUSTIANA</t>
        </is>
      </c>
      <c r="D444" t="inlineStr">
        <is>
          <t>Recolección</t>
        </is>
      </c>
      <c r="E444" t="n">
        <v>10057.89</v>
      </c>
      <c r="I444" t="inlineStr"/>
    </row>
    <row r="445">
      <c r="A445" t="n">
        <v>1577</v>
      </c>
      <c r="B445" t="inlineStr">
        <is>
          <t>GOMEZ GUERRERO, MARIA MERCEDES</t>
        </is>
      </c>
      <c r="C445" t="inlineStr">
        <is>
          <t>SALUSTIANA</t>
        </is>
      </c>
      <c r="D445" t="inlineStr">
        <is>
          <t>Transporte</t>
        </is>
      </c>
      <c r="E445" t="n">
        <v>0</v>
      </c>
      <c r="I445" t="inlineStr"/>
    </row>
    <row r="446">
      <c r="A446" t="n">
        <v>1577</v>
      </c>
      <c r="B446" t="inlineStr">
        <is>
          <t>GOMEZ GUERRERO, MARIA MERCEDES</t>
        </is>
      </c>
      <c r="C446" t="inlineStr">
        <is>
          <t>SALUSTIANA</t>
        </is>
      </c>
      <c r="D446" t="inlineStr">
        <is>
          <t>Calidad</t>
        </is>
      </c>
      <c r="E446" t="n">
        <v>0</v>
      </c>
      <c r="I446" t="inlineStr"/>
    </row>
    <row r="447">
      <c r="A447" t="n">
        <v>1577</v>
      </c>
      <c r="B447" t="inlineStr">
        <is>
          <t>GOMEZ GUERRERO, MARIA MERCEDES</t>
        </is>
      </c>
      <c r="C447" t="inlineStr">
        <is>
          <t>SALUSTIANA</t>
        </is>
      </c>
      <c r="D447" t="inlineStr">
        <is>
          <t>GlobalGAP</t>
        </is>
      </c>
      <c r="E447" t="n">
        <v>2136.13</v>
      </c>
      <c r="I447" t="inlineStr"/>
    </row>
    <row r="448">
      <c r="A448" t="n">
        <v>1577</v>
      </c>
      <c r="B448" t="inlineStr">
        <is>
          <t>GOMEZ GUERRERO, MARIA MERCEDES</t>
        </is>
      </c>
      <c r="C448" t="inlineStr">
        <is>
          <t>SALUSTIANA</t>
        </is>
      </c>
      <c r="D448" t="inlineStr">
        <is>
          <t>Base imponible</t>
        </is>
      </c>
      <c r="E448" t="n">
        <v>42955.88</v>
      </c>
      <c r="I448" t="inlineStr"/>
    </row>
    <row r="449">
      <c r="A449" t="n">
        <v>1577</v>
      </c>
      <c r="B449" t="inlineStr">
        <is>
          <t>GOMEZ GUERRERO, MARIA MERCEDES</t>
        </is>
      </c>
      <c r="C449" t="inlineStr">
        <is>
          <t>SALUSTIANA</t>
        </is>
      </c>
      <c r="D449" t="inlineStr">
        <is>
          <t>IVA</t>
        </is>
      </c>
      <c r="E449" t="n">
        <v>5154.71</v>
      </c>
      <c r="I449" t="inlineStr"/>
    </row>
    <row r="450">
      <c r="A450" t="n">
        <v>1577</v>
      </c>
      <c r="B450" t="inlineStr">
        <is>
          <t>GOMEZ GUERRERO, MARIA MERCEDES</t>
        </is>
      </c>
      <c r="C450" t="inlineStr">
        <is>
          <t>SALUSTIANA</t>
        </is>
      </c>
      <c r="D450" t="inlineStr">
        <is>
          <t>Retención</t>
        </is>
      </c>
      <c r="E450" t="n">
        <v>962.21</v>
      </c>
      <c r="I450" t="inlineStr"/>
    </row>
    <row r="451">
      <c r="A451" t="n">
        <v>1577</v>
      </c>
      <c r="B451" t="inlineStr">
        <is>
          <t>GOMEZ GUERRERO, MARIA MERCEDES</t>
        </is>
      </c>
      <c r="C451" t="inlineStr">
        <is>
          <t>SALUSTIANA</t>
        </is>
      </c>
      <c r="D451" t="inlineStr">
        <is>
          <t>Total</t>
        </is>
      </c>
      <c r="E451" t="n">
        <v>47148.37</v>
      </c>
      <c r="I451" t="inlineStr"/>
    </row>
    <row r="452">
      <c r="A452" t="n">
        <v>1579</v>
      </c>
      <c r="B452" t="inlineStr">
        <is>
          <t>PEREZ JIMENEZ, ALFONSA</t>
        </is>
      </c>
      <c r="C452" t="inlineStr">
        <is>
          <t>SALUSTIANA</t>
        </is>
      </c>
      <c r="D452" t="inlineStr">
        <is>
          <t>Hectáreas</t>
        </is>
      </c>
      <c r="E452" t="n">
        <v>0</v>
      </c>
      <c r="I452" t="inlineStr"/>
    </row>
    <row r="453">
      <c r="A453" t="n">
        <v>1579</v>
      </c>
      <c r="B453" t="inlineStr">
        <is>
          <t>PEREZ JIMENEZ, ALFONSA</t>
        </is>
      </c>
      <c r="C453" t="inlineStr">
        <is>
          <t>SALUSTIANA</t>
        </is>
      </c>
      <c r="D453" t="inlineStr">
        <is>
          <t>Cuota teórica</t>
        </is>
      </c>
      <c r="E453" t="n">
        <v>0</v>
      </c>
      <c r="I453" t="inlineStr"/>
    </row>
    <row r="454">
      <c r="A454" t="n">
        <v>1579</v>
      </c>
      <c r="B454" t="inlineStr">
        <is>
          <t>PEREZ JIMENEZ, ALFONSA</t>
        </is>
      </c>
      <c r="C454" t="inlineStr">
        <is>
          <t>SALUSTIANA</t>
        </is>
      </c>
      <c r="D454" t="inlineStr">
        <is>
          <t>Kg campaña</t>
        </is>
      </c>
      <c r="E454" t="n">
        <v>15197</v>
      </c>
      <c r="I454" t="inlineStr"/>
    </row>
    <row r="455">
      <c r="A455" t="n">
        <v>1579</v>
      </c>
      <c r="B455" t="inlineStr">
        <is>
          <t>PEREZ JIMENEZ, ALFONSA</t>
        </is>
      </c>
      <c r="C455" t="inlineStr">
        <is>
          <t>SALUSTIANA</t>
        </is>
      </c>
      <c r="D455" t="inlineStr">
        <is>
          <t>Índice</t>
        </is>
      </c>
      <c r="I455" t="inlineStr"/>
    </row>
    <row r="456">
      <c r="A456" t="n">
        <v>1579</v>
      </c>
      <c r="B456" t="inlineStr">
        <is>
          <t>PEREZ JIMENEZ, ALFONSA</t>
        </is>
      </c>
      <c r="C456" t="inlineStr">
        <is>
          <t>SALUSTIANA</t>
        </is>
      </c>
      <c r="D456" t="inlineStr">
        <is>
          <t>Kg remesa</t>
        </is>
      </c>
      <c r="E456" t="n">
        <v>6077</v>
      </c>
      <c r="I456" t="inlineStr"/>
    </row>
    <row r="457">
      <c r="A457" t="n">
        <v>1579</v>
      </c>
      <c r="B457" t="inlineStr">
        <is>
          <t>PEREZ JIMENEZ, ALFONSA</t>
        </is>
      </c>
      <c r="C457" t="inlineStr">
        <is>
          <t>SALUSTIANA</t>
        </is>
      </c>
      <c r="D457" t="inlineStr">
        <is>
          <t>Cuota parcial</t>
        </is>
      </c>
      <c r="E457" t="n">
        <v>0</v>
      </c>
      <c r="I457" t="inlineStr"/>
    </row>
    <row r="458">
      <c r="A458" t="n">
        <v>1579</v>
      </c>
      <c r="B458" t="inlineStr">
        <is>
          <t>PEREZ JIMENEZ, ALFONSA</t>
        </is>
      </c>
      <c r="C458" t="inlineStr">
        <is>
          <t>SALUSTIANA</t>
        </is>
      </c>
      <c r="D458" t="inlineStr">
        <is>
          <t>Importe bruto</t>
        </is>
      </c>
      <c r="E458" t="n">
        <v>2053.81</v>
      </c>
      <c r="I458" t="inlineStr"/>
    </row>
    <row r="459">
      <c r="A459" t="n">
        <v>1579</v>
      </c>
      <c r="B459" t="inlineStr">
        <is>
          <t>PEREZ JIMENEZ, ALFONSA</t>
        </is>
      </c>
      <c r="C459" t="inlineStr">
        <is>
          <t>SALUSTIANA</t>
        </is>
      </c>
      <c r="D459" t="inlineStr">
        <is>
          <t>Recolección</t>
        </is>
      </c>
      <c r="E459" t="n">
        <v>437.54</v>
      </c>
      <c r="I459" t="inlineStr"/>
    </row>
    <row r="460">
      <c r="A460" t="n">
        <v>1579</v>
      </c>
      <c r="B460" t="inlineStr">
        <is>
          <t>PEREZ JIMENEZ, ALFONSA</t>
        </is>
      </c>
      <c r="C460" t="inlineStr">
        <is>
          <t>SALUSTIANA</t>
        </is>
      </c>
      <c r="D460" t="inlineStr">
        <is>
          <t>Transporte</t>
        </is>
      </c>
      <c r="E460" t="n">
        <v>0</v>
      </c>
      <c r="I460" t="inlineStr"/>
    </row>
    <row r="461">
      <c r="A461" t="n">
        <v>1579</v>
      </c>
      <c r="B461" t="inlineStr">
        <is>
          <t>PEREZ JIMENEZ, ALFONSA</t>
        </is>
      </c>
      <c r="C461" t="inlineStr">
        <is>
          <t>SALUSTIANA</t>
        </is>
      </c>
      <c r="D461" t="inlineStr">
        <is>
          <t>Calidad</t>
        </is>
      </c>
      <c r="E461" t="n">
        <v>0</v>
      </c>
      <c r="I461" t="inlineStr"/>
    </row>
    <row r="462">
      <c r="A462" t="n">
        <v>1579</v>
      </c>
      <c r="B462" t="inlineStr">
        <is>
          <t>PEREZ JIMENEZ, ALFONSA</t>
        </is>
      </c>
      <c r="C462" t="inlineStr">
        <is>
          <t>SALUSTIANA</t>
        </is>
      </c>
      <c r="D462" t="inlineStr">
        <is>
          <t>GlobalGAP</t>
        </is>
      </c>
      <c r="E462" t="n">
        <v>0</v>
      </c>
      <c r="I462" t="inlineStr"/>
    </row>
    <row r="463">
      <c r="A463" t="n">
        <v>1579</v>
      </c>
      <c r="B463" t="inlineStr">
        <is>
          <t>PEREZ JIMENEZ, ALFONSA</t>
        </is>
      </c>
      <c r="C463" t="inlineStr">
        <is>
          <t>SALUSTIANA</t>
        </is>
      </c>
      <c r="D463" t="inlineStr">
        <is>
          <t>Base imponible</t>
        </is>
      </c>
      <c r="E463" t="n">
        <v>1616.27</v>
      </c>
      <c r="I463" t="inlineStr"/>
    </row>
    <row r="464">
      <c r="A464" t="n">
        <v>1579</v>
      </c>
      <c r="B464" t="inlineStr">
        <is>
          <t>PEREZ JIMENEZ, ALFONSA</t>
        </is>
      </c>
      <c r="C464" t="inlineStr">
        <is>
          <t>SALUSTIANA</t>
        </is>
      </c>
      <c r="D464" t="inlineStr">
        <is>
          <t>IVA</t>
        </is>
      </c>
      <c r="E464" t="n">
        <v>193.95</v>
      </c>
      <c r="I464" t="inlineStr"/>
    </row>
    <row r="465">
      <c r="A465" t="n">
        <v>1579</v>
      </c>
      <c r="B465" t="inlineStr">
        <is>
          <t>PEREZ JIMENEZ, ALFONSA</t>
        </is>
      </c>
      <c r="C465" t="inlineStr">
        <is>
          <t>SALUSTIANA</t>
        </is>
      </c>
      <c r="D465" t="inlineStr">
        <is>
          <t>Retención</t>
        </is>
      </c>
      <c r="E465" t="n">
        <v>36.2</v>
      </c>
      <c r="I465" t="inlineStr"/>
    </row>
    <row r="466">
      <c r="A466" t="n">
        <v>1579</v>
      </c>
      <c r="B466" t="inlineStr">
        <is>
          <t>PEREZ JIMENEZ, ALFONSA</t>
        </is>
      </c>
      <c r="C466" t="inlineStr">
        <is>
          <t>SALUSTIANA</t>
        </is>
      </c>
      <c r="D466" t="inlineStr">
        <is>
          <t>Total</t>
        </is>
      </c>
      <c r="E466" t="n">
        <v>1774.02</v>
      </c>
      <c r="I466" t="inlineStr"/>
    </row>
    <row r="467">
      <c r="A467" t="n">
        <v>1582</v>
      </c>
      <c r="B467" t="inlineStr">
        <is>
          <t>IGEÑO SANCHEZ, JOSE CARLOS</t>
        </is>
      </c>
      <c r="C467" t="inlineStr">
        <is>
          <t>SALUSTIANA</t>
        </is>
      </c>
      <c r="D467" t="inlineStr">
        <is>
          <t>Hectáreas</t>
        </is>
      </c>
      <c r="E467" t="n">
        <v>5.11</v>
      </c>
      <c r="I467" t="inlineStr"/>
    </row>
    <row r="468">
      <c r="A468" t="n">
        <v>1582</v>
      </c>
      <c r="B468" t="inlineStr">
        <is>
          <t>IGEÑO SANCHEZ, JOSE CARLOS</t>
        </is>
      </c>
      <c r="C468" t="inlineStr">
        <is>
          <t>SALUSTIANA</t>
        </is>
      </c>
      <c r="D468" t="inlineStr">
        <is>
          <t>Cuota teórica</t>
        </is>
      </c>
      <c r="E468" t="n">
        <v>996.45</v>
      </c>
      <c r="I468" t="inlineStr"/>
    </row>
    <row r="469">
      <c r="A469" t="n">
        <v>1582</v>
      </c>
      <c r="B469" t="inlineStr">
        <is>
          <t>IGEÑO SANCHEZ, JOSE CARLOS</t>
        </is>
      </c>
      <c r="C469" t="inlineStr">
        <is>
          <t>SALUSTIANA</t>
        </is>
      </c>
      <c r="D469" t="inlineStr">
        <is>
          <t>Kg campaña</t>
        </is>
      </c>
      <c r="E469" t="n">
        <v>208412</v>
      </c>
      <c r="I469" t="inlineStr"/>
    </row>
    <row r="470">
      <c r="A470" t="n">
        <v>1582</v>
      </c>
      <c r="B470" t="inlineStr">
        <is>
          <t>IGEÑO SANCHEZ, JOSE CARLOS</t>
        </is>
      </c>
      <c r="C470" t="inlineStr">
        <is>
          <t>SALUSTIANA</t>
        </is>
      </c>
      <c r="D470" t="inlineStr">
        <is>
          <t>Índice</t>
        </is>
      </c>
      <c r="E470" t="n">
        <v>0.004781154636009443</v>
      </c>
      <c r="I470" t="inlineStr"/>
    </row>
    <row r="471">
      <c r="A471" t="n">
        <v>1582</v>
      </c>
      <c r="B471" t="inlineStr">
        <is>
          <t>IGEÑO SANCHEZ, JOSE CARLOS</t>
        </is>
      </c>
      <c r="C471" t="inlineStr">
        <is>
          <t>SALUSTIANA</t>
        </is>
      </c>
      <c r="D471" t="inlineStr">
        <is>
          <t>Kg remesa</t>
        </is>
      </c>
      <c r="E471" t="n">
        <v>181394</v>
      </c>
      <c r="I471" t="inlineStr"/>
    </row>
    <row r="472">
      <c r="A472" t="n">
        <v>1582</v>
      </c>
      <c r="B472" t="inlineStr">
        <is>
          <t>IGEÑO SANCHEZ, JOSE CARLOS</t>
        </is>
      </c>
      <c r="C472" t="inlineStr">
        <is>
          <t>SALUSTIANA</t>
        </is>
      </c>
      <c r="D472" t="inlineStr">
        <is>
          <t>Cuota parcial</t>
        </is>
      </c>
      <c r="E472" t="n">
        <v>867.27</v>
      </c>
      <c r="I472" t="inlineStr"/>
    </row>
    <row r="473">
      <c r="A473" t="n">
        <v>1582</v>
      </c>
      <c r="B473" t="inlineStr">
        <is>
          <t>IGEÑO SANCHEZ, JOSE CARLOS</t>
        </is>
      </c>
      <c r="C473" t="inlineStr">
        <is>
          <t>SALUSTIANA</t>
        </is>
      </c>
      <c r="D473" t="inlineStr">
        <is>
          <t>Importe bruto</t>
        </is>
      </c>
      <c r="E473" t="n">
        <v>68624.89</v>
      </c>
      <c r="I473" t="inlineStr"/>
    </row>
    <row r="474">
      <c r="A474" t="n">
        <v>1582</v>
      </c>
      <c r="B474" t="inlineStr">
        <is>
          <t>IGEÑO SANCHEZ, JOSE CARLOS</t>
        </is>
      </c>
      <c r="C474" t="inlineStr">
        <is>
          <t>SALUSTIANA</t>
        </is>
      </c>
      <c r="D474" t="inlineStr">
        <is>
          <t>Recolección</t>
        </is>
      </c>
      <c r="E474" t="n">
        <v>13018.17</v>
      </c>
      <c r="I474" t="inlineStr"/>
    </row>
    <row r="475">
      <c r="A475" t="n">
        <v>1582</v>
      </c>
      <c r="B475" t="inlineStr">
        <is>
          <t>IGEÑO SANCHEZ, JOSE CARLOS</t>
        </is>
      </c>
      <c r="C475" t="inlineStr">
        <is>
          <t>SALUSTIANA</t>
        </is>
      </c>
      <c r="D475" t="inlineStr">
        <is>
          <t>Transporte</t>
        </is>
      </c>
      <c r="E475" t="n">
        <v>2013.47</v>
      </c>
      <c r="I475" t="inlineStr"/>
    </row>
    <row r="476">
      <c r="A476" t="n">
        <v>1582</v>
      </c>
      <c r="B476" t="inlineStr">
        <is>
          <t>IGEÑO SANCHEZ, JOSE CARLOS</t>
        </is>
      </c>
      <c r="C476" t="inlineStr">
        <is>
          <t>SALUSTIANA</t>
        </is>
      </c>
      <c r="D476" t="inlineStr">
        <is>
          <t>Calidad</t>
        </is>
      </c>
      <c r="E476" t="n">
        <v>0</v>
      </c>
      <c r="I476" t="inlineStr"/>
    </row>
    <row r="477">
      <c r="A477" t="n">
        <v>1582</v>
      </c>
      <c r="B477" t="inlineStr">
        <is>
          <t>IGEÑO SANCHEZ, JOSE CARLOS</t>
        </is>
      </c>
      <c r="C477" t="inlineStr">
        <is>
          <t>SALUSTIANA</t>
        </is>
      </c>
      <c r="D477" t="inlineStr">
        <is>
          <t>GlobalGAP</t>
        </is>
      </c>
      <c r="E477" t="n">
        <v>2778.46</v>
      </c>
      <c r="I477" t="inlineStr"/>
    </row>
    <row r="478">
      <c r="A478" t="n">
        <v>1582</v>
      </c>
      <c r="B478" t="inlineStr">
        <is>
          <t>IGEÑO SANCHEZ, JOSE CARLOS</t>
        </is>
      </c>
      <c r="C478" t="inlineStr">
        <is>
          <t>SALUSTIANA</t>
        </is>
      </c>
      <c r="D478" t="inlineStr">
        <is>
          <t>Base imponible</t>
        </is>
      </c>
      <c r="E478" t="n">
        <v>59531.38</v>
      </c>
      <c r="I478" t="inlineStr"/>
    </row>
    <row r="479">
      <c r="A479" t="n">
        <v>1582</v>
      </c>
      <c r="B479" t="inlineStr">
        <is>
          <t>IGEÑO SANCHEZ, JOSE CARLOS</t>
        </is>
      </c>
      <c r="C479" t="inlineStr">
        <is>
          <t>SALUSTIANA</t>
        </is>
      </c>
      <c r="D479" t="inlineStr">
        <is>
          <t>IVA</t>
        </is>
      </c>
      <c r="E479" t="n">
        <v>7143.77</v>
      </c>
      <c r="I479" t="inlineStr"/>
    </row>
    <row r="480">
      <c r="A480" t="n">
        <v>1582</v>
      </c>
      <c r="B480" t="inlineStr">
        <is>
          <t>IGEÑO SANCHEZ, JOSE CARLOS</t>
        </is>
      </c>
      <c r="C480" t="inlineStr">
        <is>
          <t>SALUSTIANA</t>
        </is>
      </c>
      <c r="D480" t="inlineStr">
        <is>
          <t>Retención</t>
        </is>
      </c>
      <c r="E480" t="n">
        <v>1333.5</v>
      </c>
      <c r="I480" t="inlineStr"/>
    </row>
    <row r="481">
      <c r="A481" t="n">
        <v>1582</v>
      </c>
      <c r="B481" t="inlineStr">
        <is>
          <t>IGEÑO SANCHEZ, JOSE CARLOS</t>
        </is>
      </c>
      <c r="C481" t="inlineStr">
        <is>
          <t>SALUSTIANA</t>
        </is>
      </c>
      <c r="D481" t="inlineStr">
        <is>
          <t>Total</t>
        </is>
      </c>
      <c r="E481" t="n">
        <v>65341.64</v>
      </c>
      <c r="I481" t="inlineStr"/>
    </row>
    <row r="482">
      <c r="A482" t="n">
        <v>1585</v>
      </c>
      <c r="B482" t="inlineStr">
        <is>
          <t>CESPEDES AGUILAR, PATRICIA</t>
        </is>
      </c>
      <c r="C482" t="inlineStr">
        <is>
          <t>SALUSTIANA</t>
        </is>
      </c>
      <c r="D482" t="inlineStr">
        <is>
          <t>Hectáreas</t>
        </is>
      </c>
      <c r="E482" t="n">
        <v>8.34</v>
      </c>
      <c r="I482" t="inlineStr"/>
    </row>
    <row r="483">
      <c r="A483" t="n">
        <v>1585</v>
      </c>
      <c r="B483" t="inlineStr">
        <is>
          <t>CESPEDES AGUILAR, PATRICIA</t>
        </is>
      </c>
      <c r="C483" t="inlineStr">
        <is>
          <t>SALUSTIANA</t>
        </is>
      </c>
      <c r="D483" t="inlineStr">
        <is>
          <t>Cuota teórica</t>
        </is>
      </c>
      <c r="E483" t="n">
        <v>1626.3</v>
      </c>
      <c r="I483" t="inlineStr"/>
    </row>
    <row r="484">
      <c r="A484" t="n">
        <v>1585</v>
      </c>
      <c r="B484" t="inlineStr">
        <is>
          <t>CESPEDES AGUILAR, PATRICIA</t>
        </is>
      </c>
      <c r="C484" t="inlineStr">
        <is>
          <t>SALUSTIANA</t>
        </is>
      </c>
      <c r="D484" t="inlineStr">
        <is>
          <t>Kg campaña</t>
        </is>
      </c>
      <c r="E484" t="n">
        <v>241627</v>
      </c>
      <c r="I484" t="inlineStr"/>
    </row>
    <row r="485">
      <c r="A485" t="n">
        <v>1585</v>
      </c>
      <c r="B485" t="inlineStr">
        <is>
          <t>CESPEDES AGUILAR, PATRICIA</t>
        </is>
      </c>
      <c r="C485" t="inlineStr">
        <is>
          <t>SALUSTIANA</t>
        </is>
      </c>
      <c r="D485" t="inlineStr">
        <is>
          <t>Índice</t>
        </is>
      </c>
      <c r="E485" t="n">
        <v>0.006730621991747611</v>
      </c>
      <c r="I485" t="inlineStr"/>
    </row>
    <row r="486">
      <c r="A486" t="n">
        <v>1585</v>
      </c>
      <c r="B486" t="inlineStr">
        <is>
          <t>CESPEDES AGUILAR, PATRICIA</t>
        </is>
      </c>
      <c r="C486" t="inlineStr">
        <is>
          <t>SALUSTIANA</t>
        </is>
      </c>
      <c r="D486" t="inlineStr">
        <is>
          <t>Kg remesa</t>
        </is>
      </c>
      <c r="E486" t="n">
        <v>141229</v>
      </c>
      <c r="I486" t="inlineStr"/>
    </row>
    <row r="487">
      <c r="A487" t="n">
        <v>1585</v>
      </c>
      <c r="B487" t="inlineStr">
        <is>
          <t>CESPEDES AGUILAR, PATRICIA</t>
        </is>
      </c>
      <c r="C487" t="inlineStr">
        <is>
          <t>SALUSTIANA</t>
        </is>
      </c>
      <c r="D487" t="inlineStr">
        <is>
          <t>Cuota parcial</t>
        </is>
      </c>
      <c r="E487" t="n">
        <v>950.5599999999999</v>
      </c>
      <c r="I487" t="inlineStr"/>
    </row>
    <row r="488">
      <c r="A488" t="n">
        <v>1585</v>
      </c>
      <c r="B488" t="inlineStr">
        <is>
          <t>CESPEDES AGUILAR, PATRICIA</t>
        </is>
      </c>
      <c r="C488" t="inlineStr">
        <is>
          <t>SALUSTIANA</t>
        </is>
      </c>
      <c r="D488" t="inlineStr">
        <is>
          <t>Importe bruto</t>
        </is>
      </c>
      <c r="E488" t="n">
        <v>52584.63</v>
      </c>
      <c r="I488" t="inlineStr"/>
    </row>
    <row r="489">
      <c r="A489" t="n">
        <v>1585</v>
      </c>
      <c r="B489" t="inlineStr">
        <is>
          <t>CESPEDES AGUILAR, PATRICIA</t>
        </is>
      </c>
      <c r="C489" t="inlineStr">
        <is>
          <t>SALUSTIANA</t>
        </is>
      </c>
      <c r="D489" t="inlineStr">
        <is>
          <t>Recolección</t>
        </is>
      </c>
      <c r="E489" t="n">
        <v>10234.55</v>
      </c>
      <c r="I489" t="inlineStr"/>
    </row>
    <row r="490">
      <c r="A490" t="n">
        <v>1585</v>
      </c>
      <c r="B490" t="inlineStr">
        <is>
          <t>CESPEDES AGUILAR, PATRICIA</t>
        </is>
      </c>
      <c r="C490" t="inlineStr">
        <is>
          <t>SALUSTIANA</t>
        </is>
      </c>
      <c r="D490" t="inlineStr">
        <is>
          <t>Transporte</t>
        </is>
      </c>
      <c r="E490" t="n">
        <v>0</v>
      </c>
      <c r="I490" t="inlineStr"/>
    </row>
    <row r="491">
      <c r="A491" t="n">
        <v>1585</v>
      </c>
      <c r="B491" t="inlineStr">
        <is>
          <t>CESPEDES AGUILAR, PATRICIA</t>
        </is>
      </c>
      <c r="C491" t="inlineStr">
        <is>
          <t>SALUSTIANA</t>
        </is>
      </c>
      <c r="D491" t="inlineStr">
        <is>
          <t>Calidad</t>
        </is>
      </c>
      <c r="E491" t="n">
        <v>0</v>
      </c>
      <c r="I491" t="inlineStr"/>
    </row>
    <row r="492">
      <c r="A492" t="n">
        <v>1585</v>
      </c>
      <c r="B492" t="inlineStr">
        <is>
          <t>CESPEDES AGUILAR, PATRICIA</t>
        </is>
      </c>
      <c r="C492" t="inlineStr">
        <is>
          <t>SALUSTIANA</t>
        </is>
      </c>
      <c r="D492" t="inlineStr">
        <is>
          <t>GlobalGAP</t>
        </is>
      </c>
      <c r="E492" t="n">
        <v>2175.48</v>
      </c>
      <c r="I492" t="inlineStr"/>
    </row>
    <row r="493">
      <c r="A493" t="n">
        <v>1585</v>
      </c>
      <c r="B493" t="inlineStr">
        <is>
          <t>CESPEDES AGUILAR, PATRICIA</t>
        </is>
      </c>
      <c r="C493" t="inlineStr">
        <is>
          <t>SALUSTIANA</t>
        </is>
      </c>
      <c r="D493" t="inlineStr">
        <is>
          <t>Base imponible</t>
        </is>
      </c>
      <c r="E493" t="n">
        <v>43575</v>
      </c>
      <c r="I493" t="inlineStr"/>
    </row>
    <row r="494">
      <c r="A494" t="n">
        <v>1585</v>
      </c>
      <c r="B494" t="inlineStr">
        <is>
          <t>CESPEDES AGUILAR, PATRICIA</t>
        </is>
      </c>
      <c r="C494" t="inlineStr">
        <is>
          <t>SALUSTIANA</t>
        </is>
      </c>
      <c r="D494" t="inlineStr">
        <is>
          <t>IVA</t>
        </is>
      </c>
      <c r="E494" t="n">
        <v>5229</v>
      </c>
      <c r="I494" t="inlineStr"/>
    </row>
    <row r="495">
      <c r="A495" t="n">
        <v>1585</v>
      </c>
      <c r="B495" t="inlineStr">
        <is>
          <t>CESPEDES AGUILAR, PATRICIA</t>
        </is>
      </c>
      <c r="C495" t="inlineStr">
        <is>
          <t>SALUSTIANA</t>
        </is>
      </c>
      <c r="D495" t="inlineStr">
        <is>
          <t>Retención</t>
        </is>
      </c>
      <c r="E495" t="n">
        <v>976.08</v>
      </c>
      <c r="I495" t="inlineStr"/>
    </row>
    <row r="496">
      <c r="A496" t="n">
        <v>1585</v>
      </c>
      <c r="B496" t="inlineStr">
        <is>
          <t>CESPEDES AGUILAR, PATRICIA</t>
        </is>
      </c>
      <c r="C496" t="inlineStr">
        <is>
          <t>SALUSTIANA</t>
        </is>
      </c>
      <c r="D496" t="inlineStr">
        <is>
          <t>Total</t>
        </is>
      </c>
      <c r="E496" t="n">
        <v>47827.92</v>
      </c>
      <c r="I496" t="inlineStr"/>
    </row>
    <row r="497">
      <c r="A497" t="n">
        <v>1597</v>
      </c>
      <c r="B497" t="inlineStr">
        <is>
          <t>CARBALLO SIRIA, ANTONIO JOSE</t>
        </is>
      </c>
      <c r="C497" t="inlineStr">
        <is>
          <t>SALUSTIANA</t>
        </is>
      </c>
      <c r="D497" t="inlineStr">
        <is>
          <t>Hectáreas</t>
        </is>
      </c>
      <c r="E497" t="n">
        <v>5.63</v>
      </c>
      <c r="I497" t="inlineStr"/>
    </row>
    <row r="498">
      <c r="A498" t="n">
        <v>1597</v>
      </c>
      <c r="B498" t="inlineStr">
        <is>
          <t>CARBALLO SIRIA, ANTONIO JOSE</t>
        </is>
      </c>
      <c r="C498" t="inlineStr">
        <is>
          <t>SALUSTIANA</t>
        </is>
      </c>
      <c r="D498" t="inlineStr">
        <is>
          <t>Cuota teórica</t>
        </is>
      </c>
      <c r="E498" t="n">
        <v>1097.85</v>
      </c>
      <c r="I498" t="inlineStr"/>
    </row>
    <row r="499">
      <c r="A499" t="n">
        <v>1597</v>
      </c>
      <c r="B499" t="inlineStr">
        <is>
          <t>CARBALLO SIRIA, ANTONIO JOSE</t>
        </is>
      </c>
      <c r="C499" t="inlineStr">
        <is>
          <t>SALUSTIANA</t>
        </is>
      </c>
      <c r="D499" t="inlineStr">
        <is>
          <t>Kg campaña</t>
        </is>
      </c>
      <c r="E499" t="n">
        <v>119651</v>
      </c>
      <c r="I499" t="inlineStr"/>
    </row>
    <row r="500">
      <c r="A500" t="n">
        <v>1597</v>
      </c>
      <c r="B500" t="inlineStr">
        <is>
          <t>CARBALLO SIRIA, ANTONIO JOSE</t>
        </is>
      </c>
      <c r="C500" t="inlineStr">
        <is>
          <t>SALUSTIANA</t>
        </is>
      </c>
      <c r="D500" t="inlineStr">
        <is>
          <t>Índice</t>
        </is>
      </c>
      <c r="E500" t="n">
        <v>0.00917543522411012</v>
      </c>
      <c r="I500" t="inlineStr"/>
    </row>
    <row r="501">
      <c r="A501" t="n">
        <v>1597</v>
      </c>
      <c r="B501" t="inlineStr">
        <is>
          <t>CARBALLO SIRIA, ANTONIO JOSE</t>
        </is>
      </c>
      <c r="C501" t="inlineStr">
        <is>
          <t>SALUSTIANA</t>
        </is>
      </c>
      <c r="D501" t="inlineStr">
        <is>
          <t>Kg remesa</t>
        </is>
      </c>
      <c r="E501" t="n">
        <v>72085</v>
      </c>
      <c r="I501" t="inlineStr"/>
    </row>
    <row r="502">
      <c r="A502" t="n">
        <v>1597</v>
      </c>
      <c r="B502" t="inlineStr">
        <is>
          <t>CARBALLO SIRIA, ANTONIO JOSE</t>
        </is>
      </c>
      <c r="C502" t="inlineStr">
        <is>
          <t>SALUSTIANA</t>
        </is>
      </c>
      <c r="D502" t="inlineStr">
        <is>
          <t>Cuota parcial</t>
        </is>
      </c>
      <c r="E502" t="n">
        <v>661.41</v>
      </c>
      <c r="I502" t="inlineStr"/>
    </row>
    <row r="503">
      <c r="A503" t="n">
        <v>1597</v>
      </c>
      <c r="B503" t="inlineStr">
        <is>
          <t>CARBALLO SIRIA, ANTONIO JOSE</t>
        </is>
      </c>
      <c r="C503" t="inlineStr">
        <is>
          <t>SALUSTIANA</t>
        </is>
      </c>
      <c r="D503" t="inlineStr">
        <is>
          <t>Importe bruto</t>
        </is>
      </c>
      <c r="E503" t="n">
        <v>24202.59</v>
      </c>
      <c r="I503" t="inlineStr"/>
    </row>
    <row r="504">
      <c r="A504" t="n">
        <v>1597</v>
      </c>
      <c r="B504" t="inlineStr">
        <is>
          <t>CARBALLO SIRIA, ANTONIO JOSE</t>
        </is>
      </c>
      <c r="C504" t="inlineStr">
        <is>
          <t>SALUSTIANA</t>
        </is>
      </c>
      <c r="D504" t="inlineStr">
        <is>
          <t>Recolección</t>
        </is>
      </c>
      <c r="E504" t="n">
        <v>5190.12</v>
      </c>
      <c r="I504" t="inlineStr"/>
    </row>
    <row r="505">
      <c r="A505" t="n">
        <v>1597</v>
      </c>
      <c r="B505" t="inlineStr">
        <is>
          <t>CARBALLO SIRIA, ANTONIO JOSE</t>
        </is>
      </c>
      <c r="C505" t="inlineStr">
        <is>
          <t>SALUSTIANA</t>
        </is>
      </c>
      <c r="D505" t="inlineStr">
        <is>
          <t>Transporte</t>
        </is>
      </c>
      <c r="E505" t="n">
        <v>0</v>
      </c>
      <c r="I505" t="inlineStr"/>
    </row>
    <row r="506">
      <c r="A506" t="n">
        <v>1597</v>
      </c>
      <c r="B506" t="inlineStr">
        <is>
          <t>CARBALLO SIRIA, ANTONIO JOSE</t>
        </is>
      </c>
      <c r="C506" t="inlineStr">
        <is>
          <t>SALUSTIANA</t>
        </is>
      </c>
      <c r="D506" t="inlineStr">
        <is>
          <t>Calidad</t>
        </is>
      </c>
      <c r="E506" t="n">
        <v>0</v>
      </c>
      <c r="I506" t="inlineStr"/>
    </row>
    <row r="507">
      <c r="A507" t="n">
        <v>1597</v>
      </c>
      <c r="B507" t="inlineStr">
        <is>
          <t>CARBALLO SIRIA, ANTONIO JOSE</t>
        </is>
      </c>
      <c r="C507" t="inlineStr">
        <is>
          <t>SALUSTIANA</t>
        </is>
      </c>
      <c r="D507" t="inlineStr">
        <is>
          <t>GlobalGAP</t>
        </is>
      </c>
      <c r="E507" t="n">
        <v>0</v>
      </c>
      <c r="I507" t="inlineStr"/>
    </row>
    <row r="508">
      <c r="A508" t="n">
        <v>1597</v>
      </c>
      <c r="B508" t="inlineStr">
        <is>
          <t>CARBALLO SIRIA, ANTONIO JOSE</t>
        </is>
      </c>
      <c r="C508" t="inlineStr">
        <is>
          <t>SALUSTIANA</t>
        </is>
      </c>
      <c r="D508" t="inlineStr">
        <is>
          <t>Base imponible</t>
        </is>
      </c>
      <c r="E508" t="n">
        <v>18351.06</v>
      </c>
      <c r="I508" t="inlineStr"/>
    </row>
    <row r="509">
      <c r="A509" t="n">
        <v>1597</v>
      </c>
      <c r="B509" t="inlineStr">
        <is>
          <t>CARBALLO SIRIA, ANTONIO JOSE</t>
        </is>
      </c>
      <c r="C509" t="inlineStr">
        <is>
          <t>SALUSTIANA</t>
        </is>
      </c>
      <c r="D509" t="inlineStr">
        <is>
          <t>IVA</t>
        </is>
      </c>
      <c r="E509" t="n">
        <v>2202.13</v>
      </c>
      <c r="I509" t="inlineStr"/>
    </row>
    <row r="510">
      <c r="A510" t="n">
        <v>1597</v>
      </c>
      <c r="B510" t="inlineStr">
        <is>
          <t>CARBALLO SIRIA, ANTONIO JOSE</t>
        </is>
      </c>
      <c r="C510" t="inlineStr">
        <is>
          <t>SALUSTIANA</t>
        </is>
      </c>
      <c r="D510" t="inlineStr">
        <is>
          <t>Retención</t>
        </is>
      </c>
      <c r="E510" t="n">
        <v>411.06</v>
      </c>
      <c r="I510" t="inlineStr"/>
    </row>
    <row r="511">
      <c r="A511" t="n">
        <v>1597</v>
      </c>
      <c r="B511" t="inlineStr">
        <is>
          <t>CARBALLO SIRIA, ANTONIO JOSE</t>
        </is>
      </c>
      <c r="C511" t="inlineStr">
        <is>
          <t>SALUSTIANA</t>
        </is>
      </c>
      <c r="D511" t="inlineStr">
        <is>
          <t>Total</t>
        </is>
      </c>
      <c r="E511" t="n">
        <v>20142.12</v>
      </c>
      <c r="I5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2026-07-28T15:51:20Z</dcterms:created>
  <dcterms:modified xmlns:dcterms="http://purl.org/dc/terms/" xmlns:xsi="http://www.w3.org/2001/XMLSchema-instance" xsi:type="dcterms:W3CDTF">2026-07-28T15:51:20Z</dcterms:modified>
</cp:coreProperties>
</file>