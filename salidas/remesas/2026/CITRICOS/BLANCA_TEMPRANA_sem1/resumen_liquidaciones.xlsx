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1585</v>
      </c>
      <c r="B2" s="3" t="inlineStr">
        <is>
          <t>CESPEDES AGUILAR, PATRICIA</t>
        </is>
      </c>
      <c r="C2" s="3" t="inlineStr">
        <is>
          <t>SALUSTIANA</t>
        </is>
      </c>
      <c r="D2" s="2" t="n">
        <v>45284</v>
      </c>
      <c r="E2" s="4" t="n">
        <v>16739.31</v>
      </c>
      <c r="F2" s="5" t="n">
        <v>0.3696517533786768</v>
      </c>
      <c r="G2" s="4" t="n">
        <v>3260.45</v>
      </c>
      <c r="H2" s="4" t="n">
        <v>304.79</v>
      </c>
      <c r="I2" s="4" t="n">
        <v>0</v>
      </c>
      <c r="J2" s="4" t="n">
        <v>0</v>
      </c>
      <c r="K2" s="4" t="n">
        <v>619.46</v>
      </c>
      <c r="L2" s="4" t="n">
        <v>13793.53</v>
      </c>
      <c r="M2" s="5" t="n">
        <v>0.33433</v>
      </c>
      <c r="N2" s="6" t="n">
        <v>12</v>
      </c>
      <c r="O2" s="6" t="n">
        <v>2</v>
      </c>
      <c r="P2" s="4" t="n">
        <v>15139.78</v>
      </c>
      <c r="Q2" s="3" t="inlineStr">
        <is>
          <t>BLANCA TEMPRANA sem1</t>
        </is>
      </c>
      <c r="R2" s="3" t="inlineStr">
        <is>
          <t>CITRICOS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2" t="n">
        <v>1614</v>
      </c>
      <c r="B3" s="3" t="inlineStr">
        <is>
          <t>MARIN SERRANO 2025 S.C.</t>
        </is>
      </c>
      <c r="C3" s="3" t="inlineStr">
        <is>
          <t>SALUSTIANA</t>
        </is>
      </c>
      <c r="D3" s="2" t="n">
        <v>120955</v>
      </c>
      <c r="E3" s="4" t="n">
        <v>43994.02</v>
      </c>
      <c r="F3" s="5" t="n">
        <v>0.3637222107395312</v>
      </c>
      <c r="G3" s="4" t="n">
        <v>8708.76</v>
      </c>
      <c r="H3" s="4" t="n">
        <v>231.75</v>
      </c>
      <c r="I3" s="4" t="n">
        <v>0</v>
      </c>
      <c r="J3" s="4" t="n">
        <v>0</v>
      </c>
      <c r="K3" s="4" t="n">
        <v>0</v>
      </c>
      <c r="L3" s="4" t="n">
        <v>35053.51</v>
      </c>
      <c r="M3" s="5" t="n">
        <v>0.31809</v>
      </c>
      <c r="N3" s="6" t="n">
        <v>12</v>
      </c>
      <c r="O3" s="6" t="n">
        <v>2</v>
      </c>
      <c r="P3" s="4" t="n">
        <v>38474.73</v>
      </c>
      <c r="Q3" s="3" t="inlineStr">
        <is>
          <t>BLANCA TEMPRANA sem1</t>
        </is>
      </c>
      <c r="R3" s="3" t="inlineStr">
        <is>
          <t>CITRICOS</t>
        </is>
      </c>
      <c r="S3" s="7">
        <f>IFERROR(166.386*G3/D3,0)</f>
        <v/>
      </c>
      <c r="T3" s="7">
        <f>IFERROR(166.386*K3/D3,0)</f>
        <v/>
      </c>
      <c r="U3" s="7">
        <f>IFERROR(166.386*J3/D3,0)</f>
        <v/>
      </c>
    </row>
    <row r="4">
      <c r="A4" s="8" t="n"/>
      <c r="B4" s="9" t="inlineStr">
        <is>
          <t>TOTAL</t>
        </is>
      </c>
      <c r="C4" s="9" t="n"/>
      <c r="D4" s="8">
        <f>SUM(D2:D3)</f>
        <v/>
      </c>
      <c r="E4" s="10">
        <f>SUM(E2:E3)</f>
        <v/>
      </c>
      <c r="F4" s="11" t="n"/>
      <c r="G4" s="10">
        <f>SUM(G2:G3)</f>
        <v/>
      </c>
      <c r="H4" s="10">
        <f>SUM(H2:H3)</f>
        <v/>
      </c>
      <c r="I4" s="10">
        <f>SUM(I2:I3)</f>
        <v/>
      </c>
      <c r="J4" s="10">
        <f>SUM(J2:J3)</f>
        <v/>
      </c>
      <c r="K4" s="10">
        <f>SUM(K2:K3)</f>
        <v/>
      </c>
      <c r="L4" s="10">
        <f>SUM(L2:L3)</f>
        <v/>
      </c>
      <c r="M4" s="11">
        <f>IFERROR(P4/D4,0)</f>
        <v/>
      </c>
      <c r="N4" s="12" t="n"/>
      <c r="O4" s="12" t="n"/>
      <c r="P4" s="10">
        <f>SUM(P2:P3)</f>
        <v/>
      </c>
      <c r="Q4" s="9" t="n"/>
      <c r="R4" s="9" t="n"/>
      <c r="S4" s="13" t="n"/>
      <c r="T4" s="13" t="n"/>
      <c r="U4" s="13" t="n"/>
    </row>
  </sheetData>
  <autoFilter ref="A1:U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1585</v>
      </c>
      <c r="B2" t="inlineStr">
        <is>
          <t>CESPEDES AGUILAR, PATRICIA</t>
        </is>
      </c>
      <c r="C2" t="inlineStr">
        <is>
          <t>SALUSTIANA</t>
        </is>
      </c>
      <c r="D2" t="n">
        <v>0</v>
      </c>
      <c r="E2" t="inlineStr">
        <is>
          <t>not_found</t>
        </is>
      </c>
      <c r="F2" t="n">
        <v>8.34</v>
      </c>
      <c r="G2" t="n">
        <v>195</v>
      </c>
      <c r="H2" t="n">
        <v>1626.3</v>
      </c>
      <c r="I2" t="n">
        <v>241627</v>
      </c>
      <c r="J2" t="n">
        <v>0.006730621991747611</v>
      </c>
      <c r="K2" t="n">
        <v>304.79</v>
      </c>
      <c r="L2" t="n">
        <v>0</v>
      </c>
    </row>
    <row r="3">
      <c r="A3" t="n">
        <v>1614</v>
      </c>
      <c r="B3" t="inlineStr">
        <is>
          <t>MARIN SERRANO 2025 S.C.</t>
        </is>
      </c>
      <c r="C3" t="inlineStr">
        <is>
          <t>SALUSTIANA</t>
        </is>
      </c>
      <c r="D3" t="n">
        <v>0</v>
      </c>
      <c r="E3" t="inlineStr">
        <is>
          <t>not_found</t>
        </is>
      </c>
      <c r="F3" t="n">
        <v>5.8</v>
      </c>
      <c r="G3" t="n">
        <v>195</v>
      </c>
      <c r="H3" t="n">
        <v>1131</v>
      </c>
      <c r="I3" t="n">
        <v>590286</v>
      </c>
      <c r="J3" t="n">
        <v>0.001916020369786849</v>
      </c>
      <c r="K3" t="n">
        <v>231.75</v>
      </c>
      <c r="L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1585</v>
      </c>
      <c r="B2" t="inlineStr">
        <is>
          <t>CESPEDES AGUILAR, PATRICIA</t>
        </is>
      </c>
      <c r="C2" t="n">
        <v>93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93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12</t>
        </is>
      </c>
      <c r="P2" t="inlineStr">
        <is>
          <t>19</t>
        </is>
      </c>
      <c r="Q2" t="inlineStr">
        <is>
          <t>1</t>
        </is>
      </c>
      <c r="R2" t="n">
        <v>3.15</v>
      </c>
      <c r="S2" t="n">
        <v>3.157055</v>
      </c>
      <c r="T2" t="n">
        <v>3.16</v>
      </c>
      <c r="V2" t="inlineStr">
        <is>
          <t>Sí</t>
        </is>
      </c>
      <c r="W2" t="inlineStr"/>
    </row>
    <row r="3">
      <c r="A3" t="n">
        <v>1585</v>
      </c>
      <c r="B3" t="inlineStr">
        <is>
          <t>CESPEDES AGUILAR, PATRICIA</t>
        </is>
      </c>
      <c r="C3" t="n">
        <v>245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245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11</t>
        </is>
      </c>
      <c r="P3" t="inlineStr">
        <is>
          <t>75</t>
        </is>
      </c>
      <c r="Q3" t="inlineStr">
        <is>
          <t>2</t>
        </is>
      </c>
      <c r="R3" t="n">
        <v>1.29</v>
      </c>
      <c r="S3" t="n">
        <v>1.292592</v>
      </c>
      <c r="T3" t="n">
        <v>1.29</v>
      </c>
      <c r="V3" t="inlineStr">
        <is>
          <t>Sí</t>
        </is>
      </c>
      <c r="W3" t="inlineStr"/>
    </row>
    <row r="4">
      <c r="A4" t="n">
        <v>1585</v>
      </c>
      <c r="B4" t="inlineStr">
        <is>
          <t>CESPEDES AGUILAR, PATRICIA</t>
        </is>
      </c>
      <c r="C4" t="n">
        <v>245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245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11</t>
        </is>
      </c>
      <c r="P4" t="inlineStr">
        <is>
          <t>110</t>
        </is>
      </c>
      <c r="Q4" t="inlineStr">
        <is>
          <t>1</t>
        </is>
      </c>
      <c r="R4" t="n">
        <v>3.9</v>
      </c>
      <c r="S4" t="n">
        <v>3.95776</v>
      </c>
      <c r="T4" t="n">
        <v>3.9577</v>
      </c>
      <c r="V4" t="inlineStr">
        <is>
          <t>Sí</t>
        </is>
      </c>
      <c r="W4" t="inlineStr"/>
    </row>
    <row r="5">
      <c r="A5" t="n">
        <v>1614</v>
      </c>
      <c r="B5" t="inlineStr">
        <is>
          <t>MARIN SERRANO 2025 S.C.</t>
        </is>
      </c>
      <c r="C5" t="n">
        <v>228</v>
      </c>
      <c r="D5" t="inlineStr">
        <is>
          <t>CITRICOS</t>
        </is>
      </c>
      <c r="E5" t="n">
        <v>2026</v>
      </c>
      <c r="F5" t="n">
        <v>1</v>
      </c>
      <c r="G5" t="n">
        <v>0</v>
      </c>
      <c r="H5" t="inlineStr">
        <is>
          <t>No</t>
        </is>
      </c>
      <c r="V5" t="inlineStr">
        <is>
          <t>No</t>
        </is>
      </c>
      <c r="W5" t="inlineStr">
        <is>
          <t>CHA_NO_SELECCIONADO; CHA_NO_ACTIVO</t>
        </is>
      </c>
    </row>
    <row r="6">
      <c r="A6" t="n">
        <v>1614</v>
      </c>
      <c r="B6" t="inlineStr">
        <is>
          <t>MARIN SERRANO 2025 S.C.</t>
        </is>
      </c>
      <c r="C6" t="n">
        <v>230</v>
      </c>
      <c r="D6" t="inlineStr">
        <is>
          <t>CITRICOS</t>
        </is>
      </c>
      <c r="E6" t="n">
        <v>2026</v>
      </c>
      <c r="F6" t="n">
        <v>1</v>
      </c>
      <c r="G6" t="n">
        <v>0</v>
      </c>
      <c r="H6" t="inlineStr">
        <is>
          <t>No</t>
        </is>
      </c>
      <c r="V6" t="inlineStr">
        <is>
          <t>No</t>
        </is>
      </c>
      <c r="W6" t="inlineStr">
        <is>
          <t>CHA_NO_SELECCIONADO; CHA_NO_ACTIVO</t>
        </is>
      </c>
    </row>
    <row r="7">
      <c r="A7" t="n">
        <v>1614</v>
      </c>
      <c r="B7" t="inlineStr">
        <is>
          <t>MARIN SERRANO 2025 S.C.</t>
        </is>
      </c>
      <c r="C7" t="n">
        <v>299</v>
      </c>
      <c r="D7" t="inlineStr">
        <is>
          <t>CITRICOS</t>
        </is>
      </c>
      <c r="E7" t="n">
        <v>2026</v>
      </c>
      <c r="F7" t="n">
        <v>1</v>
      </c>
      <c r="G7" t="n">
        <v>0</v>
      </c>
      <c r="H7" t="inlineStr">
        <is>
          <t>No</t>
        </is>
      </c>
      <c r="V7" t="inlineStr">
        <is>
          <t>No</t>
        </is>
      </c>
      <c r="W7" t="inlineStr">
        <is>
          <t>CHA_NO_SELECCIONADO; CHA_NO_ACTIVO</t>
        </is>
      </c>
    </row>
    <row r="8">
      <c r="A8" t="n">
        <v>1614</v>
      </c>
      <c r="B8" t="inlineStr">
        <is>
          <t>MARIN SERRANO 2025 S.C.</t>
        </is>
      </c>
      <c r="C8" t="n">
        <v>300</v>
      </c>
      <c r="D8" t="inlineStr">
        <is>
          <t>CITRICOS</t>
        </is>
      </c>
      <c r="E8" t="n">
        <v>2026</v>
      </c>
      <c r="F8" t="n">
        <v>1</v>
      </c>
      <c r="G8" t="n">
        <v>0</v>
      </c>
      <c r="H8" t="inlineStr">
        <is>
          <t>No</t>
        </is>
      </c>
      <c r="V8" t="inlineStr">
        <is>
          <t>No</t>
        </is>
      </c>
      <c r="W8" t="inlineStr">
        <is>
          <t>CHA_NO_SELECCIONADO; CHA_NO_ACTIVO</t>
        </is>
      </c>
    </row>
    <row r="9">
      <c r="A9" t="n">
        <v>1614</v>
      </c>
      <c r="B9" t="inlineStr">
        <is>
          <t>MARIN SERRANO 2025 S.C.</t>
        </is>
      </c>
      <c r="C9" t="n">
        <v>529</v>
      </c>
      <c r="D9" t="inlineStr">
        <is>
          <t>CITRICOS</t>
        </is>
      </c>
      <c r="E9" t="n">
        <v>2026</v>
      </c>
      <c r="F9" t="n">
        <v>1</v>
      </c>
      <c r="G9" t="n">
        <v>0</v>
      </c>
      <c r="H9" t="inlineStr">
        <is>
          <t>No</t>
        </is>
      </c>
      <c r="V9" t="inlineStr">
        <is>
          <t>No</t>
        </is>
      </c>
      <c r="W9" t="inlineStr">
        <is>
          <t>CHA_NO_SELECCIONADO; CHA_NO_ACTIVO</t>
        </is>
      </c>
    </row>
    <row r="10">
      <c r="A10" t="n">
        <v>1614</v>
      </c>
      <c r="B10" t="inlineStr">
        <is>
          <t>MARIN SERRANO 2025 S.C.</t>
        </is>
      </c>
      <c r="C10" t="n">
        <v>530</v>
      </c>
      <c r="D10" t="inlineStr">
        <is>
          <t>CITRICOS</t>
        </is>
      </c>
      <c r="E10" t="n">
        <v>2026</v>
      </c>
      <c r="F10" t="n">
        <v>1</v>
      </c>
      <c r="G10" t="n">
        <v>0</v>
      </c>
      <c r="H10" t="inlineStr">
        <is>
          <t>No</t>
        </is>
      </c>
      <c r="V10" t="inlineStr">
        <is>
          <t>No</t>
        </is>
      </c>
      <c r="W10" t="inlineStr">
        <is>
          <t>CHA_NO_SELECCIONADO; CHA_NO_ACTIVO</t>
        </is>
      </c>
    </row>
    <row r="11">
      <c r="A11" t="n">
        <v>1614</v>
      </c>
      <c r="B11" t="inlineStr">
        <is>
          <t>MARIN SERRANO 2025 S.C.</t>
        </is>
      </c>
      <c r="C11" t="n">
        <v>531</v>
      </c>
      <c r="D11" t="inlineStr">
        <is>
          <t>CITRICOS</t>
        </is>
      </c>
      <c r="E11" t="n">
        <v>2026</v>
      </c>
      <c r="F11" t="n">
        <v>1</v>
      </c>
      <c r="G11" t="n">
        <v>0</v>
      </c>
      <c r="H11" t="inlineStr">
        <is>
          <t>No</t>
        </is>
      </c>
      <c r="V11" t="inlineStr">
        <is>
          <t>No</t>
        </is>
      </c>
      <c r="W11" t="inlineStr">
        <is>
          <t>CHA_NO_SELECCIONADO; CHA_NO_ACTIVO</t>
        </is>
      </c>
    </row>
    <row r="12">
      <c r="A12" t="n">
        <v>1614</v>
      </c>
      <c r="B12" t="inlineStr">
        <is>
          <t>MARIN SERRANO 2025 S.C.</t>
        </is>
      </c>
      <c r="C12" t="n">
        <v>248</v>
      </c>
      <c r="D12" t="inlineStr">
        <is>
          <t>CITRICOS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248</v>
      </c>
      <c r="K12" t="n">
        <v>2026</v>
      </c>
      <c r="L12" t="inlineStr">
        <is>
          <t>1</t>
        </is>
      </c>
      <c r="M12" t="inlineStr">
        <is>
          <t>CITRICOS</t>
        </is>
      </c>
      <c r="N12" t="inlineStr">
        <is>
          <t>41023</t>
        </is>
      </c>
      <c r="O12" t="inlineStr">
        <is>
          <t>17</t>
        </is>
      </c>
      <c r="P12" t="inlineStr">
        <is>
          <t>107</t>
        </is>
      </c>
      <c r="Q12" t="inlineStr">
        <is>
          <t>2</t>
        </is>
      </c>
      <c r="R12" t="n">
        <v>5.8</v>
      </c>
      <c r="S12" t="n">
        <v>5.796335</v>
      </c>
      <c r="T12" t="n">
        <v>5.8</v>
      </c>
      <c r="V12" t="inlineStr">
        <is>
          <t>Sí</t>
        </is>
      </c>
      <c r="W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1585</v>
      </c>
      <c r="B2" t="inlineStr">
        <is>
          <t>CESPEDES AGUILAR, PATRICIA</t>
        </is>
      </c>
      <c r="C2" t="inlineStr">
        <is>
          <t>SALUSTIANA</t>
        </is>
      </c>
      <c r="D2" t="inlineStr">
        <is>
          <t>calculated</t>
        </is>
      </c>
      <c r="E2" t="n">
        <v>8.34</v>
      </c>
      <c r="F2" t="n">
        <v>1626.3</v>
      </c>
      <c r="G2" t="n">
        <v>241627</v>
      </c>
      <c r="H2" t="n">
        <v>0.006730621991747611</v>
      </c>
      <c r="I2" t="n">
        <v>45284</v>
      </c>
      <c r="J2" t="n">
        <v>304.79</v>
      </c>
      <c r="K2" t="inlineStr">
        <is>
          <t>16 entregas ya figuran como liquidadas.; No existe tarifa BonCalidad para socio=1585 campaña=2026 empresa=1 cultivo=CITRICOS.; No existe fuente acumulada disponible; saldo informativo calculado con cuota ya aplicada = 0.</t>
        </is>
      </c>
    </row>
    <row r="3">
      <c r="A3" t="n">
        <v>1614</v>
      </c>
      <c r="B3" t="inlineStr">
        <is>
          <t>MARIN SERRANO 2025 S.C.</t>
        </is>
      </c>
      <c r="C3" t="inlineStr">
        <is>
          <t>SALUSTIANA</t>
        </is>
      </c>
      <c r="D3" t="inlineStr">
        <is>
          <t>calculated</t>
        </is>
      </c>
      <c r="E3" t="n">
        <v>5.8</v>
      </c>
      <c r="F3" t="n">
        <v>1131</v>
      </c>
      <c r="G3" t="n">
        <v>590286</v>
      </c>
      <c r="H3" t="n">
        <v>0.001916020369786849</v>
      </c>
      <c r="I3" t="n">
        <v>120955</v>
      </c>
      <c r="J3" t="n">
        <v>231.75</v>
      </c>
      <c r="K3" t="inlineStr">
        <is>
          <t>16 entregas ya figuran como liquidadas.; No existe tarifa BonCalidad para socio=1614 campaña=2026 empresa=1 cultivo=CITRICOS.;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1585</v>
      </c>
      <c r="B2" t="inlineStr">
        <is>
          <t>CESPEDES AGUILAR, PATRICIA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CITRICOS</t>
        </is>
      </c>
      <c r="G2" t="inlineStr">
        <is>
          <t>SÍ</t>
        </is>
      </c>
      <c r="H2" t="inlineStr">
        <is>
          <t>SÍ</t>
        </is>
      </c>
      <c r="I2" t="inlineStr">
        <is>
          <t>NO</t>
        </is>
      </c>
      <c r="J2" t="inlineStr">
        <is>
          <t>CITRICOS</t>
        </is>
      </c>
      <c r="K2" t="inlineStr"/>
      <c r="L2" t="inlineStr">
        <is>
          <t>ORO</t>
        </is>
      </c>
      <c r="M2" t="n">
        <v>1</v>
      </c>
      <c r="N2" t="n">
        <v>0.01803</v>
      </c>
      <c r="O2" t="n">
        <v>0</v>
      </c>
      <c r="P2" t="inlineStr">
        <is>
          <t>neto_comercial</t>
        </is>
      </c>
      <c r="Q2" t="n">
        <v>45284</v>
      </c>
      <c r="R2" t="n">
        <v>34357.383319</v>
      </c>
      <c r="S2" t="n">
        <v>34357.383319</v>
      </c>
      <c r="T2" t="n">
        <v>619.46</v>
      </c>
      <c r="U2" t="n">
        <v>619.46</v>
      </c>
      <c r="V2" t="n">
        <v>619.46</v>
      </c>
      <c r="W2" t="n">
        <v>619.46</v>
      </c>
      <c r="X2" t="inlineStr">
        <is>
          <t>calculated</t>
        </is>
      </c>
      <c r="Y2" t="inlineStr"/>
      <c r="Z2" t="inlineStr">
        <is>
          <t>SÍ</t>
        </is>
      </c>
    </row>
    <row r="3">
      <c r="A3" t="n">
        <v>1614</v>
      </c>
      <c r="B3" t="inlineStr">
        <is>
          <t>MARIN SERRANO 2025 S.C.</t>
        </is>
      </c>
      <c r="C3" t="inlineStr">
        <is>
          <t>SALUSTIANA</t>
        </is>
      </c>
      <c r="D3" t="inlineStr">
        <is>
          <t>2026</t>
        </is>
      </c>
      <c r="E3" t="inlineStr">
        <is>
          <t>1</t>
        </is>
      </c>
      <c r="F3" t="inlineStr">
        <is>
          <t>CITRICOS</t>
        </is>
      </c>
      <c r="G3" t="inlineStr">
        <is>
          <t>SÍ</t>
        </is>
      </c>
      <c r="H3" t="inlineStr">
        <is>
          <t>NO</t>
        </is>
      </c>
      <c r="I3" t="inlineStr">
        <is>
          <t>NO</t>
        </is>
      </c>
      <c r="J3" t="inlineStr"/>
      <c r="K3" t="inlineStr">
        <is>
          <t>CITRICOS</t>
        </is>
      </c>
      <c r="N3" t="n">
        <v>0.01803</v>
      </c>
      <c r="O3" t="n">
        <v>0</v>
      </c>
      <c r="Q3" t="n">
        <v>120955</v>
      </c>
      <c r="R3" t="n">
        <v>89061.6246726</v>
      </c>
      <c r="U3" t="n">
        <v>0</v>
      </c>
      <c r="V3" t="n">
        <v>0</v>
      </c>
      <c r="W3" t="n">
        <v>0</v>
      </c>
      <c r="X3" t="inlineStr">
        <is>
          <t>not_applicable</t>
        </is>
      </c>
      <c r="Y3" t="inlineStr"/>
      <c r="Z3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CITRICOS</t>
        </is>
      </c>
      <c r="D2" t="inlineStr">
        <is>
          <t>BLANCA TEMPRANA sem1</t>
        </is>
      </c>
      <c r="E2" t="inlineStr">
        <is>
          <t>BLANCA TEMPRANA</t>
        </is>
      </c>
      <c r="F2" t="inlineStr">
        <is>
          <t>GROUP</t>
        </is>
      </c>
      <c r="G2" t="inlineStr">
        <is>
          <t>BLANCA</t>
        </is>
      </c>
      <c r="H2" t="inlineStr">
        <is>
          <t>TEMPRANA</t>
        </is>
      </c>
      <c r="I2" t="inlineStr">
        <is>
          <t>SALUSTIANA</t>
        </is>
      </c>
      <c r="J2" t="n">
        <v>1</v>
      </c>
      <c r="K2" t="inlineStr">
        <is>
          <t>GROUP</t>
        </is>
      </c>
      <c r="L2" t="inlineStr"/>
      <c r="M2" t="inlineStr">
        <is>
          <t>BLANCA TEMPRANA</t>
        </is>
      </c>
      <c r="N2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1585</v>
      </c>
      <c r="B2" t="inlineStr">
        <is>
          <t>CESPEDES AGUILAR, PATRICIA</t>
        </is>
      </c>
      <c r="C2" t="inlineStr">
        <is>
          <t>SALUSTIANA</t>
        </is>
      </c>
      <c r="D2" t="n">
        <v>16739.31</v>
      </c>
      <c r="E2" t="n">
        <v>16739.31</v>
      </c>
      <c r="F2" t="n">
        <v>3260.45</v>
      </c>
      <c r="G2" t="n">
        <v>304.79</v>
      </c>
      <c r="H2" t="n">
        <v>0</v>
      </c>
      <c r="I2" t="n">
        <v>0</v>
      </c>
      <c r="J2" t="n">
        <v>619.46</v>
      </c>
      <c r="K2" t="n">
        <v>13793.53</v>
      </c>
      <c r="L2" t="n">
        <v>13793.53</v>
      </c>
      <c r="M2" t="n">
        <v>13793.53</v>
      </c>
      <c r="N2" t="n">
        <v>0</v>
      </c>
      <c r="O2" t="n">
        <v>0.3046</v>
      </c>
      <c r="P2" t="n">
        <v>0.33433</v>
      </c>
      <c r="Q2" t="inlineStr">
        <is>
          <t>SÍ</t>
        </is>
      </c>
      <c r="R2" t="inlineStr"/>
    </row>
    <row r="3">
      <c r="A3" t="n">
        <v>1614</v>
      </c>
      <c r="B3" t="inlineStr">
        <is>
          <t>MARIN SERRANO 2025 S.C.</t>
        </is>
      </c>
      <c r="C3" t="inlineStr">
        <is>
          <t>SALUSTIANA</t>
        </is>
      </c>
      <c r="D3" t="n">
        <v>43994.02</v>
      </c>
      <c r="E3" t="n">
        <v>43994.02</v>
      </c>
      <c r="F3" t="n">
        <v>8708.76</v>
      </c>
      <c r="G3" t="n">
        <v>231.75</v>
      </c>
      <c r="H3" t="n">
        <v>0</v>
      </c>
      <c r="I3" t="n">
        <v>0</v>
      </c>
      <c r="J3" t="n">
        <v>0</v>
      </c>
      <c r="K3" t="n">
        <v>35053.51</v>
      </c>
      <c r="L3" t="n">
        <v>35053.51</v>
      </c>
      <c r="M3" t="n">
        <v>35053.51</v>
      </c>
      <c r="N3" t="n">
        <v>0</v>
      </c>
      <c r="O3" t="n">
        <v>0.28981</v>
      </c>
      <c r="P3" t="n">
        <v>0.31809</v>
      </c>
      <c r="Q3" t="inlineStr">
        <is>
          <t>SÍ</t>
        </is>
      </c>
      <c r="R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1585</v>
      </c>
      <c r="B2" t="inlineStr">
        <is>
          <t>CESPEDES AGUILAR, PATRICIA</t>
        </is>
      </c>
      <c r="C2" t="inlineStr">
        <is>
          <t>SALUSTIANA</t>
        </is>
      </c>
      <c r="D2" t="n">
        <v>13793.53</v>
      </c>
      <c r="E2" t="n">
        <v>12</v>
      </c>
      <c r="F2" t="n">
        <v>1.12</v>
      </c>
      <c r="G2" t="n">
        <v>1655.22</v>
      </c>
      <c r="H2" t="n">
        <v>15448.75</v>
      </c>
      <c r="I2" t="n">
        <v>2</v>
      </c>
      <c r="J2" t="n">
        <v>0.98</v>
      </c>
      <c r="K2" t="n">
        <v>308.98</v>
      </c>
      <c r="L2" t="n">
        <v>15139.78</v>
      </c>
      <c r="M2" t="n">
        <v>15139.78</v>
      </c>
      <c r="N2" t="n">
        <v>15139.78</v>
      </c>
      <c r="O2" t="n">
        <v>45284</v>
      </c>
      <c r="P2" t="n">
        <v>0.33433</v>
      </c>
      <c r="Q2" t="n">
        <v>0.33433</v>
      </c>
      <c r="R2" t="n">
        <v>0.33433</v>
      </c>
      <c r="S2" t="n">
        <v>0</v>
      </c>
      <c r="T2" t="n">
        <v>0</v>
      </c>
      <c r="U2" t="inlineStr">
        <is>
          <t>SÍ</t>
        </is>
      </c>
      <c r="V2" t="inlineStr"/>
    </row>
    <row r="3">
      <c r="A3" t="n">
        <v>1614</v>
      </c>
      <c r="B3" t="inlineStr">
        <is>
          <t>MARIN SERRANO 2025 S.C.</t>
        </is>
      </c>
      <c r="C3" t="inlineStr">
        <is>
          <t>SALUSTIANA</t>
        </is>
      </c>
      <c r="D3" t="n">
        <v>35053.51</v>
      </c>
      <c r="E3" t="n">
        <v>12</v>
      </c>
      <c r="F3" t="n">
        <v>1.12</v>
      </c>
      <c r="G3" t="n">
        <v>4206.42</v>
      </c>
      <c r="H3" t="n">
        <v>39259.93</v>
      </c>
      <c r="I3" t="n">
        <v>2</v>
      </c>
      <c r="J3" t="n">
        <v>0.98</v>
      </c>
      <c r="K3" t="n">
        <v>785.2</v>
      </c>
      <c r="L3" t="n">
        <v>38474.73</v>
      </c>
      <c r="M3" t="n">
        <v>38474.73</v>
      </c>
      <c r="N3" t="n">
        <v>38474.73</v>
      </c>
      <c r="O3" t="n">
        <v>120955</v>
      </c>
      <c r="P3" t="n">
        <v>0.31809</v>
      </c>
      <c r="Q3" t="n">
        <v>0.31809</v>
      </c>
      <c r="R3" t="n">
        <v>0.31809</v>
      </c>
      <c r="S3" t="n">
        <v>0</v>
      </c>
      <c r="T3" t="n">
        <v>0</v>
      </c>
      <c r="U3" t="inlineStr">
        <is>
          <t>SÍ</t>
        </is>
      </c>
      <c r="V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1585</v>
      </c>
      <c r="B2" t="inlineStr">
        <is>
          <t>CESPEDES AGUILAR, PATRICIA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2</v>
      </c>
      <c r="I2" t="n">
        <v>3</v>
      </c>
      <c r="J2" t="n">
        <v>0</v>
      </c>
      <c r="K2" t="n">
        <v>0</v>
      </c>
      <c r="L2" t="n">
        <v>8.34</v>
      </c>
      <c r="M2" t="n">
        <v>195</v>
      </c>
      <c r="N2" t="n">
        <v>1626.3</v>
      </c>
      <c r="O2" t="n">
        <v>241627</v>
      </c>
      <c r="P2" t="n">
        <v>0.006730621991747611</v>
      </c>
      <c r="Q2" t="n">
        <v>45284</v>
      </c>
      <c r="R2" t="n">
        <v>304.79</v>
      </c>
      <c r="S2" t="n">
        <v>0</v>
      </c>
      <c r="T2" t="n">
        <v>304.79</v>
      </c>
      <c r="U2" t="n">
        <v>1321.51</v>
      </c>
      <c r="V2" t="inlineStr">
        <is>
          <t>OPEN</t>
        </is>
      </c>
      <c r="W2" t="inlineStr">
        <is>
          <t>calculated</t>
        </is>
      </c>
      <c r="X2" t="inlineStr">
        <is>
          <t>16 entregas ya figuran como liquidadas.; No existe tarifa BonCalidad para socio=1585 campaña=2026 empresa=1 cultivo=CITRICOS.; No existe fuente acumulada disponible; saldo informativo calculado con cuota ya aplicada = 0.</t>
        </is>
      </c>
      <c r="Y2" t="inlineStr">
        <is>
          <t>SÍ</t>
        </is>
      </c>
    </row>
    <row r="3">
      <c r="A3" t="n">
        <v>1614</v>
      </c>
      <c r="B3" t="inlineStr">
        <is>
          <t>MARIN SERRANO 2025 S.C.</t>
        </is>
      </c>
      <c r="C3" t="inlineStr">
        <is>
          <t>SALUSTIANA</t>
        </is>
      </c>
      <c r="D3" t="inlineStr">
        <is>
          <t>2026</t>
        </is>
      </c>
      <c r="E3" t="inlineStr">
        <is>
          <t>1</t>
        </is>
      </c>
      <c r="F3" t="inlineStr">
        <is>
          <t>DIRECTOCHF, DIRECTO, MANDARINA, INDUSTRIA, CITRICOS</t>
        </is>
      </c>
      <c r="G3" t="n">
        <v>8</v>
      </c>
      <c r="H3" t="n">
        <v>1</v>
      </c>
      <c r="I3" t="n">
        <v>1</v>
      </c>
      <c r="J3" t="n">
        <v>0</v>
      </c>
      <c r="K3" t="n">
        <v>0</v>
      </c>
      <c r="L3" t="n">
        <v>5.8</v>
      </c>
      <c r="M3" t="n">
        <v>195</v>
      </c>
      <c r="N3" t="n">
        <v>1131</v>
      </c>
      <c r="O3" t="n">
        <v>590286</v>
      </c>
      <c r="P3" t="n">
        <v>0.001916020369786849</v>
      </c>
      <c r="Q3" t="n">
        <v>120955</v>
      </c>
      <c r="R3" t="n">
        <v>231.75</v>
      </c>
      <c r="S3" t="n">
        <v>0</v>
      </c>
      <c r="T3" t="n">
        <v>231.75</v>
      </c>
      <c r="U3" t="n">
        <v>899.25</v>
      </c>
      <c r="V3" t="inlineStr">
        <is>
          <t>OPEN</t>
        </is>
      </c>
      <c r="W3" t="inlineStr">
        <is>
          <t>calculated</t>
        </is>
      </c>
      <c r="X3" t="inlineStr">
        <is>
          <t>16 entregas ya figuran como liquidadas.; No existe tarifa BonCalidad para socio=1614 campaña=2026 empresa=1 cultivo=CITRICOS.; No existe fuente acumulada disponible; saldo informativo calculado con cuota ya aplicada = 0.</t>
        </is>
      </c>
      <c r="Y3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1585</v>
      </c>
      <c r="B2" t="inlineStr">
        <is>
          <t>CESPEDES AGUILAR, PATRICIA</t>
        </is>
      </c>
      <c r="C2" t="n">
        <v>93</v>
      </c>
      <c r="D2" t="inlineStr">
        <is>
          <t>9415</t>
        </is>
      </c>
      <c r="E2" t="inlineStr">
        <is>
          <t>12</t>
        </is>
      </c>
      <c r="F2" t="inlineStr">
        <is>
          <t>19</t>
        </is>
      </c>
      <c r="G2" t="inlineStr">
        <is>
          <t>1</t>
        </is>
      </c>
      <c r="H2" t="n">
        <v>1996</v>
      </c>
      <c r="I2" t="n">
        <v>3.15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8.34</v>
      </c>
      <c r="P2" t="n">
        <v>1626.3</v>
      </c>
      <c r="Q2" t="n">
        <v>241627</v>
      </c>
      <c r="R2" t="n">
        <v>0.006730621991747611</v>
      </c>
      <c r="S2" t="n">
        <v>45284</v>
      </c>
      <c r="T2" t="n">
        <v>304.79</v>
      </c>
    </row>
    <row r="3">
      <c r="A3" t="n">
        <v>1585</v>
      </c>
      <c r="B3" t="inlineStr">
        <is>
          <t>CESPEDES AGUILAR, PATRICIA</t>
        </is>
      </c>
      <c r="C3" t="n">
        <v>245</v>
      </c>
      <c r="D3" t="inlineStr">
        <is>
          <t>9416</t>
        </is>
      </c>
      <c r="E3" t="inlineStr">
        <is>
          <t>11</t>
        </is>
      </c>
      <c r="F3" t="inlineStr">
        <is>
          <t>75</t>
        </is>
      </c>
      <c r="G3" t="inlineStr">
        <is>
          <t>2</t>
        </is>
      </c>
      <c r="H3" t="n">
        <v>2005</v>
      </c>
      <c r="I3" t="n">
        <v>1.29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8.34</v>
      </c>
      <c r="P3" t="n">
        <v>1626.3</v>
      </c>
      <c r="Q3" t="n">
        <v>241627</v>
      </c>
      <c r="R3" t="n">
        <v>0.006730621991747611</v>
      </c>
      <c r="S3" t="n">
        <v>45284</v>
      </c>
      <c r="T3" t="n">
        <v>304.79</v>
      </c>
    </row>
    <row r="4">
      <c r="A4" t="n">
        <v>1585</v>
      </c>
      <c r="B4" t="inlineStr">
        <is>
          <t>CESPEDES AGUILAR, PATRICIA</t>
        </is>
      </c>
      <c r="C4" t="n">
        <v>245</v>
      </c>
      <c r="D4" t="inlineStr">
        <is>
          <t>9417</t>
        </is>
      </c>
      <c r="E4" t="inlineStr">
        <is>
          <t>11</t>
        </is>
      </c>
      <c r="F4" t="inlineStr">
        <is>
          <t>110</t>
        </is>
      </c>
      <c r="G4" t="inlineStr">
        <is>
          <t>1</t>
        </is>
      </c>
      <c r="H4" t="n">
        <v>2005</v>
      </c>
      <c r="I4" t="n">
        <v>3.9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8.34</v>
      </c>
      <c r="P4" t="n">
        <v>1626.3</v>
      </c>
      <c r="Q4" t="n">
        <v>241627</v>
      </c>
      <c r="R4" t="n">
        <v>0.006730621991747611</v>
      </c>
      <c r="S4" t="n">
        <v>45284</v>
      </c>
      <c r="T4" t="n">
        <v>304.79</v>
      </c>
    </row>
    <row r="5">
      <c r="A5" t="n">
        <v>1614</v>
      </c>
      <c r="B5" t="inlineStr">
        <is>
          <t>MARIN SERRANO 2025 S.C.</t>
        </is>
      </c>
      <c r="C5" t="n">
        <v>228</v>
      </c>
      <c r="I5" t="n">
        <v>5.12</v>
      </c>
      <c r="J5" t="n">
        <v>0</v>
      </c>
      <c r="M5" t="inlineStr">
        <is>
          <t>No</t>
        </is>
      </c>
      <c r="N5" t="inlineStr">
        <is>
          <t>CHA_NO_SELECCIONADO; CHA_NO_ACTIVO</t>
        </is>
      </c>
      <c r="O5" t="n">
        <v>5.8</v>
      </c>
      <c r="P5" t="n">
        <v>1131</v>
      </c>
      <c r="Q5" t="n">
        <v>590286</v>
      </c>
      <c r="R5" t="n">
        <v>0.001916020369786849</v>
      </c>
      <c r="S5" t="n">
        <v>120955</v>
      </c>
      <c r="T5" t="n">
        <v>231.75</v>
      </c>
    </row>
    <row r="6">
      <c r="A6" t="n">
        <v>1614</v>
      </c>
      <c r="B6" t="inlineStr">
        <is>
          <t>MARIN SERRANO 2025 S.C.</t>
        </is>
      </c>
      <c r="C6" t="n">
        <v>230</v>
      </c>
      <c r="I6" t="n">
        <v>1.9</v>
      </c>
      <c r="J6" t="n">
        <v>0</v>
      </c>
      <c r="M6" t="inlineStr">
        <is>
          <t>No</t>
        </is>
      </c>
      <c r="N6" t="inlineStr">
        <is>
          <t>CHA_NO_SELECCIONADO; CHA_NO_ACTIVO</t>
        </is>
      </c>
      <c r="O6" t="n">
        <v>5.8</v>
      </c>
      <c r="P6" t="n">
        <v>1131</v>
      </c>
      <c r="Q6" t="n">
        <v>590286</v>
      </c>
      <c r="R6" t="n">
        <v>0.001916020369786849</v>
      </c>
      <c r="S6" t="n">
        <v>120955</v>
      </c>
      <c r="T6" t="n">
        <v>231.75</v>
      </c>
    </row>
    <row r="7">
      <c r="A7" t="n">
        <v>1614</v>
      </c>
      <c r="B7" t="inlineStr">
        <is>
          <t>MARIN SERRANO 2025 S.C.</t>
        </is>
      </c>
      <c r="C7" t="n">
        <v>299</v>
      </c>
      <c r="I7" t="n">
        <v>3.03</v>
      </c>
      <c r="J7" t="n">
        <v>0</v>
      </c>
      <c r="M7" t="inlineStr">
        <is>
          <t>No</t>
        </is>
      </c>
      <c r="N7" t="inlineStr">
        <is>
          <t>CHA_NO_SELECCIONADO; CHA_NO_ACTIVO</t>
        </is>
      </c>
      <c r="O7" t="n">
        <v>5.8</v>
      </c>
      <c r="P7" t="n">
        <v>1131</v>
      </c>
      <c r="Q7" t="n">
        <v>590286</v>
      </c>
      <c r="R7" t="n">
        <v>0.001916020369786849</v>
      </c>
      <c r="S7" t="n">
        <v>120955</v>
      </c>
      <c r="T7" t="n">
        <v>231.75</v>
      </c>
    </row>
    <row r="8">
      <c r="A8" t="n">
        <v>1614</v>
      </c>
      <c r="B8" t="inlineStr">
        <is>
          <t>MARIN SERRANO 2025 S.C.</t>
        </is>
      </c>
      <c r="C8" t="n">
        <v>300</v>
      </c>
      <c r="I8" t="n">
        <v>2.04</v>
      </c>
      <c r="J8" t="n">
        <v>0</v>
      </c>
      <c r="M8" t="inlineStr">
        <is>
          <t>No</t>
        </is>
      </c>
      <c r="N8" t="inlineStr">
        <is>
          <t>CHA_NO_SELECCIONADO; CHA_NO_ACTIVO</t>
        </is>
      </c>
      <c r="O8" t="n">
        <v>5.8</v>
      </c>
      <c r="P8" t="n">
        <v>1131</v>
      </c>
      <c r="Q8" t="n">
        <v>590286</v>
      </c>
      <c r="R8" t="n">
        <v>0.001916020369786849</v>
      </c>
      <c r="S8" t="n">
        <v>120955</v>
      </c>
      <c r="T8" t="n">
        <v>231.75</v>
      </c>
    </row>
    <row r="9">
      <c r="A9" t="n">
        <v>1614</v>
      </c>
      <c r="B9" t="inlineStr">
        <is>
          <t>MARIN SERRANO 2025 S.C.</t>
        </is>
      </c>
      <c r="C9" t="n">
        <v>529</v>
      </c>
      <c r="I9" t="n">
        <v>4.58</v>
      </c>
      <c r="J9" t="n">
        <v>0</v>
      </c>
      <c r="M9" t="inlineStr">
        <is>
          <t>No</t>
        </is>
      </c>
      <c r="N9" t="inlineStr">
        <is>
          <t>CHA_NO_SELECCIONADO; CHA_NO_ACTIVO</t>
        </is>
      </c>
      <c r="O9" t="n">
        <v>5.8</v>
      </c>
      <c r="P9" t="n">
        <v>1131</v>
      </c>
      <c r="Q9" t="n">
        <v>590286</v>
      </c>
      <c r="R9" t="n">
        <v>0.001916020369786849</v>
      </c>
      <c r="S9" t="n">
        <v>120955</v>
      </c>
      <c r="T9" t="n">
        <v>231.75</v>
      </c>
    </row>
    <row r="10">
      <c r="A10" t="n">
        <v>1614</v>
      </c>
      <c r="B10" t="inlineStr">
        <is>
          <t>MARIN SERRANO 2025 S.C.</t>
        </is>
      </c>
      <c r="C10" t="n">
        <v>530</v>
      </c>
      <c r="I10" t="n">
        <v>2.79</v>
      </c>
      <c r="J10" t="n">
        <v>0</v>
      </c>
      <c r="M10" t="inlineStr">
        <is>
          <t>No</t>
        </is>
      </c>
      <c r="N10" t="inlineStr">
        <is>
          <t>CHA_NO_SELECCIONADO; CHA_NO_ACTIVO</t>
        </is>
      </c>
      <c r="O10" t="n">
        <v>5.8</v>
      </c>
      <c r="P10" t="n">
        <v>1131</v>
      </c>
      <c r="Q10" t="n">
        <v>590286</v>
      </c>
      <c r="R10" t="n">
        <v>0.001916020369786849</v>
      </c>
      <c r="S10" t="n">
        <v>120955</v>
      </c>
      <c r="T10" t="n">
        <v>231.75</v>
      </c>
    </row>
    <row r="11">
      <c r="A11" t="n">
        <v>1614</v>
      </c>
      <c r="B11" t="inlineStr">
        <is>
          <t>MARIN SERRANO 2025 S.C.</t>
        </is>
      </c>
      <c r="C11" t="n">
        <v>531</v>
      </c>
      <c r="I11" t="n">
        <v>2.53</v>
      </c>
      <c r="J11" t="n">
        <v>0</v>
      </c>
      <c r="M11" t="inlineStr">
        <is>
          <t>No</t>
        </is>
      </c>
      <c r="N11" t="inlineStr">
        <is>
          <t>CHA_NO_SELECCIONADO; CHA_NO_ACTIVO</t>
        </is>
      </c>
      <c r="O11" t="n">
        <v>5.8</v>
      </c>
      <c r="P11" t="n">
        <v>1131</v>
      </c>
      <c r="Q11" t="n">
        <v>590286</v>
      </c>
      <c r="R11" t="n">
        <v>0.001916020369786849</v>
      </c>
      <c r="S11" t="n">
        <v>120955</v>
      </c>
      <c r="T11" t="n">
        <v>231.75</v>
      </c>
    </row>
    <row r="12">
      <c r="A12" t="n">
        <v>1614</v>
      </c>
      <c r="B12" t="inlineStr">
        <is>
          <t>MARIN SERRANO 2025 S.C.</t>
        </is>
      </c>
      <c r="C12" t="n">
        <v>248</v>
      </c>
      <c r="D12" t="inlineStr">
        <is>
          <t>9412</t>
        </is>
      </c>
      <c r="E12" t="inlineStr">
        <is>
          <t>17</t>
        </is>
      </c>
      <c r="F12" t="inlineStr">
        <is>
          <t>107</t>
        </is>
      </c>
      <c r="G12" t="inlineStr">
        <is>
          <t>2</t>
        </is>
      </c>
      <c r="H12" t="n">
        <v>1997</v>
      </c>
      <c r="I12" t="n">
        <v>5.8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5.8</v>
      </c>
      <c r="P12" t="n">
        <v>1131</v>
      </c>
      <c r="Q12" t="n">
        <v>590286</v>
      </c>
      <c r="R12" t="n">
        <v>0.001916020369786849</v>
      </c>
      <c r="S12" t="n">
        <v>120955</v>
      </c>
      <c r="T12" t="n">
        <v>231.75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1585</v>
      </c>
      <c r="B2" t="inlineStr">
        <is>
          <t>CESPEDES AGUILAR, PATRICIA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SALUSTIANA</t>
        </is>
      </c>
      <c r="I2" t="n">
        <v>93</v>
      </c>
      <c r="J2" t="n">
        <v>11760</v>
      </c>
      <c r="K2" t="n">
        <v>0</v>
      </c>
      <c r="L2" t="n">
        <v>11760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1585</v>
      </c>
      <c r="B3" t="inlineStr">
        <is>
          <t>CESPEDES AGUILAR, PATRICIA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SALUSTIANA</t>
        </is>
      </c>
      <c r="I3" t="n">
        <v>93</v>
      </c>
      <c r="J3" t="n">
        <v>11950</v>
      </c>
      <c r="K3" t="n">
        <v>11173</v>
      </c>
      <c r="L3" t="n">
        <v>11173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1585</v>
      </c>
      <c r="B4" t="inlineStr">
        <is>
          <t>CESPEDES AGUILAR, PATRICIA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93</v>
      </c>
      <c r="J4" t="n">
        <v>11720</v>
      </c>
      <c r="K4" t="n">
        <v>0</v>
      </c>
      <c r="L4" t="n">
        <v>11720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1585</v>
      </c>
      <c r="B5" t="inlineStr">
        <is>
          <t>CESPEDES AGUILAR, PATRICIA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SALUSTIANA</t>
        </is>
      </c>
      <c r="I5" t="n">
        <v>93</v>
      </c>
      <c r="J5" t="n">
        <v>12715</v>
      </c>
      <c r="K5" t="n">
        <v>3654</v>
      </c>
      <c r="L5" t="n">
        <v>3654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1585</v>
      </c>
      <c r="B6" t="inlineStr">
        <is>
          <t>CESPEDES AGUILAR, PATRICIA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SALUSTIANA</t>
        </is>
      </c>
      <c r="I6" t="n">
        <v>93</v>
      </c>
      <c r="J6" t="n">
        <v>12365</v>
      </c>
      <c r="K6" t="n">
        <v>6977</v>
      </c>
      <c r="L6" t="n">
        <v>6977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1585</v>
      </c>
      <c r="B7" t="inlineStr">
        <is>
          <t>CESPEDES AGUILAR, PATRICIA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SALUSTIANA</t>
        </is>
      </c>
      <c r="I7" t="n">
        <v>93</v>
      </c>
      <c r="J7" t="n">
        <v>12640</v>
      </c>
      <c r="K7" t="n">
        <v>8147</v>
      </c>
      <c r="L7" t="n">
        <v>8147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1585</v>
      </c>
      <c r="B8" t="inlineStr">
        <is>
          <t>CESPEDES AGUILAR, PATRICIA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SALUSTIANA</t>
        </is>
      </c>
      <c r="I8" t="n">
        <v>93</v>
      </c>
      <c r="J8" t="n">
        <v>6300</v>
      </c>
      <c r="K8" t="n">
        <v>0</v>
      </c>
      <c r="L8" t="n">
        <v>6300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1585</v>
      </c>
      <c r="B9" t="inlineStr">
        <is>
          <t>CESPEDES AGUILAR, PATRICIA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SALUSTIANA</t>
        </is>
      </c>
      <c r="I9" t="n">
        <v>245</v>
      </c>
      <c r="J9" t="n">
        <v>11920</v>
      </c>
      <c r="K9" t="n">
        <v>0</v>
      </c>
      <c r="L9" t="n">
        <v>11920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1585</v>
      </c>
      <c r="B10" t="inlineStr">
        <is>
          <t>CESPEDES AGUILAR, PATRICIA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SALUSTIANA</t>
        </is>
      </c>
      <c r="I10" t="n">
        <v>245</v>
      </c>
      <c r="J10" t="n">
        <v>23732</v>
      </c>
      <c r="K10" t="n">
        <v>4924</v>
      </c>
      <c r="L10" t="n">
        <v>4924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1585</v>
      </c>
      <c r="B11" t="inlineStr">
        <is>
          <t>CESPEDES AGUILAR, PATRICIA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SALUSTIANA</t>
        </is>
      </c>
      <c r="I11" t="n">
        <v>93</v>
      </c>
      <c r="J11" t="n">
        <v>13060</v>
      </c>
      <c r="K11" t="n">
        <v>4073</v>
      </c>
      <c r="L11" t="n">
        <v>4073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1585</v>
      </c>
      <c r="B12" t="inlineStr">
        <is>
          <t>CESPEDES AGUILAR, PATRICIA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SALUSTIANA</t>
        </is>
      </c>
      <c r="I12" t="n">
        <v>245</v>
      </c>
      <c r="J12" t="n">
        <v>23840</v>
      </c>
      <c r="K12" t="n">
        <v>4104</v>
      </c>
      <c r="L12" t="n">
        <v>4104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1585</v>
      </c>
      <c r="B13" t="inlineStr">
        <is>
          <t>CESPEDES AGUILAR, PATRICIA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SALUSTIANA</t>
        </is>
      </c>
      <c r="I13" t="n">
        <v>245</v>
      </c>
      <c r="J13" t="n">
        <v>22669</v>
      </c>
      <c r="K13" t="n">
        <v>12105</v>
      </c>
      <c r="L13" t="n">
        <v>12105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1585</v>
      </c>
      <c r="B14" t="inlineStr">
        <is>
          <t>CESPEDES AGUILAR, PATRICIA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SALUSTIANA</t>
        </is>
      </c>
      <c r="I14" t="n">
        <v>245</v>
      </c>
      <c r="J14" t="n">
        <v>12860</v>
      </c>
      <c r="K14" t="n">
        <v>4066</v>
      </c>
      <c r="L14" t="n">
        <v>4066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1585</v>
      </c>
      <c r="B15" t="inlineStr">
        <is>
          <t>CESPEDES AGUILAR, PATRICIA</t>
        </is>
      </c>
      <c r="E15" t="n">
        <v>2026</v>
      </c>
      <c r="F15" t="n">
        <v>1</v>
      </c>
      <c r="G15" t="inlineStr">
        <is>
          <t>CITRICOS</t>
        </is>
      </c>
      <c r="H15" t="inlineStr">
        <is>
          <t>SALUSTIANA</t>
        </is>
      </c>
      <c r="I15" t="n">
        <v>245</v>
      </c>
      <c r="J15" t="n">
        <v>12800</v>
      </c>
      <c r="K15" t="n">
        <v>0</v>
      </c>
      <c r="L15" t="n">
        <v>12800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1585</v>
      </c>
      <c r="B16" t="inlineStr">
        <is>
          <t>CESPEDES AGUILAR, PATRICIA</t>
        </is>
      </c>
      <c r="E16" t="n">
        <v>2026</v>
      </c>
      <c r="F16" t="n">
        <v>1</v>
      </c>
      <c r="G16" t="inlineStr">
        <is>
          <t>CITRICOS</t>
        </is>
      </c>
      <c r="H16" t="inlineStr">
        <is>
          <t>SALUSTIANA</t>
        </is>
      </c>
      <c r="I16" t="n">
        <v>245</v>
      </c>
      <c r="J16" t="n">
        <v>9220</v>
      </c>
      <c r="K16" t="n">
        <v>0</v>
      </c>
      <c r="L16" t="n">
        <v>9220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1585</v>
      </c>
      <c r="B17" t="inlineStr">
        <is>
          <t>CESPEDES AGUILAR, PATRICIA</t>
        </is>
      </c>
      <c r="E17" t="n">
        <v>2026</v>
      </c>
      <c r="F17" t="n">
        <v>1</v>
      </c>
      <c r="G17" t="inlineStr">
        <is>
          <t>CITRICOS</t>
        </is>
      </c>
      <c r="H17" t="inlineStr">
        <is>
          <t>SALUSTIANA</t>
        </is>
      </c>
      <c r="I17" t="n">
        <v>245</v>
      </c>
      <c r="J17" t="n">
        <v>13262</v>
      </c>
      <c r="K17" t="n">
        <v>0</v>
      </c>
      <c r="L17" t="n">
        <v>13262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1585</v>
      </c>
      <c r="B18" t="inlineStr">
        <is>
          <t>CESPEDES AGUILAR, PATRICIA</t>
        </is>
      </c>
      <c r="E18" t="n">
        <v>2026</v>
      </c>
      <c r="F18" t="n">
        <v>1</v>
      </c>
      <c r="G18" t="inlineStr">
        <is>
          <t>CITRICOS</t>
        </is>
      </c>
      <c r="H18" t="inlineStr">
        <is>
          <t>SALUSTIANA</t>
        </is>
      </c>
      <c r="I18" t="n">
        <v>245</v>
      </c>
      <c r="J18" t="n">
        <v>13490</v>
      </c>
      <c r="K18" t="n">
        <v>0</v>
      </c>
      <c r="L18" t="n">
        <v>13490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1585</v>
      </c>
      <c r="B19" t="inlineStr">
        <is>
          <t>CESPEDES AGUILAR, PATRICIA</t>
        </is>
      </c>
      <c r="E19" t="n">
        <v>2026</v>
      </c>
      <c r="F19" t="n">
        <v>1</v>
      </c>
      <c r="G19" t="inlineStr">
        <is>
          <t>CITRICOS</t>
        </is>
      </c>
      <c r="H19" t="inlineStr">
        <is>
          <t>SALUSTIANA</t>
        </is>
      </c>
      <c r="I19" t="n">
        <v>245</v>
      </c>
      <c r="J19" t="n">
        <v>10080</v>
      </c>
      <c r="K19" t="n">
        <v>3960</v>
      </c>
      <c r="L19" t="n">
        <v>3960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1585</v>
      </c>
      <c r="B20" t="inlineStr">
        <is>
          <t>CESPEDES AGUILAR, PATRICIA</t>
        </is>
      </c>
      <c r="E20" t="n">
        <v>2026</v>
      </c>
      <c r="F20" t="n">
        <v>1</v>
      </c>
      <c r="G20" t="inlineStr">
        <is>
          <t>CITRICOS</t>
        </is>
      </c>
      <c r="H20" t="inlineStr">
        <is>
          <t>SALUSTIANA</t>
        </is>
      </c>
      <c r="I20" t="n">
        <v>245</v>
      </c>
      <c r="J20" t="n">
        <v>3900</v>
      </c>
      <c r="K20" t="n">
        <v>0</v>
      </c>
      <c r="L20" t="n">
        <v>3900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1585</v>
      </c>
      <c r="B21" t="inlineStr">
        <is>
          <t>CESPEDES AGUILAR, PATRICIA</t>
        </is>
      </c>
      <c r="E21" t="n">
        <v>2026</v>
      </c>
      <c r="F21" t="n">
        <v>1</v>
      </c>
      <c r="G21" t="inlineStr">
        <is>
          <t>CITRICOS</t>
        </is>
      </c>
      <c r="H21" t="inlineStr">
        <is>
          <t>SALUSTIANA</t>
        </is>
      </c>
      <c r="I21" t="n">
        <v>245</v>
      </c>
      <c r="J21" t="n">
        <v>11440</v>
      </c>
      <c r="K21" t="n">
        <v>0</v>
      </c>
      <c r="L21" t="n">
        <v>11440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1585</v>
      </c>
      <c r="B22" t="inlineStr">
        <is>
          <t>CESPEDES AGUILAR, PATRICIA</t>
        </is>
      </c>
      <c r="E22" t="n">
        <v>2026</v>
      </c>
      <c r="F22" t="n">
        <v>1</v>
      </c>
      <c r="G22" t="inlineStr">
        <is>
          <t>CITRICOS</t>
        </is>
      </c>
      <c r="H22" t="inlineStr">
        <is>
          <t>SALUSTIANA</t>
        </is>
      </c>
      <c r="I22" t="n">
        <v>245</v>
      </c>
      <c r="J22" t="n">
        <v>3767</v>
      </c>
      <c r="K22" t="n">
        <v>0</v>
      </c>
      <c r="L22" t="n">
        <v>3767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1585</v>
      </c>
      <c r="B23" t="inlineStr">
        <is>
          <t>CESPEDES AGUILAR, PATRICIA</t>
        </is>
      </c>
      <c r="E23" t="n">
        <v>2026</v>
      </c>
      <c r="F23" t="n">
        <v>1</v>
      </c>
      <c r="G23" t="inlineStr">
        <is>
          <t>CITRICOS</t>
        </is>
      </c>
      <c r="H23" t="inlineStr">
        <is>
          <t>SALUSTIANA</t>
        </is>
      </c>
      <c r="I23" t="n">
        <v>245</v>
      </c>
      <c r="J23" t="n">
        <v>13116</v>
      </c>
      <c r="K23" t="n">
        <v>2677</v>
      </c>
      <c r="L23" t="n">
        <v>2677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1585</v>
      </c>
      <c r="B24" t="inlineStr">
        <is>
          <t>CESPEDES AGUILAR, PATRICIA</t>
        </is>
      </c>
      <c r="E24" t="n">
        <v>2026</v>
      </c>
      <c r="F24" t="n">
        <v>1</v>
      </c>
      <c r="G24" t="inlineStr">
        <is>
          <t>CITRICOS</t>
        </is>
      </c>
      <c r="H24" t="inlineStr">
        <is>
          <t>SALUSTIANA</t>
        </is>
      </c>
      <c r="I24" t="n">
        <v>245</v>
      </c>
      <c r="J24" t="n">
        <v>4912</v>
      </c>
      <c r="K24" t="n">
        <v>0</v>
      </c>
      <c r="L24" t="n">
        <v>4912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1585</v>
      </c>
      <c r="B25" t="inlineStr">
        <is>
          <t>CESPEDES AGUILAR, PATRICIA</t>
        </is>
      </c>
      <c r="E25" t="n">
        <v>2026</v>
      </c>
      <c r="F25" t="n">
        <v>1</v>
      </c>
      <c r="G25" t="inlineStr">
        <is>
          <t>CITRICOS</t>
        </is>
      </c>
      <c r="H25" t="inlineStr">
        <is>
          <t>SALUSTIANA</t>
        </is>
      </c>
      <c r="I25" t="n">
        <v>245</v>
      </c>
      <c r="J25" t="n">
        <v>12668</v>
      </c>
      <c r="K25" t="n">
        <v>7231</v>
      </c>
      <c r="L25" t="n">
        <v>7231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1585</v>
      </c>
      <c r="B26" t="inlineStr">
        <is>
          <t>CESPEDES AGUILAR, PATRICIA</t>
        </is>
      </c>
      <c r="E26" t="n">
        <v>2026</v>
      </c>
      <c r="F26" t="n">
        <v>1</v>
      </c>
      <c r="G26" t="inlineStr">
        <is>
          <t>CITRICOS</t>
        </is>
      </c>
      <c r="H26" t="inlineStr">
        <is>
          <t>SALUSTIANA</t>
        </is>
      </c>
      <c r="I26" t="n">
        <v>245</v>
      </c>
      <c r="J26" t="n">
        <v>11532</v>
      </c>
      <c r="K26" t="n">
        <v>5098</v>
      </c>
      <c r="L26" t="n">
        <v>5098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1585</v>
      </c>
      <c r="B27" t="inlineStr">
        <is>
          <t>CESPEDES AGUILAR, PATRICIA</t>
        </is>
      </c>
      <c r="E27" t="n">
        <v>2026</v>
      </c>
      <c r="F27" t="n">
        <v>1</v>
      </c>
      <c r="G27" t="inlineStr">
        <is>
          <t>CITRICOS</t>
        </is>
      </c>
      <c r="H27" t="inlineStr">
        <is>
          <t>SALUSTIANA</t>
        </is>
      </c>
      <c r="I27" t="n">
        <v>245</v>
      </c>
      <c r="J27" t="n">
        <v>5804</v>
      </c>
      <c r="K27" t="n">
        <v>0</v>
      </c>
      <c r="L27" t="n">
        <v>5804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1585</v>
      </c>
      <c r="B28" t="inlineStr">
        <is>
          <t>CESPEDES AGUILAR, PATRICIA</t>
        </is>
      </c>
      <c r="E28" t="n">
        <v>2026</v>
      </c>
      <c r="F28" t="n">
        <v>1</v>
      </c>
      <c r="G28" t="inlineStr">
        <is>
          <t>CITRICOS</t>
        </is>
      </c>
      <c r="H28" t="inlineStr">
        <is>
          <t>SALUSTIANA</t>
        </is>
      </c>
      <c r="I28" t="n">
        <v>245</v>
      </c>
      <c r="J28" t="n">
        <v>10440</v>
      </c>
      <c r="K28" t="n">
        <v>8270</v>
      </c>
      <c r="L28" t="n">
        <v>8270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1585</v>
      </c>
      <c r="B29" t="inlineStr">
        <is>
          <t>CESPEDES AGUILAR, PATRICIA</t>
        </is>
      </c>
      <c r="E29" t="n">
        <v>2026</v>
      </c>
      <c r="F29" t="n">
        <v>1</v>
      </c>
      <c r="G29" t="inlineStr">
        <is>
          <t>CITRICOS</t>
        </is>
      </c>
      <c r="H29" t="inlineStr">
        <is>
          <t>SALUSTIANA</t>
        </is>
      </c>
      <c r="I29" t="n">
        <v>245</v>
      </c>
      <c r="J29" t="n">
        <v>1960</v>
      </c>
      <c r="K29" t="n">
        <v>0</v>
      </c>
      <c r="L29" t="n">
        <v>1960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1585</v>
      </c>
      <c r="B30" t="inlineStr">
        <is>
          <t>CESPEDES AGUILAR, PATRICIA</t>
        </is>
      </c>
      <c r="E30" t="n">
        <v>2026</v>
      </c>
      <c r="F30" t="n">
        <v>1</v>
      </c>
      <c r="G30" t="inlineStr">
        <is>
          <t>CITRICOS</t>
        </is>
      </c>
      <c r="H30" t="inlineStr">
        <is>
          <t>SALUSTIANA</t>
        </is>
      </c>
      <c r="I30" t="n">
        <v>245</v>
      </c>
      <c r="J30" t="n">
        <v>9012</v>
      </c>
      <c r="K30" t="n">
        <v>4692</v>
      </c>
      <c r="L30" t="n">
        <v>4692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1585</v>
      </c>
      <c r="B31" t="inlineStr">
        <is>
          <t>CESPEDES AGUILAR, PATRICIA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SALUSTIANA</t>
        </is>
      </c>
      <c r="I31" t="n">
        <v>245</v>
      </c>
      <c r="J31" t="n">
        <v>5756</v>
      </c>
      <c r="K31" t="n">
        <v>0</v>
      </c>
      <c r="L31" t="n">
        <v>5756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1585</v>
      </c>
      <c r="B32" t="inlineStr">
        <is>
          <t>CESPEDES AGUILAR, PATRICIA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SALUSTIANA</t>
        </is>
      </c>
      <c r="I32" t="n">
        <v>245</v>
      </c>
      <c r="J32" t="n">
        <v>10404</v>
      </c>
      <c r="K32" t="n">
        <v>1584</v>
      </c>
      <c r="L32" t="n">
        <v>1584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1585</v>
      </c>
      <c r="B33" t="inlineStr">
        <is>
          <t>CESPEDES AGUILAR, PATRICIA</t>
        </is>
      </c>
      <c r="E33" t="n">
        <v>2026</v>
      </c>
      <c r="F33" t="n">
        <v>1</v>
      </c>
      <c r="G33" t="inlineStr">
        <is>
          <t>CITRICOS</t>
        </is>
      </c>
      <c r="H33" t="inlineStr">
        <is>
          <t>SALUSTIANA</t>
        </is>
      </c>
      <c r="I33" t="n">
        <v>245</v>
      </c>
      <c r="J33" t="n">
        <v>12900</v>
      </c>
      <c r="K33" t="n">
        <v>4462</v>
      </c>
      <c r="L33" t="n">
        <v>4462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1585</v>
      </c>
      <c r="B34" t="inlineStr">
        <is>
          <t>CESPEDES AGUILAR, PATRICIA</t>
        </is>
      </c>
      <c r="E34" t="n">
        <v>2026</v>
      </c>
      <c r="F34" t="n">
        <v>1</v>
      </c>
      <c r="G34" t="inlineStr">
        <is>
          <t>INDUSTRIA</t>
        </is>
      </c>
      <c r="H34" t="inlineStr">
        <is>
          <t>SALUSTIANA</t>
        </is>
      </c>
      <c r="I34" t="n">
        <v>93</v>
      </c>
      <c r="J34" t="n">
        <v>13070</v>
      </c>
      <c r="K34" t="n">
        <v>707</v>
      </c>
      <c r="L34" t="n">
        <v>707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1585</v>
      </c>
      <c r="B35" t="inlineStr">
        <is>
          <t>CESPEDES AGUILAR, PATRICIA</t>
        </is>
      </c>
      <c r="E35" t="n">
        <v>2026</v>
      </c>
      <c r="F35" t="n">
        <v>1</v>
      </c>
      <c r="G35" t="inlineStr">
        <is>
          <t>INDUSTRIA</t>
        </is>
      </c>
      <c r="H35" t="inlineStr">
        <is>
          <t>SALUSTIANA</t>
        </is>
      </c>
      <c r="I35" t="n">
        <v>93</v>
      </c>
      <c r="J35" t="n">
        <v>11700</v>
      </c>
      <c r="K35" t="n">
        <v>1209</v>
      </c>
      <c r="L35" t="n">
        <v>1209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1585</v>
      </c>
      <c r="B36" t="inlineStr">
        <is>
          <t>CESPEDES AGUILAR, PATRICIA</t>
        </is>
      </c>
      <c r="E36" t="n">
        <v>2026</v>
      </c>
      <c r="F36" t="n">
        <v>1</v>
      </c>
      <c r="G36" t="inlineStr">
        <is>
          <t>INDUSTRIA</t>
        </is>
      </c>
      <c r="H36" t="inlineStr">
        <is>
          <t>SALUSTIANA</t>
        </is>
      </c>
      <c r="I36" t="n">
        <v>245</v>
      </c>
      <c r="J36" t="n">
        <v>24351</v>
      </c>
      <c r="K36" t="n">
        <v>231</v>
      </c>
      <c r="L36" t="n">
        <v>231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1585</v>
      </c>
      <c r="B37" t="inlineStr">
        <is>
          <t>CESPEDES AGUILAR, PATRICIA</t>
        </is>
      </c>
      <c r="E37" t="n">
        <v>2026</v>
      </c>
      <c r="F37" t="n">
        <v>1</v>
      </c>
      <c r="G37" t="inlineStr">
        <is>
          <t>INDUSTRIA</t>
        </is>
      </c>
      <c r="H37" t="inlineStr">
        <is>
          <t>SALUSTIANA</t>
        </is>
      </c>
      <c r="I37" t="n">
        <v>93</v>
      </c>
      <c r="J37" t="n">
        <v>443</v>
      </c>
      <c r="K37" t="n">
        <v>0</v>
      </c>
      <c r="L37" t="n">
        <v>443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1585</v>
      </c>
      <c r="B38" t="inlineStr">
        <is>
          <t>CESPEDES AGUILAR, PATRICIA</t>
        </is>
      </c>
      <c r="E38" t="n">
        <v>2026</v>
      </c>
      <c r="F38" t="n">
        <v>1</v>
      </c>
      <c r="G38" t="inlineStr">
        <is>
          <t>INDUSTRIA</t>
        </is>
      </c>
      <c r="H38" t="inlineStr">
        <is>
          <t>SALUSTIANA</t>
        </is>
      </c>
      <c r="I38" t="n">
        <v>93</v>
      </c>
      <c r="J38" t="n">
        <v>480</v>
      </c>
      <c r="K38" t="n">
        <v>0</v>
      </c>
      <c r="L38" t="n">
        <v>480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1585</v>
      </c>
      <c r="B39" t="inlineStr">
        <is>
          <t>CESPEDES AGUILAR, PATRICIA</t>
        </is>
      </c>
      <c r="E39" t="n">
        <v>2026</v>
      </c>
      <c r="F39" t="n">
        <v>1</v>
      </c>
      <c r="G39" t="inlineStr">
        <is>
          <t>INDUSTRIA</t>
        </is>
      </c>
      <c r="H39" t="inlineStr">
        <is>
          <t>SALUSTIANA</t>
        </is>
      </c>
      <c r="I39" t="n">
        <v>93</v>
      </c>
      <c r="J39" t="n">
        <v>471</v>
      </c>
      <c r="K39" t="n">
        <v>0</v>
      </c>
      <c r="L39" t="n">
        <v>471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1614</v>
      </c>
      <c r="B40" t="inlineStr">
        <is>
          <t>MARIN SERRANO 2025 S.C.</t>
        </is>
      </c>
      <c r="E40" t="n">
        <v>2026</v>
      </c>
      <c r="F40" t="n">
        <v>1</v>
      </c>
      <c r="G40" t="inlineStr">
        <is>
          <t>CITRICOS</t>
        </is>
      </c>
      <c r="H40" t="inlineStr">
        <is>
          <t>NAVELINA</t>
        </is>
      </c>
      <c r="I40" t="n">
        <v>531</v>
      </c>
      <c r="J40" t="n">
        <v>14750</v>
      </c>
      <c r="K40" t="n">
        <v>0</v>
      </c>
      <c r="L40" t="n">
        <v>14750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1614</v>
      </c>
      <c r="B41" t="inlineStr">
        <is>
          <t>MARIN SERRANO 2025 S.C.</t>
        </is>
      </c>
      <c r="E41" t="n">
        <v>2026</v>
      </c>
      <c r="F41" t="n">
        <v>1</v>
      </c>
      <c r="G41" t="inlineStr">
        <is>
          <t>CITRICOS</t>
        </is>
      </c>
      <c r="H41" t="inlineStr">
        <is>
          <t>NAVELINA</t>
        </is>
      </c>
      <c r="I41" t="n">
        <v>531</v>
      </c>
      <c r="J41" t="n">
        <v>14620</v>
      </c>
      <c r="K41" t="n">
        <v>0</v>
      </c>
      <c r="L41" t="n">
        <v>14620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1614</v>
      </c>
      <c r="B42" t="inlineStr">
        <is>
          <t>MARIN SERRANO 2025 S.C.</t>
        </is>
      </c>
      <c r="E42" t="n">
        <v>2026</v>
      </c>
      <c r="F42" t="n">
        <v>1</v>
      </c>
      <c r="G42" t="inlineStr">
        <is>
          <t>CITRICOS</t>
        </is>
      </c>
      <c r="H42" t="inlineStr">
        <is>
          <t>SALUSTIANA</t>
        </is>
      </c>
      <c r="I42" t="n">
        <v>230</v>
      </c>
      <c r="J42" t="n">
        <v>14750</v>
      </c>
      <c r="K42" t="n">
        <v>0</v>
      </c>
      <c r="L42" t="n">
        <v>14750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1614</v>
      </c>
      <c r="B43" t="inlineStr">
        <is>
          <t>MARIN SERRANO 2025 S.C.</t>
        </is>
      </c>
      <c r="E43" t="n">
        <v>2026</v>
      </c>
      <c r="F43" t="n">
        <v>1</v>
      </c>
      <c r="G43" t="inlineStr">
        <is>
          <t>CITRICOS</t>
        </is>
      </c>
      <c r="H43" t="inlineStr">
        <is>
          <t>SALUSTIANA</t>
        </is>
      </c>
      <c r="I43" t="n">
        <v>230</v>
      </c>
      <c r="J43" t="n">
        <v>13460</v>
      </c>
      <c r="K43" t="n">
        <v>0</v>
      </c>
      <c r="L43" t="n">
        <v>13460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1614</v>
      </c>
      <c r="B44" t="inlineStr">
        <is>
          <t>MARIN SERRANO 2025 S.C.</t>
        </is>
      </c>
      <c r="E44" t="n">
        <v>2026</v>
      </c>
      <c r="F44" t="n">
        <v>1</v>
      </c>
      <c r="G44" t="inlineStr">
        <is>
          <t>CITRICOS</t>
        </is>
      </c>
      <c r="H44" t="inlineStr">
        <is>
          <t>SALUSTIANA</t>
        </is>
      </c>
      <c r="I44" t="n">
        <v>529</v>
      </c>
      <c r="J44" t="n">
        <v>15225</v>
      </c>
      <c r="K44" t="n">
        <v>9450</v>
      </c>
      <c r="L44" t="n">
        <v>9450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1614</v>
      </c>
      <c r="B45" t="inlineStr">
        <is>
          <t>MARIN SERRANO 2025 S.C.</t>
        </is>
      </c>
      <c r="E45" t="n">
        <v>2026</v>
      </c>
      <c r="F45" t="n">
        <v>1</v>
      </c>
      <c r="G45" t="inlineStr">
        <is>
          <t>CITRICOS</t>
        </is>
      </c>
      <c r="H45" t="inlineStr">
        <is>
          <t>SALUSTIANA</t>
        </is>
      </c>
      <c r="I45" t="n">
        <v>529</v>
      </c>
      <c r="J45" t="n">
        <v>14800</v>
      </c>
      <c r="K45" t="n">
        <v>0</v>
      </c>
      <c r="L45" t="n">
        <v>14800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1614</v>
      </c>
      <c r="B46" t="inlineStr">
        <is>
          <t>MARIN SERRANO 2025 S.C.</t>
        </is>
      </c>
      <c r="E46" t="n">
        <v>2026</v>
      </c>
      <c r="F46" t="n">
        <v>1</v>
      </c>
      <c r="G46" t="inlineStr">
        <is>
          <t>CITRICOS</t>
        </is>
      </c>
      <c r="H46" t="inlineStr">
        <is>
          <t>SALUSTIANA</t>
        </is>
      </c>
      <c r="I46" t="n">
        <v>529</v>
      </c>
      <c r="J46" t="n">
        <v>5185</v>
      </c>
      <c r="K46" t="n">
        <v>0</v>
      </c>
      <c r="L46" t="n">
        <v>5185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1614</v>
      </c>
      <c r="B47" t="inlineStr">
        <is>
          <t>MARIN SERRANO 2025 S.C.</t>
        </is>
      </c>
      <c r="E47" t="n">
        <v>2026</v>
      </c>
      <c r="F47" t="n">
        <v>1</v>
      </c>
      <c r="G47" t="inlineStr">
        <is>
          <t>CITRICOS</t>
        </is>
      </c>
      <c r="H47" t="inlineStr">
        <is>
          <t>SALUSTIANA</t>
        </is>
      </c>
      <c r="I47" t="n">
        <v>529</v>
      </c>
      <c r="J47" t="n">
        <v>14580</v>
      </c>
      <c r="K47" t="n">
        <v>0</v>
      </c>
      <c r="L47" t="n">
        <v>14580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1614</v>
      </c>
      <c r="B48" t="inlineStr">
        <is>
          <t>MARIN SERRANO 2025 S.C.</t>
        </is>
      </c>
      <c r="E48" t="n">
        <v>2026</v>
      </c>
      <c r="F48" t="n">
        <v>1</v>
      </c>
      <c r="G48" t="inlineStr">
        <is>
          <t>CITRICOS</t>
        </is>
      </c>
      <c r="H48" t="inlineStr">
        <is>
          <t>SALUSTIANA</t>
        </is>
      </c>
      <c r="I48" t="n">
        <v>529</v>
      </c>
      <c r="J48" t="n">
        <v>15020</v>
      </c>
      <c r="K48" t="n">
        <v>8951</v>
      </c>
      <c r="L48" t="n">
        <v>8951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1614</v>
      </c>
      <c r="B49" t="inlineStr">
        <is>
          <t>MARIN SERRANO 2025 S.C.</t>
        </is>
      </c>
      <c r="E49" t="n">
        <v>2026</v>
      </c>
      <c r="F49" t="n">
        <v>1</v>
      </c>
      <c r="G49" t="inlineStr">
        <is>
          <t>CITRICOS</t>
        </is>
      </c>
      <c r="H49" t="inlineStr">
        <is>
          <t>SALUSTIANA</t>
        </is>
      </c>
      <c r="I49" t="n">
        <v>529</v>
      </c>
      <c r="J49" t="n">
        <v>12560</v>
      </c>
      <c r="K49" t="n">
        <v>0</v>
      </c>
      <c r="L49" t="n">
        <v>12560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1614</v>
      </c>
      <c r="B50" t="inlineStr">
        <is>
          <t>MARIN SERRANO 2025 S.C.</t>
        </is>
      </c>
      <c r="E50" t="n">
        <v>2026</v>
      </c>
      <c r="F50" t="n">
        <v>1</v>
      </c>
      <c r="G50" t="inlineStr">
        <is>
          <t>CITRICOS</t>
        </is>
      </c>
      <c r="H50" t="inlineStr">
        <is>
          <t>SALUSTIANA</t>
        </is>
      </c>
      <c r="I50" t="n">
        <v>529</v>
      </c>
      <c r="J50" t="n">
        <v>15645</v>
      </c>
      <c r="K50" t="n">
        <v>5250</v>
      </c>
      <c r="L50" t="n">
        <v>5250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1614</v>
      </c>
      <c r="B51" t="inlineStr">
        <is>
          <t>MARIN SERRANO 2025 S.C.</t>
        </is>
      </c>
      <c r="E51" t="n">
        <v>2026</v>
      </c>
      <c r="F51" t="n">
        <v>1</v>
      </c>
      <c r="G51" t="inlineStr">
        <is>
          <t>CITRICOS</t>
        </is>
      </c>
      <c r="H51" t="inlineStr">
        <is>
          <t>SALUSTIANA</t>
        </is>
      </c>
      <c r="I51" t="n">
        <v>529</v>
      </c>
      <c r="J51" t="n">
        <v>14480</v>
      </c>
      <c r="K51" t="n">
        <v>0</v>
      </c>
      <c r="L51" t="n">
        <v>14480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1614</v>
      </c>
      <c r="B52" t="inlineStr">
        <is>
          <t>MARIN SERRANO 2025 S.C.</t>
        </is>
      </c>
      <c r="E52" t="n">
        <v>2026</v>
      </c>
      <c r="F52" t="n">
        <v>1</v>
      </c>
      <c r="G52" t="inlineStr">
        <is>
          <t>CITRICOS</t>
        </is>
      </c>
      <c r="H52" t="inlineStr">
        <is>
          <t>SALUSTIANA</t>
        </is>
      </c>
      <c r="I52" t="n">
        <v>230</v>
      </c>
      <c r="J52" t="n">
        <v>14410</v>
      </c>
      <c r="K52" t="n">
        <v>0</v>
      </c>
      <c r="L52" t="n">
        <v>14410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1614</v>
      </c>
      <c r="B53" t="inlineStr">
        <is>
          <t>MARIN SERRANO 2025 S.C.</t>
        </is>
      </c>
      <c r="E53" t="n">
        <v>2026</v>
      </c>
      <c r="F53" t="n">
        <v>1</v>
      </c>
      <c r="G53" t="inlineStr">
        <is>
          <t>CITRICOS</t>
        </is>
      </c>
      <c r="H53" t="inlineStr">
        <is>
          <t>SALUSTIANA</t>
        </is>
      </c>
      <c r="I53" t="n">
        <v>529</v>
      </c>
      <c r="J53" t="n">
        <v>14540</v>
      </c>
      <c r="K53" t="n">
        <v>0</v>
      </c>
      <c r="L53" t="n">
        <v>14540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1614</v>
      </c>
      <c r="B54" t="inlineStr">
        <is>
          <t>MARIN SERRANO 2025 S.C.</t>
        </is>
      </c>
      <c r="E54" t="n">
        <v>2026</v>
      </c>
      <c r="F54" t="n">
        <v>1</v>
      </c>
      <c r="G54" t="inlineStr">
        <is>
          <t>CITRICOS</t>
        </is>
      </c>
      <c r="H54" t="inlineStr">
        <is>
          <t>SALUSTIANA</t>
        </is>
      </c>
      <c r="I54" t="n">
        <v>529</v>
      </c>
      <c r="J54" t="n">
        <v>13550</v>
      </c>
      <c r="K54" t="n">
        <v>2083</v>
      </c>
      <c r="L54" t="n">
        <v>2083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1614</v>
      </c>
      <c r="B55" t="inlineStr">
        <is>
          <t>MARIN SERRANO 2025 S.C.</t>
        </is>
      </c>
      <c r="E55" t="n">
        <v>2026</v>
      </c>
      <c r="F55" t="n">
        <v>1</v>
      </c>
      <c r="G55" t="inlineStr">
        <is>
          <t>CITRICOS</t>
        </is>
      </c>
      <c r="H55" t="inlineStr">
        <is>
          <t>SALUSTIANA</t>
        </is>
      </c>
      <c r="I55" t="n">
        <v>230</v>
      </c>
      <c r="J55" t="n">
        <v>15375</v>
      </c>
      <c r="K55" t="n">
        <v>5154</v>
      </c>
      <c r="L55" t="n">
        <v>5154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1614</v>
      </c>
      <c r="B56" t="inlineStr">
        <is>
          <t>MARIN SERRANO 2025 S.C.</t>
        </is>
      </c>
      <c r="E56" t="n">
        <v>2026</v>
      </c>
      <c r="F56" t="n">
        <v>1</v>
      </c>
      <c r="G56" t="inlineStr">
        <is>
          <t>CITRICOS</t>
        </is>
      </c>
      <c r="H56" t="inlineStr">
        <is>
          <t>SALUSTIANA</t>
        </is>
      </c>
      <c r="I56" t="n">
        <v>529</v>
      </c>
      <c r="J56" t="n">
        <v>14800</v>
      </c>
      <c r="K56" t="n">
        <v>11382</v>
      </c>
      <c r="L56" t="n">
        <v>11382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1614</v>
      </c>
      <c r="B57" t="inlineStr">
        <is>
          <t>MARIN SERRANO 2025 S.C.</t>
        </is>
      </c>
      <c r="E57" t="n">
        <v>2026</v>
      </c>
      <c r="F57" t="n">
        <v>1</v>
      </c>
      <c r="G57" t="inlineStr">
        <is>
          <t>CITRICOS</t>
        </is>
      </c>
      <c r="H57" t="inlineStr">
        <is>
          <t>SALUSTIANA</t>
        </is>
      </c>
      <c r="I57" t="n">
        <v>230</v>
      </c>
      <c r="J57" t="n">
        <v>15175</v>
      </c>
      <c r="K57" t="n">
        <v>7220</v>
      </c>
      <c r="L57" t="n">
        <v>7220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1614</v>
      </c>
      <c r="B58" t="inlineStr">
        <is>
          <t>MARIN SERRANO 2025 S.C.</t>
        </is>
      </c>
      <c r="E58" t="n">
        <v>2026</v>
      </c>
      <c r="F58" t="n">
        <v>1</v>
      </c>
      <c r="G58" t="inlineStr">
        <is>
          <t>CITRICOS</t>
        </is>
      </c>
      <c r="H58" t="inlineStr">
        <is>
          <t>SALUSTIANA</t>
        </is>
      </c>
      <c r="I58" t="n">
        <v>529</v>
      </c>
      <c r="J58" t="n">
        <v>15110</v>
      </c>
      <c r="K58" t="n">
        <v>8274</v>
      </c>
      <c r="L58" t="n">
        <v>8274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  <row r="59">
      <c r="A59" t="n">
        <v>1614</v>
      </c>
      <c r="B59" t="inlineStr">
        <is>
          <t>MARIN SERRANO 2025 S.C.</t>
        </is>
      </c>
      <c r="E59" t="n">
        <v>2026</v>
      </c>
      <c r="F59" t="n">
        <v>1</v>
      </c>
      <c r="G59" t="inlineStr">
        <is>
          <t>CITRICOS</t>
        </is>
      </c>
      <c r="H59" t="inlineStr">
        <is>
          <t>NAVELINA</t>
        </is>
      </c>
      <c r="I59" t="n">
        <v>531</v>
      </c>
      <c r="J59" t="n">
        <v>14270</v>
      </c>
      <c r="K59" t="n">
        <v>0</v>
      </c>
      <c r="L59" t="n">
        <v>14270</v>
      </c>
      <c r="M59" t="inlineStr">
        <is>
          <t>Sí</t>
        </is>
      </c>
      <c r="N59" t="inlineStr"/>
      <c r="O59" t="inlineStr">
        <is>
          <t>Informativa</t>
        </is>
      </c>
      <c r="P59" t="inlineStr">
        <is>
          <t>No interviene en el prorrateo</t>
        </is>
      </c>
    </row>
    <row r="60">
      <c r="A60" t="n">
        <v>1614</v>
      </c>
      <c r="B60" t="inlineStr">
        <is>
          <t>MARIN SERRANO 2025 S.C.</t>
        </is>
      </c>
      <c r="E60" t="n">
        <v>2026</v>
      </c>
      <c r="F60" t="n">
        <v>1</v>
      </c>
      <c r="G60" t="inlineStr">
        <is>
          <t>CITRICOS</t>
        </is>
      </c>
      <c r="H60" t="inlineStr">
        <is>
          <t>NAVELINA</t>
        </is>
      </c>
      <c r="I60" t="n">
        <v>531</v>
      </c>
      <c r="J60" t="n">
        <v>15230</v>
      </c>
      <c r="K60" t="n">
        <v>6167</v>
      </c>
      <c r="L60" t="n">
        <v>6167</v>
      </c>
      <c r="M60" t="inlineStr">
        <is>
          <t>Sí</t>
        </is>
      </c>
      <c r="N60" t="inlineStr"/>
      <c r="O60" t="inlineStr">
        <is>
          <t>Informativa</t>
        </is>
      </c>
      <c r="P60" t="inlineStr">
        <is>
          <t>No interviene en el prorrateo</t>
        </is>
      </c>
    </row>
    <row r="61">
      <c r="A61" t="n">
        <v>1614</v>
      </c>
      <c r="B61" t="inlineStr">
        <is>
          <t>MARIN SERRANO 2025 S.C.</t>
        </is>
      </c>
      <c r="E61" t="n">
        <v>2026</v>
      </c>
      <c r="F61" t="n">
        <v>1</v>
      </c>
      <c r="G61" t="inlineStr">
        <is>
          <t>CITRICOS</t>
        </is>
      </c>
      <c r="H61" t="inlineStr">
        <is>
          <t>NAVELINA</t>
        </is>
      </c>
      <c r="I61" t="n">
        <v>531</v>
      </c>
      <c r="J61" t="n">
        <v>10720</v>
      </c>
      <c r="K61" t="n">
        <v>0</v>
      </c>
      <c r="L61" t="n">
        <v>10720</v>
      </c>
      <c r="M61" t="inlineStr">
        <is>
          <t>Sí</t>
        </is>
      </c>
      <c r="N61" t="inlineStr"/>
      <c r="O61" t="inlineStr">
        <is>
          <t>Informativa</t>
        </is>
      </c>
      <c r="P61" t="inlineStr">
        <is>
          <t>No interviene en el prorrateo</t>
        </is>
      </c>
    </row>
    <row r="62">
      <c r="A62" t="n">
        <v>1614</v>
      </c>
      <c r="B62" t="inlineStr">
        <is>
          <t>MARIN SERRANO 2025 S.C.</t>
        </is>
      </c>
      <c r="E62" t="n">
        <v>2026</v>
      </c>
      <c r="F62" t="n">
        <v>1</v>
      </c>
      <c r="G62" t="inlineStr">
        <is>
          <t>CITRICOS</t>
        </is>
      </c>
      <c r="H62" t="inlineStr">
        <is>
          <t>SALUSTIANA</t>
        </is>
      </c>
      <c r="I62" t="n">
        <v>529</v>
      </c>
      <c r="J62" t="n">
        <v>15370</v>
      </c>
      <c r="K62" t="n">
        <v>5509</v>
      </c>
      <c r="L62" t="n">
        <v>5509</v>
      </c>
      <c r="M62" t="inlineStr">
        <is>
          <t>Sí</t>
        </is>
      </c>
      <c r="N62" t="inlineStr"/>
      <c r="O62" t="inlineStr">
        <is>
          <t>Informativa</t>
        </is>
      </c>
      <c r="P62" t="inlineStr">
        <is>
          <t>No interviene en el prorrateo</t>
        </is>
      </c>
    </row>
    <row r="63">
      <c r="A63" t="n">
        <v>1614</v>
      </c>
      <c r="B63" t="inlineStr">
        <is>
          <t>MARIN SERRANO 2025 S.C.</t>
        </is>
      </c>
      <c r="E63" t="n">
        <v>2026</v>
      </c>
      <c r="F63" t="n">
        <v>1</v>
      </c>
      <c r="G63" t="inlineStr">
        <is>
          <t>CITRICOS</t>
        </is>
      </c>
      <c r="H63" t="inlineStr">
        <is>
          <t>SALUSTIANA</t>
        </is>
      </c>
      <c r="I63" t="n">
        <v>529</v>
      </c>
      <c r="J63" t="n">
        <v>14560</v>
      </c>
      <c r="K63" t="n">
        <v>0</v>
      </c>
      <c r="L63" t="n">
        <v>14560</v>
      </c>
      <c r="M63" t="inlineStr">
        <is>
          <t>Sí</t>
        </is>
      </c>
      <c r="N63" t="inlineStr"/>
      <c r="O63" t="inlineStr">
        <is>
          <t>Informativa</t>
        </is>
      </c>
      <c r="P63" t="inlineStr">
        <is>
          <t>No interviene en el prorrateo</t>
        </is>
      </c>
    </row>
    <row r="64">
      <c r="A64" t="n">
        <v>1614</v>
      </c>
      <c r="B64" t="inlineStr">
        <is>
          <t>MARIN SERRANO 2025 S.C.</t>
        </is>
      </c>
      <c r="E64" t="n">
        <v>2026</v>
      </c>
      <c r="F64" t="n">
        <v>1</v>
      </c>
      <c r="G64" t="inlineStr">
        <is>
          <t>CITRICOS</t>
        </is>
      </c>
      <c r="H64" t="inlineStr">
        <is>
          <t>SALUSTIANA</t>
        </is>
      </c>
      <c r="I64" t="n">
        <v>529</v>
      </c>
      <c r="J64" t="n">
        <v>3103</v>
      </c>
      <c r="K64" t="n">
        <v>0</v>
      </c>
      <c r="L64" t="n">
        <v>3103</v>
      </c>
      <c r="M64" t="inlineStr">
        <is>
          <t>Sí</t>
        </is>
      </c>
      <c r="N64" t="inlineStr"/>
      <c r="O64" t="inlineStr">
        <is>
          <t>Informativa</t>
        </is>
      </c>
      <c r="P64" t="inlineStr">
        <is>
          <t>No interviene en el prorrateo</t>
        </is>
      </c>
    </row>
    <row r="65">
      <c r="A65" t="n">
        <v>1614</v>
      </c>
      <c r="B65" t="inlineStr">
        <is>
          <t>MARIN SERRANO 2025 S.C.</t>
        </is>
      </c>
      <c r="E65" t="n">
        <v>2026</v>
      </c>
      <c r="F65" t="n">
        <v>1</v>
      </c>
      <c r="G65" t="inlineStr">
        <is>
          <t>CITRICOS</t>
        </is>
      </c>
      <c r="H65" t="inlineStr">
        <is>
          <t>SALUSTIANA</t>
        </is>
      </c>
      <c r="I65" t="n">
        <v>529</v>
      </c>
      <c r="J65" t="n">
        <v>12710</v>
      </c>
      <c r="K65" t="n">
        <v>10417</v>
      </c>
      <c r="L65" t="n">
        <v>10417</v>
      </c>
      <c r="M65" t="inlineStr">
        <is>
          <t>Sí</t>
        </is>
      </c>
      <c r="N65" t="inlineStr"/>
      <c r="O65" t="inlineStr">
        <is>
          <t>Informativa</t>
        </is>
      </c>
      <c r="P65" t="inlineStr">
        <is>
          <t>No interviene en el prorrateo</t>
        </is>
      </c>
    </row>
    <row r="66">
      <c r="A66" t="n">
        <v>1614</v>
      </c>
      <c r="B66" t="inlineStr">
        <is>
          <t>MARIN SERRANO 2025 S.C.</t>
        </is>
      </c>
      <c r="E66" t="n">
        <v>2026</v>
      </c>
      <c r="F66" t="n">
        <v>1</v>
      </c>
      <c r="G66" t="inlineStr">
        <is>
          <t>CITRICOS</t>
        </is>
      </c>
      <c r="H66" t="inlineStr">
        <is>
          <t>SALUSTIANA</t>
        </is>
      </c>
      <c r="I66" t="n">
        <v>529</v>
      </c>
      <c r="J66" t="n">
        <v>24376</v>
      </c>
      <c r="K66" t="n">
        <v>16644</v>
      </c>
      <c r="L66" t="n">
        <v>16644</v>
      </c>
      <c r="M66" t="inlineStr">
        <is>
          <t>Sí</t>
        </is>
      </c>
      <c r="N66" t="inlineStr"/>
      <c r="O66" t="inlineStr">
        <is>
          <t>Informativa</t>
        </is>
      </c>
      <c r="P66" t="inlineStr">
        <is>
          <t>No interviene en el prorrateo</t>
        </is>
      </c>
    </row>
    <row r="67">
      <c r="A67" t="n">
        <v>1614</v>
      </c>
      <c r="B67" t="inlineStr">
        <is>
          <t>MARIN SERRANO 2025 S.C.</t>
        </is>
      </c>
      <c r="E67" t="n">
        <v>2026</v>
      </c>
      <c r="F67" t="n">
        <v>1</v>
      </c>
      <c r="G67" t="inlineStr">
        <is>
          <t>CITRICOS</t>
        </is>
      </c>
      <c r="H67" t="inlineStr">
        <is>
          <t>NAVELINA</t>
        </is>
      </c>
      <c r="I67" t="n">
        <v>228</v>
      </c>
      <c r="J67" t="n">
        <v>7522</v>
      </c>
      <c r="K67" t="n">
        <v>1999</v>
      </c>
      <c r="L67" t="n">
        <v>1999</v>
      </c>
      <c r="M67" t="inlineStr">
        <is>
          <t>Sí</t>
        </is>
      </c>
      <c r="N67" t="inlineStr"/>
      <c r="O67" t="inlineStr">
        <is>
          <t>Informativa</t>
        </is>
      </c>
      <c r="P67" t="inlineStr">
        <is>
          <t>No interviene en el prorrateo</t>
        </is>
      </c>
    </row>
    <row r="68">
      <c r="A68" t="n">
        <v>1614</v>
      </c>
      <c r="B68" t="inlineStr">
        <is>
          <t>MARIN SERRANO 2025 S.C.</t>
        </is>
      </c>
      <c r="E68" t="n">
        <v>2026</v>
      </c>
      <c r="F68" t="n">
        <v>1</v>
      </c>
      <c r="G68" t="inlineStr">
        <is>
          <t>CITRICOS</t>
        </is>
      </c>
      <c r="H68" t="inlineStr">
        <is>
          <t>NAVELINA</t>
        </is>
      </c>
      <c r="I68" t="n">
        <v>531</v>
      </c>
      <c r="J68" t="n">
        <v>15020</v>
      </c>
      <c r="K68" t="n">
        <v>8223</v>
      </c>
      <c r="L68" t="n">
        <v>8223</v>
      </c>
      <c r="M68" t="inlineStr">
        <is>
          <t>Sí</t>
        </is>
      </c>
      <c r="N68" t="inlineStr"/>
      <c r="O68" t="inlineStr">
        <is>
          <t>Informativa</t>
        </is>
      </c>
      <c r="P68" t="inlineStr">
        <is>
          <t>No interviene en el prorrateo</t>
        </is>
      </c>
    </row>
    <row r="69">
      <c r="A69" t="n">
        <v>1614</v>
      </c>
      <c r="B69" t="inlineStr">
        <is>
          <t>MARIN SERRANO 2025 S.C.</t>
        </is>
      </c>
      <c r="E69" t="n">
        <v>2026</v>
      </c>
      <c r="F69" t="n">
        <v>1</v>
      </c>
      <c r="G69" t="inlineStr">
        <is>
          <t>CITRICOS</t>
        </is>
      </c>
      <c r="H69" t="inlineStr">
        <is>
          <t>SALUSTIANA</t>
        </is>
      </c>
      <c r="I69" t="n">
        <v>230</v>
      </c>
      <c r="J69" t="n">
        <v>14955</v>
      </c>
      <c r="K69" t="n">
        <v>9276</v>
      </c>
      <c r="L69" t="n">
        <v>9276</v>
      </c>
      <c r="M69" t="inlineStr">
        <is>
          <t>Sí</t>
        </is>
      </c>
      <c r="N69" t="inlineStr"/>
      <c r="O69" t="inlineStr">
        <is>
          <t>Informativa</t>
        </is>
      </c>
      <c r="P69" t="inlineStr">
        <is>
          <t>No interviene en el prorrateo</t>
        </is>
      </c>
    </row>
    <row r="70">
      <c r="A70" t="n">
        <v>1614</v>
      </c>
      <c r="B70" t="inlineStr">
        <is>
          <t>MARIN SERRANO 2025 S.C.</t>
        </is>
      </c>
      <c r="E70" t="n">
        <v>2026</v>
      </c>
      <c r="F70" t="n">
        <v>1</v>
      </c>
      <c r="G70" t="inlineStr">
        <is>
          <t>CITRICOS</t>
        </is>
      </c>
      <c r="H70" t="inlineStr">
        <is>
          <t>SALUSTIANA</t>
        </is>
      </c>
      <c r="I70" t="n">
        <v>529</v>
      </c>
      <c r="J70" t="n">
        <v>15320</v>
      </c>
      <c r="K70" t="n">
        <v>6206</v>
      </c>
      <c r="L70" t="n">
        <v>6206</v>
      </c>
      <c r="M70" t="inlineStr">
        <is>
          <t>Sí</t>
        </is>
      </c>
      <c r="N70" t="inlineStr"/>
      <c r="O70" t="inlineStr">
        <is>
          <t>Informativa</t>
        </is>
      </c>
      <c r="P70" t="inlineStr">
        <is>
          <t>No interviene en el prorrateo</t>
        </is>
      </c>
    </row>
    <row r="71">
      <c r="A71" t="n">
        <v>1614</v>
      </c>
      <c r="B71" t="inlineStr">
        <is>
          <t>MARIN SERRANO 2025 S.C.</t>
        </is>
      </c>
      <c r="E71" t="n">
        <v>2026</v>
      </c>
      <c r="F71" t="n">
        <v>1</v>
      </c>
      <c r="G71" t="inlineStr">
        <is>
          <t>CITRICOS</t>
        </is>
      </c>
      <c r="H71" t="inlineStr">
        <is>
          <t>NAVELINA</t>
        </is>
      </c>
      <c r="I71" t="n">
        <v>228</v>
      </c>
      <c r="J71" t="n">
        <v>7207</v>
      </c>
      <c r="K71" t="n">
        <v>4998</v>
      </c>
      <c r="L71" t="n">
        <v>4998</v>
      </c>
      <c r="M71" t="inlineStr">
        <is>
          <t>Sí</t>
        </is>
      </c>
      <c r="N71" t="inlineStr"/>
      <c r="O71" t="inlineStr">
        <is>
          <t>Informativa</t>
        </is>
      </c>
      <c r="P71" t="inlineStr">
        <is>
          <t>No interviene en el prorrateo</t>
        </is>
      </c>
    </row>
    <row r="72">
      <c r="A72" t="n">
        <v>1614</v>
      </c>
      <c r="B72" t="inlineStr">
        <is>
          <t>MARIN SERRANO 2025 S.C.</t>
        </is>
      </c>
      <c r="E72" t="n">
        <v>2026</v>
      </c>
      <c r="F72" t="n">
        <v>1</v>
      </c>
      <c r="G72" t="inlineStr">
        <is>
          <t>CITRICOS</t>
        </is>
      </c>
      <c r="H72" t="inlineStr">
        <is>
          <t>NAVELINA</t>
        </is>
      </c>
      <c r="I72" t="n">
        <v>228</v>
      </c>
      <c r="J72" t="n">
        <v>24060</v>
      </c>
      <c r="K72" t="n">
        <v>0</v>
      </c>
      <c r="L72" t="n">
        <v>24060</v>
      </c>
      <c r="M72" t="inlineStr">
        <is>
          <t>Sí</t>
        </is>
      </c>
      <c r="N72" t="inlineStr"/>
      <c r="O72" t="inlineStr">
        <is>
          <t>Informativa</t>
        </is>
      </c>
      <c r="P72" t="inlineStr">
        <is>
          <t>No interviene en el prorrateo</t>
        </is>
      </c>
    </row>
    <row r="73">
      <c r="A73" t="n">
        <v>1614</v>
      </c>
      <c r="B73" t="inlineStr">
        <is>
          <t>MARIN SERRANO 2025 S.C.</t>
        </is>
      </c>
      <c r="E73" t="n">
        <v>2026</v>
      </c>
      <c r="F73" t="n">
        <v>1</v>
      </c>
      <c r="G73" t="inlineStr">
        <is>
          <t>CITRICOS</t>
        </is>
      </c>
      <c r="H73" t="inlineStr">
        <is>
          <t>NAVELINA</t>
        </is>
      </c>
      <c r="I73" t="n">
        <v>228</v>
      </c>
      <c r="J73" t="n">
        <v>23860</v>
      </c>
      <c r="K73" t="n">
        <v>0</v>
      </c>
      <c r="L73" t="n">
        <v>23860</v>
      </c>
      <c r="M73" t="inlineStr">
        <is>
          <t>Sí</t>
        </is>
      </c>
      <c r="N73" t="inlineStr"/>
      <c r="O73" t="inlineStr">
        <is>
          <t>Informativa</t>
        </is>
      </c>
      <c r="P73" t="inlineStr">
        <is>
          <t>No interviene en el prorrateo</t>
        </is>
      </c>
    </row>
    <row r="74">
      <c r="A74" t="n">
        <v>1614</v>
      </c>
      <c r="B74" t="inlineStr">
        <is>
          <t>MARIN SERRANO 2025 S.C.</t>
        </is>
      </c>
      <c r="E74" t="n">
        <v>2026</v>
      </c>
      <c r="F74" t="n">
        <v>1</v>
      </c>
      <c r="G74" t="inlineStr">
        <is>
          <t>CITRICOS</t>
        </is>
      </c>
      <c r="H74" t="inlineStr">
        <is>
          <t>NAVELINA</t>
        </is>
      </c>
      <c r="I74" t="n">
        <v>228</v>
      </c>
      <c r="J74" t="n">
        <v>24220</v>
      </c>
      <c r="K74" t="n">
        <v>0</v>
      </c>
      <c r="L74" t="n">
        <v>24220</v>
      </c>
      <c r="M74" t="inlineStr">
        <is>
          <t>Sí</t>
        </is>
      </c>
      <c r="N74" t="inlineStr"/>
      <c r="O74" t="inlineStr">
        <is>
          <t>Informativa</t>
        </is>
      </c>
      <c r="P74" t="inlineStr">
        <is>
          <t>No interviene en el prorrateo</t>
        </is>
      </c>
    </row>
    <row r="75">
      <c r="A75" t="n">
        <v>1614</v>
      </c>
      <c r="B75" t="inlineStr">
        <is>
          <t>MARIN SERRANO 2025 S.C.</t>
        </is>
      </c>
      <c r="E75" t="n">
        <v>2026</v>
      </c>
      <c r="F75" t="n">
        <v>1</v>
      </c>
      <c r="G75" t="inlineStr">
        <is>
          <t>CITRICOS</t>
        </is>
      </c>
      <c r="H75" t="inlineStr">
        <is>
          <t>NAVELINA</t>
        </is>
      </c>
      <c r="I75" t="n">
        <v>228</v>
      </c>
      <c r="J75" t="n">
        <v>14705</v>
      </c>
      <c r="K75" t="n">
        <v>13470</v>
      </c>
      <c r="L75" t="n">
        <v>13470</v>
      </c>
      <c r="M75" t="inlineStr">
        <is>
          <t>Sí</t>
        </is>
      </c>
      <c r="N75" t="inlineStr"/>
      <c r="O75" t="inlineStr">
        <is>
          <t>Informativa</t>
        </is>
      </c>
      <c r="P75" t="inlineStr">
        <is>
          <t>No interviene en el prorrateo</t>
        </is>
      </c>
    </row>
    <row r="76">
      <c r="A76" t="n">
        <v>1614</v>
      </c>
      <c r="B76" t="inlineStr">
        <is>
          <t>MARIN SERRANO 2025 S.C.</t>
        </is>
      </c>
      <c r="E76" t="n">
        <v>2026</v>
      </c>
      <c r="F76" t="n">
        <v>1</v>
      </c>
      <c r="G76" t="inlineStr">
        <is>
          <t>CITRICOS</t>
        </is>
      </c>
      <c r="H76" t="inlineStr">
        <is>
          <t>NAVELINA</t>
        </is>
      </c>
      <c r="I76" t="n">
        <v>228</v>
      </c>
      <c r="J76" t="n">
        <v>15130</v>
      </c>
      <c r="K76" t="n">
        <v>6124</v>
      </c>
      <c r="L76" t="n">
        <v>6124</v>
      </c>
      <c r="M76" t="inlineStr">
        <is>
          <t>Sí</t>
        </is>
      </c>
      <c r="N76" t="inlineStr"/>
      <c r="O76" t="inlineStr">
        <is>
          <t>Informativa</t>
        </is>
      </c>
      <c r="P76" t="inlineStr">
        <is>
          <t>No interviene en el prorrateo</t>
        </is>
      </c>
    </row>
    <row r="77">
      <c r="A77" t="n">
        <v>1614</v>
      </c>
      <c r="B77" t="inlineStr">
        <is>
          <t>MARIN SERRANO 2025 S.C.</t>
        </is>
      </c>
      <c r="E77" t="n">
        <v>2026</v>
      </c>
      <c r="F77" t="n">
        <v>1</v>
      </c>
      <c r="G77" t="inlineStr">
        <is>
          <t>CITRICOS</t>
        </is>
      </c>
      <c r="H77" t="inlineStr">
        <is>
          <t>NAVELINA</t>
        </is>
      </c>
      <c r="I77" t="n">
        <v>228</v>
      </c>
      <c r="J77" t="n">
        <v>13465</v>
      </c>
      <c r="K77" t="n">
        <v>0</v>
      </c>
      <c r="L77" t="n">
        <v>13465</v>
      </c>
      <c r="M77" t="inlineStr">
        <is>
          <t>Sí</t>
        </is>
      </c>
      <c r="N77" t="inlineStr"/>
      <c r="O77" t="inlineStr">
        <is>
          <t>Informativa</t>
        </is>
      </c>
      <c r="P77" t="inlineStr">
        <is>
          <t>No interviene en el prorrateo</t>
        </is>
      </c>
    </row>
    <row r="78">
      <c r="A78" t="n">
        <v>1614</v>
      </c>
      <c r="B78" t="inlineStr">
        <is>
          <t>MARIN SERRANO 2025 S.C.</t>
        </is>
      </c>
      <c r="E78" t="n">
        <v>2026</v>
      </c>
      <c r="F78" t="n">
        <v>1</v>
      </c>
      <c r="G78" t="inlineStr">
        <is>
          <t>CITRICOS</t>
        </is>
      </c>
      <c r="H78" t="inlineStr">
        <is>
          <t>NAVELINA</t>
        </is>
      </c>
      <c r="I78" t="n">
        <v>228</v>
      </c>
      <c r="J78" t="n">
        <v>14920</v>
      </c>
      <c r="K78" t="n">
        <v>8166</v>
      </c>
      <c r="L78" t="n">
        <v>8166</v>
      </c>
      <c r="M78" t="inlineStr">
        <is>
          <t>Sí</t>
        </is>
      </c>
      <c r="N78" t="inlineStr"/>
      <c r="O78" t="inlineStr">
        <is>
          <t>Informativa</t>
        </is>
      </c>
      <c r="P78" t="inlineStr">
        <is>
          <t>No interviene en el prorrateo</t>
        </is>
      </c>
    </row>
    <row r="79">
      <c r="A79" t="n">
        <v>1614</v>
      </c>
      <c r="B79" t="inlineStr">
        <is>
          <t>MARIN SERRANO 2025 S.C.</t>
        </is>
      </c>
      <c r="E79" t="n">
        <v>2026</v>
      </c>
      <c r="F79" t="n">
        <v>1</v>
      </c>
      <c r="G79" t="inlineStr">
        <is>
          <t>CITRICOS</t>
        </is>
      </c>
      <c r="H79" t="inlineStr">
        <is>
          <t>VALENCIA LATE</t>
        </is>
      </c>
      <c r="I79" t="n">
        <v>248</v>
      </c>
      <c r="J79" t="n">
        <v>13565</v>
      </c>
      <c r="K79" t="n">
        <v>12647</v>
      </c>
      <c r="L79" t="n">
        <v>12647</v>
      </c>
      <c r="M79" t="inlineStr">
        <is>
          <t>Sí</t>
        </is>
      </c>
      <c r="N79" t="inlineStr"/>
      <c r="O79" t="inlineStr">
        <is>
          <t>Informativa</t>
        </is>
      </c>
      <c r="P79" t="inlineStr">
        <is>
          <t>No interviene en el prorrateo</t>
        </is>
      </c>
    </row>
    <row r="80">
      <c r="A80" t="n">
        <v>1614</v>
      </c>
      <c r="B80" t="inlineStr">
        <is>
          <t>MARIN SERRANO 2025 S.C.</t>
        </is>
      </c>
      <c r="E80" t="n">
        <v>2026</v>
      </c>
      <c r="F80" t="n">
        <v>1</v>
      </c>
      <c r="G80" t="inlineStr">
        <is>
          <t>CITRICOS</t>
        </is>
      </c>
      <c r="H80" t="inlineStr">
        <is>
          <t>VALENCIA LATE</t>
        </is>
      </c>
      <c r="I80" t="n">
        <v>248</v>
      </c>
      <c r="J80" t="n">
        <v>22960</v>
      </c>
      <c r="K80" t="n">
        <v>21354</v>
      </c>
      <c r="L80" t="n">
        <v>21354</v>
      </c>
      <c r="M80" t="inlineStr">
        <is>
          <t>Sí</t>
        </is>
      </c>
      <c r="N80" t="inlineStr"/>
      <c r="O80" t="inlineStr">
        <is>
          <t>Informativa</t>
        </is>
      </c>
      <c r="P80" t="inlineStr">
        <is>
          <t>No interviene en el prorrateo</t>
        </is>
      </c>
    </row>
    <row r="81">
      <c r="A81" t="n">
        <v>1614</v>
      </c>
      <c r="B81" t="inlineStr">
        <is>
          <t>MARIN SERRANO 2025 S.C.</t>
        </is>
      </c>
      <c r="E81" t="n">
        <v>2026</v>
      </c>
      <c r="F81" t="n">
        <v>1</v>
      </c>
      <c r="G81" t="inlineStr">
        <is>
          <t>CITRICOS</t>
        </is>
      </c>
      <c r="H81" t="inlineStr">
        <is>
          <t>VALENCIA LATE</t>
        </is>
      </c>
      <c r="I81" t="n">
        <v>248</v>
      </c>
      <c r="J81" t="n">
        <v>22315</v>
      </c>
      <c r="K81" t="n">
        <v>21345</v>
      </c>
      <c r="L81" t="n">
        <v>21345</v>
      </c>
      <c r="M81" t="inlineStr">
        <is>
          <t>Sí</t>
        </is>
      </c>
      <c r="N81" t="inlineStr"/>
      <c r="O81" t="inlineStr">
        <is>
          <t>Informativa</t>
        </is>
      </c>
      <c r="P81" t="inlineStr">
        <is>
          <t>No interviene en el prorrateo</t>
        </is>
      </c>
    </row>
    <row r="82">
      <c r="A82" t="n">
        <v>1614</v>
      </c>
      <c r="B82" t="inlineStr">
        <is>
          <t>MARIN SERRANO 2025 S.C.</t>
        </is>
      </c>
      <c r="E82" t="n">
        <v>2026</v>
      </c>
      <c r="F82" t="n">
        <v>1</v>
      </c>
      <c r="G82" t="inlineStr">
        <is>
          <t>CITRICOS</t>
        </is>
      </c>
      <c r="H82" t="inlineStr">
        <is>
          <t>VALENCIA LATE</t>
        </is>
      </c>
      <c r="I82" t="n">
        <v>248</v>
      </c>
      <c r="J82" t="n">
        <v>7930</v>
      </c>
      <c r="K82" t="n">
        <v>0</v>
      </c>
      <c r="L82" t="n">
        <v>7930</v>
      </c>
      <c r="M82" t="inlineStr">
        <is>
          <t>Sí</t>
        </is>
      </c>
      <c r="N82" t="inlineStr"/>
      <c r="O82" t="inlineStr">
        <is>
          <t>Informativa</t>
        </is>
      </c>
      <c r="P82" t="inlineStr">
        <is>
          <t>No interviene en el prorrateo</t>
        </is>
      </c>
    </row>
    <row r="83">
      <c r="A83" t="n">
        <v>1614</v>
      </c>
      <c r="B83" t="inlineStr">
        <is>
          <t>MARIN SERRANO 2025 S.C.</t>
        </is>
      </c>
      <c r="E83" t="n">
        <v>2026</v>
      </c>
      <c r="F83" t="n">
        <v>1</v>
      </c>
      <c r="G83" t="inlineStr">
        <is>
          <t>CITRICOS</t>
        </is>
      </c>
      <c r="H83" t="inlineStr">
        <is>
          <t>VALENCIA LATE</t>
        </is>
      </c>
      <c r="I83" t="n">
        <v>248</v>
      </c>
      <c r="J83" t="n">
        <v>7510</v>
      </c>
      <c r="K83" t="n">
        <v>6666</v>
      </c>
      <c r="L83" t="n">
        <v>6666</v>
      </c>
      <c r="M83" t="inlineStr">
        <is>
          <t>Sí</t>
        </is>
      </c>
      <c r="N83" t="inlineStr"/>
      <c r="O83" t="inlineStr">
        <is>
          <t>Informativa</t>
        </is>
      </c>
      <c r="P83" t="inlineStr">
        <is>
          <t>No interviene en el prorrateo</t>
        </is>
      </c>
    </row>
    <row r="84">
      <c r="A84" t="n">
        <v>1614</v>
      </c>
      <c r="B84" t="inlineStr">
        <is>
          <t>MARIN SERRANO 2025 S.C.</t>
        </is>
      </c>
      <c r="E84" t="n">
        <v>2026</v>
      </c>
      <c r="F84" t="n">
        <v>1</v>
      </c>
      <c r="G84" t="inlineStr">
        <is>
          <t>CITRICOS</t>
        </is>
      </c>
      <c r="H84" t="inlineStr">
        <is>
          <t>VALENCIA LATE</t>
        </is>
      </c>
      <c r="I84" t="n">
        <v>248</v>
      </c>
      <c r="J84" t="n">
        <v>21995</v>
      </c>
      <c r="K84" t="n">
        <v>20905</v>
      </c>
      <c r="L84" t="n">
        <v>20905</v>
      </c>
      <c r="M84" t="inlineStr">
        <is>
          <t>Sí</t>
        </is>
      </c>
      <c r="N84" t="inlineStr"/>
      <c r="O84" t="inlineStr">
        <is>
          <t>Informativa</t>
        </is>
      </c>
      <c r="P84" t="inlineStr">
        <is>
          <t>No interviene en el prorrateo</t>
        </is>
      </c>
    </row>
    <row r="85">
      <c r="A85" t="n">
        <v>1614</v>
      </c>
      <c r="B85" t="inlineStr">
        <is>
          <t>MARIN SERRANO 2025 S.C.</t>
        </is>
      </c>
      <c r="E85" t="n">
        <v>2026</v>
      </c>
      <c r="F85" t="n">
        <v>1</v>
      </c>
      <c r="G85" t="inlineStr">
        <is>
          <t>CITRICOS</t>
        </is>
      </c>
      <c r="H85" t="inlineStr">
        <is>
          <t>VALENCIA LATE</t>
        </is>
      </c>
      <c r="I85" t="n">
        <v>248</v>
      </c>
      <c r="J85" t="n">
        <v>13850</v>
      </c>
      <c r="K85" t="n">
        <v>0</v>
      </c>
      <c r="L85" t="n">
        <v>13850</v>
      </c>
      <c r="M85" t="inlineStr">
        <is>
          <t>Sí</t>
        </is>
      </c>
      <c r="N85" t="inlineStr"/>
      <c r="O85" t="inlineStr">
        <is>
          <t>Informativa</t>
        </is>
      </c>
      <c r="P85" t="inlineStr">
        <is>
          <t>No interviene en el prorrateo</t>
        </is>
      </c>
    </row>
    <row r="86">
      <c r="A86" t="n">
        <v>1614</v>
      </c>
      <c r="B86" t="inlineStr">
        <is>
          <t>MARIN SERRANO 2025 S.C.</t>
        </is>
      </c>
      <c r="E86" t="n">
        <v>2026</v>
      </c>
      <c r="F86" t="n">
        <v>1</v>
      </c>
      <c r="G86" t="inlineStr">
        <is>
          <t>CITRICOS</t>
        </is>
      </c>
      <c r="H86" t="inlineStr">
        <is>
          <t>NAVEL POWEL</t>
        </is>
      </c>
      <c r="I86" t="n">
        <v>300</v>
      </c>
      <c r="J86" t="n">
        <v>14890</v>
      </c>
      <c r="K86" t="n">
        <v>0</v>
      </c>
      <c r="L86" t="n">
        <v>14890</v>
      </c>
      <c r="M86" t="inlineStr">
        <is>
          <t>Sí</t>
        </is>
      </c>
      <c r="N86" t="inlineStr"/>
      <c r="O86" t="inlineStr">
        <is>
          <t>Informativa</t>
        </is>
      </c>
      <c r="P86" t="inlineStr">
        <is>
          <t>No interviene en el prorrateo</t>
        </is>
      </c>
    </row>
    <row r="87">
      <c r="A87" t="n">
        <v>1614</v>
      </c>
      <c r="B87" t="inlineStr">
        <is>
          <t>MARIN SERRANO 2025 S.C.</t>
        </is>
      </c>
      <c r="E87" t="n">
        <v>2026</v>
      </c>
      <c r="F87" t="n">
        <v>1</v>
      </c>
      <c r="G87" t="inlineStr">
        <is>
          <t>CITRICOS</t>
        </is>
      </c>
      <c r="H87" t="inlineStr">
        <is>
          <t>NAVEL POWEL</t>
        </is>
      </c>
      <c r="I87" t="n">
        <v>300</v>
      </c>
      <c r="J87" t="n">
        <v>14860</v>
      </c>
      <c r="K87" t="n">
        <v>0</v>
      </c>
      <c r="L87" t="n">
        <v>14860</v>
      </c>
      <c r="M87" t="inlineStr">
        <is>
          <t>Sí</t>
        </is>
      </c>
      <c r="N87" t="inlineStr"/>
      <c r="O87" t="inlineStr">
        <is>
          <t>Informativa</t>
        </is>
      </c>
      <c r="P87" t="inlineStr">
        <is>
          <t>No interviene en el prorrateo</t>
        </is>
      </c>
    </row>
    <row r="88">
      <c r="A88" t="n">
        <v>1614</v>
      </c>
      <c r="B88" t="inlineStr">
        <is>
          <t>MARIN SERRANO 2025 S.C.</t>
        </is>
      </c>
      <c r="E88" t="n">
        <v>2026</v>
      </c>
      <c r="F88" t="n">
        <v>1</v>
      </c>
      <c r="G88" t="inlineStr">
        <is>
          <t>CITRICOS</t>
        </is>
      </c>
      <c r="H88" t="inlineStr">
        <is>
          <t>CHISLETT SUMER</t>
        </is>
      </c>
      <c r="I88" t="n">
        <v>299</v>
      </c>
      <c r="J88" t="n">
        <v>12140</v>
      </c>
      <c r="K88" t="n">
        <v>0</v>
      </c>
      <c r="L88" t="n">
        <v>12140</v>
      </c>
      <c r="M88" t="inlineStr">
        <is>
          <t>Sí</t>
        </is>
      </c>
      <c r="N88" t="inlineStr"/>
      <c r="O88" t="inlineStr">
        <is>
          <t>Informativa</t>
        </is>
      </c>
      <c r="P88" t="inlineStr">
        <is>
          <t>No interviene en el prorrateo</t>
        </is>
      </c>
    </row>
    <row r="89">
      <c r="A89" t="n">
        <v>1614</v>
      </c>
      <c r="B89" t="inlineStr">
        <is>
          <t>MARIN SERRANO 2025 S.C.</t>
        </is>
      </c>
      <c r="E89" t="n">
        <v>2026</v>
      </c>
      <c r="F89" t="n">
        <v>1</v>
      </c>
      <c r="G89" t="inlineStr">
        <is>
          <t>INDUSTRIA</t>
        </is>
      </c>
      <c r="H89" t="inlineStr">
        <is>
          <t>NAVELINA</t>
        </is>
      </c>
      <c r="I89" t="n">
        <v>228</v>
      </c>
      <c r="J89" t="n">
        <v>14495</v>
      </c>
      <c r="K89" t="n">
        <v>1025</v>
      </c>
      <c r="L89" t="n">
        <v>1025</v>
      </c>
      <c r="M89" t="inlineStr">
        <is>
          <t>Sí</t>
        </is>
      </c>
      <c r="N89" t="inlineStr"/>
      <c r="O89" t="inlineStr">
        <is>
          <t>Informativa</t>
        </is>
      </c>
      <c r="P89" t="inlineStr">
        <is>
          <t>No interviene en el prorrateo</t>
        </is>
      </c>
    </row>
    <row r="90">
      <c r="A90" t="n">
        <v>1614</v>
      </c>
      <c r="B90" t="inlineStr">
        <is>
          <t>MARIN SERRANO 2025 S.C.</t>
        </is>
      </c>
      <c r="E90" t="n">
        <v>2026</v>
      </c>
      <c r="F90" t="n">
        <v>1</v>
      </c>
      <c r="G90" t="inlineStr">
        <is>
          <t>INDUSTRIA</t>
        </is>
      </c>
      <c r="H90" t="inlineStr">
        <is>
          <t>VALENCIA LATE</t>
        </is>
      </c>
      <c r="I90" t="n">
        <v>248</v>
      </c>
      <c r="J90" t="n">
        <v>13355</v>
      </c>
      <c r="K90" t="n">
        <v>813</v>
      </c>
      <c r="L90" t="n">
        <v>813</v>
      </c>
      <c r="M90" t="inlineStr">
        <is>
          <t>Sí</t>
        </is>
      </c>
      <c r="N90" t="inlineStr"/>
      <c r="O90" t="inlineStr">
        <is>
          <t>Informativa</t>
        </is>
      </c>
      <c r="P90" t="inlineStr">
        <is>
          <t>No interviene en el prorrateo</t>
        </is>
      </c>
    </row>
    <row r="91">
      <c r="A91" t="n">
        <v>1614</v>
      </c>
      <c r="B91" t="inlineStr">
        <is>
          <t>MARIN SERRANO 2025 S.C.</t>
        </is>
      </c>
      <c r="E91" t="n">
        <v>2026</v>
      </c>
      <c r="F91" t="n">
        <v>1</v>
      </c>
      <c r="G91" t="inlineStr">
        <is>
          <t>INDUSTRIA</t>
        </is>
      </c>
      <c r="H91" t="inlineStr">
        <is>
          <t>VALENCIA LATE</t>
        </is>
      </c>
      <c r="I91" t="n">
        <v>248</v>
      </c>
      <c r="J91" t="n">
        <v>22680</v>
      </c>
      <c r="K91" t="n">
        <v>1361</v>
      </c>
      <c r="L91" t="n">
        <v>1361</v>
      </c>
      <c r="M91" t="inlineStr">
        <is>
          <t>Sí</t>
        </is>
      </c>
      <c r="N91" t="inlineStr"/>
      <c r="O91" t="inlineStr">
        <is>
          <t>Informativa</t>
        </is>
      </c>
      <c r="P91" t="inlineStr">
        <is>
          <t>No interviene en el prorrateo</t>
        </is>
      </c>
    </row>
    <row r="92">
      <c r="A92" t="n">
        <v>1614</v>
      </c>
      <c r="B92" t="inlineStr">
        <is>
          <t>MARIN SERRANO 2025 S.C.</t>
        </is>
      </c>
      <c r="E92" t="n">
        <v>2026</v>
      </c>
      <c r="F92" t="n">
        <v>1</v>
      </c>
      <c r="G92" t="inlineStr">
        <is>
          <t>INDUSTRIA</t>
        </is>
      </c>
      <c r="H92" t="inlineStr">
        <is>
          <t>VALENCIA LATE</t>
        </is>
      </c>
      <c r="I92" t="n">
        <v>248</v>
      </c>
      <c r="J92" t="n">
        <v>24415</v>
      </c>
      <c r="K92" t="n">
        <v>865</v>
      </c>
      <c r="L92" t="n">
        <v>865</v>
      </c>
      <c r="M92" t="inlineStr">
        <is>
          <t>Sí</t>
        </is>
      </c>
      <c r="N92" t="inlineStr"/>
      <c r="O92" t="inlineStr">
        <is>
          <t>Informativa</t>
        </is>
      </c>
      <c r="P92" t="inlineStr">
        <is>
          <t>No interviene en el prorrateo</t>
        </is>
      </c>
    </row>
    <row r="93">
      <c r="A93" t="n">
        <v>1614</v>
      </c>
      <c r="B93" t="inlineStr">
        <is>
          <t>MARIN SERRANO 2025 S.C.</t>
        </is>
      </c>
      <c r="E93" t="n">
        <v>2026</v>
      </c>
      <c r="F93" t="n">
        <v>1</v>
      </c>
      <c r="G93" t="inlineStr">
        <is>
          <t>INDUSTRIA</t>
        </is>
      </c>
      <c r="H93" t="inlineStr">
        <is>
          <t>VALENCIA LATE</t>
        </is>
      </c>
      <c r="I93" t="n">
        <v>248</v>
      </c>
      <c r="J93" t="n">
        <v>6705</v>
      </c>
      <c r="K93" t="n">
        <v>74</v>
      </c>
      <c r="L93" t="n">
        <v>74</v>
      </c>
      <c r="M93" t="inlineStr">
        <is>
          <t>Sí</t>
        </is>
      </c>
      <c r="N93" t="inlineStr"/>
      <c r="O93" t="inlineStr">
        <is>
          <t>Informativa</t>
        </is>
      </c>
      <c r="P93" t="inlineStr">
        <is>
          <t>No interviene en el prorrateo</t>
        </is>
      </c>
    </row>
    <row r="94">
      <c r="A94" t="n">
        <v>1614</v>
      </c>
      <c r="B94" t="inlineStr">
        <is>
          <t>MARIN SERRANO 2025 S.C.</t>
        </is>
      </c>
      <c r="E94" t="n">
        <v>2026</v>
      </c>
      <c r="F94" t="n">
        <v>1</v>
      </c>
      <c r="G94" t="inlineStr">
        <is>
          <t>INDUSTRIA</t>
        </is>
      </c>
      <c r="H94" t="inlineStr">
        <is>
          <t>VALENCIA LATE</t>
        </is>
      </c>
      <c r="I94" t="n">
        <v>248</v>
      </c>
      <c r="J94" t="n">
        <v>24060</v>
      </c>
      <c r="K94" t="n">
        <v>985</v>
      </c>
      <c r="L94" t="n">
        <v>985</v>
      </c>
      <c r="M94" t="inlineStr">
        <is>
          <t>Sí</t>
        </is>
      </c>
      <c r="N94" t="inlineStr"/>
      <c r="O94" t="inlineStr">
        <is>
          <t>Informativa</t>
        </is>
      </c>
      <c r="P94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1585</v>
      </c>
      <c r="B2" t="inlineStr">
        <is>
          <t>CESPEDES AGUILAR, PATRICIA</t>
        </is>
      </c>
      <c r="C2" t="inlineStr">
        <is>
          <t>SALUSTIANA</t>
        </is>
      </c>
      <c r="D2" t="inlineStr">
        <is>
          <t>Hectáreas</t>
        </is>
      </c>
      <c r="E2" t="n">
        <v>8.34</v>
      </c>
      <c r="I2" t="inlineStr"/>
    </row>
    <row r="3">
      <c r="A3" t="n">
        <v>1585</v>
      </c>
      <c r="B3" t="inlineStr">
        <is>
          <t>CESPEDES AGUILAR, PATRICIA</t>
        </is>
      </c>
      <c r="C3" t="inlineStr">
        <is>
          <t>SALUSTIANA</t>
        </is>
      </c>
      <c r="D3" t="inlineStr">
        <is>
          <t>Cuota teórica</t>
        </is>
      </c>
      <c r="E3" t="n">
        <v>1626.3</v>
      </c>
      <c r="I3" t="inlineStr"/>
    </row>
    <row r="4">
      <c r="A4" t="n">
        <v>1585</v>
      </c>
      <c r="B4" t="inlineStr">
        <is>
          <t>CESPEDES AGUILAR, PATRICIA</t>
        </is>
      </c>
      <c r="C4" t="inlineStr">
        <is>
          <t>SALUSTIANA</t>
        </is>
      </c>
      <c r="D4" t="inlineStr">
        <is>
          <t>Kg campaña</t>
        </is>
      </c>
      <c r="E4" t="n">
        <v>241627</v>
      </c>
      <c r="I4" t="inlineStr"/>
    </row>
    <row r="5">
      <c r="A5" t="n">
        <v>1585</v>
      </c>
      <c r="B5" t="inlineStr">
        <is>
          <t>CESPEDES AGUILAR, PATRICIA</t>
        </is>
      </c>
      <c r="C5" t="inlineStr">
        <is>
          <t>SALUSTIANA</t>
        </is>
      </c>
      <c r="D5" t="inlineStr">
        <is>
          <t>Índice</t>
        </is>
      </c>
      <c r="E5" t="n">
        <v>0.006730621991747611</v>
      </c>
      <c r="I5" t="inlineStr"/>
    </row>
    <row r="6">
      <c r="A6" t="n">
        <v>1585</v>
      </c>
      <c r="B6" t="inlineStr">
        <is>
          <t>CESPEDES AGUILAR, PATRICIA</t>
        </is>
      </c>
      <c r="C6" t="inlineStr">
        <is>
          <t>SALUSTIANA</t>
        </is>
      </c>
      <c r="D6" t="inlineStr">
        <is>
          <t>Kg remesa</t>
        </is>
      </c>
      <c r="E6" t="n">
        <v>45284</v>
      </c>
      <c r="I6" t="inlineStr"/>
    </row>
    <row r="7">
      <c r="A7" t="n">
        <v>1585</v>
      </c>
      <c r="B7" t="inlineStr">
        <is>
          <t>CESPEDES AGUILAR, PATRICIA</t>
        </is>
      </c>
      <c r="C7" t="inlineStr">
        <is>
          <t>SALUSTIANA</t>
        </is>
      </c>
      <c r="D7" t="inlineStr">
        <is>
          <t>Cuota parcial</t>
        </is>
      </c>
      <c r="E7" t="n">
        <v>304.79</v>
      </c>
      <c r="I7" t="inlineStr"/>
    </row>
    <row r="8">
      <c r="A8" t="n">
        <v>1585</v>
      </c>
      <c r="B8" t="inlineStr">
        <is>
          <t>CESPEDES AGUILAR, PATRICIA</t>
        </is>
      </c>
      <c r="C8" t="inlineStr">
        <is>
          <t>SALUSTIANA</t>
        </is>
      </c>
      <c r="D8" t="inlineStr">
        <is>
          <t>Importe bruto</t>
        </is>
      </c>
      <c r="E8" t="n">
        <v>16739.31</v>
      </c>
      <c r="I8" t="inlineStr"/>
    </row>
    <row r="9">
      <c r="A9" t="n">
        <v>1585</v>
      </c>
      <c r="B9" t="inlineStr">
        <is>
          <t>CESPEDES AGUILAR, PATRICIA</t>
        </is>
      </c>
      <c r="C9" t="inlineStr">
        <is>
          <t>SALUSTIANA</t>
        </is>
      </c>
      <c r="D9" t="inlineStr">
        <is>
          <t>Recolección</t>
        </is>
      </c>
      <c r="E9" t="n">
        <v>3260.45</v>
      </c>
      <c r="I9" t="inlineStr"/>
    </row>
    <row r="10">
      <c r="A10" t="n">
        <v>1585</v>
      </c>
      <c r="B10" t="inlineStr">
        <is>
          <t>CESPEDES AGUILAR, PATRICIA</t>
        </is>
      </c>
      <c r="C10" t="inlineStr">
        <is>
          <t>SALUSTIANA</t>
        </is>
      </c>
      <c r="D10" t="inlineStr">
        <is>
          <t>Transporte</t>
        </is>
      </c>
      <c r="E10" t="n">
        <v>0</v>
      </c>
      <c r="I10" t="inlineStr"/>
    </row>
    <row r="11">
      <c r="A11" t="n">
        <v>1585</v>
      </c>
      <c r="B11" t="inlineStr">
        <is>
          <t>CESPEDES AGUILAR, PATRICIA</t>
        </is>
      </c>
      <c r="C11" t="inlineStr">
        <is>
          <t>SALUSTIANA</t>
        </is>
      </c>
      <c r="D11" t="inlineStr">
        <is>
          <t>Calidad</t>
        </is>
      </c>
      <c r="E11" t="n">
        <v>0</v>
      </c>
      <c r="I11" t="inlineStr"/>
    </row>
    <row r="12">
      <c r="A12" t="n">
        <v>1585</v>
      </c>
      <c r="B12" t="inlineStr">
        <is>
          <t>CESPEDES AGUILAR, PATRICIA</t>
        </is>
      </c>
      <c r="C12" t="inlineStr">
        <is>
          <t>SALUSTIANA</t>
        </is>
      </c>
      <c r="D12" t="inlineStr">
        <is>
          <t>GlobalGAP</t>
        </is>
      </c>
      <c r="E12" t="n">
        <v>619.46</v>
      </c>
      <c r="I12" t="inlineStr"/>
    </row>
    <row r="13">
      <c r="A13" t="n">
        <v>1585</v>
      </c>
      <c r="B13" t="inlineStr">
        <is>
          <t>CESPEDES AGUILAR, PATRICIA</t>
        </is>
      </c>
      <c r="C13" t="inlineStr">
        <is>
          <t>SALUSTIANA</t>
        </is>
      </c>
      <c r="D13" t="inlineStr">
        <is>
          <t>Base imponible</t>
        </is>
      </c>
      <c r="E13" t="n">
        <v>13793.53</v>
      </c>
      <c r="I13" t="inlineStr"/>
    </row>
    <row r="14">
      <c r="A14" t="n">
        <v>1585</v>
      </c>
      <c r="B14" t="inlineStr">
        <is>
          <t>CESPEDES AGUILAR, PATRICIA</t>
        </is>
      </c>
      <c r="C14" t="inlineStr">
        <is>
          <t>SALUSTIANA</t>
        </is>
      </c>
      <c r="D14" t="inlineStr">
        <is>
          <t>IVA</t>
        </is>
      </c>
      <c r="E14" t="n">
        <v>1655.22</v>
      </c>
      <c r="I14" t="inlineStr"/>
    </row>
    <row r="15">
      <c r="A15" t="n">
        <v>1585</v>
      </c>
      <c r="B15" t="inlineStr">
        <is>
          <t>CESPEDES AGUILAR, PATRICIA</t>
        </is>
      </c>
      <c r="C15" t="inlineStr">
        <is>
          <t>SALUSTIANA</t>
        </is>
      </c>
      <c r="D15" t="inlineStr">
        <is>
          <t>Retención</t>
        </is>
      </c>
      <c r="E15" t="n">
        <v>308.98</v>
      </c>
      <c r="I15" t="inlineStr"/>
    </row>
    <row r="16">
      <c r="A16" t="n">
        <v>1585</v>
      </c>
      <c r="B16" t="inlineStr">
        <is>
          <t>CESPEDES AGUILAR, PATRICIA</t>
        </is>
      </c>
      <c r="C16" t="inlineStr">
        <is>
          <t>SALUSTIANA</t>
        </is>
      </c>
      <c r="D16" t="inlineStr">
        <is>
          <t>Total</t>
        </is>
      </c>
      <c r="E16" t="n">
        <v>15139.78</v>
      </c>
      <c r="I16" t="inlineStr"/>
    </row>
    <row r="17">
      <c r="A17" t="n">
        <v>1614</v>
      </c>
      <c r="B17" t="inlineStr">
        <is>
          <t>MARIN SERRANO 2025 S.C.</t>
        </is>
      </c>
      <c r="C17" t="inlineStr">
        <is>
          <t>SALUSTIANA</t>
        </is>
      </c>
      <c r="D17" t="inlineStr">
        <is>
          <t>Hectáreas</t>
        </is>
      </c>
      <c r="E17" t="n">
        <v>5.8</v>
      </c>
      <c r="I17" t="inlineStr"/>
    </row>
    <row r="18">
      <c r="A18" t="n">
        <v>1614</v>
      </c>
      <c r="B18" t="inlineStr">
        <is>
          <t>MARIN SERRANO 2025 S.C.</t>
        </is>
      </c>
      <c r="C18" t="inlineStr">
        <is>
          <t>SALUSTIANA</t>
        </is>
      </c>
      <c r="D18" t="inlineStr">
        <is>
          <t>Cuota teórica</t>
        </is>
      </c>
      <c r="E18" t="n">
        <v>1131</v>
      </c>
      <c r="I18" t="inlineStr"/>
    </row>
    <row r="19">
      <c r="A19" t="n">
        <v>1614</v>
      </c>
      <c r="B19" t="inlineStr">
        <is>
          <t>MARIN SERRANO 2025 S.C.</t>
        </is>
      </c>
      <c r="C19" t="inlineStr">
        <is>
          <t>SALUSTIANA</t>
        </is>
      </c>
      <c r="D19" t="inlineStr">
        <is>
          <t>Kg campaña</t>
        </is>
      </c>
      <c r="E19" t="n">
        <v>590286</v>
      </c>
      <c r="I19" t="inlineStr"/>
    </row>
    <row r="20">
      <c r="A20" t="n">
        <v>1614</v>
      </c>
      <c r="B20" t="inlineStr">
        <is>
          <t>MARIN SERRANO 2025 S.C.</t>
        </is>
      </c>
      <c r="C20" t="inlineStr">
        <is>
          <t>SALUSTIANA</t>
        </is>
      </c>
      <c r="D20" t="inlineStr">
        <is>
          <t>Índice</t>
        </is>
      </c>
      <c r="E20" t="n">
        <v>0.001916020369786849</v>
      </c>
      <c r="I20" t="inlineStr"/>
    </row>
    <row r="21">
      <c r="A21" t="n">
        <v>1614</v>
      </c>
      <c r="B21" t="inlineStr">
        <is>
          <t>MARIN SERRANO 2025 S.C.</t>
        </is>
      </c>
      <c r="C21" t="inlineStr">
        <is>
          <t>SALUSTIANA</t>
        </is>
      </c>
      <c r="D21" t="inlineStr">
        <is>
          <t>Kg remesa</t>
        </is>
      </c>
      <c r="E21" t="n">
        <v>120955</v>
      </c>
      <c r="I21" t="inlineStr"/>
    </row>
    <row r="22">
      <c r="A22" t="n">
        <v>1614</v>
      </c>
      <c r="B22" t="inlineStr">
        <is>
          <t>MARIN SERRANO 2025 S.C.</t>
        </is>
      </c>
      <c r="C22" t="inlineStr">
        <is>
          <t>SALUSTIANA</t>
        </is>
      </c>
      <c r="D22" t="inlineStr">
        <is>
          <t>Cuota parcial</t>
        </is>
      </c>
      <c r="E22" t="n">
        <v>231.75</v>
      </c>
      <c r="I22" t="inlineStr"/>
    </row>
    <row r="23">
      <c r="A23" t="n">
        <v>1614</v>
      </c>
      <c r="B23" t="inlineStr">
        <is>
          <t>MARIN SERRANO 2025 S.C.</t>
        </is>
      </c>
      <c r="C23" t="inlineStr">
        <is>
          <t>SALUSTIANA</t>
        </is>
      </c>
      <c r="D23" t="inlineStr">
        <is>
          <t>Importe bruto</t>
        </is>
      </c>
      <c r="E23" t="n">
        <v>43994.02</v>
      </c>
      <c r="I23" t="inlineStr"/>
    </row>
    <row r="24">
      <c r="A24" t="n">
        <v>1614</v>
      </c>
      <c r="B24" t="inlineStr">
        <is>
          <t>MARIN SERRANO 2025 S.C.</t>
        </is>
      </c>
      <c r="C24" t="inlineStr">
        <is>
          <t>SALUSTIANA</t>
        </is>
      </c>
      <c r="D24" t="inlineStr">
        <is>
          <t>Recolección</t>
        </is>
      </c>
      <c r="E24" t="n">
        <v>8708.76</v>
      </c>
      <c r="I24" t="inlineStr"/>
    </row>
    <row r="25">
      <c r="A25" t="n">
        <v>1614</v>
      </c>
      <c r="B25" t="inlineStr">
        <is>
          <t>MARIN SERRANO 2025 S.C.</t>
        </is>
      </c>
      <c r="C25" t="inlineStr">
        <is>
          <t>SALUSTIANA</t>
        </is>
      </c>
      <c r="D25" t="inlineStr">
        <is>
          <t>Transporte</t>
        </is>
      </c>
      <c r="E25" t="n">
        <v>0</v>
      </c>
      <c r="I25" t="inlineStr"/>
    </row>
    <row r="26">
      <c r="A26" t="n">
        <v>1614</v>
      </c>
      <c r="B26" t="inlineStr">
        <is>
          <t>MARIN SERRANO 2025 S.C.</t>
        </is>
      </c>
      <c r="C26" t="inlineStr">
        <is>
          <t>SALUSTIANA</t>
        </is>
      </c>
      <c r="D26" t="inlineStr">
        <is>
          <t>Calidad</t>
        </is>
      </c>
      <c r="E26" t="n">
        <v>0</v>
      </c>
      <c r="I26" t="inlineStr"/>
    </row>
    <row r="27">
      <c r="A27" t="n">
        <v>1614</v>
      </c>
      <c r="B27" t="inlineStr">
        <is>
          <t>MARIN SERRANO 2025 S.C.</t>
        </is>
      </c>
      <c r="C27" t="inlineStr">
        <is>
          <t>SALUSTIANA</t>
        </is>
      </c>
      <c r="D27" t="inlineStr">
        <is>
          <t>GlobalGAP</t>
        </is>
      </c>
      <c r="E27" t="n">
        <v>0</v>
      </c>
      <c r="I27" t="inlineStr"/>
    </row>
    <row r="28">
      <c r="A28" t="n">
        <v>1614</v>
      </c>
      <c r="B28" t="inlineStr">
        <is>
          <t>MARIN SERRANO 2025 S.C.</t>
        </is>
      </c>
      <c r="C28" t="inlineStr">
        <is>
          <t>SALUSTIANA</t>
        </is>
      </c>
      <c r="D28" t="inlineStr">
        <is>
          <t>Base imponible</t>
        </is>
      </c>
      <c r="E28" t="n">
        <v>35053.51</v>
      </c>
      <c r="I28" t="inlineStr"/>
    </row>
    <row r="29">
      <c r="A29" t="n">
        <v>1614</v>
      </c>
      <c r="B29" t="inlineStr">
        <is>
          <t>MARIN SERRANO 2025 S.C.</t>
        </is>
      </c>
      <c r="C29" t="inlineStr">
        <is>
          <t>SALUSTIANA</t>
        </is>
      </c>
      <c r="D29" t="inlineStr">
        <is>
          <t>IVA</t>
        </is>
      </c>
      <c r="E29" t="n">
        <v>4206.42</v>
      </c>
      <c r="I29" t="inlineStr"/>
    </row>
    <row r="30">
      <c r="A30" t="n">
        <v>1614</v>
      </c>
      <c r="B30" t="inlineStr">
        <is>
          <t>MARIN SERRANO 2025 S.C.</t>
        </is>
      </c>
      <c r="C30" t="inlineStr">
        <is>
          <t>SALUSTIANA</t>
        </is>
      </c>
      <c r="D30" t="inlineStr">
        <is>
          <t>Retención</t>
        </is>
      </c>
      <c r="E30" t="n">
        <v>785.2</v>
      </c>
      <c r="I30" t="inlineStr"/>
    </row>
    <row r="31">
      <c r="A31" t="n">
        <v>1614</v>
      </c>
      <c r="B31" t="inlineStr">
        <is>
          <t>MARIN SERRANO 2025 S.C.</t>
        </is>
      </c>
      <c r="C31" t="inlineStr">
        <is>
          <t>SALUSTIANA</t>
        </is>
      </c>
      <c r="D31" t="inlineStr">
        <is>
          <t>Total</t>
        </is>
      </c>
      <c r="E31" t="n">
        <v>38474.73</v>
      </c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2026-07-28T15:51:24Z</dcterms:created>
  <dcterms:modified xmlns:dcterms="http://purl.org/dc/terms/" xmlns:xsi="http://www.w3.org/2001/XMLSchema-instance" xsi:type="dcterms:W3CDTF">2026-07-28T15:51:24Z</dcterms:modified>
</cp:coreProperties>
</file>