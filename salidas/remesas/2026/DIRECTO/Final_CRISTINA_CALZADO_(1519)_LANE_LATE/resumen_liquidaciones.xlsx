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1519</v>
      </c>
      <c r="B2" s="3" t="inlineStr">
        <is>
          <t>CALZADO ARGüELLES, CRISTINA SETEFILLA</t>
        </is>
      </c>
      <c r="C2" s="3" t="inlineStr">
        <is>
          <t>LANE LATE</t>
        </is>
      </c>
      <c r="D2" s="2" t="n">
        <v>62160</v>
      </c>
      <c r="E2" s="4" t="n">
        <v>26231.52</v>
      </c>
      <c r="F2" s="5" t="n">
        <v>0.422</v>
      </c>
      <c r="G2" s="4" t="n">
        <v>0</v>
      </c>
      <c r="H2" s="4" t="n">
        <v>641.55</v>
      </c>
      <c r="I2" s="4" t="n">
        <v>0</v>
      </c>
      <c r="J2" s="4" t="n">
        <v>0</v>
      </c>
      <c r="K2" s="4" t="n">
        <v>0</v>
      </c>
      <c r="L2" s="4" t="n">
        <v>25589.97</v>
      </c>
      <c r="M2" s="5" t="n">
        <v>0.45186</v>
      </c>
      <c r="N2" s="6" t="n">
        <v>12</v>
      </c>
      <c r="O2" s="6" t="n">
        <v>2</v>
      </c>
      <c r="P2" s="4" t="n">
        <v>28087.55</v>
      </c>
      <c r="Q2" s="3" t="inlineStr">
        <is>
          <t>Final CRISTINA CALZADO (1519)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1519</v>
      </c>
      <c r="B2" t="inlineStr">
        <is>
          <t>CALZADO ARGüELLES, CRISTINA SETEFILLA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3.29</v>
      </c>
      <c r="G2" t="n">
        <v>195</v>
      </c>
      <c r="H2" t="n">
        <v>641.55</v>
      </c>
      <c r="I2" t="n">
        <v>62160</v>
      </c>
      <c r="J2" t="n">
        <v>0.01032094594594595</v>
      </c>
      <c r="K2" t="n">
        <v>641.55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1519</v>
      </c>
      <c r="B2" t="inlineStr">
        <is>
          <t>CALZADO ARGüELLES, CRISTINA SETEFILLA</t>
        </is>
      </c>
      <c r="C2" t="n">
        <v>220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220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11</t>
        </is>
      </c>
      <c r="P2" t="inlineStr">
        <is>
          <t>83</t>
        </is>
      </c>
      <c r="Q2" t="inlineStr">
        <is>
          <t>1</t>
        </is>
      </c>
      <c r="R2" t="n">
        <v>3.29</v>
      </c>
      <c r="S2" t="n">
        <v>6.587742</v>
      </c>
      <c r="T2" t="n">
        <v>3.29</v>
      </c>
      <c r="V2" t="inlineStr">
        <is>
          <t>Sí</t>
        </is>
      </c>
      <c r="W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1519</v>
      </c>
      <c r="B2" t="inlineStr">
        <is>
          <t>CALZADO ARGüELLES, CRISTINA SETEFILLA</t>
        </is>
      </c>
      <c r="C2" t="inlineStr">
        <is>
          <t>LANE LATE</t>
        </is>
      </c>
      <c r="D2" t="inlineStr">
        <is>
          <t>calculated</t>
        </is>
      </c>
      <c r="E2" t="n">
        <v>3.29</v>
      </c>
      <c r="F2" t="n">
        <v>641.55</v>
      </c>
      <c r="G2" t="n">
        <v>62160</v>
      </c>
      <c r="H2" t="n">
        <v>0.01032094594594595</v>
      </c>
      <c r="I2" t="n">
        <v>62160</v>
      </c>
      <c r="J2" t="n">
        <v>641.55</v>
      </c>
      <c r="K2" t="inlineStr">
        <is>
          <t>No existe tarifa BonCalidad para socio=1519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1519</v>
      </c>
      <c r="B2" t="inlineStr">
        <is>
          <t>CALZADO ARGüELLES, CRISTINA SETEFILLA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CITRICOS, KAKIS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62160</v>
      </c>
      <c r="R2" t="n">
        <v>62160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CRISTINA CALZADO (1519)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1519</v>
      </c>
      <c r="B2" t="inlineStr">
        <is>
          <t>CALZADO ARGüELLES, CRISTINA SETEFILLA</t>
        </is>
      </c>
      <c r="C2" t="inlineStr">
        <is>
          <t>LANE LATE</t>
        </is>
      </c>
      <c r="D2" t="n">
        <v>26231.52</v>
      </c>
      <c r="E2" t="n">
        <v>26231.52</v>
      </c>
      <c r="F2" t="n">
        <v>0</v>
      </c>
      <c r="G2" t="n">
        <v>641.55</v>
      </c>
      <c r="H2" t="n">
        <v>0</v>
      </c>
      <c r="I2" t="n">
        <v>0</v>
      </c>
      <c r="J2" t="n">
        <v>0</v>
      </c>
      <c r="K2" t="n">
        <v>25589.97</v>
      </c>
      <c r="L2" t="n">
        <v>25589.97</v>
      </c>
      <c r="M2" t="n">
        <v>25589.97</v>
      </c>
      <c r="N2" t="n">
        <v>0</v>
      </c>
      <c r="O2" t="n">
        <v>0.41168</v>
      </c>
      <c r="P2" t="n">
        <v>0.45186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1519</v>
      </c>
      <c r="B2" t="inlineStr">
        <is>
          <t>CALZADO ARGüELLES, CRISTINA SETEFILLA</t>
        </is>
      </c>
      <c r="C2" t="inlineStr">
        <is>
          <t>LANE LATE</t>
        </is>
      </c>
      <c r="D2" t="n">
        <v>25589.97</v>
      </c>
      <c r="E2" t="n">
        <v>12</v>
      </c>
      <c r="F2" t="n">
        <v>1.12</v>
      </c>
      <c r="G2" t="n">
        <v>3070.8</v>
      </c>
      <c r="H2" t="n">
        <v>28660.77</v>
      </c>
      <c r="I2" t="n">
        <v>2</v>
      </c>
      <c r="J2" t="n">
        <v>0.98</v>
      </c>
      <c r="K2" t="n">
        <v>573.22</v>
      </c>
      <c r="L2" t="n">
        <v>28087.55</v>
      </c>
      <c r="M2" t="n">
        <v>28087.55</v>
      </c>
      <c r="N2" t="n">
        <v>28087.55</v>
      </c>
      <c r="O2" t="n">
        <v>62160</v>
      </c>
      <c r="P2" t="n">
        <v>0.45186</v>
      </c>
      <c r="Q2" t="n">
        <v>0.45186</v>
      </c>
      <c r="R2" t="n">
        <v>0.45186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1519</v>
      </c>
      <c r="B2" t="inlineStr">
        <is>
          <t>CALZADO ARGüELLES, CRISTINA SETEFILLA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3.29</v>
      </c>
      <c r="M2" t="n">
        <v>195</v>
      </c>
      <c r="N2" t="n">
        <v>641.55</v>
      </c>
      <c r="O2" t="n">
        <v>62160</v>
      </c>
      <c r="P2" t="n">
        <v>0.01032094594594595</v>
      </c>
      <c r="Q2" t="n">
        <v>62160</v>
      </c>
      <c r="R2" t="n">
        <v>641.55</v>
      </c>
      <c r="S2" t="n">
        <v>0</v>
      </c>
      <c r="T2" t="n">
        <v>641.55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No existe tarifa BonCalidad para socio=1519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1519</v>
      </c>
      <c r="B2" t="inlineStr">
        <is>
          <t>CALZADO ARGüELLES, CRISTINA SETEFILLA</t>
        </is>
      </c>
      <c r="C2" t="n">
        <v>220</v>
      </c>
      <c r="D2" t="inlineStr">
        <is>
          <t>9282</t>
        </is>
      </c>
      <c r="E2" t="inlineStr">
        <is>
          <t>11</t>
        </is>
      </c>
      <c r="F2" t="inlineStr">
        <is>
          <t>83</t>
        </is>
      </c>
      <c r="G2" t="inlineStr">
        <is>
          <t>1</t>
        </is>
      </c>
      <c r="H2" t="n">
        <v>2010</v>
      </c>
      <c r="I2" t="n">
        <v>3.29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3.29</v>
      </c>
      <c r="P2" t="n">
        <v>641.55</v>
      </c>
      <c r="Q2" t="n">
        <v>62160</v>
      </c>
      <c r="R2" t="n">
        <v>0.01032094594594595</v>
      </c>
      <c r="S2" t="n">
        <v>62160</v>
      </c>
      <c r="T2" t="n">
        <v>641.55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1519</v>
      </c>
      <c r="B2" t="inlineStr">
        <is>
          <t>CALZADO ARGüELLES, CRISTINA SETEFILLA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LANE LATE</t>
        </is>
      </c>
      <c r="I2" t="n">
        <v>220</v>
      </c>
      <c r="J2" t="n">
        <v>24420</v>
      </c>
      <c r="K2" t="n">
        <v>0</v>
      </c>
      <c r="L2" t="n">
        <v>24420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1519</v>
      </c>
      <c r="B3" t="inlineStr">
        <is>
          <t>CALZADO ARGüELLES, CRISTINA SETEFILLA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LANE LATE</t>
        </is>
      </c>
      <c r="I3" t="n">
        <v>220</v>
      </c>
      <c r="J3" t="n">
        <v>19260</v>
      </c>
      <c r="K3" t="n">
        <v>0</v>
      </c>
      <c r="L3" t="n">
        <v>19260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1519</v>
      </c>
      <c r="B4" t="inlineStr">
        <is>
          <t>CALZADO ARGüELLES, CRISTINA SETEFILLA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LANE LATE</t>
        </is>
      </c>
      <c r="I4" t="n">
        <v>220</v>
      </c>
      <c r="J4" t="n">
        <v>18480</v>
      </c>
      <c r="K4" t="n">
        <v>0</v>
      </c>
      <c r="L4" t="n">
        <v>18480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1519</v>
      </c>
      <c r="B2" t="inlineStr">
        <is>
          <t>CALZADO ARGüELLES, CRISTINA SETEFILLA</t>
        </is>
      </c>
      <c r="C2" t="inlineStr">
        <is>
          <t>LANE LATE</t>
        </is>
      </c>
      <c r="D2" t="inlineStr">
        <is>
          <t>Hectáreas</t>
        </is>
      </c>
      <c r="E2" t="n">
        <v>3.29</v>
      </c>
      <c r="I2" t="inlineStr"/>
    </row>
    <row r="3">
      <c r="A3" t="n">
        <v>1519</v>
      </c>
      <c r="B3" t="inlineStr">
        <is>
          <t>CALZADO ARGüELLES, CRISTINA SETEFILLA</t>
        </is>
      </c>
      <c r="C3" t="inlineStr">
        <is>
          <t>LANE LATE</t>
        </is>
      </c>
      <c r="D3" t="inlineStr">
        <is>
          <t>Cuota teórica</t>
        </is>
      </c>
      <c r="E3" t="n">
        <v>641.55</v>
      </c>
      <c r="I3" t="inlineStr"/>
    </row>
    <row r="4">
      <c r="A4" t="n">
        <v>1519</v>
      </c>
      <c r="B4" t="inlineStr">
        <is>
          <t>CALZADO ARGüELLES, CRISTINA SETEFILLA</t>
        </is>
      </c>
      <c r="C4" t="inlineStr">
        <is>
          <t>LANE LATE</t>
        </is>
      </c>
      <c r="D4" t="inlineStr">
        <is>
          <t>Kg campaña</t>
        </is>
      </c>
      <c r="E4" t="n">
        <v>62160</v>
      </c>
      <c r="I4" t="inlineStr"/>
    </row>
    <row r="5">
      <c r="A5" t="n">
        <v>1519</v>
      </c>
      <c r="B5" t="inlineStr">
        <is>
          <t>CALZADO ARGüELLES, CRISTINA SETEFILLA</t>
        </is>
      </c>
      <c r="C5" t="inlineStr">
        <is>
          <t>LANE LATE</t>
        </is>
      </c>
      <c r="D5" t="inlineStr">
        <is>
          <t>Índice</t>
        </is>
      </c>
      <c r="E5" t="n">
        <v>0.01032094594594595</v>
      </c>
      <c r="I5" t="inlineStr"/>
    </row>
    <row r="6">
      <c r="A6" t="n">
        <v>1519</v>
      </c>
      <c r="B6" t="inlineStr">
        <is>
          <t>CALZADO ARGüELLES, CRISTINA SETEFILLA</t>
        </is>
      </c>
      <c r="C6" t="inlineStr">
        <is>
          <t>LANE LATE</t>
        </is>
      </c>
      <c r="D6" t="inlineStr">
        <is>
          <t>Kg remesa</t>
        </is>
      </c>
      <c r="E6" t="n">
        <v>62160</v>
      </c>
      <c r="I6" t="inlineStr"/>
    </row>
    <row r="7">
      <c r="A7" t="n">
        <v>1519</v>
      </c>
      <c r="B7" t="inlineStr">
        <is>
          <t>CALZADO ARGüELLES, CRISTINA SETEFILLA</t>
        </is>
      </c>
      <c r="C7" t="inlineStr">
        <is>
          <t>LANE LATE</t>
        </is>
      </c>
      <c r="D7" t="inlineStr">
        <is>
          <t>Cuota parcial</t>
        </is>
      </c>
      <c r="E7" t="n">
        <v>641.55</v>
      </c>
      <c r="I7" t="inlineStr"/>
    </row>
    <row r="8">
      <c r="A8" t="n">
        <v>1519</v>
      </c>
      <c r="B8" t="inlineStr">
        <is>
          <t>CALZADO ARGüELLES, CRISTINA SETEFILLA</t>
        </is>
      </c>
      <c r="C8" t="inlineStr">
        <is>
          <t>LANE LATE</t>
        </is>
      </c>
      <c r="D8" t="inlineStr">
        <is>
          <t>Importe bruto</t>
        </is>
      </c>
      <c r="E8" t="n">
        <v>26231.52</v>
      </c>
      <c r="I8" t="inlineStr"/>
    </row>
    <row r="9">
      <c r="A9" t="n">
        <v>1519</v>
      </c>
      <c r="B9" t="inlineStr">
        <is>
          <t>CALZADO ARGüELLES, CRISTINA SETEFILLA</t>
        </is>
      </c>
      <c r="C9" t="inlineStr">
        <is>
          <t>LANE LATE</t>
        </is>
      </c>
      <c r="D9" t="inlineStr">
        <is>
          <t>Recolección</t>
        </is>
      </c>
      <c r="E9" t="n">
        <v>0</v>
      </c>
      <c r="I9" t="inlineStr"/>
    </row>
    <row r="10">
      <c r="A10" t="n">
        <v>1519</v>
      </c>
      <c r="B10" t="inlineStr">
        <is>
          <t>CALZADO ARGüELLES, CRISTINA SETEFILLA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1519</v>
      </c>
      <c r="B11" t="inlineStr">
        <is>
          <t>CALZADO ARGüELLES, CRISTINA SETEFILLA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1519</v>
      </c>
      <c r="B12" t="inlineStr">
        <is>
          <t>CALZADO ARGüELLES, CRISTINA SETEFILLA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1519</v>
      </c>
      <c r="B13" t="inlineStr">
        <is>
          <t>CALZADO ARGüELLES, CRISTINA SETEFILLA</t>
        </is>
      </c>
      <c r="C13" t="inlineStr">
        <is>
          <t>LANE LATE</t>
        </is>
      </c>
      <c r="D13" t="inlineStr">
        <is>
          <t>Base imponible</t>
        </is>
      </c>
      <c r="E13" t="n">
        <v>25589.97</v>
      </c>
      <c r="I13" t="inlineStr"/>
    </row>
    <row r="14">
      <c r="A14" t="n">
        <v>1519</v>
      </c>
      <c r="B14" t="inlineStr">
        <is>
          <t>CALZADO ARGüELLES, CRISTINA SETEFILLA</t>
        </is>
      </c>
      <c r="C14" t="inlineStr">
        <is>
          <t>LANE LATE</t>
        </is>
      </c>
      <c r="D14" t="inlineStr">
        <is>
          <t>IVA</t>
        </is>
      </c>
      <c r="E14" t="n">
        <v>3070.8</v>
      </c>
      <c r="I14" t="inlineStr"/>
    </row>
    <row r="15">
      <c r="A15" t="n">
        <v>1519</v>
      </c>
      <c r="B15" t="inlineStr">
        <is>
          <t>CALZADO ARGüELLES, CRISTINA SETEFILLA</t>
        </is>
      </c>
      <c r="C15" t="inlineStr">
        <is>
          <t>LANE LATE</t>
        </is>
      </c>
      <c r="D15" t="inlineStr">
        <is>
          <t>Retención</t>
        </is>
      </c>
      <c r="E15" t="n">
        <v>573.22</v>
      </c>
      <c r="I15" t="inlineStr"/>
    </row>
    <row r="16">
      <c r="A16" t="n">
        <v>1519</v>
      </c>
      <c r="B16" t="inlineStr">
        <is>
          <t>CALZADO ARGüELLES, CRISTINA SETEFILLA</t>
        </is>
      </c>
      <c r="C16" t="inlineStr">
        <is>
          <t>LANE LATE</t>
        </is>
      </c>
      <c r="D16" t="inlineStr">
        <is>
          <t>Total</t>
        </is>
      </c>
      <c r="E16" t="n">
        <v>28087.55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2026-07-28T15:52:31Z</dcterms:created>
  <dcterms:modified xmlns:dcterms="http://purl.org/dc/terms/" xmlns:xsi="http://www.w3.org/2001/XMLSchema-instance" xsi:type="dcterms:W3CDTF">2026-07-28T15:52:31Z</dcterms:modified>
</cp:coreProperties>
</file>