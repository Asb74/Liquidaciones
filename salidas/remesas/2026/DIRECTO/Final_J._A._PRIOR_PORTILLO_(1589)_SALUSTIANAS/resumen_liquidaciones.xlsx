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1589</v>
      </c>
      <c r="B2" s="3" t="inlineStr">
        <is>
          <t>PRIOR PORTILLO, JUAN ANTONIO</t>
        </is>
      </c>
      <c r="C2" s="3" t="inlineStr">
        <is>
          <t>SALUSTIANA</t>
        </is>
      </c>
      <c r="D2" s="2" t="n">
        <v>10620</v>
      </c>
      <c r="E2" s="4" t="n">
        <v>4279.86</v>
      </c>
      <c r="F2" s="5" t="n">
        <v>0.403</v>
      </c>
      <c r="G2" s="4" t="n">
        <v>764.64</v>
      </c>
      <c r="H2" s="4" t="n">
        <v>66.23999999999999</v>
      </c>
      <c r="I2" s="4" t="n">
        <v>0</v>
      </c>
      <c r="J2" s="4" t="n">
        <v>0</v>
      </c>
      <c r="K2" s="4" t="n">
        <v>0</v>
      </c>
      <c r="L2" s="4" t="n">
        <v>3448.98</v>
      </c>
      <c r="M2" s="5" t="n">
        <v>0.35646</v>
      </c>
      <c r="N2" s="6" t="n">
        <v>12</v>
      </c>
      <c r="O2" s="6" t="n">
        <v>2</v>
      </c>
      <c r="P2" s="4" t="n">
        <v>3785.6</v>
      </c>
      <c r="Q2" s="3" t="inlineStr">
        <is>
          <t>Final J. A. PRIOR PORTILLO (1589) SALUSTIANAS</t>
        </is>
      </c>
      <c r="R2" s="3" t="inlineStr">
        <is>
          <t>DIRECTO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8" t="n"/>
      <c r="B3" s="9" t="inlineStr">
        <is>
          <t>TOTAL</t>
        </is>
      </c>
      <c r="C3" s="9" t="n"/>
      <c r="D3" s="8">
        <f>SUM(D2:D2)</f>
        <v/>
      </c>
      <c r="E3" s="10">
        <f>SUM(E2:E2)</f>
        <v/>
      </c>
      <c r="F3" s="11" t="n"/>
      <c r="G3" s="10">
        <f>SUM(G2:G2)</f>
        <v/>
      </c>
      <c r="H3" s="10">
        <f>SUM(H2:H2)</f>
        <v/>
      </c>
      <c r="I3" s="10">
        <f>SUM(I2:I2)</f>
        <v/>
      </c>
      <c r="J3" s="10">
        <f>SUM(J2:J2)</f>
        <v/>
      </c>
      <c r="K3" s="10">
        <f>SUM(K2:K2)</f>
        <v/>
      </c>
      <c r="L3" s="10">
        <f>SUM(L2:L2)</f>
        <v/>
      </c>
      <c r="M3" s="11">
        <f>IFERROR(P3/D3,0)</f>
        <v/>
      </c>
      <c r="N3" s="12" t="n"/>
      <c r="O3" s="12" t="n"/>
      <c r="P3" s="10">
        <f>SUM(P2:P2)</f>
        <v/>
      </c>
      <c r="Q3" s="9" t="n"/>
      <c r="R3" s="9" t="n"/>
      <c r="S3" s="13" t="n"/>
      <c r="T3" s="13" t="n"/>
      <c r="U3" s="13" t="n"/>
    </row>
  </sheetData>
  <autoFilter ref="A1:U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1589</v>
      </c>
      <c r="B2" t="inlineStr">
        <is>
          <t>PRIOR PORTILLO, JUAN ANTONIO</t>
        </is>
      </c>
      <c r="C2" t="inlineStr">
        <is>
          <t>SALUSTIANA</t>
        </is>
      </c>
      <c r="D2" t="n">
        <v>0</v>
      </c>
      <c r="E2" t="inlineStr">
        <is>
          <t>not_found</t>
        </is>
      </c>
      <c r="F2" t="n">
        <v>2.15</v>
      </c>
      <c r="G2" t="n">
        <v>195</v>
      </c>
      <c r="H2" t="n">
        <v>419.25</v>
      </c>
      <c r="I2" t="n">
        <v>67213</v>
      </c>
      <c r="J2" t="n">
        <v>0.006237632600836148</v>
      </c>
      <c r="K2" t="n">
        <v>66.23999999999999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1589</v>
      </c>
      <c r="B2" t="inlineStr">
        <is>
          <t>PRIOR PORTILLO, JUAN ANTONIO</t>
        </is>
      </c>
      <c r="C2" t="n">
        <v>443</v>
      </c>
      <c r="D2" t="inlineStr">
        <is>
          <t>CITRICOS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443</v>
      </c>
      <c r="K2" t="n">
        <v>2026</v>
      </c>
      <c r="L2" t="inlineStr">
        <is>
          <t>1</t>
        </is>
      </c>
      <c r="M2" t="inlineStr">
        <is>
          <t>CITRICOS</t>
        </is>
      </c>
      <c r="N2" t="inlineStr">
        <is>
          <t>41055</t>
        </is>
      </c>
      <c r="O2" t="inlineStr">
        <is>
          <t>12</t>
        </is>
      </c>
      <c r="P2" t="inlineStr">
        <is>
          <t>107</t>
        </is>
      </c>
      <c r="Q2" t="inlineStr">
        <is>
          <t>1</t>
        </is>
      </c>
      <c r="R2" t="n">
        <v>2.15</v>
      </c>
      <c r="S2" t="n">
        <v>5.230475</v>
      </c>
      <c r="T2" t="n">
        <v>2.14</v>
      </c>
      <c r="V2" t="inlineStr">
        <is>
          <t>Sí</t>
        </is>
      </c>
      <c r="W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1589</v>
      </c>
      <c r="B2" t="inlineStr">
        <is>
          <t>PRIOR PORTILLO, JUAN ANTONIO</t>
        </is>
      </c>
      <c r="C2" t="inlineStr">
        <is>
          <t>SALUSTIANA</t>
        </is>
      </c>
      <c r="D2" t="inlineStr">
        <is>
          <t>calculated</t>
        </is>
      </c>
      <c r="E2" t="n">
        <v>2.15</v>
      </c>
      <c r="F2" t="n">
        <v>419.25</v>
      </c>
      <c r="G2" t="n">
        <v>67213</v>
      </c>
      <c r="H2" t="n">
        <v>0.006237632600836148</v>
      </c>
      <c r="I2" t="n">
        <v>10620</v>
      </c>
      <c r="J2" t="n">
        <v>66.23999999999999</v>
      </c>
      <c r="K2" t="inlineStr">
        <is>
          <t>1 entregas ya figuran como liquidadas.; No existe tarifa BonCalidad para socio=1589 campaña=2026 empresa=1 cultivo=DIRECTO.;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1589</v>
      </c>
      <c r="B2" t="inlineStr">
        <is>
          <t>PRIOR PORTILLO, JUAN ANTONIO</t>
        </is>
      </c>
      <c r="C2" t="inlineStr">
        <is>
          <t>SALUSTIANA</t>
        </is>
      </c>
      <c r="D2" t="inlineStr">
        <is>
          <t>2026</t>
        </is>
      </c>
      <c r="E2" t="inlineStr">
        <is>
          <t>1</t>
        </is>
      </c>
      <c r="F2" t="inlineStr">
        <is>
          <t>DIRECTO</t>
        </is>
      </c>
      <c r="G2" t="inlineStr">
        <is>
          <t>NO</t>
        </is>
      </c>
      <c r="H2" t="inlineStr">
        <is>
          <t>SÍ</t>
        </is>
      </c>
      <c r="I2" t="inlineStr">
        <is>
          <t>NO</t>
        </is>
      </c>
      <c r="J2" t="inlineStr">
        <is>
          <t>CITRICOS</t>
        </is>
      </c>
      <c r="K2" t="inlineStr"/>
      <c r="L2" t="inlineStr">
        <is>
          <t>ORO</t>
        </is>
      </c>
      <c r="N2" t="n">
        <v>0</v>
      </c>
      <c r="O2" t="n">
        <v>0</v>
      </c>
      <c r="Q2" t="n">
        <v>10620</v>
      </c>
      <c r="R2" t="n">
        <v>10620</v>
      </c>
      <c r="U2" t="n">
        <v>0</v>
      </c>
      <c r="V2" t="n">
        <v>0</v>
      </c>
      <c r="W2" t="n">
        <v>0</v>
      </c>
      <c r="X2" t="inlineStr">
        <is>
          <t>disabled</t>
        </is>
      </c>
      <c r="Y2" t="inlineStr"/>
      <c r="Z2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DIRECTO</t>
        </is>
      </c>
      <c r="D2" t="inlineStr">
        <is>
          <t>Final J. A. PRIOR PORTILLO (1589) SALUSTIANAS</t>
        </is>
      </c>
      <c r="E2" t="inlineStr">
        <is>
          <t>SALUSTIANA</t>
        </is>
      </c>
      <c r="F2" t="inlineStr">
        <is>
          <t>VARIETY</t>
        </is>
      </c>
      <c r="G2" t="inlineStr"/>
      <c r="H2" t="inlineStr"/>
      <c r="I2" t="inlineStr">
        <is>
          <t>SALUSTIANA</t>
        </is>
      </c>
      <c r="J2" t="n">
        <v>1</v>
      </c>
      <c r="K2" t="inlineStr">
        <is>
          <t>VARIETY</t>
        </is>
      </c>
      <c r="L2" t="inlineStr"/>
      <c r="M2" t="inlineStr">
        <is>
          <t>SALUSTIANA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1589</v>
      </c>
      <c r="B2" t="inlineStr">
        <is>
          <t>PRIOR PORTILLO, JUAN ANTONIO</t>
        </is>
      </c>
      <c r="C2" t="inlineStr">
        <is>
          <t>SALUSTIANA</t>
        </is>
      </c>
      <c r="D2" t="n">
        <v>4279.86</v>
      </c>
      <c r="E2" t="n">
        <v>4279.86</v>
      </c>
      <c r="F2" t="n">
        <v>764.64</v>
      </c>
      <c r="G2" t="n">
        <v>66.23999999999999</v>
      </c>
      <c r="H2" t="n">
        <v>0</v>
      </c>
      <c r="I2" t="n">
        <v>0</v>
      </c>
      <c r="J2" t="n">
        <v>0</v>
      </c>
      <c r="K2" t="n">
        <v>3448.98</v>
      </c>
      <c r="L2" t="n">
        <v>3448.98</v>
      </c>
      <c r="M2" t="n">
        <v>3448.98</v>
      </c>
      <c r="N2" t="n">
        <v>0</v>
      </c>
      <c r="O2" t="n">
        <v>0.32476</v>
      </c>
      <c r="P2" t="n">
        <v>0.35646</v>
      </c>
      <c r="Q2" t="inlineStr">
        <is>
          <t>SÍ</t>
        </is>
      </c>
      <c r="R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1589</v>
      </c>
      <c r="B2" t="inlineStr">
        <is>
          <t>PRIOR PORTILLO, JUAN ANTONIO</t>
        </is>
      </c>
      <c r="C2" t="inlineStr">
        <is>
          <t>SALUSTIANA</t>
        </is>
      </c>
      <c r="D2" t="n">
        <v>3448.98</v>
      </c>
      <c r="E2" t="n">
        <v>12</v>
      </c>
      <c r="F2" t="n">
        <v>1.12</v>
      </c>
      <c r="G2" t="n">
        <v>413.88</v>
      </c>
      <c r="H2" t="n">
        <v>3862.86</v>
      </c>
      <c r="I2" t="n">
        <v>2</v>
      </c>
      <c r="J2" t="n">
        <v>0.98</v>
      </c>
      <c r="K2" t="n">
        <v>77.26000000000001</v>
      </c>
      <c r="L2" t="n">
        <v>3785.6</v>
      </c>
      <c r="M2" t="n">
        <v>3785.6</v>
      </c>
      <c r="N2" t="n">
        <v>3785.6</v>
      </c>
      <c r="O2" t="n">
        <v>10620</v>
      </c>
      <c r="P2" t="n">
        <v>0.35646</v>
      </c>
      <c r="Q2" t="n">
        <v>0.35646</v>
      </c>
      <c r="R2" t="n">
        <v>0.35646</v>
      </c>
      <c r="S2" t="n">
        <v>0</v>
      </c>
      <c r="T2" t="n">
        <v>0</v>
      </c>
      <c r="U2" t="inlineStr">
        <is>
          <t>SÍ</t>
        </is>
      </c>
      <c r="V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1589</v>
      </c>
      <c r="B2" t="inlineStr">
        <is>
          <t>PRIOR PORTILLO, JUAN ANTONIO</t>
        </is>
      </c>
      <c r="C2" t="inlineStr">
        <is>
          <t>SALUSTIANA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2.15</v>
      </c>
      <c r="M2" t="n">
        <v>195</v>
      </c>
      <c r="N2" t="n">
        <v>419.25</v>
      </c>
      <c r="O2" t="n">
        <v>67213</v>
      </c>
      <c r="P2" t="n">
        <v>0.006237632600836148</v>
      </c>
      <c r="Q2" t="n">
        <v>10620</v>
      </c>
      <c r="R2" t="n">
        <v>66.23999999999999</v>
      </c>
      <c r="S2" t="n">
        <v>0</v>
      </c>
      <c r="T2" t="n">
        <v>66.23999999999999</v>
      </c>
      <c r="U2" t="n">
        <v>353.01</v>
      </c>
      <c r="V2" t="inlineStr">
        <is>
          <t>OPEN</t>
        </is>
      </c>
      <c r="W2" t="inlineStr">
        <is>
          <t>calculated</t>
        </is>
      </c>
      <c r="X2" t="inlineStr">
        <is>
          <t>1 entregas ya figuran como liquidadas.; No existe tarifa BonCalidad para socio=1589 campaña=2026 empresa=1 cultivo=DIRECTO.; No existe fuente acumulada disponible; saldo informativo calculado con cuota ya aplicada = 0.</t>
        </is>
      </c>
      <c r="Y2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1589</v>
      </c>
      <c r="B2" t="inlineStr">
        <is>
          <t>PRIOR PORTILLO, JUAN ANTONIO</t>
        </is>
      </c>
      <c r="C2" t="n">
        <v>443</v>
      </c>
      <c r="D2" t="inlineStr">
        <is>
          <t>9446</t>
        </is>
      </c>
      <c r="E2" t="inlineStr">
        <is>
          <t>12</t>
        </is>
      </c>
      <c r="F2" t="inlineStr">
        <is>
          <t>107</t>
        </is>
      </c>
      <c r="G2" t="inlineStr">
        <is>
          <t>1</t>
        </is>
      </c>
      <c r="H2" t="n">
        <v>2002</v>
      </c>
      <c r="I2" t="n">
        <v>2.15</v>
      </c>
      <c r="J2" t="n">
        <v>1</v>
      </c>
      <c r="L2" t="inlineStr">
        <is>
          <t>Sí</t>
        </is>
      </c>
      <c r="M2" t="inlineStr">
        <is>
          <t>Sí</t>
        </is>
      </c>
      <c r="N2" t="inlineStr">
        <is>
          <t>VALIDA</t>
        </is>
      </c>
      <c r="O2" t="n">
        <v>2.15</v>
      </c>
      <c r="P2" t="n">
        <v>419.25</v>
      </c>
      <c r="Q2" t="n">
        <v>67213</v>
      </c>
      <c r="R2" t="n">
        <v>0.006237632600836148</v>
      </c>
      <c r="S2" t="n">
        <v>10620</v>
      </c>
      <c r="T2" t="n">
        <v>66.23999999999999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1589</v>
      </c>
      <c r="B2" t="inlineStr">
        <is>
          <t>PRIOR PORTILLO, JUAN ANTONIO</t>
        </is>
      </c>
      <c r="E2" t="n">
        <v>2026</v>
      </c>
      <c r="F2" t="n">
        <v>1</v>
      </c>
      <c r="G2" t="inlineStr">
        <is>
          <t>CITRICOS</t>
        </is>
      </c>
      <c r="H2" t="inlineStr">
        <is>
          <t>SALUSTIANA</t>
        </is>
      </c>
      <c r="I2" t="n">
        <v>443</v>
      </c>
      <c r="J2" t="n">
        <v>15275</v>
      </c>
      <c r="K2" t="n">
        <v>8219</v>
      </c>
      <c r="L2" t="n">
        <v>8219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1589</v>
      </c>
      <c r="B3" t="inlineStr">
        <is>
          <t>PRIOR PORTILLO, JUAN ANTONIO</t>
        </is>
      </c>
      <c r="E3" t="n">
        <v>2026</v>
      </c>
      <c r="F3" t="n">
        <v>1</v>
      </c>
      <c r="G3" t="inlineStr">
        <is>
          <t>CITRICOS</t>
        </is>
      </c>
      <c r="H3" t="inlineStr">
        <is>
          <t>SALUSTIANA</t>
        </is>
      </c>
      <c r="I3" t="n">
        <v>443</v>
      </c>
      <c r="J3" t="n">
        <v>14475</v>
      </c>
      <c r="K3" t="n">
        <v>14050</v>
      </c>
      <c r="L3" t="n">
        <v>14050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1589</v>
      </c>
      <c r="B4" t="inlineStr">
        <is>
          <t>PRIOR PORTILLO, JUAN ANTONIO</t>
        </is>
      </c>
      <c r="E4" t="n">
        <v>2026</v>
      </c>
      <c r="F4" t="n">
        <v>1</v>
      </c>
      <c r="G4" t="inlineStr">
        <is>
          <t>CITRICOS</t>
        </is>
      </c>
      <c r="H4" t="inlineStr">
        <is>
          <t>SALUSTIANA</t>
        </is>
      </c>
      <c r="I4" t="n">
        <v>443</v>
      </c>
      <c r="J4" t="n">
        <v>14665</v>
      </c>
      <c r="K4" t="n">
        <v>13510</v>
      </c>
      <c r="L4" t="n">
        <v>13510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1589</v>
      </c>
      <c r="B5" t="inlineStr">
        <is>
          <t>PRIOR PORTILLO, JUAN ANTONIO</t>
        </is>
      </c>
      <c r="E5" t="n">
        <v>2026</v>
      </c>
      <c r="F5" t="n">
        <v>1</v>
      </c>
      <c r="G5" t="inlineStr">
        <is>
          <t>CITRICOS</t>
        </is>
      </c>
      <c r="H5" t="inlineStr">
        <is>
          <t>SALUSTIANA</t>
        </is>
      </c>
      <c r="I5" t="n">
        <v>443</v>
      </c>
      <c r="J5" t="n">
        <v>6770</v>
      </c>
      <c r="K5" t="n">
        <v>2814</v>
      </c>
      <c r="L5" t="n">
        <v>2814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1589</v>
      </c>
      <c r="B6" t="inlineStr">
        <is>
          <t>PRIOR PORTILLO, JUAN ANTONIO</t>
        </is>
      </c>
      <c r="E6" t="n">
        <v>2026</v>
      </c>
      <c r="F6" t="n">
        <v>1</v>
      </c>
      <c r="G6" t="inlineStr">
        <is>
          <t>CITRICOS</t>
        </is>
      </c>
      <c r="H6" t="inlineStr">
        <is>
          <t>SALUSTIANA</t>
        </is>
      </c>
      <c r="I6" t="n">
        <v>443</v>
      </c>
      <c r="J6" t="n">
        <v>9290</v>
      </c>
      <c r="K6" t="n">
        <v>7942</v>
      </c>
      <c r="L6" t="n">
        <v>7942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1589</v>
      </c>
      <c r="B7" t="inlineStr">
        <is>
          <t>PRIOR PORTILLO, JUAN ANTONIO</t>
        </is>
      </c>
      <c r="E7" t="n">
        <v>2026</v>
      </c>
      <c r="F7" t="n">
        <v>1</v>
      </c>
      <c r="G7" t="inlineStr">
        <is>
          <t>CITRICOS</t>
        </is>
      </c>
      <c r="H7" t="inlineStr">
        <is>
          <t>SALUSTIANA</t>
        </is>
      </c>
      <c r="I7" t="n">
        <v>443</v>
      </c>
      <c r="J7" t="n">
        <v>15695</v>
      </c>
      <c r="K7" t="n">
        <v>3931</v>
      </c>
      <c r="L7" t="n">
        <v>3931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1589</v>
      </c>
      <c r="B8" t="inlineStr">
        <is>
          <t>PRIOR PORTILLO, JUAN ANTONIO</t>
        </is>
      </c>
      <c r="E8" t="n">
        <v>2026</v>
      </c>
      <c r="F8" t="n">
        <v>1</v>
      </c>
      <c r="G8" t="inlineStr">
        <is>
          <t>DIRECTO</t>
        </is>
      </c>
      <c r="H8" t="inlineStr">
        <is>
          <t>SALUSTIANA</t>
        </is>
      </c>
      <c r="I8" t="n">
        <v>443</v>
      </c>
      <c r="J8" t="n">
        <v>20820</v>
      </c>
      <c r="K8" t="n">
        <v>10620</v>
      </c>
      <c r="L8" t="n">
        <v>10620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1589</v>
      </c>
      <c r="B9" t="inlineStr">
        <is>
          <t>PRIOR PORTILLO, JUAN ANTONIO</t>
        </is>
      </c>
      <c r="E9" t="n">
        <v>2026</v>
      </c>
      <c r="F9" t="n">
        <v>1</v>
      </c>
      <c r="G9" t="inlineStr">
        <is>
          <t>INDUSTRIA</t>
        </is>
      </c>
      <c r="H9" t="inlineStr">
        <is>
          <t>SALUSTIANA</t>
        </is>
      </c>
      <c r="I9" t="n">
        <v>443</v>
      </c>
      <c r="J9" t="n">
        <v>363</v>
      </c>
      <c r="K9" t="n">
        <v>0</v>
      </c>
      <c r="L9" t="n">
        <v>363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  <row r="10">
      <c r="A10" t="n">
        <v>1589</v>
      </c>
      <c r="B10" t="inlineStr">
        <is>
          <t>PRIOR PORTILLO, JUAN ANTONIO</t>
        </is>
      </c>
      <c r="E10" t="n">
        <v>2026</v>
      </c>
      <c r="F10" t="n">
        <v>1</v>
      </c>
      <c r="G10" t="inlineStr">
        <is>
          <t>INDUSTRIA</t>
        </is>
      </c>
      <c r="H10" t="inlineStr">
        <is>
          <t>SALUSTIANA</t>
        </is>
      </c>
      <c r="I10" t="n">
        <v>443</v>
      </c>
      <c r="J10" t="n">
        <v>14405</v>
      </c>
      <c r="K10" t="n">
        <v>390</v>
      </c>
      <c r="L10" t="n">
        <v>390</v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</row>
    <row r="11">
      <c r="A11" t="n">
        <v>1589</v>
      </c>
      <c r="B11" t="inlineStr">
        <is>
          <t>PRIOR PORTILLO, JUAN ANTONIO</t>
        </is>
      </c>
      <c r="E11" t="n">
        <v>2026</v>
      </c>
      <c r="F11" t="n">
        <v>1</v>
      </c>
      <c r="G11" t="inlineStr">
        <is>
          <t>INDUSTRIA</t>
        </is>
      </c>
      <c r="H11" t="inlineStr">
        <is>
          <t>SALUSTIANA</t>
        </is>
      </c>
      <c r="I11" t="n">
        <v>443</v>
      </c>
      <c r="J11" t="n">
        <v>15295</v>
      </c>
      <c r="K11" t="n">
        <v>1050</v>
      </c>
      <c r="L11" t="n">
        <v>1050</v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</row>
    <row r="12">
      <c r="A12" t="n">
        <v>1589</v>
      </c>
      <c r="B12" t="inlineStr">
        <is>
          <t>PRIOR PORTILLO, JUAN ANTONIO</t>
        </is>
      </c>
      <c r="E12" t="n">
        <v>2026</v>
      </c>
      <c r="F12" t="n">
        <v>1</v>
      </c>
      <c r="G12" t="inlineStr">
        <is>
          <t>INDUSTRIA</t>
        </is>
      </c>
      <c r="H12" t="inlineStr">
        <is>
          <t>SALUSTIANA</t>
        </is>
      </c>
      <c r="I12" t="n">
        <v>443</v>
      </c>
      <c r="J12" t="n">
        <v>5230</v>
      </c>
      <c r="K12" t="n">
        <v>3606</v>
      </c>
      <c r="L12" t="n">
        <v>3606</v>
      </c>
      <c r="M12" t="inlineStr">
        <is>
          <t>Sí</t>
        </is>
      </c>
      <c r="N12" t="inlineStr"/>
      <c r="O12" t="inlineStr">
        <is>
          <t>Informativa</t>
        </is>
      </c>
      <c r="P12" t="inlineStr">
        <is>
          <t>No interviene en el prorrateo</t>
        </is>
      </c>
    </row>
    <row r="13">
      <c r="A13" t="n">
        <v>1589</v>
      </c>
      <c r="B13" t="inlineStr">
        <is>
          <t>PRIOR PORTILLO, JUAN ANTONIO</t>
        </is>
      </c>
      <c r="E13" t="n">
        <v>2026</v>
      </c>
      <c r="F13" t="n">
        <v>1</v>
      </c>
      <c r="G13" t="inlineStr">
        <is>
          <t>INDUSTRIA</t>
        </is>
      </c>
      <c r="H13" t="inlineStr">
        <is>
          <t>SALUSTIANA</t>
        </is>
      </c>
      <c r="I13" t="n">
        <v>443</v>
      </c>
      <c r="J13" t="n">
        <v>8590</v>
      </c>
      <c r="K13" t="n">
        <v>718</v>
      </c>
      <c r="L13" t="n">
        <v>718</v>
      </c>
      <c r="M13" t="inlineStr">
        <is>
          <t>Sí</t>
        </is>
      </c>
      <c r="N13" t="inlineStr"/>
      <c r="O13" t="inlineStr">
        <is>
          <t>Informativa</t>
        </is>
      </c>
      <c r="P13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1589</v>
      </c>
      <c r="B2" t="inlineStr">
        <is>
          <t>PRIOR PORTILLO, JUAN ANTONIO</t>
        </is>
      </c>
      <c r="C2" t="inlineStr">
        <is>
          <t>SALUSTIANA</t>
        </is>
      </c>
      <c r="D2" t="inlineStr">
        <is>
          <t>Hectáreas</t>
        </is>
      </c>
      <c r="E2" t="n">
        <v>2.15</v>
      </c>
      <c r="I2" t="inlineStr"/>
    </row>
    <row r="3">
      <c r="A3" t="n">
        <v>1589</v>
      </c>
      <c r="B3" t="inlineStr">
        <is>
          <t>PRIOR PORTILLO, JUAN ANTONIO</t>
        </is>
      </c>
      <c r="C3" t="inlineStr">
        <is>
          <t>SALUSTIANA</t>
        </is>
      </c>
      <c r="D3" t="inlineStr">
        <is>
          <t>Cuota teórica</t>
        </is>
      </c>
      <c r="E3" t="n">
        <v>419.25</v>
      </c>
      <c r="I3" t="inlineStr"/>
    </row>
    <row r="4">
      <c r="A4" t="n">
        <v>1589</v>
      </c>
      <c r="B4" t="inlineStr">
        <is>
          <t>PRIOR PORTILLO, JUAN ANTONIO</t>
        </is>
      </c>
      <c r="C4" t="inlineStr">
        <is>
          <t>SALUSTIANA</t>
        </is>
      </c>
      <c r="D4" t="inlineStr">
        <is>
          <t>Kg campaña</t>
        </is>
      </c>
      <c r="E4" t="n">
        <v>67213</v>
      </c>
      <c r="I4" t="inlineStr"/>
    </row>
    <row r="5">
      <c r="A5" t="n">
        <v>1589</v>
      </c>
      <c r="B5" t="inlineStr">
        <is>
          <t>PRIOR PORTILLO, JUAN ANTONIO</t>
        </is>
      </c>
      <c r="C5" t="inlineStr">
        <is>
          <t>SALUSTIANA</t>
        </is>
      </c>
      <c r="D5" t="inlineStr">
        <is>
          <t>Índice</t>
        </is>
      </c>
      <c r="E5" t="n">
        <v>0.006237632600836148</v>
      </c>
      <c r="I5" t="inlineStr"/>
    </row>
    <row r="6">
      <c r="A6" t="n">
        <v>1589</v>
      </c>
      <c r="B6" t="inlineStr">
        <is>
          <t>PRIOR PORTILLO, JUAN ANTONIO</t>
        </is>
      </c>
      <c r="C6" t="inlineStr">
        <is>
          <t>SALUSTIANA</t>
        </is>
      </c>
      <c r="D6" t="inlineStr">
        <is>
          <t>Kg remesa</t>
        </is>
      </c>
      <c r="E6" t="n">
        <v>10620</v>
      </c>
      <c r="I6" t="inlineStr"/>
    </row>
    <row r="7">
      <c r="A7" t="n">
        <v>1589</v>
      </c>
      <c r="B7" t="inlineStr">
        <is>
          <t>PRIOR PORTILLO, JUAN ANTONIO</t>
        </is>
      </c>
      <c r="C7" t="inlineStr">
        <is>
          <t>SALUSTIANA</t>
        </is>
      </c>
      <c r="D7" t="inlineStr">
        <is>
          <t>Cuota parcial</t>
        </is>
      </c>
      <c r="E7" t="n">
        <v>66.23999999999999</v>
      </c>
      <c r="I7" t="inlineStr"/>
    </row>
    <row r="8">
      <c r="A8" t="n">
        <v>1589</v>
      </c>
      <c r="B8" t="inlineStr">
        <is>
          <t>PRIOR PORTILLO, JUAN ANTONIO</t>
        </is>
      </c>
      <c r="C8" t="inlineStr">
        <is>
          <t>SALUSTIANA</t>
        </is>
      </c>
      <c r="D8" t="inlineStr">
        <is>
          <t>Importe bruto</t>
        </is>
      </c>
      <c r="E8" t="n">
        <v>4279.86</v>
      </c>
      <c r="I8" t="inlineStr"/>
    </row>
    <row r="9">
      <c r="A9" t="n">
        <v>1589</v>
      </c>
      <c r="B9" t="inlineStr">
        <is>
          <t>PRIOR PORTILLO, JUAN ANTONIO</t>
        </is>
      </c>
      <c r="C9" t="inlineStr">
        <is>
          <t>SALUSTIANA</t>
        </is>
      </c>
      <c r="D9" t="inlineStr">
        <is>
          <t>Recolección</t>
        </is>
      </c>
      <c r="E9" t="n">
        <v>764.64</v>
      </c>
      <c r="I9" t="inlineStr"/>
    </row>
    <row r="10">
      <c r="A10" t="n">
        <v>1589</v>
      </c>
      <c r="B10" t="inlineStr">
        <is>
          <t>PRIOR PORTILLO, JUAN ANTONIO</t>
        </is>
      </c>
      <c r="C10" t="inlineStr">
        <is>
          <t>SALUSTIANA</t>
        </is>
      </c>
      <c r="D10" t="inlineStr">
        <is>
          <t>Transporte</t>
        </is>
      </c>
      <c r="E10" t="n">
        <v>0</v>
      </c>
      <c r="I10" t="inlineStr"/>
    </row>
    <row r="11">
      <c r="A11" t="n">
        <v>1589</v>
      </c>
      <c r="B11" t="inlineStr">
        <is>
          <t>PRIOR PORTILLO, JUAN ANTONIO</t>
        </is>
      </c>
      <c r="C11" t="inlineStr">
        <is>
          <t>SALUSTIANA</t>
        </is>
      </c>
      <c r="D11" t="inlineStr">
        <is>
          <t>Calidad</t>
        </is>
      </c>
      <c r="E11" t="n">
        <v>0</v>
      </c>
      <c r="I11" t="inlineStr"/>
    </row>
    <row r="12">
      <c r="A12" t="n">
        <v>1589</v>
      </c>
      <c r="B12" t="inlineStr">
        <is>
          <t>PRIOR PORTILLO, JUAN ANTONIO</t>
        </is>
      </c>
      <c r="C12" t="inlineStr">
        <is>
          <t>SALUSTIANA</t>
        </is>
      </c>
      <c r="D12" t="inlineStr">
        <is>
          <t>GlobalGAP</t>
        </is>
      </c>
      <c r="E12" t="n">
        <v>0</v>
      </c>
      <c r="I12" t="inlineStr"/>
    </row>
    <row r="13">
      <c r="A13" t="n">
        <v>1589</v>
      </c>
      <c r="B13" t="inlineStr">
        <is>
          <t>PRIOR PORTILLO, JUAN ANTONIO</t>
        </is>
      </c>
      <c r="C13" t="inlineStr">
        <is>
          <t>SALUSTIANA</t>
        </is>
      </c>
      <c r="D13" t="inlineStr">
        <is>
          <t>Base imponible</t>
        </is>
      </c>
      <c r="E13" t="n">
        <v>3448.98</v>
      </c>
      <c r="I13" t="inlineStr"/>
    </row>
    <row r="14">
      <c r="A14" t="n">
        <v>1589</v>
      </c>
      <c r="B14" t="inlineStr">
        <is>
          <t>PRIOR PORTILLO, JUAN ANTONIO</t>
        </is>
      </c>
      <c r="C14" t="inlineStr">
        <is>
          <t>SALUSTIANA</t>
        </is>
      </c>
      <c r="D14" t="inlineStr">
        <is>
          <t>IVA</t>
        </is>
      </c>
      <c r="E14" t="n">
        <v>413.88</v>
      </c>
      <c r="I14" t="inlineStr"/>
    </row>
    <row r="15">
      <c r="A15" t="n">
        <v>1589</v>
      </c>
      <c r="B15" t="inlineStr">
        <is>
          <t>PRIOR PORTILLO, JUAN ANTONIO</t>
        </is>
      </c>
      <c r="C15" t="inlineStr">
        <is>
          <t>SALUSTIANA</t>
        </is>
      </c>
      <c r="D15" t="inlineStr">
        <is>
          <t>Retención</t>
        </is>
      </c>
      <c r="E15" t="n">
        <v>77.26000000000001</v>
      </c>
      <c r="I15" t="inlineStr"/>
    </row>
    <row r="16">
      <c r="A16" t="n">
        <v>1589</v>
      </c>
      <c r="B16" t="inlineStr">
        <is>
          <t>PRIOR PORTILLO, JUAN ANTONIO</t>
        </is>
      </c>
      <c r="C16" t="inlineStr">
        <is>
          <t>SALUSTIANA</t>
        </is>
      </c>
      <c r="D16" t="inlineStr">
        <is>
          <t>Total</t>
        </is>
      </c>
      <c r="E16" t="n">
        <v>3785.6</v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2026-07-28T15:52:35Z</dcterms:created>
  <dcterms:modified xmlns:dcterms="http://purl.org/dc/terms/" xmlns:xsi="http://www.w3.org/2001/XMLSchema-instance" xsi:type="dcterms:W3CDTF">2026-07-28T15:52:35Z</dcterms:modified>
</cp:coreProperties>
</file>