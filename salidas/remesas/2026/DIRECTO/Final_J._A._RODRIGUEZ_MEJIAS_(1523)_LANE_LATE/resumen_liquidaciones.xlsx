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1523</v>
      </c>
      <c r="B2" s="3" t="inlineStr">
        <is>
          <t>RODRIGUEZ MEJÍAS, JOSE ANTONIO</t>
        </is>
      </c>
      <c r="C2" s="3" t="inlineStr">
        <is>
          <t>LANE LATE</t>
        </is>
      </c>
      <c r="D2" s="2" t="n">
        <v>78560</v>
      </c>
      <c r="E2" s="4" t="n">
        <v>33937.92</v>
      </c>
      <c r="F2" s="5" t="n">
        <v>0.432</v>
      </c>
      <c r="G2" s="4" t="n">
        <v>0</v>
      </c>
      <c r="H2" s="4" t="n">
        <v>570.79</v>
      </c>
      <c r="I2" s="4" t="n">
        <v>0</v>
      </c>
      <c r="J2" s="4" t="n">
        <v>0</v>
      </c>
      <c r="K2" s="4" t="n">
        <v>0</v>
      </c>
      <c r="L2" s="4" t="n">
        <v>33367.13</v>
      </c>
      <c r="M2" s="5" t="n">
        <v>0.46619</v>
      </c>
      <c r="N2" s="6" t="n">
        <v>12</v>
      </c>
      <c r="O2" s="6" t="n">
        <v>2</v>
      </c>
      <c r="P2" s="4" t="n">
        <v>36623.76</v>
      </c>
      <c r="Q2" s="3" t="inlineStr">
        <is>
          <t>Final J. A. RODRIGUEZ MEJIAS (1523) LANE LATE</t>
        </is>
      </c>
      <c r="R2" s="3" t="inlineStr">
        <is>
          <t>DIRECTO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8" t="n"/>
      <c r="B3" s="9" t="inlineStr">
        <is>
          <t>TOTAL</t>
        </is>
      </c>
      <c r="C3" s="9" t="n"/>
      <c r="D3" s="8">
        <f>SUM(D2:D2)</f>
        <v/>
      </c>
      <c r="E3" s="10">
        <f>SUM(E2:E2)</f>
        <v/>
      </c>
      <c r="F3" s="11" t="n"/>
      <c r="G3" s="10">
        <f>SUM(G2:G2)</f>
        <v/>
      </c>
      <c r="H3" s="10">
        <f>SUM(H2:H2)</f>
        <v/>
      </c>
      <c r="I3" s="10">
        <f>SUM(I2:I2)</f>
        <v/>
      </c>
      <c r="J3" s="10">
        <f>SUM(J2:J2)</f>
        <v/>
      </c>
      <c r="K3" s="10">
        <f>SUM(K2:K2)</f>
        <v/>
      </c>
      <c r="L3" s="10">
        <f>SUM(L2:L2)</f>
        <v/>
      </c>
      <c r="M3" s="11">
        <f>IFERROR(P3/D3,0)</f>
        <v/>
      </c>
      <c r="N3" s="12" t="n"/>
      <c r="O3" s="12" t="n"/>
      <c r="P3" s="10">
        <f>SUM(P2:P2)</f>
        <v/>
      </c>
      <c r="Q3" s="9" t="n"/>
      <c r="R3" s="9" t="n"/>
      <c r="S3" s="13" t="n"/>
      <c r="T3" s="13" t="n"/>
      <c r="U3" s="13" t="n"/>
    </row>
  </sheetData>
  <autoFilter ref="A1:U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1523</v>
      </c>
      <c r="B2" t="inlineStr">
        <is>
          <t>RODRIGUEZ MEJÍAS, JOSE ANTONIO</t>
        </is>
      </c>
      <c r="C2" t="inlineStr">
        <is>
          <t>LANE LATE</t>
        </is>
      </c>
      <c r="D2" t="n">
        <v>0</v>
      </c>
      <c r="E2" t="inlineStr">
        <is>
          <t>not_found</t>
        </is>
      </c>
      <c r="F2" t="n">
        <v>21.63</v>
      </c>
      <c r="G2" t="n">
        <v>195</v>
      </c>
      <c r="H2" t="n">
        <v>4217.85</v>
      </c>
      <c r="I2" t="n">
        <v>580520</v>
      </c>
      <c r="J2" t="n">
        <v>0.007265641149314408</v>
      </c>
      <c r="K2" t="n">
        <v>570.79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1523</v>
      </c>
      <c r="B2" t="inlineStr">
        <is>
          <t>RODRIGUEZ MEJÍAS, JOSE ANTONIO</t>
        </is>
      </c>
      <c r="C2" t="n">
        <v>686</v>
      </c>
      <c r="D2" t="inlineStr">
        <is>
          <t>CITRICOS</t>
        </is>
      </c>
      <c r="E2" t="n">
        <v>2026</v>
      </c>
      <c r="F2" t="n">
        <v>1</v>
      </c>
      <c r="G2" t="n">
        <v>0</v>
      </c>
      <c r="H2" t="inlineStr">
        <is>
          <t>No</t>
        </is>
      </c>
      <c r="V2" t="inlineStr">
        <is>
          <t>No</t>
        </is>
      </c>
      <c r="W2" t="inlineStr">
        <is>
          <t>CHA_NO_SELECCIONADO; CHA_NO_ACTIVO</t>
        </is>
      </c>
    </row>
    <row r="3">
      <c r="A3" t="n">
        <v>1523</v>
      </c>
      <c r="B3" t="inlineStr">
        <is>
          <t>RODRIGUEZ MEJÍAS, JOSE ANTONIO</t>
        </is>
      </c>
      <c r="C3" t="n">
        <v>765</v>
      </c>
      <c r="D3" t="inlineStr">
        <is>
          <t>CITRICOS</t>
        </is>
      </c>
      <c r="E3" t="n">
        <v>2026</v>
      </c>
      <c r="F3" t="n">
        <v>1</v>
      </c>
      <c r="G3" t="n">
        <v>0</v>
      </c>
      <c r="H3" t="inlineStr">
        <is>
          <t>No</t>
        </is>
      </c>
      <c r="V3" t="inlineStr">
        <is>
          <t>No</t>
        </is>
      </c>
      <c r="W3" t="inlineStr">
        <is>
          <t>CHA_NO_SELECCIONADO; CHA_NO_ACTIVO</t>
        </is>
      </c>
    </row>
    <row r="4">
      <c r="A4" t="n">
        <v>1523</v>
      </c>
      <c r="B4" t="inlineStr">
        <is>
          <t>RODRIGUEZ MEJÍAS, JOSE ANTONIO</t>
        </is>
      </c>
      <c r="C4" t="n">
        <v>62</v>
      </c>
      <c r="D4" t="inlineStr">
        <is>
          <t>CITRICOS</t>
        </is>
      </c>
      <c r="E4" t="n">
        <v>2026</v>
      </c>
      <c r="F4" t="n">
        <v>1</v>
      </c>
      <c r="G4" t="n">
        <v>1</v>
      </c>
      <c r="H4" t="inlineStr">
        <is>
          <t>Sí</t>
        </is>
      </c>
      <c r="J4" t="n">
        <v>62</v>
      </c>
      <c r="K4" t="n">
        <v>2026</v>
      </c>
      <c r="L4" t="inlineStr">
        <is>
          <t>1</t>
        </is>
      </c>
      <c r="M4" t="inlineStr">
        <is>
          <t>CITRICOS</t>
        </is>
      </c>
      <c r="N4" t="inlineStr">
        <is>
          <t>41055</t>
        </is>
      </c>
      <c r="O4" t="inlineStr">
        <is>
          <t>3</t>
        </is>
      </c>
      <c r="P4" t="inlineStr">
        <is>
          <t>23</t>
        </is>
      </c>
      <c r="Q4" t="inlineStr">
        <is>
          <t>1</t>
        </is>
      </c>
      <c r="R4" t="n">
        <v>3.1</v>
      </c>
      <c r="S4" t="n">
        <v>3.103226</v>
      </c>
      <c r="T4" t="n">
        <v>3.06</v>
      </c>
      <c r="V4" t="inlineStr">
        <is>
          <t>Sí</t>
        </is>
      </c>
      <c r="W4" t="inlineStr"/>
    </row>
    <row r="5">
      <c r="A5" t="n">
        <v>1523</v>
      </c>
      <c r="B5" t="inlineStr">
        <is>
          <t>RODRIGUEZ MEJÍAS, JOSE ANTONIO</t>
        </is>
      </c>
      <c r="C5" t="n">
        <v>340</v>
      </c>
      <c r="D5" t="inlineStr">
        <is>
          <t>CITRICOS</t>
        </is>
      </c>
      <c r="E5" t="n">
        <v>2026</v>
      </c>
      <c r="F5" t="n">
        <v>1</v>
      </c>
      <c r="G5" t="n">
        <v>1</v>
      </c>
      <c r="H5" t="inlineStr">
        <is>
          <t>Sí</t>
        </is>
      </c>
      <c r="J5" t="n">
        <v>340</v>
      </c>
      <c r="K5" t="n">
        <v>2026</v>
      </c>
      <c r="L5" t="inlineStr">
        <is>
          <t>1</t>
        </is>
      </c>
      <c r="M5" t="inlineStr">
        <is>
          <t>CITRICOS</t>
        </is>
      </c>
      <c r="N5" t="inlineStr">
        <is>
          <t>41055</t>
        </is>
      </c>
      <c r="O5" t="inlineStr">
        <is>
          <t>11</t>
        </is>
      </c>
      <c r="P5" t="inlineStr">
        <is>
          <t>162</t>
        </is>
      </c>
      <c r="Q5" t="inlineStr">
        <is>
          <t>5</t>
        </is>
      </c>
      <c r="R5" t="n">
        <v>2.09</v>
      </c>
      <c r="S5" t="n">
        <v>0</v>
      </c>
      <c r="T5" t="n">
        <v>2.09</v>
      </c>
      <c r="V5" t="inlineStr">
        <is>
          <t>Sí</t>
        </is>
      </c>
      <c r="W5" t="inlineStr"/>
    </row>
    <row r="6">
      <c r="A6" t="n">
        <v>1523</v>
      </c>
      <c r="B6" t="inlineStr">
        <is>
          <t>RODRIGUEZ MEJÍAS, JOSE ANTONIO</t>
        </is>
      </c>
      <c r="C6" t="n">
        <v>356</v>
      </c>
      <c r="D6" t="inlineStr">
        <is>
          <t>CITRICOS</t>
        </is>
      </c>
      <c r="E6" t="n">
        <v>2026</v>
      </c>
      <c r="F6" t="n">
        <v>1</v>
      </c>
      <c r="G6" t="n">
        <v>1</v>
      </c>
      <c r="H6" t="inlineStr">
        <is>
          <t>Sí</t>
        </is>
      </c>
      <c r="J6" t="n">
        <v>356</v>
      </c>
      <c r="K6" t="n">
        <v>2026</v>
      </c>
      <c r="L6" t="inlineStr">
        <is>
          <t>1</t>
        </is>
      </c>
      <c r="M6" t="inlineStr">
        <is>
          <t>CITRICOS</t>
        </is>
      </c>
      <c r="N6" t="inlineStr">
        <is>
          <t>41055</t>
        </is>
      </c>
      <c r="O6" t="inlineStr">
        <is>
          <t>13</t>
        </is>
      </c>
      <c r="P6" t="inlineStr">
        <is>
          <t>303</t>
        </is>
      </c>
      <c r="Q6" t="inlineStr">
        <is>
          <t>1</t>
        </is>
      </c>
      <c r="R6" t="n">
        <v>0.08</v>
      </c>
      <c r="S6" t="n">
        <v>0</v>
      </c>
      <c r="T6" t="n">
        <v>0.08</v>
      </c>
      <c r="V6" t="inlineStr">
        <is>
          <t>Sí</t>
        </is>
      </c>
      <c r="W6" t="inlineStr"/>
    </row>
    <row r="7">
      <c r="A7" t="n">
        <v>1523</v>
      </c>
      <c r="B7" t="inlineStr">
        <is>
          <t>RODRIGUEZ MEJÍAS, JOSE ANTONIO</t>
        </is>
      </c>
      <c r="C7" t="n">
        <v>356</v>
      </c>
      <c r="D7" t="inlineStr">
        <is>
          <t>CITRICOS</t>
        </is>
      </c>
      <c r="E7" t="n">
        <v>2026</v>
      </c>
      <c r="F7" t="n">
        <v>1</v>
      </c>
      <c r="G7" t="n">
        <v>1</v>
      </c>
      <c r="H7" t="inlineStr">
        <is>
          <t>Sí</t>
        </is>
      </c>
      <c r="J7" t="n">
        <v>356</v>
      </c>
      <c r="K7" t="n">
        <v>2026</v>
      </c>
      <c r="L7" t="inlineStr">
        <is>
          <t>1</t>
        </is>
      </c>
      <c r="M7" t="inlineStr">
        <is>
          <t>CITRICOS</t>
        </is>
      </c>
      <c r="N7" t="inlineStr">
        <is>
          <t>41055</t>
        </is>
      </c>
      <c r="O7" t="inlineStr">
        <is>
          <t>13</t>
        </is>
      </c>
      <c r="P7" t="inlineStr">
        <is>
          <t>7</t>
        </is>
      </c>
      <c r="Q7" t="inlineStr">
        <is>
          <t>5</t>
        </is>
      </c>
      <c r="R7" t="n">
        <v>0.6</v>
      </c>
      <c r="S7" t="n">
        <v>0</v>
      </c>
      <c r="T7" t="n">
        <v>0.6</v>
      </c>
      <c r="V7" t="inlineStr">
        <is>
          <t>Sí</t>
        </is>
      </c>
      <c r="W7" t="inlineStr"/>
    </row>
    <row r="8">
      <c r="A8" t="n">
        <v>1523</v>
      </c>
      <c r="B8" t="inlineStr">
        <is>
          <t>RODRIGUEZ MEJÍAS, JOSE ANTONIO</t>
        </is>
      </c>
      <c r="C8" t="n">
        <v>356</v>
      </c>
      <c r="D8" t="inlineStr">
        <is>
          <t>CITRICOS</t>
        </is>
      </c>
      <c r="E8" t="n">
        <v>2026</v>
      </c>
      <c r="F8" t="n">
        <v>1</v>
      </c>
      <c r="G8" t="n">
        <v>1</v>
      </c>
      <c r="H8" t="inlineStr">
        <is>
          <t>Sí</t>
        </is>
      </c>
      <c r="J8" t="n">
        <v>356</v>
      </c>
      <c r="K8" t="n">
        <v>2026</v>
      </c>
      <c r="L8" t="inlineStr">
        <is>
          <t>1</t>
        </is>
      </c>
      <c r="M8" t="inlineStr">
        <is>
          <t>CITRICOS</t>
        </is>
      </c>
      <c r="N8" t="inlineStr">
        <is>
          <t>41055</t>
        </is>
      </c>
      <c r="O8" t="inlineStr">
        <is>
          <t>13</t>
        </is>
      </c>
      <c r="P8" t="inlineStr">
        <is>
          <t>19</t>
        </is>
      </c>
      <c r="Q8" t="inlineStr">
        <is>
          <t>5</t>
        </is>
      </c>
      <c r="R8" t="n">
        <v>1.65</v>
      </c>
      <c r="S8" t="n">
        <v>0</v>
      </c>
      <c r="T8" t="n">
        <v>1.65</v>
      </c>
      <c r="V8" t="inlineStr">
        <is>
          <t>Sí</t>
        </is>
      </c>
      <c r="W8" t="inlineStr"/>
    </row>
    <row r="9">
      <c r="A9" t="n">
        <v>1523</v>
      </c>
      <c r="B9" t="inlineStr">
        <is>
          <t>RODRIGUEZ MEJÍAS, JOSE ANTONIO</t>
        </is>
      </c>
      <c r="C9" t="n">
        <v>580</v>
      </c>
      <c r="D9" t="inlineStr">
        <is>
          <t>CITRICOS</t>
        </is>
      </c>
      <c r="E9" t="n">
        <v>2026</v>
      </c>
      <c r="F9" t="n">
        <v>1</v>
      </c>
      <c r="G9" t="n">
        <v>1</v>
      </c>
      <c r="H9" t="inlineStr">
        <is>
          <t>Sí</t>
        </is>
      </c>
      <c r="J9" t="n">
        <v>580</v>
      </c>
      <c r="K9" t="n">
        <v>2026</v>
      </c>
      <c r="L9" t="inlineStr">
        <is>
          <t>1</t>
        </is>
      </c>
      <c r="M9" t="inlineStr">
        <is>
          <t>CITRICOS</t>
        </is>
      </c>
      <c r="N9" t="inlineStr">
        <is>
          <t>41055</t>
        </is>
      </c>
      <c r="O9" t="inlineStr">
        <is>
          <t>11</t>
        </is>
      </c>
      <c r="P9" t="inlineStr">
        <is>
          <t>162</t>
        </is>
      </c>
      <c r="Q9" t="inlineStr">
        <is>
          <t>7</t>
        </is>
      </c>
      <c r="R9" t="n">
        <v>4.92</v>
      </c>
      <c r="S9" t="n">
        <v>0</v>
      </c>
      <c r="T9" t="n">
        <v>4.79</v>
      </c>
      <c r="V9" t="inlineStr">
        <is>
          <t>Sí</t>
        </is>
      </c>
      <c r="W9" t="inlineStr"/>
    </row>
    <row r="10">
      <c r="A10" t="n">
        <v>1523</v>
      </c>
      <c r="B10" t="inlineStr">
        <is>
          <t>RODRIGUEZ MEJÍAS, JOSE ANTONIO</t>
        </is>
      </c>
      <c r="C10" t="n">
        <v>587</v>
      </c>
      <c r="D10" t="inlineStr">
        <is>
          <t>CITRICOS</t>
        </is>
      </c>
      <c r="E10" t="n">
        <v>2026</v>
      </c>
      <c r="F10" t="n">
        <v>1</v>
      </c>
      <c r="G10" t="n">
        <v>1</v>
      </c>
      <c r="H10" t="inlineStr">
        <is>
          <t>Sí</t>
        </is>
      </c>
      <c r="J10" t="n">
        <v>587</v>
      </c>
      <c r="K10" t="n">
        <v>2026</v>
      </c>
      <c r="L10" t="inlineStr">
        <is>
          <t>1</t>
        </is>
      </c>
      <c r="M10" t="inlineStr">
        <is>
          <t>CITRICOS</t>
        </is>
      </c>
      <c r="N10" t="inlineStr">
        <is>
          <t>41055</t>
        </is>
      </c>
      <c r="O10" t="inlineStr">
        <is>
          <t>11</t>
        </is>
      </c>
      <c r="P10" t="inlineStr">
        <is>
          <t>162</t>
        </is>
      </c>
      <c r="Q10" t="inlineStr">
        <is>
          <t>7</t>
        </is>
      </c>
      <c r="R10" t="n">
        <v>4.97</v>
      </c>
      <c r="S10" t="n">
        <v>0</v>
      </c>
      <c r="T10" t="n">
        <v>4.97</v>
      </c>
      <c r="V10" t="inlineStr">
        <is>
          <t>Sí</t>
        </is>
      </c>
      <c r="W10" t="inlineStr"/>
    </row>
    <row r="11">
      <c r="A11" t="n">
        <v>1523</v>
      </c>
      <c r="B11" t="inlineStr">
        <is>
          <t>RODRIGUEZ MEJÍAS, JOSE ANTONIO</t>
        </is>
      </c>
      <c r="C11" t="n">
        <v>608</v>
      </c>
      <c r="D11" t="inlineStr">
        <is>
          <t>MANDARINA</t>
        </is>
      </c>
      <c r="E11" t="n">
        <v>2026</v>
      </c>
      <c r="F11" t="n">
        <v>1</v>
      </c>
      <c r="G11" t="n">
        <v>1</v>
      </c>
      <c r="H11" t="inlineStr">
        <is>
          <t>Sí</t>
        </is>
      </c>
      <c r="J11" t="n">
        <v>608</v>
      </c>
      <c r="K11" t="n">
        <v>2026</v>
      </c>
      <c r="L11" t="inlineStr">
        <is>
          <t>1</t>
        </is>
      </c>
      <c r="M11" t="inlineStr">
        <is>
          <t>MANDARINA</t>
        </is>
      </c>
      <c r="N11" t="inlineStr">
        <is>
          <t>41055</t>
        </is>
      </c>
      <c r="O11" t="inlineStr">
        <is>
          <t>11</t>
        </is>
      </c>
      <c r="P11" t="inlineStr">
        <is>
          <t>162</t>
        </is>
      </c>
      <c r="Q11" t="inlineStr">
        <is>
          <t>7</t>
        </is>
      </c>
      <c r="R11" t="n">
        <v>2.03</v>
      </c>
      <c r="S11" t="n">
        <v>6.09</v>
      </c>
      <c r="T11" t="n">
        <v>1.94</v>
      </c>
      <c r="V11" t="inlineStr">
        <is>
          <t>Sí</t>
        </is>
      </c>
      <c r="W11" t="inlineStr"/>
    </row>
    <row r="12">
      <c r="A12" t="n">
        <v>1523</v>
      </c>
      <c r="B12" t="inlineStr">
        <is>
          <t>RODRIGUEZ MEJÍAS, JOSE ANTONIO</t>
        </is>
      </c>
      <c r="C12" t="n">
        <v>608</v>
      </c>
      <c r="D12" t="inlineStr">
        <is>
          <t>MANDARINA</t>
        </is>
      </c>
      <c r="E12" t="n">
        <v>2026</v>
      </c>
      <c r="F12" t="n">
        <v>1</v>
      </c>
      <c r="G12" t="n">
        <v>1</v>
      </c>
      <c r="H12" t="inlineStr">
        <is>
          <t>Sí</t>
        </is>
      </c>
      <c r="J12" t="n">
        <v>608</v>
      </c>
      <c r="K12" t="n">
        <v>2026</v>
      </c>
      <c r="L12" t="inlineStr">
        <is>
          <t>1</t>
        </is>
      </c>
      <c r="M12" t="inlineStr">
        <is>
          <t>MANDARINA</t>
        </is>
      </c>
      <c r="N12" t="inlineStr">
        <is>
          <t>41055</t>
        </is>
      </c>
      <c r="O12" t="inlineStr">
        <is>
          <t>11</t>
        </is>
      </c>
      <c r="P12" t="inlineStr">
        <is>
          <t>162</t>
        </is>
      </c>
      <c r="Q12" t="inlineStr">
        <is>
          <t>7</t>
        </is>
      </c>
      <c r="R12" t="n">
        <v>2.19</v>
      </c>
      <c r="S12" t="n">
        <v>6.09</v>
      </c>
      <c r="T12" t="n">
        <v>2.06</v>
      </c>
      <c r="V12" t="inlineStr">
        <is>
          <t>Sí</t>
        </is>
      </c>
      <c r="W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1523</v>
      </c>
      <c r="B2" t="inlineStr">
        <is>
          <t>RODRIGUEZ MEJÍAS, JOSE ANTONIO</t>
        </is>
      </c>
      <c r="C2" t="inlineStr">
        <is>
          <t>LANE LATE</t>
        </is>
      </c>
      <c r="D2" t="inlineStr">
        <is>
          <t>calculated</t>
        </is>
      </c>
      <c r="E2" t="n">
        <v>21.63</v>
      </c>
      <c r="F2" t="n">
        <v>4217.85</v>
      </c>
      <c r="G2" t="n">
        <v>580520</v>
      </c>
      <c r="H2" t="n">
        <v>0.007265641149314408</v>
      </c>
      <c r="I2" t="n">
        <v>78560</v>
      </c>
      <c r="J2" t="n">
        <v>570.79</v>
      </c>
      <c r="K2" t="inlineStr">
        <is>
          <t>No existe tarifa BonCalidad para socio=1523 campaña=2026 empresa=1 cultivo=DIRECTO.; El socio 1523 figura certificado GlobalGAP en CITRICOS, KAKIS, MANDARINA pero no en CITRICOS. Se ha aplicado la certificación global del socio. Revise DEEPP.;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1523</v>
      </c>
      <c r="B2" t="inlineStr">
        <is>
          <t>RODRIGUEZ MEJÍAS, JOSE ANTONIO</t>
        </is>
      </c>
      <c r="C2" t="inlineStr">
        <is>
          <t>LANE LATE</t>
        </is>
      </c>
      <c r="D2" t="inlineStr">
        <is>
          <t>2026</t>
        </is>
      </c>
      <c r="E2" t="inlineStr">
        <is>
          <t>1</t>
        </is>
      </c>
      <c r="F2" t="inlineStr">
        <is>
          <t>DIRECTO</t>
        </is>
      </c>
      <c r="G2" t="inlineStr">
        <is>
          <t>NO</t>
        </is>
      </c>
      <c r="H2" t="inlineStr">
        <is>
          <t>SÍ</t>
        </is>
      </c>
      <c r="I2" t="inlineStr">
        <is>
          <t>SÍ</t>
        </is>
      </c>
      <c r="J2" t="inlineStr">
        <is>
          <t>CITRICOS, KAKIS, MANDARINA</t>
        </is>
      </c>
      <c r="K2" t="inlineStr">
        <is>
          <t>CITRICOS</t>
        </is>
      </c>
      <c r="L2" t="inlineStr">
        <is>
          <t>ORO</t>
        </is>
      </c>
      <c r="N2" t="n">
        <v>0</v>
      </c>
      <c r="O2" t="n">
        <v>0</v>
      </c>
      <c r="Q2" t="n">
        <v>78560</v>
      </c>
      <c r="R2" t="n">
        <v>78560</v>
      </c>
      <c r="U2" t="n">
        <v>0</v>
      </c>
      <c r="V2" t="n">
        <v>0</v>
      </c>
      <c r="W2" t="n">
        <v>0</v>
      </c>
      <c r="X2" t="inlineStr">
        <is>
          <t>disabled</t>
        </is>
      </c>
      <c r="Y2" t="inlineStr">
        <is>
          <t>El socio 1523 figura certificado GlobalGAP en CITRICOS, KAKIS, MANDARINA pero no en CITRICOS. Se ha aplicado la certificación global del socio. Revise DEEPP.</t>
        </is>
      </c>
      <c r="Z2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DIRECTO</t>
        </is>
      </c>
      <c r="D2" t="inlineStr">
        <is>
          <t>Final J. A. RODRIGUEZ MEJIAS (1523) LANE LATE</t>
        </is>
      </c>
      <c r="E2" t="inlineStr">
        <is>
          <t>LANE LATE</t>
        </is>
      </c>
      <c r="F2" t="inlineStr">
        <is>
          <t>VARIETY</t>
        </is>
      </c>
      <c r="G2" t="inlineStr"/>
      <c r="H2" t="inlineStr"/>
      <c r="I2" t="inlineStr">
        <is>
          <t>LANE LATE</t>
        </is>
      </c>
      <c r="J2" t="n">
        <v>1</v>
      </c>
      <c r="K2" t="inlineStr">
        <is>
          <t>VARIETY</t>
        </is>
      </c>
      <c r="L2" t="inlineStr"/>
      <c r="M2" t="inlineStr">
        <is>
          <t>LANE LATE</t>
        </is>
      </c>
      <c r="N2" t="inlineStr">
        <is>
          <t>SÍ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1523</v>
      </c>
      <c r="B2" t="inlineStr">
        <is>
          <t>RODRIGUEZ MEJÍAS, JOSE ANTONIO</t>
        </is>
      </c>
      <c r="C2" t="inlineStr">
        <is>
          <t>LANE LATE</t>
        </is>
      </c>
      <c r="D2" t="n">
        <v>33937.92</v>
      </c>
      <c r="E2" t="n">
        <v>33937.92</v>
      </c>
      <c r="F2" t="n">
        <v>0</v>
      </c>
      <c r="G2" t="n">
        <v>570.79</v>
      </c>
      <c r="H2" t="n">
        <v>0</v>
      </c>
      <c r="I2" t="n">
        <v>0</v>
      </c>
      <c r="J2" t="n">
        <v>0</v>
      </c>
      <c r="K2" t="n">
        <v>33367.13</v>
      </c>
      <c r="L2" t="n">
        <v>33367.13</v>
      </c>
      <c r="M2" t="n">
        <v>33367.13</v>
      </c>
      <c r="N2" t="n">
        <v>0</v>
      </c>
      <c r="O2" t="n">
        <v>0.42473</v>
      </c>
      <c r="P2" t="n">
        <v>0.46619</v>
      </c>
      <c r="Q2" t="inlineStr">
        <is>
          <t>SÍ</t>
        </is>
      </c>
      <c r="R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1523</v>
      </c>
      <c r="B2" t="inlineStr">
        <is>
          <t>RODRIGUEZ MEJÍAS, JOSE ANTONIO</t>
        </is>
      </c>
      <c r="C2" t="inlineStr">
        <is>
          <t>LANE LATE</t>
        </is>
      </c>
      <c r="D2" t="n">
        <v>33367.13</v>
      </c>
      <c r="E2" t="n">
        <v>12</v>
      </c>
      <c r="F2" t="n">
        <v>1.12</v>
      </c>
      <c r="G2" t="n">
        <v>4004.06</v>
      </c>
      <c r="H2" t="n">
        <v>37371.19</v>
      </c>
      <c r="I2" t="n">
        <v>2</v>
      </c>
      <c r="J2" t="n">
        <v>0.98</v>
      </c>
      <c r="K2" t="n">
        <v>747.42</v>
      </c>
      <c r="L2" t="n">
        <v>36623.76</v>
      </c>
      <c r="M2" t="n">
        <v>36623.76</v>
      </c>
      <c r="N2" t="n">
        <v>36623.76</v>
      </c>
      <c r="O2" t="n">
        <v>78560</v>
      </c>
      <c r="P2" t="n">
        <v>0.46619</v>
      </c>
      <c r="Q2" t="n">
        <v>0.46619</v>
      </c>
      <c r="R2" t="n">
        <v>0.46619</v>
      </c>
      <c r="S2" t="n">
        <v>0</v>
      </c>
      <c r="T2" t="n">
        <v>0</v>
      </c>
      <c r="U2" t="inlineStr">
        <is>
          <t>SÍ</t>
        </is>
      </c>
      <c r="V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1523</v>
      </c>
      <c r="B2" t="inlineStr">
        <is>
          <t>RODRIGUEZ MEJÍAS, JOSE ANTONIO</t>
        </is>
      </c>
      <c r="C2" t="inlineStr">
        <is>
          <t>LANE LATE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8</v>
      </c>
      <c r="H2" t="n">
        <v>6</v>
      </c>
      <c r="I2" t="n">
        <v>9</v>
      </c>
      <c r="J2" t="n">
        <v>0</v>
      </c>
      <c r="K2" t="n">
        <v>0</v>
      </c>
      <c r="L2" t="n">
        <v>21.63</v>
      </c>
      <c r="M2" t="n">
        <v>195</v>
      </c>
      <c r="N2" t="n">
        <v>4217.85</v>
      </c>
      <c r="O2" t="n">
        <v>580520</v>
      </c>
      <c r="P2" t="n">
        <v>0.007265641149314408</v>
      </c>
      <c r="Q2" t="n">
        <v>78560</v>
      </c>
      <c r="R2" t="n">
        <v>570.79</v>
      </c>
      <c r="S2" t="n">
        <v>0</v>
      </c>
      <c r="T2" t="n">
        <v>570.79</v>
      </c>
      <c r="U2" t="n">
        <v>3647.06</v>
      </c>
      <c r="V2" t="inlineStr">
        <is>
          <t>OPEN</t>
        </is>
      </c>
      <c r="W2" t="inlineStr">
        <is>
          <t>calculated</t>
        </is>
      </c>
      <c r="X2" t="inlineStr">
        <is>
          <t>No existe tarifa BonCalidad para socio=1523 campaña=2026 empresa=1 cultivo=DIRECTO.; El socio 1523 figura certificado GlobalGAP en CITRICOS, KAKIS, MANDARINA pero no en CITRICOS. Se ha aplicado la certificación global del socio. Revise DEEPP.; No existe fuente acumulada disponible; saldo informativo calculado con cuota ya aplicada = 0.</t>
        </is>
      </c>
      <c r="Y2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1523</v>
      </c>
      <c r="B2" t="inlineStr">
        <is>
          <t>RODRIGUEZ MEJÍAS, JOSE ANTONIO</t>
        </is>
      </c>
      <c r="C2" t="n">
        <v>686</v>
      </c>
      <c r="I2" t="n">
        <v>3.16</v>
      </c>
      <c r="J2" t="n">
        <v>0</v>
      </c>
      <c r="M2" t="inlineStr">
        <is>
          <t>No</t>
        </is>
      </c>
      <c r="N2" t="inlineStr">
        <is>
          <t>CHA_NO_SELECCIONADO; CHA_NO_ACTIVO</t>
        </is>
      </c>
      <c r="O2" t="n">
        <v>21.63</v>
      </c>
      <c r="P2" t="n">
        <v>4217.85</v>
      </c>
      <c r="Q2" t="n">
        <v>580520</v>
      </c>
      <c r="R2" t="n">
        <v>0.007265641149314408</v>
      </c>
      <c r="S2" t="n">
        <v>78560</v>
      </c>
      <c r="T2" t="n">
        <v>570.79</v>
      </c>
    </row>
    <row r="3">
      <c r="A3" t="n">
        <v>1523</v>
      </c>
      <c r="B3" t="inlineStr">
        <is>
          <t>RODRIGUEZ MEJÍAS, JOSE ANTONIO</t>
        </is>
      </c>
      <c r="C3" t="n">
        <v>765</v>
      </c>
      <c r="I3" t="n">
        <v>3.59</v>
      </c>
      <c r="J3" t="n">
        <v>0</v>
      </c>
      <c r="M3" t="inlineStr">
        <is>
          <t>No</t>
        </is>
      </c>
      <c r="N3" t="inlineStr">
        <is>
          <t>CHA_NO_SELECCIONADO; CHA_NO_ACTIVO</t>
        </is>
      </c>
      <c r="O3" t="n">
        <v>21.63</v>
      </c>
      <c r="P3" t="n">
        <v>4217.85</v>
      </c>
      <c r="Q3" t="n">
        <v>580520</v>
      </c>
      <c r="R3" t="n">
        <v>0.007265641149314408</v>
      </c>
      <c r="S3" t="n">
        <v>78560</v>
      </c>
      <c r="T3" t="n">
        <v>570.79</v>
      </c>
    </row>
    <row r="4">
      <c r="A4" t="n">
        <v>1523</v>
      </c>
      <c r="B4" t="inlineStr">
        <is>
          <t>RODRIGUEZ MEJÍAS, JOSE ANTONIO</t>
        </is>
      </c>
      <c r="C4" t="n">
        <v>62</v>
      </c>
      <c r="D4" t="inlineStr">
        <is>
          <t>9288</t>
        </is>
      </c>
      <c r="E4" t="inlineStr">
        <is>
          <t>3</t>
        </is>
      </c>
      <c r="F4" t="inlineStr">
        <is>
          <t>23</t>
        </is>
      </c>
      <c r="G4" t="inlineStr">
        <is>
          <t>1</t>
        </is>
      </c>
      <c r="H4" t="n">
        <v>2005</v>
      </c>
      <c r="I4" t="n">
        <v>3.1</v>
      </c>
      <c r="J4" t="n">
        <v>1</v>
      </c>
      <c r="L4" t="inlineStr">
        <is>
          <t>Sí</t>
        </is>
      </c>
      <c r="M4" t="inlineStr">
        <is>
          <t>Sí</t>
        </is>
      </c>
      <c r="N4" t="inlineStr">
        <is>
          <t>VALIDA</t>
        </is>
      </c>
      <c r="O4" t="n">
        <v>21.63</v>
      </c>
      <c r="P4" t="n">
        <v>4217.85</v>
      </c>
      <c r="Q4" t="n">
        <v>580520</v>
      </c>
      <c r="R4" t="n">
        <v>0.007265641149314408</v>
      </c>
      <c r="S4" t="n">
        <v>78560</v>
      </c>
      <c r="T4" t="n">
        <v>570.79</v>
      </c>
    </row>
    <row r="5">
      <c r="A5" t="n">
        <v>1523</v>
      </c>
      <c r="B5" t="inlineStr">
        <is>
          <t>RODRIGUEZ MEJÍAS, JOSE ANTONIO</t>
        </is>
      </c>
      <c r="C5" t="n">
        <v>340</v>
      </c>
      <c r="D5" t="inlineStr">
        <is>
          <t>9292</t>
        </is>
      </c>
      <c r="E5" t="inlineStr">
        <is>
          <t>11</t>
        </is>
      </c>
      <c r="F5" t="inlineStr">
        <is>
          <t>162</t>
        </is>
      </c>
      <c r="G5" t="inlineStr">
        <is>
          <t>5</t>
        </is>
      </c>
      <c r="H5" t="n">
        <v>2015</v>
      </c>
      <c r="I5" t="n">
        <v>2.09</v>
      </c>
      <c r="J5" t="n">
        <v>1</v>
      </c>
      <c r="L5" t="inlineStr">
        <is>
          <t>Sí</t>
        </is>
      </c>
      <c r="M5" t="inlineStr">
        <is>
          <t>Sí</t>
        </is>
      </c>
      <c r="N5" t="inlineStr">
        <is>
          <t>VALIDA</t>
        </is>
      </c>
      <c r="O5" t="n">
        <v>21.63</v>
      </c>
      <c r="P5" t="n">
        <v>4217.85</v>
      </c>
      <c r="Q5" t="n">
        <v>580520</v>
      </c>
      <c r="R5" t="n">
        <v>0.007265641149314408</v>
      </c>
      <c r="S5" t="n">
        <v>78560</v>
      </c>
      <c r="T5" t="n">
        <v>570.79</v>
      </c>
    </row>
    <row r="6">
      <c r="A6" t="n">
        <v>1523</v>
      </c>
      <c r="B6" t="inlineStr">
        <is>
          <t>RODRIGUEZ MEJÍAS, JOSE ANTONIO</t>
        </is>
      </c>
      <c r="C6" t="n">
        <v>356</v>
      </c>
      <c r="D6" t="inlineStr">
        <is>
          <t>9289</t>
        </is>
      </c>
      <c r="E6" t="inlineStr">
        <is>
          <t>13</t>
        </is>
      </c>
      <c r="F6" t="inlineStr">
        <is>
          <t>303</t>
        </is>
      </c>
      <c r="G6" t="inlineStr">
        <is>
          <t>1</t>
        </is>
      </c>
      <c r="H6" t="n">
        <v>2017</v>
      </c>
      <c r="I6" t="n">
        <v>0.08</v>
      </c>
      <c r="J6" t="n">
        <v>1</v>
      </c>
      <c r="L6" t="inlineStr">
        <is>
          <t>Sí</t>
        </is>
      </c>
      <c r="M6" t="inlineStr">
        <is>
          <t>Sí</t>
        </is>
      </c>
      <c r="N6" t="inlineStr">
        <is>
          <t>VALIDA</t>
        </is>
      </c>
      <c r="O6" t="n">
        <v>21.63</v>
      </c>
      <c r="P6" t="n">
        <v>4217.85</v>
      </c>
      <c r="Q6" t="n">
        <v>580520</v>
      </c>
      <c r="R6" t="n">
        <v>0.007265641149314408</v>
      </c>
      <c r="S6" t="n">
        <v>78560</v>
      </c>
      <c r="T6" t="n">
        <v>570.79</v>
      </c>
    </row>
    <row r="7">
      <c r="A7" t="n">
        <v>1523</v>
      </c>
      <c r="B7" t="inlineStr">
        <is>
          <t>RODRIGUEZ MEJÍAS, JOSE ANTONIO</t>
        </is>
      </c>
      <c r="C7" t="n">
        <v>356</v>
      </c>
      <c r="D7" t="inlineStr">
        <is>
          <t>9290</t>
        </is>
      </c>
      <c r="E7" t="inlineStr">
        <is>
          <t>13</t>
        </is>
      </c>
      <c r="F7" t="inlineStr">
        <is>
          <t>7</t>
        </is>
      </c>
      <c r="G7" t="inlineStr">
        <is>
          <t>5</t>
        </is>
      </c>
      <c r="H7" t="n">
        <v>2017</v>
      </c>
      <c r="I7" t="n">
        <v>0.6</v>
      </c>
      <c r="J7" t="n">
        <v>1</v>
      </c>
      <c r="L7" t="inlineStr">
        <is>
          <t>Sí</t>
        </is>
      </c>
      <c r="M7" t="inlineStr">
        <is>
          <t>Sí</t>
        </is>
      </c>
      <c r="N7" t="inlineStr">
        <is>
          <t>VALIDA</t>
        </is>
      </c>
      <c r="O7" t="n">
        <v>21.63</v>
      </c>
      <c r="P7" t="n">
        <v>4217.85</v>
      </c>
      <c r="Q7" t="n">
        <v>580520</v>
      </c>
      <c r="R7" t="n">
        <v>0.007265641149314408</v>
      </c>
      <c r="S7" t="n">
        <v>78560</v>
      </c>
      <c r="T7" t="n">
        <v>570.79</v>
      </c>
    </row>
    <row r="8">
      <c r="A8" t="n">
        <v>1523</v>
      </c>
      <c r="B8" t="inlineStr">
        <is>
          <t>RODRIGUEZ MEJÍAS, JOSE ANTONIO</t>
        </is>
      </c>
      <c r="C8" t="n">
        <v>356</v>
      </c>
      <c r="D8" t="inlineStr">
        <is>
          <t>9291</t>
        </is>
      </c>
      <c r="E8" t="inlineStr">
        <is>
          <t>13</t>
        </is>
      </c>
      <c r="F8" t="inlineStr">
        <is>
          <t>19</t>
        </is>
      </c>
      <c r="G8" t="inlineStr">
        <is>
          <t>5</t>
        </is>
      </c>
      <c r="H8" t="n">
        <v>2017</v>
      </c>
      <c r="I8" t="n">
        <v>1.65</v>
      </c>
      <c r="J8" t="n">
        <v>1</v>
      </c>
      <c r="L8" t="inlineStr">
        <is>
          <t>Sí</t>
        </is>
      </c>
      <c r="M8" t="inlineStr">
        <is>
          <t>Sí</t>
        </is>
      </c>
      <c r="N8" t="inlineStr">
        <is>
          <t>VALIDA</t>
        </is>
      </c>
      <c r="O8" t="n">
        <v>21.63</v>
      </c>
      <c r="P8" t="n">
        <v>4217.85</v>
      </c>
      <c r="Q8" t="n">
        <v>580520</v>
      </c>
      <c r="R8" t="n">
        <v>0.007265641149314408</v>
      </c>
      <c r="S8" t="n">
        <v>78560</v>
      </c>
      <c r="T8" t="n">
        <v>570.79</v>
      </c>
    </row>
    <row r="9">
      <c r="A9" t="n">
        <v>1523</v>
      </c>
      <c r="B9" t="inlineStr">
        <is>
          <t>RODRIGUEZ MEJÍAS, JOSE ANTONIO</t>
        </is>
      </c>
      <c r="C9" t="n">
        <v>580</v>
      </c>
      <c r="D9" t="inlineStr">
        <is>
          <t>9293</t>
        </is>
      </c>
      <c r="E9" t="inlineStr">
        <is>
          <t>11</t>
        </is>
      </c>
      <c r="F9" t="inlineStr">
        <is>
          <t>162</t>
        </is>
      </c>
      <c r="G9" t="inlineStr">
        <is>
          <t>7</t>
        </is>
      </c>
      <c r="H9" t="n">
        <v>2019</v>
      </c>
      <c r="I9" t="n">
        <v>4.92</v>
      </c>
      <c r="J9" t="n">
        <v>1</v>
      </c>
      <c r="L9" t="inlineStr">
        <is>
          <t>Sí</t>
        </is>
      </c>
      <c r="M9" t="inlineStr">
        <is>
          <t>Sí</t>
        </is>
      </c>
      <c r="N9" t="inlineStr">
        <is>
          <t>VALIDA</t>
        </is>
      </c>
      <c r="O9" t="n">
        <v>21.63</v>
      </c>
      <c r="P9" t="n">
        <v>4217.85</v>
      </c>
      <c r="Q9" t="n">
        <v>580520</v>
      </c>
      <c r="R9" t="n">
        <v>0.007265641149314408</v>
      </c>
      <c r="S9" t="n">
        <v>78560</v>
      </c>
      <c r="T9" t="n">
        <v>570.79</v>
      </c>
    </row>
    <row r="10">
      <c r="A10" t="n">
        <v>1523</v>
      </c>
      <c r="B10" t="inlineStr">
        <is>
          <t>RODRIGUEZ MEJÍAS, JOSE ANTONIO</t>
        </is>
      </c>
      <c r="C10" t="n">
        <v>587</v>
      </c>
      <c r="D10" t="inlineStr">
        <is>
          <t>9294</t>
        </is>
      </c>
      <c r="E10" t="inlineStr">
        <is>
          <t>11</t>
        </is>
      </c>
      <c r="F10" t="inlineStr">
        <is>
          <t>162</t>
        </is>
      </c>
      <c r="G10" t="inlineStr">
        <is>
          <t>7</t>
        </is>
      </c>
      <c r="H10" t="n">
        <v>2019</v>
      </c>
      <c r="I10" t="n">
        <v>4.97</v>
      </c>
      <c r="J10" t="n">
        <v>1</v>
      </c>
      <c r="L10" t="inlineStr">
        <is>
          <t>Sí</t>
        </is>
      </c>
      <c r="M10" t="inlineStr">
        <is>
          <t>Sí</t>
        </is>
      </c>
      <c r="N10" t="inlineStr">
        <is>
          <t>VALIDA</t>
        </is>
      </c>
      <c r="O10" t="n">
        <v>21.63</v>
      </c>
      <c r="P10" t="n">
        <v>4217.85</v>
      </c>
      <c r="Q10" t="n">
        <v>580520</v>
      </c>
      <c r="R10" t="n">
        <v>0.007265641149314408</v>
      </c>
      <c r="S10" t="n">
        <v>78560</v>
      </c>
      <c r="T10" t="n">
        <v>570.79</v>
      </c>
    </row>
    <row r="11">
      <c r="A11" t="n">
        <v>1523</v>
      </c>
      <c r="B11" t="inlineStr">
        <is>
          <t>RODRIGUEZ MEJÍAS, JOSE ANTONIO</t>
        </is>
      </c>
      <c r="C11" t="n">
        <v>608</v>
      </c>
      <c r="D11" t="inlineStr">
        <is>
          <t>9631</t>
        </is>
      </c>
      <c r="E11" t="inlineStr">
        <is>
          <t>11</t>
        </is>
      </c>
      <c r="F11" t="inlineStr">
        <is>
          <t>162</t>
        </is>
      </c>
      <c r="G11" t="inlineStr">
        <is>
          <t>7</t>
        </is>
      </c>
      <c r="H11" t="n">
        <v>2016</v>
      </c>
      <c r="I11" t="n">
        <v>2.03</v>
      </c>
      <c r="J11" t="n">
        <v>1</v>
      </c>
      <c r="L11" t="inlineStr">
        <is>
          <t>Sí</t>
        </is>
      </c>
      <c r="M11" t="inlineStr">
        <is>
          <t>Sí</t>
        </is>
      </c>
      <c r="N11" t="inlineStr">
        <is>
          <t>VALIDA</t>
        </is>
      </c>
      <c r="O11" t="n">
        <v>21.63</v>
      </c>
      <c r="P11" t="n">
        <v>4217.85</v>
      </c>
      <c r="Q11" t="n">
        <v>580520</v>
      </c>
      <c r="R11" t="n">
        <v>0.007265641149314408</v>
      </c>
      <c r="S11" t="n">
        <v>78560</v>
      </c>
      <c r="T11" t="n">
        <v>570.79</v>
      </c>
    </row>
    <row r="12">
      <c r="A12" t="n">
        <v>1523</v>
      </c>
      <c r="B12" t="inlineStr">
        <is>
          <t>RODRIGUEZ MEJÍAS, JOSE ANTONIO</t>
        </is>
      </c>
      <c r="C12" t="n">
        <v>608</v>
      </c>
      <c r="D12" t="inlineStr">
        <is>
          <t>9632</t>
        </is>
      </c>
      <c r="E12" t="inlineStr">
        <is>
          <t>11</t>
        </is>
      </c>
      <c r="F12" t="inlineStr">
        <is>
          <t>162</t>
        </is>
      </c>
      <c r="G12" t="inlineStr">
        <is>
          <t>7</t>
        </is>
      </c>
      <c r="H12" t="n">
        <v>2016</v>
      </c>
      <c r="I12" t="n">
        <v>2.19</v>
      </c>
      <c r="J12" t="n">
        <v>1</v>
      </c>
      <c r="L12" t="inlineStr">
        <is>
          <t>Sí</t>
        </is>
      </c>
      <c r="M12" t="inlineStr">
        <is>
          <t>Sí</t>
        </is>
      </c>
      <c r="N12" t="inlineStr">
        <is>
          <t>VALIDA</t>
        </is>
      </c>
      <c r="O12" t="n">
        <v>21.63</v>
      </c>
      <c r="P12" t="n">
        <v>4217.85</v>
      </c>
      <c r="Q12" t="n">
        <v>580520</v>
      </c>
      <c r="R12" t="n">
        <v>0.007265641149314408</v>
      </c>
      <c r="S12" t="n">
        <v>78560</v>
      </c>
      <c r="T12" t="n">
        <v>570.79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1523</v>
      </c>
      <c r="B2" t="inlineStr">
        <is>
          <t>RODRIGUEZ MEJÍAS, JOSE ANTONIO</t>
        </is>
      </c>
      <c r="E2" t="n">
        <v>2026</v>
      </c>
      <c r="F2" t="n">
        <v>1</v>
      </c>
      <c r="G2" t="inlineStr">
        <is>
          <t>CITRICOS</t>
        </is>
      </c>
      <c r="H2" t="inlineStr">
        <is>
          <t>SALUSTIANA</t>
        </is>
      </c>
      <c r="I2" t="n">
        <v>356</v>
      </c>
      <c r="J2" t="n">
        <v>11740</v>
      </c>
      <c r="K2" t="n">
        <v>0</v>
      </c>
      <c r="L2" t="n">
        <v>11740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1523</v>
      </c>
      <c r="B3" t="inlineStr">
        <is>
          <t>RODRIGUEZ MEJÍAS, JOSE ANTONIO</t>
        </is>
      </c>
      <c r="E3" t="n">
        <v>2026</v>
      </c>
      <c r="F3" t="n">
        <v>1</v>
      </c>
      <c r="G3" t="inlineStr">
        <is>
          <t>CITRICOS</t>
        </is>
      </c>
      <c r="H3" t="inlineStr">
        <is>
          <t>SALUSTIANA</t>
        </is>
      </c>
      <c r="I3" t="n">
        <v>356</v>
      </c>
      <c r="J3" t="n">
        <v>12675</v>
      </c>
      <c r="K3" t="n">
        <v>4975</v>
      </c>
      <c r="L3" t="n">
        <v>4975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1523</v>
      </c>
      <c r="B4" t="inlineStr">
        <is>
          <t>RODRIGUEZ MEJÍAS, JOSE ANTONIO</t>
        </is>
      </c>
      <c r="E4" t="n">
        <v>2026</v>
      </c>
      <c r="F4" t="n">
        <v>1</v>
      </c>
      <c r="G4" t="inlineStr">
        <is>
          <t>CITRICOS</t>
        </is>
      </c>
      <c r="H4" t="inlineStr">
        <is>
          <t>SALUSTIANA</t>
        </is>
      </c>
      <c r="I4" t="n">
        <v>356</v>
      </c>
      <c r="J4" t="n">
        <v>12075</v>
      </c>
      <c r="K4" t="n">
        <v>11875</v>
      </c>
      <c r="L4" t="n">
        <v>11875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  <row r="5">
      <c r="A5" t="n">
        <v>1523</v>
      </c>
      <c r="B5" t="inlineStr">
        <is>
          <t>RODRIGUEZ MEJÍAS, JOSE ANTONIO</t>
        </is>
      </c>
      <c r="E5" t="n">
        <v>2026</v>
      </c>
      <c r="F5" t="n">
        <v>1</v>
      </c>
      <c r="G5" t="inlineStr">
        <is>
          <t>CITRICOS</t>
        </is>
      </c>
      <c r="H5" t="inlineStr">
        <is>
          <t>SALUSTIANA</t>
        </is>
      </c>
      <c r="I5" t="n">
        <v>356</v>
      </c>
      <c r="J5" t="n">
        <v>12250</v>
      </c>
      <c r="K5" t="n">
        <v>5810</v>
      </c>
      <c r="L5" t="n">
        <v>5810</v>
      </c>
      <c r="M5" t="inlineStr">
        <is>
          <t>Sí</t>
        </is>
      </c>
      <c r="N5" t="inlineStr"/>
      <c r="O5" t="inlineStr">
        <is>
          <t>Informativa</t>
        </is>
      </c>
      <c r="P5" t="inlineStr">
        <is>
          <t>No interviene en el prorrateo</t>
        </is>
      </c>
    </row>
    <row r="6">
      <c r="A6" t="n">
        <v>1523</v>
      </c>
      <c r="B6" t="inlineStr">
        <is>
          <t>RODRIGUEZ MEJÍAS, JOSE ANTONIO</t>
        </is>
      </c>
      <c r="E6" t="n">
        <v>2026</v>
      </c>
      <c r="F6" t="n">
        <v>1</v>
      </c>
      <c r="G6" t="inlineStr">
        <is>
          <t>CITRICOS</t>
        </is>
      </c>
      <c r="H6" t="inlineStr">
        <is>
          <t>SALUSTIANA</t>
        </is>
      </c>
      <c r="I6" t="n">
        <v>356</v>
      </c>
      <c r="J6" t="n">
        <v>12465</v>
      </c>
      <c r="K6" t="n">
        <v>6965</v>
      </c>
      <c r="L6" t="n">
        <v>6965</v>
      </c>
      <c r="M6" t="inlineStr">
        <is>
          <t>Sí</t>
        </is>
      </c>
      <c r="N6" t="inlineStr"/>
      <c r="O6" t="inlineStr">
        <is>
          <t>Informativa</t>
        </is>
      </c>
      <c r="P6" t="inlineStr">
        <is>
          <t>No interviene en el prorrateo</t>
        </is>
      </c>
    </row>
    <row r="7">
      <c r="A7" t="n">
        <v>1523</v>
      </c>
      <c r="B7" t="inlineStr">
        <is>
          <t>RODRIGUEZ MEJÍAS, JOSE ANTONIO</t>
        </is>
      </c>
      <c r="E7" t="n">
        <v>2026</v>
      </c>
      <c r="F7" t="n">
        <v>1</v>
      </c>
      <c r="G7" t="inlineStr">
        <is>
          <t>CITRICOS</t>
        </is>
      </c>
      <c r="H7" t="inlineStr">
        <is>
          <t>SALUSTIANA</t>
        </is>
      </c>
      <c r="I7" t="n">
        <v>356</v>
      </c>
      <c r="J7" t="n">
        <v>11330</v>
      </c>
      <c r="K7" t="n">
        <v>10839</v>
      </c>
      <c r="L7" t="n">
        <v>10839</v>
      </c>
      <c r="M7" t="inlineStr">
        <is>
          <t>Sí</t>
        </is>
      </c>
      <c r="N7" t="inlineStr"/>
      <c r="O7" t="inlineStr">
        <is>
          <t>Informativa</t>
        </is>
      </c>
      <c r="P7" t="inlineStr">
        <is>
          <t>No interviene en el prorrateo</t>
        </is>
      </c>
    </row>
    <row r="8">
      <c r="A8" t="n">
        <v>1523</v>
      </c>
      <c r="B8" t="inlineStr">
        <is>
          <t>RODRIGUEZ MEJÍAS, JOSE ANTONIO</t>
        </is>
      </c>
      <c r="E8" t="n">
        <v>2026</v>
      </c>
      <c r="F8" t="n">
        <v>1</v>
      </c>
      <c r="G8" t="inlineStr">
        <is>
          <t>CITRICOS</t>
        </is>
      </c>
      <c r="H8" t="inlineStr">
        <is>
          <t>SALUSTIANA</t>
        </is>
      </c>
      <c r="I8" t="n">
        <v>356</v>
      </c>
      <c r="J8" t="n">
        <v>11500</v>
      </c>
      <c r="K8" t="n">
        <v>0</v>
      </c>
      <c r="L8" t="n">
        <v>11500</v>
      </c>
      <c r="M8" t="inlineStr">
        <is>
          <t>Sí</t>
        </is>
      </c>
      <c r="N8" t="inlineStr"/>
      <c r="O8" t="inlineStr">
        <is>
          <t>Informativa</t>
        </is>
      </c>
      <c r="P8" t="inlineStr">
        <is>
          <t>No interviene en el prorrateo</t>
        </is>
      </c>
    </row>
    <row r="9">
      <c r="A9" t="n">
        <v>1523</v>
      </c>
      <c r="B9" t="inlineStr">
        <is>
          <t>RODRIGUEZ MEJÍAS, JOSE ANTONIO</t>
        </is>
      </c>
      <c r="E9" t="n">
        <v>2026</v>
      </c>
      <c r="F9" t="n">
        <v>1</v>
      </c>
      <c r="G9" t="inlineStr">
        <is>
          <t>CITRICOS</t>
        </is>
      </c>
      <c r="H9" t="inlineStr">
        <is>
          <t>SALUSTIANA</t>
        </is>
      </c>
      <c r="I9" t="n">
        <v>356</v>
      </c>
      <c r="J9" t="n">
        <v>11395</v>
      </c>
      <c r="K9" t="n">
        <v>11110</v>
      </c>
      <c r="L9" t="n">
        <v>11110</v>
      </c>
      <c r="M9" t="inlineStr">
        <is>
          <t>Sí</t>
        </is>
      </c>
      <c r="N9" t="inlineStr"/>
      <c r="O9" t="inlineStr">
        <is>
          <t>Informativa</t>
        </is>
      </c>
      <c r="P9" t="inlineStr">
        <is>
          <t>No interviene en el prorrateo</t>
        </is>
      </c>
    </row>
    <row r="10">
      <c r="A10" t="n">
        <v>1523</v>
      </c>
      <c r="B10" t="inlineStr">
        <is>
          <t>RODRIGUEZ MEJÍAS, JOSE ANTONIO</t>
        </is>
      </c>
      <c r="E10" t="n">
        <v>2026</v>
      </c>
      <c r="F10" t="n">
        <v>1</v>
      </c>
      <c r="G10" t="inlineStr">
        <is>
          <t>CITRICOS</t>
        </is>
      </c>
      <c r="H10" t="inlineStr">
        <is>
          <t>SALUSTIANA</t>
        </is>
      </c>
      <c r="I10" t="n">
        <v>580</v>
      </c>
      <c r="J10" t="n">
        <v>12020</v>
      </c>
      <c r="K10" t="n">
        <v>0</v>
      </c>
      <c r="L10" t="n">
        <v>12020</v>
      </c>
      <c r="M10" t="inlineStr">
        <is>
          <t>Sí</t>
        </is>
      </c>
      <c r="N10" t="inlineStr"/>
      <c r="O10" t="inlineStr">
        <is>
          <t>Informativa</t>
        </is>
      </c>
      <c r="P10" t="inlineStr">
        <is>
          <t>No interviene en el prorrateo</t>
        </is>
      </c>
    </row>
    <row r="11">
      <c r="A11" t="n">
        <v>1523</v>
      </c>
      <c r="B11" t="inlineStr">
        <is>
          <t>RODRIGUEZ MEJÍAS, JOSE ANTONIO</t>
        </is>
      </c>
      <c r="E11" t="n">
        <v>2026</v>
      </c>
      <c r="F11" t="n">
        <v>1</v>
      </c>
      <c r="G11" t="inlineStr">
        <is>
          <t>CITRICOS</t>
        </is>
      </c>
      <c r="H11" t="inlineStr">
        <is>
          <t>SALUSTIANA</t>
        </is>
      </c>
      <c r="I11" t="n">
        <v>580</v>
      </c>
      <c r="J11" t="n">
        <v>13180</v>
      </c>
      <c r="K11" t="n">
        <v>2708</v>
      </c>
      <c r="L11" t="n">
        <v>2708</v>
      </c>
      <c r="M11" t="inlineStr">
        <is>
          <t>Sí</t>
        </is>
      </c>
      <c r="N11" t="inlineStr"/>
      <c r="O11" t="inlineStr">
        <is>
          <t>Informativa</t>
        </is>
      </c>
      <c r="P11" t="inlineStr">
        <is>
          <t>No interviene en el prorrateo</t>
        </is>
      </c>
    </row>
    <row r="12">
      <c r="A12" t="n">
        <v>1523</v>
      </c>
      <c r="B12" t="inlineStr">
        <is>
          <t>RODRIGUEZ MEJÍAS, JOSE ANTONIO</t>
        </is>
      </c>
      <c r="E12" t="n">
        <v>2026</v>
      </c>
      <c r="F12" t="n">
        <v>1</v>
      </c>
      <c r="G12" t="inlineStr">
        <is>
          <t>CITRICOS</t>
        </is>
      </c>
      <c r="H12" t="inlineStr">
        <is>
          <t>SALUSTIANA</t>
        </is>
      </c>
      <c r="I12" t="n">
        <v>580</v>
      </c>
      <c r="J12" t="n">
        <v>12415</v>
      </c>
      <c r="K12" t="n">
        <v>12014</v>
      </c>
      <c r="L12" t="n">
        <v>12014</v>
      </c>
      <c r="M12" t="inlineStr">
        <is>
          <t>Sí</t>
        </is>
      </c>
      <c r="N12" t="inlineStr"/>
      <c r="O12" t="inlineStr">
        <is>
          <t>Informativa</t>
        </is>
      </c>
      <c r="P12" t="inlineStr">
        <is>
          <t>No interviene en el prorrateo</t>
        </is>
      </c>
    </row>
    <row r="13">
      <c r="A13" t="n">
        <v>1523</v>
      </c>
      <c r="B13" t="inlineStr">
        <is>
          <t>RODRIGUEZ MEJÍAS, JOSE ANTONIO</t>
        </is>
      </c>
      <c r="E13" t="n">
        <v>2026</v>
      </c>
      <c r="F13" t="n">
        <v>1</v>
      </c>
      <c r="G13" t="inlineStr">
        <is>
          <t>CITRICOS</t>
        </is>
      </c>
      <c r="H13" t="inlineStr">
        <is>
          <t>SALUSTIANA</t>
        </is>
      </c>
      <c r="I13" t="n">
        <v>580</v>
      </c>
      <c r="J13" t="n">
        <v>12050</v>
      </c>
      <c r="K13" t="n">
        <v>11520</v>
      </c>
      <c r="L13" t="n">
        <v>11520</v>
      </c>
      <c r="M13" t="inlineStr">
        <is>
          <t>Sí</t>
        </is>
      </c>
      <c r="N13" t="inlineStr"/>
      <c r="O13" t="inlineStr">
        <is>
          <t>Informativa</t>
        </is>
      </c>
      <c r="P13" t="inlineStr">
        <is>
          <t>No interviene en el prorrateo</t>
        </is>
      </c>
    </row>
    <row r="14">
      <c r="A14" t="n">
        <v>1523</v>
      </c>
      <c r="B14" t="inlineStr">
        <is>
          <t>RODRIGUEZ MEJÍAS, JOSE ANTONIO</t>
        </is>
      </c>
      <c r="E14" t="n">
        <v>2026</v>
      </c>
      <c r="F14" t="n">
        <v>1</v>
      </c>
      <c r="G14" t="inlineStr">
        <is>
          <t>CITRICOS</t>
        </is>
      </c>
      <c r="H14" t="inlineStr">
        <is>
          <t>SALUSTIANA</t>
        </is>
      </c>
      <c r="I14" t="n">
        <v>356</v>
      </c>
      <c r="J14" t="n">
        <v>7140</v>
      </c>
      <c r="K14" t="n">
        <v>0</v>
      </c>
      <c r="L14" t="n">
        <v>7140</v>
      </c>
      <c r="M14" t="inlineStr">
        <is>
          <t>Sí</t>
        </is>
      </c>
      <c r="N14" t="inlineStr"/>
      <c r="O14" t="inlineStr">
        <is>
          <t>Informativa</t>
        </is>
      </c>
      <c r="P14" t="inlineStr">
        <is>
          <t>No interviene en el prorrateo</t>
        </is>
      </c>
    </row>
    <row r="15">
      <c r="A15" t="n">
        <v>1523</v>
      </c>
      <c r="B15" t="inlineStr">
        <is>
          <t>RODRIGUEZ MEJÍAS, JOSE ANTONIO</t>
        </is>
      </c>
      <c r="E15" t="n">
        <v>2026</v>
      </c>
      <c r="F15" t="n">
        <v>1</v>
      </c>
      <c r="G15" t="inlineStr">
        <is>
          <t>CITRICOS</t>
        </is>
      </c>
      <c r="H15" t="inlineStr">
        <is>
          <t>SALUSTIANA</t>
        </is>
      </c>
      <c r="I15" t="n">
        <v>580</v>
      </c>
      <c r="J15" t="n">
        <v>12515</v>
      </c>
      <c r="K15" t="n">
        <v>9140</v>
      </c>
      <c r="L15" t="n">
        <v>9140</v>
      </c>
      <c r="M15" t="inlineStr">
        <is>
          <t>Sí</t>
        </is>
      </c>
      <c r="N15" t="inlineStr"/>
      <c r="O15" t="inlineStr">
        <is>
          <t>Informativa</t>
        </is>
      </c>
      <c r="P15" t="inlineStr">
        <is>
          <t>No interviene en el prorrateo</t>
        </is>
      </c>
    </row>
    <row r="16">
      <c r="A16" t="n">
        <v>1523</v>
      </c>
      <c r="B16" t="inlineStr">
        <is>
          <t>RODRIGUEZ MEJÍAS, JOSE ANTONIO</t>
        </is>
      </c>
      <c r="E16" t="n">
        <v>2026</v>
      </c>
      <c r="F16" t="n">
        <v>1</v>
      </c>
      <c r="G16" t="inlineStr">
        <is>
          <t>CITRICOS</t>
        </is>
      </c>
      <c r="H16" t="inlineStr">
        <is>
          <t>SALUSTIANA</t>
        </is>
      </c>
      <c r="I16" t="n">
        <v>580</v>
      </c>
      <c r="J16" t="n">
        <v>12120</v>
      </c>
      <c r="K16" t="n">
        <v>0</v>
      </c>
      <c r="L16" t="n">
        <v>12120</v>
      </c>
      <c r="M16" t="inlineStr">
        <is>
          <t>Sí</t>
        </is>
      </c>
      <c r="N16" t="inlineStr"/>
      <c r="O16" t="inlineStr">
        <is>
          <t>Informativa</t>
        </is>
      </c>
      <c r="P16" t="inlineStr">
        <is>
          <t>No interviene en el prorrateo</t>
        </is>
      </c>
    </row>
    <row r="17">
      <c r="A17" t="n">
        <v>1523</v>
      </c>
      <c r="B17" t="inlineStr">
        <is>
          <t>RODRIGUEZ MEJÍAS, JOSE ANTONIO</t>
        </is>
      </c>
      <c r="E17" t="n">
        <v>2026</v>
      </c>
      <c r="F17" t="n">
        <v>1</v>
      </c>
      <c r="G17" t="inlineStr">
        <is>
          <t>CITRICOS</t>
        </is>
      </c>
      <c r="H17" t="inlineStr">
        <is>
          <t>SALUSTIANA</t>
        </is>
      </c>
      <c r="I17" t="n">
        <v>580</v>
      </c>
      <c r="J17" t="n">
        <v>11061</v>
      </c>
      <c r="K17" t="n">
        <v>5438</v>
      </c>
      <c r="L17" t="n">
        <v>5438</v>
      </c>
      <c r="M17" t="inlineStr">
        <is>
          <t>Sí</t>
        </is>
      </c>
      <c r="N17" t="inlineStr"/>
      <c r="O17" t="inlineStr">
        <is>
          <t>Informativa</t>
        </is>
      </c>
      <c r="P17" t="inlineStr">
        <is>
          <t>No interviene en el prorrateo</t>
        </is>
      </c>
    </row>
    <row r="18">
      <c r="A18" t="n">
        <v>1523</v>
      </c>
      <c r="B18" t="inlineStr">
        <is>
          <t>RODRIGUEZ MEJÍAS, JOSE ANTONIO</t>
        </is>
      </c>
      <c r="E18" t="n">
        <v>2026</v>
      </c>
      <c r="F18" t="n">
        <v>1</v>
      </c>
      <c r="G18" t="inlineStr">
        <is>
          <t>CITRICOS</t>
        </is>
      </c>
      <c r="H18" t="inlineStr">
        <is>
          <t>SALUSTIANA</t>
        </is>
      </c>
      <c r="I18" t="n">
        <v>580</v>
      </c>
      <c r="J18" t="n">
        <v>12095</v>
      </c>
      <c r="K18" t="n">
        <v>11895</v>
      </c>
      <c r="L18" t="n">
        <v>11895</v>
      </c>
      <c r="M18" t="inlineStr">
        <is>
          <t>Sí</t>
        </is>
      </c>
      <c r="N18" t="inlineStr"/>
      <c r="O18" t="inlineStr">
        <is>
          <t>Informativa</t>
        </is>
      </c>
      <c r="P18" t="inlineStr">
        <is>
          <t>No interviene en el prorrateo</t>
        </is>
      </c>
    </row>
    <row r="19">
      <c r="A19" t="n">
        <v>1523</v>
      </c>
      <c r="B19" t="inlineStr">
        <is>
          <t>RODRIGUEZ MEJÍAS, JOSE ANTONIO</t>
        </is>
      </c>
      <c r="E19" t="n">
        <v>2026</v>
      </c>
      <c r="F19" t="n">
        <v>1</v>
      </c>
      <c r="G19" t="inlineStr">
        <is>
          <t>CITRICOS</t>
        </is>
      </c>
      <c r="H19" t="inlineStr">
        <is>
          <t>SALUSTIANA</t>
        </is>
      </c>
      <c r="I19" t="n">
        <v>580</v>
      </c>
      <c r="J19" t="n">
        <v>13175</v>
      </c>
      <c r="K19" t="n">
        <v>3758</v>
      </c>
      <c r="L19" t="n">
        <v>3758</v>
      </c>
      <c r="M19" t="inlineStr">
        <is>
          <t>Sí</t>
        </is>
      </c>
      <c r="N19" t="inlineStr"/>
      <c r="O19" t="inlineStr">
        <is>
          <t>Informativa</t>
        </is>
      </c>
      <c r="P19" t="inlineStr">
        <is>
          <t>No interviene en el prorrateo</t>
        </is>
      </c>
    </row>
    <row r="20">
      <c r="A20" t="n">
        <v>1523</v>
      </c>
      <c r="B20" t="inlineStr">
        <is>
          <t>RODRIGUEZ MEJÍAS, JOSE ANTONIO</t>
        </is>
      </c>
      <c r="E20" t="n">
        <v>2026</v>
      </c>
      <c r="F20" t="n">
        <v>1</v>
      </c>
      <c r="G20" t="inlineStr">
        <is>
          <t>CITRICOS</t>
        </is>
      </c>
      <c r="H20" t="inlineStr">
        <is>
          <t>SALUSTIANA</t>
        </is>
      </c>
      <c r="I20" t="n">
        <v>580</v>
      </c>
      <c r="J20" t="n">
        <v>10464</v>
      </c>
      <c r="K20" t="n">
        <v>0</v>
      </c>
      <c r="L20" t="n">
        <v>10464</v>
      </c>
      <c r="M20" t="inlineStr">
        <is>
          <t>Sí</t>
        </is>
      </c>
      <c r="N20" t="inlineStr"/>
      <c r="O20" t="inlineStr">
        <is>
          <t>Informativa</t>
        </is>
      </c>
      <c r="P20" t="inlineStr">
        <is>
          <t>No interviene en el prorrateo</t>
        </is>
      </c>
    </row>
    <row r="21">
      <c r="A21" t="n">
        <v>1523</v>
      </c>
      <c r="B21" t="inlineStr">
        <is>
          <t>RODRIGUEZ MEJÍAS, JOSE ANTONIO</t>
        </is>
      </c>
      <c r="E21" t="n">
        <v>2026</v>
      </c>
      <c r="F21" t="n">
        <v>1</v>
      </c>
      <c r="G21" t="inlineStr">
        <is>
          <t>CITRICOS</t>
        </is>
      </c>
      <c r="H21" t="inlineStr">
        <is>
          <t>SALUSTIANA</t>
        </is>
      </c>
      <c r="I21" t="n">
        <v>580</v>
      </c>
      <c r="J21" t="n">
        <v>12240</v>
      </c>
      <c r="K21" t="n">
        <v>0</v>
      </c>
      <c r="L21" t="n">
        <v>12240</v>
      </c>
      <c r="M21" t="inlineStr">
        <is>
          <t>Sí</t>
        </is>
      </c>
      <c r="N21" t="inlineStr"/>
      <c r="O21" t="inlineStr">
        <is>
          <t>Informativa</t>
        </is>
      </c>
      <c r="P21" t="inlineStr">
        <is>
          <t>No interviene en el prorrateo</t>
        </is>
      </c>
    </row>
    <row r="22">
      <c r="A22" t="n">
        <v>1523</v>
      </c>
      <c r="B22" t="inlineStr">
        <is>
          <t>RODRIGUEZ MEJÍAS, JOSE ANTONIO</t>
        </is>
      </c>
      <c r="E22" t="n">
        <v>2026</v>
      </c>
      <c r="F22" t="n">
        <v>1</v>
      </c>
      <c r="G22" t="inlineStr">
        <is>
          <t>CITRICOS</t>
        </is>
      </c>
      <c r="H22" t="inlineStr">
        <is>
          <t>SALUSTIANA</t>
        </is>
      </c>
      <c r="I22" t="n">
        <v>580</v>
      </c>
      <c r="J22" t="n">
        <v>11691</v>
      </c>
      <c r="K22" t="n">
        <v>11401</v>
      </c>
      <c r="L22" t="n">
        <v>11401</v>
      </c>
      <c r="M22" t="inlineStr">
        <is>
          <t>Sí</t>
        </is>
      </c>
      <c r="N22" t="inlineStr"/>
      <c r="O22" t="inlineStr">
        <is>
          <t>Informativa</t>
        </is>
      </c>
      <c r="P22" t="inlineStr">
        <is>
          <t>No interviene en el prorrateo</t>
        </is>
      </c>
    </row>
    <row r="23">
      <c r="A23" t="n">
        <v>1523</v>
      </c>
      <c r="B23" t="inlineStr">
        <is>
          <t>RODRIGUEZ MEJÍAS, JOSE ANTONIO</t>
        </is>
      </c>
      <c r="E23" t="n">
        <v>2026</v>
      </c>
      <c r="F23" t="n">
        <v>1</v>
      </c>
      <c r="G23" t="inlineStr">
        <is>
          <t>CITRICOS</t>
        </is>
      </c>
      <c r="H23" t="inlineStr">
        <is>
          <t>SALUSTIANA</t>
        </is>
      </c>
      <c r="I23" t="n">
        <v>580</v>
      </c>
      <c r="J23" t="n">
        <v>12580</v>
      </c>
      <c r="K23" t="n">
        <v>8107</v>
      </c>
      <c r="L23" t="n">
        <v>8107</v>
      </c>
      <c r="M23" t="inlineStr">
        <is>
          <t>Sí</t>
        </is>
      </c>
      <c r="N23" t="inlineStr"/>
      <c r="O23" t="inlineStr">
        <is>
          <t>Informativa</t>
        </is>
      </c>
      <c r="P23" t="inlineStr">
        <is>
          <t>No interviene en el prorrateo</t>
        </is>
      </c>
    </row>
    <row r="24">
      <c r="A24" t="n">
        <v>1523</v>
      </c>
      <c r="B24" t="inlineStr">
        <is>
          <t>RODRIGUEZ MEJÍAS, JOSE ANTONIO</t>
        </is>
      </c>
      <c r="E24" t="n">
        <v>2026</v>
      </c>
      <c r="F24" t="n">
        <v>1</v>
      </c>
      <c r="G24" t="inlineStr">
        <is>
          <t>CITRICOS</t>
        </is>
      </c>
      <c r="H24" t="inlineStr">
        <is>
          <t>SALUSTIANA</t>
        </is>
      </c>
      <c r="I24" t="n">
        <v>580</v>
      </c>
      <c r="J24" t="n">
        <v>7040</v>
      </c>
      <c r="K24" t="n">
        <v>0</v>
      </c>
      <c r="L24" t="n">
        <v>7040</v>
      </c>
      <c r="M24" t="inlineStr">
        <is>
          <t>Sí</t>
        </is>
      </c>
      <c r="N24" t="inlineStr"/>
      <c r="O24" t="inlineStr">
        <is>
          <t>Informativa</t>
        </is>
      </c>
      <c r="P24" t="inlineStr">
        <is>
          <t>No interviene en el prorrateo</t>
        </is>
      </c>
    </row>
    <row r="25">
      <c r="A25" t="n">
        <v>1523</v>
      </c>
      <c r="B25" t="inlineStr">
        <is>
          <t>RODRIGUEZ MEJÍAS, JOSE ANTONIO</t>
        </is>
      </c>
      <c r="E25" t="n">
        <v>2026</v>
      </c>
      <c r="F25" t="n">
        <v>1</v>
      </c>
      <c r="G25" t="inlineStr">
        <is>
          <t>CITRICOS</t>
        </is>
      </c>
      <c r="H25" t="inlineStr">
        <is>
          <t>SALUSTIANA</t>
        </is>
      </c>
      <c r="I25" t="n">
        <v>580</v>
      </c>
      <c r="J25" t="n">
        <v>11115</v>
      </c>
      <c r="K25" t="n">
        <v>5002</v>
      </c>
      <c r="L25" t="n">
        <v>5002</v>
      </c>
      <c r="M25" t="inlineStr">
        <is>
          <t>Sí</t>
        </is>
      </c>
      <c r="N25" t="inlineStr"/>
      <c r="O25" t="inlineStr">
        <is>
          <t>Informativa</t>
        </is>
      </c>
      <c r="P25" t="inlineStr">
        <is>
          <t>No interviene en el prorrateo</t>
        </is>
      </c>
    </row>
    <row r="26">
      <c r="A26" t="n">
        <v>1523</v>
      </c>
      <c r="B26" t="inlineStr">
        <is>
          <t>RODRIGUEZ MEJÍAS, JOSE ANTONIO</t>
        </is>
      </c>
      <c r="E26" t="n">
        <v>2026</v>
      </c>
      <c r="F26" t="n">
        <v>1</v>
      </c>
      <c r="G26" t="inlineStr">
        <is>
          <t>CITRICOS</t>
        </is>
      </c>
      <c r="H26" t="inlineStr">
        <is>
          <t>SALUSTIANA</t>
        </is>
      </c>
      <c r="I26" t="n">
        <v>580</v>
      </c>
      <c r="J26" t="n">
        <v>8846</v>
      </c>
      <c r="K26" t="n">
        <v>8639</v>
      </c>
      <c r="L26" t="n">
        <v>8639</v>
      </c>
      <c r="M26" t="inlineStr">
        <is>
          <t>Sí</t>
        </is>
      </c>
      <c r="N26" t="inlineStr"/>
      <c r="O26" t="inlineStr">
        <is>
          <t>Informativa</t>
        </is>
      </c>
      <c r="P26" t="inlineStr">
        <is>
          <t>No interviene en el prorrateo</t>
        </is>
      </c>
    </row>
    <row r="27">
      <c r="A27" t="n">
        <v>1523</v>
      </c>
      <c r="B27" t="inlineStr">
        <is>
          <t>RODRIGUEZ MEJÍAS, JOSE ANTONIO</t>
        </is>
      </c>
      <c r="E27" t="n">
        <v>2026</v>
      </c>
      <c r="F27" t="n">
        <v>1</v>
      </c>
      <c r="G27" t="inlineStr">
        <is>
          <t>CITRICOS</t>
        </is>
      </c>
      <c r="H27" t="inlineStr">
        <is>
          <t>SALUSTIANA</t>
        </is>
      </c>
      <c r="I27" t="n">
        <v>580</v>
      </c>
      <c r="J27" t="n">
        <v>13210</v>
      </c>
      <c r="K27" t="n">
        <v>3417</v>
      </c>
      <c r="L27" t="n">
        <v>3417</v>
      </c>
      <c r="M27" t="inlineStr">
        <is>
          <t>Sí</t>
        </is>
      </c>
      <c r="N27" t="inlineStr"/>
      <c r="O27" t="inlineStr">
        <is>
          <t>Informativa</t>
        </is>
      </c>
      <c r="P27" t="inlineStr">
        <is>
          <t>No interviene en el prorrateo</t>
        </is>
      </c>
    </row>
    <row r="28">
      <c r="A28" t="n">
        <v>1523</v>
      </c>
      <c r="B28" t="inlineStr">
        <is>
          <t>RODRIGUEZ MEJÍAS, JOSE ANTONIO</t>
        </is>
      </c>
      <c r="E28" t="n">
        <v>2026</v>
      </c>
      <c r="F28" t="n">
        <v>1</v>
      </c>
      <c r="G28" t="inlineStr">
        <is>
          <t>CITRICOS</t>
        </is>
      </c>
      <c r="H28" t="inlineStr">
        <is>
          <t>SALUSTIANA</t>
        </is>
      </c>
      <c r="I28" t="n">
        <v>580</v>
      </c>
      <c r="J28" t="n">
        <v>13035</v>
      </c>
      <c r="K28" t="n">
        <v>5125</v>
      </c>
      <c r="L28" t="n">
        <v>5125</v>
      </c>
      <c r="M28" t="inlineStr">
        <is>
          <t>Sí</t>
        </is>
      </c>
      <c r="N28" t="inlineStr"/>
      <c r="O28" t="inlineStr">
        <is>
          <t>Informativa</t>
        </is>
      </c>
      <c r="P28" t="inlineStr">
        <is>
          <t>No interviene en el prorrateo</t>
        </is>
      </c>
    </row>
    <row r="29">
      <c r="A29" t="n">
        <v>1523</v>
      </c>
      <c r="B29" t="inlineStr">
        <is>
          <t>RODRIGUEZ MEJÍAS, JOSE ANTONIO</t>
        </is>
      </c>
      <c r="E29" t="n">
        <v>2026</v>
      </c>
      <c r="F29" t="n">
        <v>1</v>
      </c>
      <c r="G29" t="inlineStr">
        <is>
          <t>CITRICOS</t>
        </is>
      </c>
      <c r="H29" t="inlineStr">
        <is>
          <t>SALUSTIANA</t>
        </is>
      </c>
      <c r="I29" t="n">
        <v>580</v>
      </c>
      <c r="J29" t="n">
        <v>13000</v>
      </c>
      <c r="K29" t="n">
        <v>4053</v>
      </c>
      <c r="L29" t="n">
        <v>4053</v>
      </c>
      <c r="M29" t="inlineStr">
        <is>
          <t>Sí</t>
        </is>
      </c>
      <c r="N29" t="inlineStr"/>
      <c r="O29" t="inlineStr">
        <is>
          <t>Informativa</t>
        </is>
      </c>
      <c r="P29" t="inlineStr">
        <is>
          <t>No interviene en el prorrateo</t>
        </is>
      </c>
    </row>
    <row r="30">
      <c r="A30" t="n">
        <v>1523</v>
      </c>
      <c r="B30" t="inlineStr">
        <is>
          <t>RODRIGUEZ MEJÍAS, JOSE ANTONIO</t>
        </is>
      </c>
      <c r="E30" t="n">
        <v>2026</v>
      </c>
      <c r="F30" t="n">
        <v>1</v>
      </c>
      <c r="G30" t="inlineStr">
        <is>
          <t>CITRICOS</t>
        </is>
      </c>
      <c r="H30" t="inlineStr">
        <is>
          <t>LANE LATE</t>
        </is>
      </c>
      <c r="I30" t="n">
        <v>587</v>
      </c>
      <c r="J30" t="n">
        <v>980</v>
      </c>
      <c r="K30" t="n">
        <v>0</v>
      </c>
      <c r="L30" t="n">
        <v>980</v>
      </c>
      <c r="M30" t="inlineStr">
        <is>
          <t>Sí</t>
        </is>
      </c>
      <c r="N30" t="inlineStr"/>
      <c r="O30" t="inlineStr">
        <is>
          <t>Informativa</t>
        </is>
      </c>
      <c r="P30" t="inlineStr">
        <is>
          <t>No interviene en el prorrateo</t>
        </is>
      </c>
    </row>
    <row r="31">
      <c r="A31" t="n">
        <v>1523</v>
      </c>
      <c r="B31" t="inlineStr">
        <is>
          <t>RODRIGUEZ MEJÍAS, JOSE ANTONIO</t>
        </is>
      </c>
      <c r="E31" t="n">
        <v>2026</v>
      </c>
      <c r="F31" t="n">
        <v>1</v>
      </c>
      <c r="G31" t="inlineStr">
        <is>
          <t>CITRICOS</t>
        </is>
      </c>
      <c r="H31" t="inlineStr">
        <is>
          <t>LANE LATE</t>
        </is>
      </c>
      <c r="I31" t="n">
        <v>587</v>
      </c>
      <c r="J31" t="n">
        <v>870</v>
      </c>
      <c r="K31" t="n">
        <v>0</v>
      </c>
      <c r="L31" t="n">
        <v>870</v>
      </c>
      <c r="M31" t="inlineStr">
        <is>
          <t>Sí</t>
        </is>
      </c>
      <c r="N31" t="inlineStr"/>
      <c r="O31" t="inlineStr">
        <is>
          <t>Informativa</t>
        </is>
      </c>
      <c r="P31" t="inlineStr">
        <is>
          <t>No interviene en el prorrateo</t>
        </is>
      </c>
    </row>
    <row r="32">
      <c r="A32" t="n">
        <v>1523</v>
      </c>
      <c r="B32" t="inlineStr">
        <is>
          <t>RODRIGUEZ MEJÍAS, JOSE ANTONIO</t>
        </is>
      </c>
      <c r="E32" t="n">
        <v>2026</v>
      </c>
      <c r="F32" t="n">
        <v>1</v>
      </c>
      <c r="G32" t="inlineStr">
        <is>
          <t>CITRICOS</t>
        </is>
      </c>
      <c r="H32" t="inlineStr">
        <is>
          <t>CHISLETT SUMER</t>
        </is>
      </c>
      <c r="I32" t="n">
        <v>765</v>
      </c>
      <c r="J32" t="n">
        <v>6780</v>
      </c>
      <c r="K32" t="n">
        <v>0</v>
      </c>
      <c r="L32" t="n">
        <v>6780</v>
      </c>
      <c r="M32" t="inlineStr">
        <is>
          <t>Sí</t>
        </is>
      </c>
      <c r="N32" t="inlineStr"/>
      <c r="O32" t="inlineStr">
        <is>
          <t>Informativa</t>
        </is>
      </c>
      <c r="P32" t="inlineStr">
        <is>
          <t>No interviene en el prorrateo</t>
        </is>
      </c>
    </row>
    <row r="33">
      <c r="A33" t="n">
        <v>1523</v>
      </c>
      <c r="B33" t="inlineStr">
        <is>
          <t>RODRIGUEZ MEJÍAS, JOSE ANTONIO</t>
        </is>
      </c>
      <c r="E33" t="n">
        <v>2026</v>
      </c>
      <c r="F33" t="n">
        <v>1</v>
      </c>
      <c r="G33" t="inlineStr">
        <is>
          <t>DIRECTO</t>
        </is>
      </c>
      <c r="H33" t="inlineStr">
        <is>
          <t>FUKUMOTO</t>
        </is>
      </c>
      <c r="I33" t="n">
        <v>62</v>
      </c>
      <c r="J33" t="n">
        <v>20930</v>
      </c>
      <c r="K33" t="n">
        <v>0</v>
      </c>
      <c r="L33" t="n">
        <v>20930</v>
      </c>
      <c r="M33" t="inlineStr">
        <is>
          <t>Sí</t>
        </is>
      </c>
      <c r="N33" t="inlineStr"/>
      <c r="O33" t="inlineStr">
        <is>
          <t>Informativa</t>
        </is>
      </c>
      <c r="P33" t="inlineStr">
        <is>
          <t>No interviene en el prorrateo</t>
        </is>
      </c>
    </row>
    <row r="34">
      <c r="A34" t="n">
        <v>1523</v>
      </c>
      <c r="B34" t="inlineStr">
        <is>
          <t>RODRIGUEZ MEJÍAS, JOSE ANTONIO</t>
        </is>
      </c>
      <c r="E34" t="n">
        <v>2026</v>
      </c>
      <c r="F34" t="n">
        <v>1</v>
      </c>
      <c r="G34" t="inlineStr">
        <is>
          <t>DIRECTO</t>
        </is>
      </c>
      <c r="H34" t="inlineStr">
        <is>
          <t>FUKUMOTO</t>
        </is>
      </c>
      <c r="I34" t="n">
        <v>62</v>
      </c>
      <c r="J34" t="n">
        <v>18745</v>
      </c>
      <c r="K34" t="n">
        <v>0</v>
      </c>
      <c r="L34" t="n">
        <v>18745</v>
      </c>
      <c r="M34" t="inlineStr">
        <is>
          <t>Sí</t>
        </is>
      </c>
      <c r="N34" t="inlineStr"/>
      <c r="O34" t="inlineStr">
        <is>
          <t>Informativa</t>
        </is>
      </c>
      <c r="P34" t="inlineStr">
        <is>
          <t>No interviene en el prorrateo</t>
        </is>
      </c>
    </row>
    <row r="35">
      <c r="A35" t="n">
        <v>1523</v>
      </c>
      <c r="B35" t="inlineStr">
        <is>
          <t>RODRIGUEZ MEJÍAS, JOSE ANTONIO</t>
        </is>
      </c>
      <c r="E35" t="n">
        <v>2026</v>
      </c>
      <c r="F35" t="n">
        <v>1</v>
      </c>
      <c r="G35" t="inlineStr">
        <is>
          <t>DIRECTO</t>
        </is>
      </c>
      <c r="H35" t="inlineStr">
        <is>
          <t>STAR RUBY</t>
        </is>
      </c>
      <c r="I35" t="n">
        <v>686</v>
      </c>
      <c r="J35" t="n">
        <v>16782</v>
      </c>
      <c r="K35" t="n">
        <v>0</v>
      </c>
      <c r="L35" t="n">
        <v>16782</v>
      </c>
      <c r="M35" t="inlineStr">
        <is>
          <t>Sí</t>
        </is>
      </c>
      <c r="N35" t="inlineStr"/>
      <c r="O35" t="inlineStr">
        <is>
          <t>Informativa</t>
        </is>
      </c>
      <c r="P35" t="inlineStr">
        <is>
          <t>No interviene en el prorrateo</t>
        </is>
      </c>
    </row>
    <row r="36">
      <c r="A36" t="n">
        <v>1523</v>
      </c>
      <c r="B36" t="inlineStr">
        <is>
          <t>RODRIGUEZ MEJÍAS, JOSE ANTONIO</t>
        </is>
      </c>
      <c r="E36" t="n">
        <v>2026</v>
      </c>
      <c r="F36" t="n">
        <v>1</v>
      </c>
      <c r="G36" t="inlineStr">
        <is>
          <t>DIRECTO</t>
        </is>
      </c>
      <c r="H36" t="inlineStr">
        <is>
          <t>STAR RUBY</t>
        </is>
      </c>
      <c r="I36" t="n">
        <v>686</v>
      </c>
      <c r="J36" t="n">
        <v>16902</v>
      </c>
      <c r="K36" t="n">
        <v>0</v>
      </c>
      <c r="L36" t="n">
        <v>16902</v>
      </c>
      <c r="M36" t="inlineStr">
        <is>
          <t>Sí</t>
        </is>
      </c>
      <c r="N36" t="inlineStr"/>
      <c r="O36" t="inlineStr">
        <is>
          <t>Informativa</t>
        </is>
      </c>
      <c r="P36" t="inlineStr">
        <is>
          <t>No interviene en el prorrateo</t>
        </is>
      </c>
    </row>
    <row r="37">
      <c r="A37" t="n">
        <v>1523</v>
      </c>
      <c r="B37" t="inlineStr">
        <is>
          <t>RODRIGUEZ MEJÍAS, JOSE ANTONIO</t>
        </is>
      </c>
      <c r="E37" t="n">
        <v>2026</v>
      </c>
      <c r="F37" t="n">
        <v>1</v>
      </c>
      <c r="G37" t="inlineStr">
        <is>
          <t>DIRECTO</t>
        </is>
      </c>
      <c r="H37" t="inlineStr">
        <is>
          <t>STAR RUBY</t>
        </is>
      </c>
      <c r="I37" t="n">
        <v>686</v>
      </c>
      <c r="J37" t="n">
        <v>17242</v>
      </c>
      <c r="K37" t="n">
        <v>0</v>
      </c>
      <c r="L37" t="n">
        <v>17242</v>
      </c>
      <c r="M37" t="inlineStr">
        <is>
          <t>Sí</t>
        </is>
      </c>
      <c r="N37" t="inlineStr"/>
      <c r="O37" t="inlineStr">
        <is>
          <t>Informativa</t>
        </is>
      </c>
      <c r="P37" t="inlineStr">
        <is>
          <t>No interviene en el prorrateo</t>
        </is>
      </c>
    </row>
    <row r="38">
      <c r="A38" t="n">
        <v>1523</v>
      </c>
      <c r="B38" t="inlineStr">
        <is>
          <t>RODRIGUEZ MEJÍAS, JOSE ANTONIO</t>
        </is>
      </c>
      <c r="E38" t="n">
        <v>2026</v>
      </c>
      <c r="F38" t="n">
        <v>1</v>
      </c>
      <c r="G38" t="inlineStr">
        <is>
          <t>DIRECTO</t>
        </is>
      </c>
      <c r="H38" t="inlineStr">
        <is>
          <t>STAR RUBY</t>
        </is>
      </c>
      <c r="I38" t="n">
        <v>686</v>
      </c>
      <c r="J38" t="n">
        <v>16635</v>
      </c>
      <c r="K38" t="n">
        <v>0</v>
      </c>
      <c r="L38" t="n">
        <v>16635</v>
      </c>
      <c r="M38" t="inlineStr">
        <is>
          <t>Sí</t>
        </is>
      </c>
      <c r="N38" t="inlineStr"/>
      <c r="O38" t="inlineStr">
        <is>
          <t>Informativa</t>
        </is>
      </c>
      <c r="P38" t="inlineStr">
        <is>
          <t>No interviene en el prorrateo</t>
        </is>
      </c>
    </row>
    <row r="39">
      <c r="A39" t="n">
        <v>1523</v>
      </c>
      <c r="B39" t="inlineStr">
        <is>
          <t>RODRIGUEZ MEJÍAS, JOSE ANTONIO</t>
        </is>
      </c>
      <c r="E39" t="n">
        <v>2026</v>
      </c>
      <c r="F39" t="n">
        <v>1</v>
      </c>
      <c r="G39" t="inlineStr">
        <is>
          <t>DIRECTO</t>
        </is>
      </c>
      <c r="H39" t="inlineStr">
        <is>
          <t>VALENCIA DELTA</t>
        </is>
      </c>
      <c r="I39" t="n">
        <v>340</v>
      </c>
      <c r="J39" t="n">
        <v>21970</v>
      </c>
      <c r="K39" t="n">
        <v>0</v>
      </c>
      <c r="L39" t="n">
        <v>21970</v>
      </c>
      <c r="M39" t="inlineStr">
        <is>
          <t>Sí</t>
        </is>
      </c>
      <c r="N39" t="inlineStr"/>
      <c r="O39" t="inlineStr">
        <is>
          <t>Informativa</t>
        </is>
      </c>
      <c r="P39" t="inlineStr">
        <is>
          <t>No interviene en el prorrateo</t>
        </is>
      </c>
    </row>
    <row r="40">
      <c r="A40" t="n">
        <v>1523</v>
      </c>
      <c r="B40" t="inlineStr">
        <is>
          <t>RODRIGUEZ MEJÍAS, JOSE ANTONIO</t>
        </is>
      </c>
      <c r="E40" t="n">
        <v>2026</v>
      </c>
      <c r="F40" t="n">
        <v>1</v>
      </c>
      <c r="G40" t="inlineStr">
        <is>
          <t>DIRECTO</t>
        </is>
      </c>
      <c r="H40" t="inlineStr">
        <is>
          <t>VALENCIA DELTA</t>
        </is>
      </c>
      <c r="I40" t="n">
        <v>340</v>
      </c>
      <c r="J40" t="n">
        <v>22522</v>
      </c>
      <c r="K40" t="n">
        <v>0</v>
      </c>
      <c r="L40" t="n">
        <v>22522</v>
      </c>
      <c r="M40" t="inlineStr">
        <is>
          <t>Sí</t>
        </is>
      </c>
      <c r="N40" t="inlineStr"/>
      <c r="O40" t="inlineStr">
        <is>
          <t>Informativa</t>
        </is>
      </c>
      <c r="P40" t="inlineStr">
        <is>
          <t>No interviene en el prorrateo</t>
        </is>
      </c>
    </row>
    <row r="41">
      <c r="A41" t="n">
        <v>1523</v>
      </c>
      <c r="B41" t="inlineStr">
        <is>
          <t>RODRIGUEZ MEJÍAS, JOSE ANTONIO</t>
        </is>
      </c>
      <c r="E41" t="n">
        <v>2026</v>
      </c>
      <c r="F41" t="n">
        <v>1</v>
      </c>
      <c r="G41" t="inlineStr">
        <is>
          <t>DIRECTO</t>
        </is>
      </c>
      <c r="H41" t="inlineStr">
        <is>
          <t>VALENCIA DELTA</t>
        </is>
      </c>
      <c r="I41" t="n">
        <v>340</v>
      </c>
      <c r="J41" t="n">
        <v>11820</v>
      </c>
      <c r="K41" t="n">
        <v>0</v>
      </c>
      <c r="L41" t="n">
        <v>11820</v>
      </c>
      <c r="M41" t="inlineStr">
        <is>
          <t>Sí</t>
        </is>
      </c>
      <c r="N41" t="inlineStr"/>
      <c r="O41" t="inlineStr">
        <is>
          <t>Informativa</t>
        </is>
      </c>
      <c r="P41" t="inlineStr">
        <is>
          <t>No interviene en el prorrateo</t>
        </is>
      </c>
    </row>
    <row r="42">
      <c r="A42" t="n">
        <v>1523</v>
      </c>
      <c r="B42" t="inlineStr">
        <is>
          <t>RODRIGUEZ MEJÍAS, JOSE ANTONIO</t>
        </is>
      </c>
      <c r="E42" t="n">
        <v>2026</v>
      </c>
      <c r="F42" t="n">
        <v>1</v>
      </c>
      <c r="G42" t="inlineStr">
        <is>
          <t>DIRECTO</t>
        </is>
      </c>
      <c r="H42" t="inlineStr">
        <is>
          <t>LANE LATE</t>
        </is>
      </c>
      <c r="I42" t="n">
        <v>587</v>
      </c>
      <c r="J42" t="n">
        <v>22820</v>
      </c>
      <c r="K42" t="n">
        <v>0</v>
      </c>
      <c r="L42" t="n">
        <v>22820</v>
      </c>
      <c r="M42" t="inlineStr">
        <is>
          <t>Sí</t>
        </is>
      </c>
      <c r="N42" t="inlineStr"/>
      <c r="O42" t="inlineStr">
        <is>
          <t>Informativa</t>
        </is>
      </c>
      <c r="P42" t="inlineStr">
        <is>
          <t>No interviene en el prorrateo</t>
        </is>
      </c>
    </row>
    <row r="43">
      <c r="A43" t="n">
        <v>1523</v>
      </c>
      <c r="B43" t="inlineStr">
        <is>
          <t>RODRIGUEZ MEJÍAS, JOSE ANTONIO</t>
        </is>
      </c>
      <c r="E43" t="n">
        <v>2026</v>
      </c>
      <c r="F43" t="n">
        <v>1</v>
      </c>
      <c r="G43" t="inlineStr">
        <is>
          <t>DIRECTO</t>
        </is>
      </c>
      <c r="H43" t="inlineStr">
        <is>
          <t>LANE LATE</t>
        </is>
      </c>
      <c r="I43" t="n">
        <v>587</v>
      </c>
      <c r="J43" t="n">
        <v>16960</v>
      </c>
      <c r="K43" t="n">
        <v>0</v>
      </c>
      <c r="L43" t="n">
        <v>16960</v>
      </c>
      <c r="M43" t="inlineStr">
        <is>
          <t>Sí</t>
        </is>
      </c>
      <c r="N43" t="inlineStr"/>
      <c r="O43" t="inlineStr">
        <is>
          <t>Informativa</t>
        </is>
      </c>
      <c r="P43" t="inlineStr">
        <is>
          <t>No interviene en el prorrateo</t>
        </is>
      </c>
    </row>
    <row r="44">
      <c r="A44" t="n">
        <v>1523</v>
      </c>
      <c r="B44" t="inlineStr">
        <is>
          <t>RODRIGUEZ MEJÍAS, JOSE ANTONIO</t>
        </is>
      </c>
      <c r="E44" t="n">
        <v>2026</v>
      </c>
      <c r="F44" t="n">
        <v>1</v>
      </c>
      <c r="G44" t="inlineStr">
        <is>
          <t>DIRECTO</t>
        </is>
      </c>
      <c r="H44" t="inlineStr">
        <is>
          <t>LANE LATE</t>
        </is>
      </c>
      <c r="I44" t="n">
        <v>587</v>
      </c>
      <c r="J44" t="n">
        <v>19140</v>
      </c>
      <c r="K44" t="n">
        <v>0</v>
      </c>
      <c r="L44" t="n">
        <v>19140</v>
      </c>
      <c r="M44" t="inlineStr">
        <is>
          <t>Sí</t>
        </is>
      </c>
      <c r="N44" t="inlineStr"/>
      <c r="O44" t="inlineStr">
        <is>
          <t>Informativa</t>
        </is>
      </c>
      <c r="P44" t="inlineStr">
        <is>
          <t>No interviene en el prorrateo</t>
        </is>
      </c>
    </row>
    <row r="45">
      <c r="A45" t="n">
        <v>1523</v>
      </c>
      <c r="B45" t="inlineStr">
        <is>
          <t>RODRIGUEZ MEJÍAS, JOSE ANTONIO</t>
        </is>
      </c>
      <c r="E45" t="n">
        <v>2026</v>
      </c>
      <c r="F45" t="n">
        <v>1</v>
      </c>
      <c r="G45" t="inlineStr">
        <is>
          <t>DIRECTO</t>
        </is>
      </c>
      <c r="H45" t="inlineStr">
        <is>
          <t>LANE LATE</t>
        </is>
      </c>
      <c r="I45" t="n">
        <v>587</v>
      </c>
      <c r="J45" t="n">
        <v>19640</v>
      </c>
      <c r="K45" t="n">
        <v>0</v>
      </c>
      <c r="L45" t="n">
        <v>19640</v>
      </c>
      <c r="M45" t="inlineStr">
        <is>
          <t>Sí</t>
        </is>
      </c>
      <c r="N45" t="inlineStr"/>
      <c r="O45" t="inlineStr">
        <is>
          <t>Informativa</t>
        </is>
      </c>
      <c r="P45" t="inlineStr">
        <is>
          <t>No interviene en el prorrateo</t>
        </is>
      </c>
    </row>
    <row r="46">
      <c r="A46" t="n">
        <v>1523</v>
      </c>
      <c r="B46" t="inlineStr">
        <is>
          <t>RODRIGUEZ MEJÍAS, JOSE ANTONIO</t>
        </is>
      </c>
      <c r="E46" t="n">
        <v>2026</v>
      </c>
      <c r="F46" t="n">
        <v>1</v>
      </c>
      <c r="G46" t="inlineStr">
        <is>
          <t>DIRECTO</t>
        </is>
      </c>
      <c r="H46" t="inlineStr">
        <is>
          <t>STAR RUBY</t>
        </is>
      </c>
      <c r="I46" t="n">
        <v>686</v>
      </c>
      <c r="J46" t="n">
        <v>4072</v>
      </c>
      <c r="K46" t="n">
        <v>0</v>
      </c>
      <c r="L46" t="n">
        <v>4072</v>
      </c>
      <c r="M46" t="inlineStr">
        <is>
          <t>Sí</t>
        </is>
      </c>
      <c r="N46" t="inlineStr"/>
      <c r="O46" t="inlineStr">
        <is>
          <t>Informativa</t>
        </is>
      </c>
      <c r="P46" t="inlineStr">
        <is>
          <t>No interviene en el prorrateo</t>
        </is>
      </c>
    </row>
    <row r="47">
      <c r="A47" t="n">
        <v>1523</v>
      </c>
      <c r="B47" t="inlineStr">
        <is>
          <t>RODRIGUEZ MEJÍAS, JOSE ANTONIO</t>
        </is>
      </c>
      <c r="E47" t="n">
        <v>2026</v>
      </c>
      <c r="F47" t="n">
        <v>1</v>
      </c>
      <c r="G47" t="inlineStr">
        <is>
          <t>INDUSTRIA</t>
        </is>
      </c>
      <c r="H47" t="inlineStr">
        <is>
          <t>SALUSTIANA</t>
        </is>
      </c>
      <c r="I47" t="n">
        <v>356</v>
      </c>
      <c r="J47" t="n">
        <v>12005</v>
      </c>
      <c r="K47" t="n">
        <v>165</v>
      </c>
      <c r="L47" t="n">
        <v>165</v>
      </c>
      <c r="M47" t="inlineStr">
        <is>
          <t>Sí</t>
        </is>
      </c>
      <c r="N47" t="inlineStr"/>
      <c r="O47" t="inlineStr">
        <is>
          <t>Informativa</t>
        </is>
      </c>
      <c r="P47" t="inlineStr">
        <is>
          <t>No interviene en el prorrateo</t>
        </is>
      </c>
    </row>
    <row r="48">
      <c r="A48" t="n">
        <v>1523</v>
      </c>
      <c r="B48" t="inlineStr">
        <is>
          <t>RODRIGUEZ MEJÍAS, JOSE ANTONIO</t>
        </is>
      </c>
      <c r="E48" t="n">
        <v>2026</v>
      </c>
      <c r="F48" t="n">
        <v>1</v>
      </c>
      <c r="G48" t="inlineStr">
        <is>
          <t>INDUSTRIA</t>
        </is>
      </c>
      <c r="H48" t="inlineStr">
        <is>
          <t>SALUSTIANA</t>
        </is>
      </c>
      <c r="I48" t="n">
        <v>356</v>
      </c>
      <c r="J48" t="n">
        <v>11190</v>
      </c>
      <c r="K48" t="n">
        <v>421</v>
      </c>
      <c r="L48" t="n">
        <v>421</v>
      </c>
      <c r="M48" t="inlineStr">
        <is>
          <t>Sí</t>
        </is>
      </c>
      <c r="N48" t="inlineStr"/>
      <c r="O48" t="inlineStr">
        <is>
          <t>Informativa</t>
        </is>
      </c>
      <c r="P48" t="inlineStr">
        <is>
          <t>No interviene en el prorrateo</t>
        </is>
      </c>
    </row>
    <row r="49">
      <c r="A49" t="n">
        <v>1523</v>
      </c>
      <c r="B49" t="inlineStr">
        <is>
          <t>RODRIGUEZ MEJÍAS, JOSE ANTONIO</t>
        </is>
      </c>
      <c r="E49" t="n">
        <v>2026</v>
      </c>
      <c r="F49" t="n">
        <v>1</v>
      </c>
      <c r="G49" t="inlineStr">
        <is>
          <t>INDUSTRIA</t>
        </is>
      </c>
      <c r="H49" t="inlineStr">
        <is>
          <t>SALUSTIANA</t>
        </is>
      </c>
      <c r="I49" t="n">
        <v>356</v>
      </c>
      <c r="J49" t="n">
        <v>11325</v>
      </c>
      <c r="K49" t="n">
        <v>250</v>
      </c>
      <c r="L49" t="n">
        <v>250</v>
      </c>
      <c r="M49" t="inlineStr">
        <is>
          <t>Sí</t>
        </is>
      </c>
      <c r="N49" t="inlineStr"/>
      <c r="O49" t="inlineStr">
        <is>
          <t>Informativa</t>
        </is>
      </c>
      <c r="P49" t="inlineStr">
        <is>
          <t>No interviene en el prorrateo</t>
        </is>
      </c>
    </row>
    <row r="50">
      <c r="A50" t="n">
        <v>1523</v>
      </c>
      <c r="B50" t="inlineStr">
        <is>
          <t>RODRIGUEZ MEJÍAS, JOSE ANTONIO</t>
        </is>
      </c>
      <c r="E50" t="n">
        <v>2026</v>
      </c>
      <c r="F50" t="n">
        <v>1</v>
      </c>
      <c r="G50" t="inlineStr">
        <is>
          <t>INDUSTRIA</t>
        </is>
      </c>
      <c r="H50" t="inlineStr">
        <is>
          <t>SALUSTIANA</t>
        </is>
      </c>
      <c r="I50" t="n">
        <v>580</v>
      </c>
      <c r="J50" t="n">
        <v>12165</v>
      </c>
      <c r="K50" t="n">
        <v>352</v>
      </c>
      <c r="L50" t="n">
        <v>352</v>
      </c>
      <c r="M50" t="inlineStr">
        <is>
          <t>Sí</t>
        </is>
      </c>
      <c r="N50" t="inlineStr"/>
      <c r="O50" t="inlineStr">
        <is>
          <t>Informativa</t>
        </is>
      </c>
      <c r="P50" t="inlineStr">
        <is>
          <t>No interviene en el prorrateo</t>
        </is>
      </c>
    </row>
    <row r="51">
      <c r="A51" t="n">
        <v>1523</v>
      </c>
      <c r="B51" t="inlineStr">
        <is>
          <t>RODRIGUEZ MEJÍAS, JOSE ANTONIO</t>
        </is>
      </c>
      <c r="E51" t="n">
        <v>2026</v>
      </c>
      <c r="F51" t="n">
        <v>1</v>
      </c>
      <c r="G51" t="inlineStr">
        <is>
          <t>INDUSTRIA</t>
        </is>
      </c>
      <c r="H51" t="inlineStr">
        <is>
          <t>SALUSTIANA</t>
        </is>
      </c>
      <c r="I51" t="n">
        <v>580</v>
      </c>
      <c r="J51" t="n">
        <v>13605</v>
      </c>
      <c r="K51" t="n">
        <v>366</v>
      </c>
      <c r="L51" t="n">
        <v>366</v>
      </c>
      <c r="M51" t="inlineStr">
        <is>
          <t>Sí</t>
        </is>
      </c>
      <c r="N51" t="inlineStr"/>
      <c r="O51" t="inlineStr">
        <is>
          <t>Informativa</t>
        </is>
      </c>
      <c r="P51" t="inlineStr">
        <is>
          <t>No interviene en el prorrateo</t>
        </is>
      </c>
    </row>
    <row r="52">
      <c r="A52" t="n">
        <v>1523</v>
      </c>
      <c r="B52" t="inlineStr">
        <is>
          <t>RODRIGUEZ MEJÍAS, JOSE ANTONIO</t>
        </is>
      </c>
      <c r="E52" t="n">
        <v>2026</v>
      </c>
      <c r="F52" t="n">
        <v>1</v>
      </c>
      <c r="G52" t="inlineStr">
        <is>
          <t>INDUSTRIA</t>
        </is>
      </c>
      <c r="H52" t="inlineStr">
        <is>
          <t>SALUSTIANA</t>
        </is>
      </c>
      <c r="I52" t="n">
        <v>580</v>
      </c>
      <c r="J52" t="n">
        <v>11910</v>
      </c>
      <c r="K52" t="n">
        <v>460</v>
      </c>
      <c r="L52" t="n">
        <v>460</v>
      </c>
      <c r="M52" t="inlineStr">
        <is>
          <t>Sí</t>
        </is>
      </c>
      <c r="N52" t="inlineStr"/>
      <c r="O52" t="inlineStr">
        <is>
          <t>Informativa</t>
        </is>
      </c>
      <c r="P52" t="inlineStr">
        <is>
          <t>No interviene en el prorrateo</t>
        </is>
      </c>
    </row>
    <row r="53">
      <c r="A53" t="n">
        <v>1523</v>
      </c>
      <c r="B53" t="inlineStr">
        <is>
          <t>RODRIGUEZ MEJÍAS, JOSE ANTONIO</t>
        </is>
      </c>
      <c r="E53" t="n">
        <v>2026</v>
      </c>
      <c r="F53" t="n">
        <v>1</v>
      </c>
      <c r="G53" t="inlineStr">
        <is>
          <t>INDUSTRIA</t>
        </is>
      </c>
      <c r="H53" t="inlineStr">
        <is>
          <t>SALUSTIANA</t>
        </is>
      </c>
      <c r="I53" t="n">
        <v>580</v>
      </c>
      <c r="J53" t="n">
        <v>13285</v>
      </c>
      <c r="K53" t="n">
        <v>165</v>
      </c>
      <c r="L53" t="n">
        <v>165</v>
      </c>
      <c r="M53" t="inlineStr">
        <is>
          <t>Sí</t>
        </is>
      </c>
      <c r="N53" t="inlineStr"/>
      <c r="O53" t="inlineStr">
        <is>
          <t>Informativa</t>
        </is>
      </c>
      <c r="P53" t="inlineStr">
        <is>
          <t>No interviene en el prorrateo</t>
        </is>
      </c>
    </row>
    <row r="54">
      <c r="A54" t="n">
        <v>1523</v>
      </c>
      <c r="B54" t="inlineStr">
        <is>
          <t>RODRIGUEZ MEJÍAS, JOSE ANTONIO</t>
        </is>
      </c>
      <c r="E54" t="n">
        <v>2026</v>
      </c>
      <c r="F54" t="n">
        <v>1</v>
      </c>
      <c r="G54" t="inlineStr">
        <is>
          <t>INDUSTRIA</t>
        </is>
      </c>
      <c r="H54" t="inlineStr">
        <is>
          <t>SALUSTIANA</t>
        </is>
      </c>
      <c r="I54" t="n">
        <v>580</v>
      </c>
      <c r="J54" t="n">
        <v>12881</v>
      </c>
      <c r="K54" t="n">
        <v>255</v>
      </c>
      <c r="L54" t="n">
        <v>255</v>
      </c>
      <c r="M54" t="inlineStr">
        <is>
          <t>Sí</t>
        </is>
      </c>
      <c r="N54" t="inlineStr"/>
      <c r="O54" t="inlineStr">
        <is>
          <t>Informativa</t>
        </is>
      </c>
      <c r="P54" t="inlineStr">
        <is>
          <t>No interviene en el prorrateo</t>
        </is>
      </c>
    </row>
    <row r="55">
      <c r="A55" t="n">
        <v>1523</v>
      </c>
      <c r="B55" t="inlineStr">
        <is>
          <t>RODRIGUEZ MEJÍAS, JOSE ANTONIO</t>
        </is>
      </c>
      <c r="E55" t="n">
        <v>2026</v>
      </c>
      <c r="F55" t="n">
        <v>1</v>
      </c>
      <c r="G55" t="inlineStr">
        <is>
          <t>INDUSTRIA</t>
        </is>
      </c>
      <c r="H55" t="inlineStr">
        <is>
          <t>SALUSTIANA</t>
        </is>
      </c>
      <c r="I55" t="n">
        <v>580</v>
      </c>
      <c r="J55" t="n">
        <v>9953</v>
      </c>
      <c r="K55" t="n">
        <v>45</v>
      </c>
      <c r="L55" t="n">
        <v>45</v>
      </c>
      <c r="M55" t="inlineStr">
        <is>
          <t>Sí</t>
        </is>
      </c>
      <c r="N55" t="inlineStr"/>
      <c r="O55" t="inlineStr">
        <is>
          <t>Informativa</t>
        </is>
      </c>
      <c r="P55" t="inlineStr">
        <is>
          <t>No interviene en el prorrateo</t>
        </is>
      </c>
    </row>
    <row r="56">
      <c r="A56" t="n">
        <v>1523</v>
      </c>
      <c r="B56" t="inlineStr">
        <is>
          <t>RODRIGUEZ MEJÍAS, JOSE ANTONIO</t>
        </is>
      </c>
      <c r="E56" t="n">
        <v>2026</v>
      </c>
      <c r="F56" t="n">
        <v>1</v>
      </c>
      <c r="G56" t="inlineStr">
        <is>
          <t>MANDARINA</t>
        </is>
      </c>
      <c r="H56" t="inlineStr">
        <is>
          <t>TANGO</t>
        </is>
      </c>
      <c r="I56" t="n">
        <v>608</v>
      </c>
      <c r="J56" t="n">
        <v>19718</v>
      </c>
      <c r="K56" t="n">
        <v>0</v>
      </c>
      <c r="L56" t="n">
        <v>19718</v>
      </c>
      <c r="M56" t="inlineStr">
        <is>
          <t>Sí</t>
        </is>
      </c>
      <c r="N56" t="inlineStr"/>
      <c r="O56" t="inlineStr">
        <is>
          <t>Informativa</t>
        </is>
      </c>
      <c r="P56" t="inlineStr">
        <is>
          <t>No interviene en el prorrateo</t>
        </is>
      </c>
    </row>
    <row r="57">
      <c r="A57" t="n">
        <v>1523</v>
      </c>
      <c r="B57" t="inlineStr">
        <is>
          <t>RODRIGUEZ MEJÍAS, JOSE ANTONIO</t>
        </is>
      </c>
      <c r="E57" t="n">
        <v>2026</v>
      </c>
      <c r="F57" t="n">
        <v>1</v>
      </c>
      <c r="G57" t="inlineStr">
        <is>
          <t>MANDARINA</t>
        </is>
      </c>
      <c r="H57" t="inlineStr">
        <is>
          <t>TANGO</t>
        </is>
      </c>
      <c r="I57" t="n">
        <v>608</v>
      </c>
      <c r="J57" t="n">
        <v>18958</v>
      </c>
      <c r="K57" t="n">
        <v>0</v>
      </c>
      <c r="L57" t="n">
        <v>18958</v>
      </c>
      <c r="M57" t="inlineStr">
        <is>
          <t>Sí</t>
        </is>
      </c>
      <c r="N57" t="inlineStr"/>
      <c r="O57" t="inlineStr">
        <is>
          <t>Informativa</t>
        </is>
      </c>
      <c r="P57" t="inlineStr">
        <is>
          <t>No interviene en el prorrateo</t>
        </is>
      </c>
    </row>
    <row r="58">
      <c r="A58" t="n">
        <v>1523</v>
      </c>
      <c r="B58" t="inlineStr">
        <is>
          <t>RODRIGUEZ MEJÍAS, JOSE ANTONIO</t>
        </is>
      </c>
      <c r="E58" t="n">
        <v>2026</v>
      </c>
      <c r="F58" t="n">
        <v>1</v>
      </c>
      <c r="G58" t="inlineStr">
        <is>
          <t>MANDARINA</t>
        </is>
      </c>
      <c r="H58" t="inlineStr">
        <is>
          <t>TANGO</t>
        </is>
      </c>
      <c r="I58" t="n">
        <v>608</v>
      </c>
      <c r="J58" t="n">
        <v>19760</v>
      </c>
      <c r="K58" t="n">
        <v>0</v>
      </c>
      <c r="L58" t="n">
        <v>19760</v>
      </c>
      <c r="M58" t="inlineStr">
        <is>
          <t>Sí</t>
        </is>
      </c>
      <c r="N58" t="inlineStr"/>
      <c r="O58" t="inlineStr">
        <is>
          <t>Informativa</t>
        </is>
      </c>
      <c r="P58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1523</v>
      </c>
      <c r="B2" t="inlineStr">
        <is>
          <t>RODRIGUEZ MEJÍAS, JOSE ANTONIO</t>
        </is>
      </c>
      <c r="C2" t="inlineStr">
        <is>
          <t>LANE LATE</t>
        </is>
      </c>
      <c r="D2" t="inlineStr">
        <is>
          <t>Hectáreas</t>
        </is>
      </c>
      <c r="E2" t="n">
        <v>21.63</v>
      </c>
      <c r="I2" t="inlineStr"/>
    </row>
    <row r="3">
      <c r="A3" t="n">
        <v>1523</v>
      </c>
      <c r="B3" t="inlineStr">
        <is>
          <t>RODRIGUEZ MEJÍAS, JOSE ANTONIO</t>
        </is>
      </c>
      <c r="C3" t="inlineStr">
        <is>
          <t>LANE LATE</t>
        </is>
      </c>
      <c r="D3" t="inlineStr">
        <is>
          <t>Cuota teórica</t>
        </is>
      </c>
      <c r="E3" t="n">
        <v>4217.85</v>
      </c>
      <c r="I3" t="inlineStr"/>
    </row>
    <row r="4">
      <c r="A4" t="n">
        <v>1523</v>
      </c>
      <c r="B4" t="inlineStr">
        <is>
          <t>RODRIGUEZ MEJÍAS, JOSE ANTONIO</t>
        </is>
      </c>
      <c r="C4" t="inlineStr">
        <is>
          <t>LANE LATE</t>
        </is>
      </c>
      <c r="D4" t="inlineStr">
        <is>
          <t>Kg campaña</t>
        </is>
      </c>
      <c r="E4" t="n">
        <v>580520</v>
      </c>
      <c r="I4" t="inlineStr"/>
    </row>
    <row r="5">
      <c r="A5" t="n">
        <v>1523</v>
      </c>
      <c r="B5" t="inlineStr">
        <is>
          <t>RODRIGUEZ MEJÍAS, JOSE ANTONIO</t>
        </is>
      </c>
      <c r="C5" t="inlineStr">
        <is>
          <t>LANE LATE</t>
        </is>
      </c>
      <c r="D5" t="inlineStr">
        <is>
          <t>Índice</t>
        </is>
      </c>
      <c r="E5" t="n">
        <v>0.007265641149314408</v>
      </c>
      <c r="I5" t="inlineStr"/>
    </row>
    <row r="6">
      <c r="A6" t="n">
        <v>1523</v>
      </c>
      <c r="B6" t="inlineStr">
        <is>
          <t>RODRIGUEZ MEJÍAS, JOSE ANTONIO</t>
        </is>
      </c>
      <c r="C6" t="inlineStr">
        <is>
          <t>LANE LATE</t>
        </is>
      </c>
      <c r="D6" t="inlineStr">
        <is>
          <t>Kg remesa</t>
        </is>
      </c>
      <c r="E6" t="n">
        <v>78560</v>
      </c>
      <c r="I6" t="inlineStr"/>
    </row>
    <row r="7">
      <c r="A7" t="n">
        <v>1523</v>
      </c>
      <c r="B7" t="inlineStr">
        <is>
          <t>RODRIGUEZ MEJÍAS, JOSE ANTONIO</t>
        </is>
      </c>
      <c r="C7" t="inlineStr">
        <is>
          <t>LANE LATE</t>
        </is>
      </c>
      <c r="D7" t="inlineStr">
        <is>
          <t>Cuota parcial</t>
        </is>
      </c>
      <c r="E7" t="n">
        <v>570.79</v>
      </c>
      <c r="I7" t="inlineStr"/>
    </row>
    <row r="8">
      <c r="A8" t="n">
        <v>1523</v>
      </c>
      <c r="B8" t="inlineStr">
        <is>
          <t>RODRIGUEZ MEJÍAS, JOSE ANTONIO</t>
        </is>
      </c>
      <c r="C8" t="inlineStr">
        <is>
          <t>LANE LATE</t>
        </is>
      </c>
      <c r="D8" t="inlineStr">
        <is>
          <t>Importe bruto</t>
        </is>
      </c>
      <c r="E8" t="n">
        <v>33937.92</v>
      </c>
      <c r="I8" t="inlineStr"/>
    </row>
    <row r="9">
      <c r="A9" t="n">
        <v>1523</v>
      </c>
      <c r="B9" t="inlineStr">
        <is>
          <t>RODRIGUEZ MEJÍAS, JOSE ANTONIO</t>
        </is>
      </c>
      <c r="C9" t="inlineStr">
        <is>
          <t>LANE LATE</t>
        </is>
      </c>
      <c r="D9" t="inlineStr">
        <is>
          <t>Recolección</t>
        </is>
      </c>
      <c r="E9" t="n">
        <v>0</v>
      </c>
      <c r="I9" t="inlineStr"/>
    </row>
    <row r="10">
      <c r="A10" t="n">
        <v>1523</v>
      </c>
      <c r="B10" t="inlineStr">
        <is>
          <t>RODRIGUEZ MEJÍAS, JOSE ANTONIO</t>
        </is>
      </c>
      <c r="C10" t="inlineStr">
        <is>
          <t>LANE LATE</t>
        </is>
      </c>
      <c r="D10" t="inlineStr">
        <is>
          <t>Transporte</t>
        </is>
      </c>
      <c r="E10" t="n">
        <v>0</v>
      </c>
      <c r="I10" t="inlineStr"/>
    </row>
    <row r="11">
      <c r="A11" t="n">
        <v>1523</v>
      </c>
      <c r="B11" t="inlineStr">
        <is>
          <t>RODRIGUEZ MEJÍAS, JOSE ANTONIO</t>
        </is>
      </c>
      <c r="C11" t="inlineStr">
        <is>
          <t>LANE LATE</t>
        </is>
      </c>
      <c r="D11" t="inlineStr">
        <is>
          <t>Calidad</t>
        </is>
      </c>
      <c r="E11" t="n">
        <v>0</v>
      </c>
      <c r="I11" t="inlineStr"/>
    </row>
    <row r="12">
      <c r="A12" t="n">
        <v>1523</v>
      </c>
      <c r="B12" t="inlineStr">
        <is>
          <t>RODRIGUEZ MEJÍAS, JOSE ANTONIO</t>
        </is>
      </c>
      <c r="C12" t="inlineStr">
        <is>
          <t>LANE LATE</t>
        </is>
      </c>
      <c r="D12" t="inlineStr">
        <is>
          <t>GlobalGAP</t>
        </is>
      </c>
      <c r="E12" t="n">
        <v>0</v>
      </c>
      <c r="I12" t="inlineStr"/>
    </row>
    <row r="13">
      <c r="A13" t="n">
        <v>1523</v>
      </c>
      <c r="B13" t="inlineStr">
        <is>
          <t>RODRIGUEZ MEJÍAS, JOSE ANTONIO</t>
        </is>
      </c>
      <c r="C13" t="inlineStr">
        <is>
          <t>LANE LATE</t>
        </is>
      </c>
      <c r="D13" t="inlineStr">
        <is>
          <t>Base imponible</t>
        </is>
      </c>
      <c r="E13" t="n">
        <v>33367.13</v>
      </c>
      <c r="I13" t="inlineStr"/>
    </row>
    <row r="14">
      <c r="A14" t="n">
        <v>1523</v>
      </c>
      <c r="B14" t="inlineStr">
        <is>
          <t>RODRIGUEZ MEJÍAS, JOSE ANTONIO</t>
        </is>
      </c>
      <c r="C14" t="inlineStr">
        <is>
          <t>LANE LATE</t>
        </is>
      </c>
      <c r="D14" t="inlineStr">
        <is>
          <t>IVA</t>
        </is>
      </c>
      <c r="E14" t="n">
        <v>4004.06</v>
      </c>
      <c r="I14" t="inlineStr"/>
    </row>
    <row r="15">
      <c r="A15" t="n">
        <v>1523</v>
      </c>
      <c r="B15" t="inlineStr">
        <is>
          <t>RODRIGUEZ MEJÍAS, JOSE ANTONIO</t>
        </is>
      </c>
      <c r="C15" t="inlineStr">
        <is>
          <t>LANE LATE</t>
        </is>
      </c>
      <c r="D15" t="inlineStr">
        <is>
          <t>Retención</t>
        </is>
      </c>
      <c r="E15" t="n">
        <v>747.42</v>
      </c>
      <c r="I15" t="inlineStr"/>
    </row>
    <row r="16">
      <c r="A16" t="n">
        <v>1523</v>
      </c>
      <c r="B16" t="inlineStr">
        <is>
          <t>RODRIGUEZ MEJÍAS, JOSE ANTONIO</t>
        </is>
      </c>
      <c r="C16" t="inlineStr">
        <is>
          <t>LANE LATE</t>
        </is>
      </c>
      <c r="D16" t="inlineStr">
        <is>
          <t>Total</t>
        </is>
      </c>
      <c r="E16" t="n">
        <v>36623.76</v>
      </c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2026-07-28T15:52:34Z</dcterms:created>
  <dcterms:modified xmlns:dcterms="http://purl.org/dc/terms/" xmlns:xsi="http://www.w3.org/2001/XMLSchema-instance" xsi:type="dcterms:W3CDTF">2026-07-28T15:52:34Z</dcterms:modified>
</cp:coreProperties>
</file>