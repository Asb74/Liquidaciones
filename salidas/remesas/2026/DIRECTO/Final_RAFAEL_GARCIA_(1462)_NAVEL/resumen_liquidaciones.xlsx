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etalle ajustes" sheetId="2" state="visible" r:id="rId2"/>
    <sheet xmlns:r="http://schemas.openxmlformats.org/officeDocument/2006/relationships" name="02_Parcelas" sheetId="3" state="visible" r:id="rId3"/>
    <sheet xmlns:r="http://schemas.openxmlformats.org/officeDocument/2006/relationships" name="04_CuotaHa" sheetId="4" state="visible" r:id="rId4"/>
    <sheet xmlns:r="http://schemas.openxmlformats.org/officeDocument/2006/relationships" name="Auditoría GlobalGAP" sheetId="5" state="visible" r:id="rId5"/>
    <sheet xmlns:r="http://schemas.openxmlformats.org/officeDocument/2006/relationships" name="Auditoría variedades" sheetId="6" state="visible" r:id="rId6"/>
    <sheet xmlns:r="http://schemas.openxmlformats.org/officeDocument/2006/relationships" name="Auditoría económica" sheetId="7" state="visible" r:id="rId7"/>
    <sheet xmlns:r="http://schemas.openxmlformats.org/officeDocument/2006/relationships" name="Auditoría fiscal" sheetId="8" state="visible" r:id="rId8"/>
    <sheet xmlns:r="http://schemas.openxmlformats.org/officeDocument/2006/relationships" name="Auditoría cuota Ha" sheetId="9" state="visible" r:id="rId9"/>
    <sheet xmlns:r="http://schemas.openxmlformats.org/officeDocument/2006/relationships" name="Parcelas cuota Ha" sheetId="10" state="visible" r:id="rId10"/>
    <sheet xmlns:r="http://schemas.openxmlformats.org/officeDocument/2006/relationships" name="Entregas prorrateo cuota Ha" sheetId="11" state="visible" r:id="rId11"/>
    <sheet xmlns:r="http://schemas.openxmlformats.org/officeDocument/2006/relationships" name="Comparación Perceco" sheetId="12" state="visible" r:id="rId12"/>
  </sheets>
  <definedNames>
    <definedName name="_xlnm._FilterDatabase" localSheetId="0" hidden="1">'Resumen'!$A$1:$U$3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-#,##0;-"/>
    <numFmt numFmtId="165" formatCode="#,##0.00;-#,##0.00;-"/>
    <numFmt numFmtId="166" formatCode="0.00000000;-0.00000000;-"/>
    <numFmt numFmtId="167" formatCode="0&quot;%&quot;"/>
    <numFmt numFmtId="168" formatCode="0.00;-0.00;-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8" fontId="0" fillId="0" borderId="0" applyAlignment="1" pivotButton="0" quotePrefix="0" xfId="0">
      <alignment vertical="center"/>
    </xf>
    <xf numFmtId="164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165" fontId="1" fillId="0" borderId="1" applyAlignment="1" pivotButton="0" quotePrefix="0" xfId="0">
      <alignment vertical="center"/>
    </xf>
    <xf numFmtId="166" fontId="1" fillId="0" borderId="1" applyAlignment="1" pivotButton="0" quotePrefix="0" xfId="0">
      <alignment vertical="center"/>
    </xf>
    <xf numFmtId="167" fontId="1" fillId="0" borderId="1" applyAlignment="1" pivotButton="0" quotePrefix="0" xfId="0">
      <alignment vertical="center"/>
    </xf>
    <xf numFmtId="168" fontId="1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14" customWidth="1" min="4" max="4"/>
    <col width="15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7" customWidth="1" min="12" max="12"/>
    <col width="12" customWidth="1" min="13" max="13"/>
    <col width="10" customWidth="1" min="14" max="14"/>
    <col width="10" customWidth="1" min="15" max="15"/>
    <col width="17" customWidth="1" min="16" max="16"/>
    <col width="32" customWidth="1" min="17" max="17"/>
    <col width="16" customWidth="1" min="18" max="18"/>
    <col width="24" customWidth="1" min="19" max="19"/>
    <col width="23" customWidth="1" min="20" max="20"/>
    <col width="24" customWidth="1" min="21" max="21"/>
  </cols>
  <sheetData>
    <row r="1">
      <c r="A1" s="1" t="inlineStr">
        <is>
          <t>Nº Socio</t>
        </is>
      </c>
      <c r="B1" s="1" t="inlineStr">
        <is>
          <t>Socio</t>
        </is>
      </c>
      <c r="C1" s="1" t="inlineStr">
        <is>
          <t>Variedad</t>
        </is>
      </c>
      <c r="D1" s="1" t="inlineStr">
        <is>
          <t>Neto</t>
        </is>
      </c>
      <c r="E1" s="1" t="inlineStr">
        <is>
          <t>I. Bruto</t>
        </is>
      </c>
      <c r="F1" s="1" t="inlineStr">
        <is>
          <t>P. Comer.</t>
        </is>
      </c>
      <c r="G1" s="1" t="inlineStr">
        <is>
          <t>Recolec.</t>
        </is>
      </c>
      <c r="H1" s="1" t="inlineStr">
        <is>
          <t>C. Has.</t>
        </is>
      </c>
      <c r="I1" s="1" t="inlineStr">
        <is>
          <t>B/P Cal.</t>
        </is>
      </c>
      <c r="J1" s="1" t="inlineStr">
        <is>
          <t>B. Trans.</t>
        </is>
      </c>
      <c r="K1" s="1" t="inlineStr">
        <is>
          <t>B. Glob.</t>
        </is>
      </c>
      <c r="L1" s="1" t="inlineStr">
        <is>
          <t>Base Imponible</t>
        </is>
      </c>
      <c r="M1" s="1" t="inlineStr">
        <is>
          <t>P.Medio</t>
        </is>
      </c>
      <c r="N1" s="1" t="inlineStr">
        <is>
          <t>I.V.A</t>
        </is>
      </c>
      <c r="O1" s="1" t="inlineStr">
        <is>
          <t>Ret.</t>
        </is>
      </c>
      <c r="P1" s="1" t="inlineStr">
        <is>
          <t>Importe Total.</t>
        </is>
      </c>
      <c r="Q1" s="1" t="inlineStr">
        <is>
          <t>Concepto Liquidación</t>
        </is>
      </c>
      <c r="R1" s="1" t="inlineStr">
        <is>
          <t>Cultivo</t>
        </is>
      </c>
      <c r="S1" s="1" t="inlineStr">
        <is>
          <t>Com. Recol. (Pts/kg)(&lt;11,65)</t>
        </is>
      </c>
      <c r="T1" s="1" t="inlineStr">
        <is>
          <t>Com. Global (Pts/kg)(&lt;2)</t>
        </is>
      </c>
      <c r="U1" s="1" t="inlineStr">
        <is>
          <t>Com. Trans. (Pts/kg) (&lt;1,7)</t>
        </is>
      </c>
    </row>
    <row r="2">
      <c r="A2" s="2" t="n">
        <v>1462</v>
      </c>
      <c r="B2" s="3" t="inlineStr">
        <is>
          <t>GARCIA TORO,RAFAEL</t>
        </is>
      </c>
      <c r="C2" s="3" t="inlineStr">
        <is>
          <t>WASHINGTON</t>
        </is>
      </c>
      <c r="D2" s="2" t="n">
        <v>24906</v>
      </c>
      <c r="E2" s="4" t="n">
        <v>7023.49</v>
      </c>
      <c r="F2" s="5" t="n">
        <v>0.2819999196980647</v>
      </c>
      <c r="G2" s="4" t="n">
        <v>0</v>
      </c>
      <c r="H2" s="4" t="n">
        <v>272.22</v>
      </c>
      <c r="I2" s="4" t="n">
        <v>0</v>
      </c>
      <c r="J2" s="4" t="n">
        <v>0</v>
      </c>
      <c r="K2" s="4" t="n">
        <v>0</v>
      </c>
      <c r="L2" s="4" t="n">
        <v>6751.27</v>
      </c>
      <c r="M2" s="5" t="n">
        <v>0.29753</v>
      </c>
      <c r="N2" s="6" t="n">
        <v>12</v>
      </c>
      <c r="O2" s="6" t="n">
        <v>2</v>
      </c>
      <c r="P2" s="4" t="n">
        <v>7410.19</v>
      </c>
      <c r="Q2" s="3" t="inlineStr">
        <is>
          <t>Final RAFAEL GARCIA (1462) NAVEL</t>
        </is>
      </c>
      <c r="R2" s="3" t="inlineStr">
        <is>
          <t>DIRECTO</t>
        </is>
      </c>
      <c r="S2" s="7">
        <f>IFERROR(166.386*G2/D2,0)</f>
        <v/>
      </c>
      <c r="T2" s="7">
        <f>IFERROR(166.386*K2/D2,0)</f>
        <v/>
      </c>
      <c r="U2" s="7">
        <f>IFERROR(166.386*J2/D2,0)</f>
        <v/>
      </c>
    </row>
    <row r="3">
      <c r="A3" s="8" t="n"/>
      <c r="B3" s="9" t="inlineStr">
        <is>
          <t>TOTAL</t>
        </is>
      </c>
      <c r="C3" s="9" t="n"/>
      <c r="D3" s="8">
        <f>SUM(D2:D2)</f>
        <v/>
      </c>
      <c r="E3" s="10">
        <f>SUM(E2:E2)</f>
        <v/>
      </c>
      <c r="F3" s="11" t="n"/>
      <c r="G3" s="10">
        <f>SUM(G2:G2)</f>
        <v/>
      </c>
      <c r="H3" s="10">
        <f>SUM(H2:H2)</f>
        <v/>
      </c>
      <c r="I3" s="10">
        <f>SUM(I2:I2)</f>
        <v/>
      </c>
      <c r="J3" s="10">
        <f>SUM(J2:J2)</f>
        <v/>
      </c>
      <c r="K3" s="10">
        <f>SUM(K2:K2)</f>
        <v/>
      </c>
      <c r="L3" s="10">
        <f>SUM(L2:L2)</f>
        <v/>
      </c>
      <c r="M3" s="11">
        <f>IFERROR(P3/D3,0)</f>
        <v/>
      </c>
      <c r="N3" s="12" t="n"/>
      <c r="O3" s="12" t="n"/>
      <c r="P3" s="10">
        <f>SUM(P2:P2)</f>
        <v/>
      </c>
      <c r="Q3" s="9" t="n"/>
      <c r="R3" s="9" t="n"/>
      <c r="S3" s="13" t="n"/>
      <c r="T3" s="13" t="n"/>
      <c r="U3" s="13" t="n"/>
    </row>
  </sheetData>
  <autoFilter ref="A1:U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Bon/Pen tarifa</t>
        </is>
      </c>
      <c r="E1" t="inlineStr">
        <is>
          <t>Fuente tarifa</t>
        </is>
      </c>
      <c r="F1" t="inlineStr">
        <is>
          <t>Hectáreas</t>
        </is>
      </c>
      <c r="G1" t="inlineStr">
        <is>
          <t>Precio/ha</t>
        </is>
      </c>
      <c r="H1" t="inlineStr">
        <is>
          <t>Cuota total socio</t>
        </is>
      </c>
      <c r="I1" t="inlineStr">
        <is>
          <t>Kilos efectivos totales</t>
        </is>
      </c>
      <c r="J1" t="inlineStr">
        <is>
          <t>Proporción €/kg</t>
        </is>
      </c>
      <c r="K1" t="inlineStr">
        <is>
          <t>Cuota parcial</t>
        </is>
      </c>
      <c r="L1" t="inlineStr">
        <is>
          <t>Ajuste redondeo</t>
        </is>
      </c>
    </row>
    <row r="2">
      <c r="A2" t="n">
        <v>1462</v>
      </c>
      <c r="B2" t="inlineStr">
        <is>
          <t>GARCIA TORO,RAFAEL</t>
        </is>
      </c>
      <c r="C2" t="inlineStr">
        <is>
          <t>WASHINGTON</t>
        </is>
      </c>
      <c r="D2" t="n">
        <v>0</v>
      </c>
      <c r="E2" t="inlineStr">
        <is>
          <t>not_found</t>
        </is>
      </c>
      <c r="F2" t="n">
        <v>2.86</v>
      </c>
      <c r="G2" t="n">
        <v>195</v>
      </c>
      <c r="H2" t="n">
        <v>557.7</v>
      </c>
      <c r="I2" t="n">
        <v>51026</v>
      </c>
      <c r="J2" t="n">
        <v>0.01092972210245757</v>
      </c>
      <c r="K2" t="n">
        <v>272.22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IdSocio</t>
        </is>
      </c>
      <c r="B1" t="inlineStr">
        <is>
          <t>Nombre socio</t>
        </is>
      </c>
      <c r="C1" t="inlineStr">
        <is>
          <t>Boleta DEEPP</t>
        </is>
      </c>
      <c r="D1" t="inlineStr">
        <is>
          <t>Cultivo DEEPP</t>
        </is>
      </c>
      <c r="E1" t="inlineStr">
        <is>
          <t>Campaña DEEPP</t>
        </is>
      </c>
      <c r="F1" t="inlineStr">
        <is>
          <t>Empresa DEEPP</t>
        </is>
      </c>
      <c r="G1" t="inlineStr">
        <is>
          <t>CHA original</t>
        </is>
      </c>
      <c r="H1" t="inlineStr">
        <is>
          <t>CHA activo</t>
        </is>
      </c>
      <c r="I1" t="inlineStr">
        <is>
          <t>Baja DEEPP</t>
        </is>
      </c>
      <c r="J1" t="inlineStr">
        <is>
          <t>Boleta DParcela</t>
        </is>
      </c>
      <c r="K1" t="inlineStr">
        <is>
          <t>Campaña DParcela</t>
        </is>
      </c>
      <c r="L1" t="inlineStr">
        <is>
          <t>Empresa DParcela</t>
        </is>
      </c>
      <c r="M1" t="inlineStr">
        <is>
          <t>Cultivo DParcela</t>
        </is>
      </c>
      <c r="N1" t="inlineStr">
        <is>
          <t>IdPM</t>
        </is>
      </c>
      <c r="O1" t="inlineStr">
        <is>
          <t>Pol</t>
        </is>
      </c>
      <c r="P1" t="inlineStr">
        <is>
          <t>Par</t>
        </is>
      </c>
      <c r="Q1" t="inlineStr">
        <is>
          <t>Rec</t>
        </is>
      </c>
      <c r="R1" t="inlineStr">
        <is>
          <t>SupCul DParcela</t>
        </is>
      </c>
      <c r="S1" t="inlineStr">
        <is>
          <t>SupRec</t>
        </is>
      </c>
      <c r="T1" t="inlineStr">
        <is>
          <t>SupApor</t>
        </is>
      </c>
      <c r="U1" t="inlineStr">
        <is>
          <t>Baja DParcela</t>
        </is>
      </c>
      <c r="V1" t="inlineStr">
        <is>
          <t>Incluida</t>
        </is>
      </c>
      <c r="W1" t="inlineStr">
        <is>
          <t>Motivo exclusión</t>
        </is>
      </c>
      <c r="X1" t="inlineStr">
        <is>
          <t>Clave deduplicación</t>
        </is>
      </c>
    </row>
    <row r="2">
      <c r="A2" t="n">
        <v>1462</v>
      </c>
      <c r="B2" t="inlineStr">
        <is>
          <t>GARCIA TORO,RAFAEL</t>
        </is>
      </c>
      <c r="C2" t="n">
        <v>1</v>
      </c>
      <c r="D2" t="inlineStr">
        <is>
          <t>CITRICOS</t>
        </is>
      </c>
      <c r="E2" t="n">
        <v>2026</v>
      </c>
      <c r="F2" t="n">
        <v>1</v>
      </c>
      <c r="G2" t="n">
        <v>1</v>
      </c>
      <c r="H2" t="inlineStr">
        <is>
          <t>Sí</t>
        </is>
      </c>
      <c r="J2" t="n">
        <v>1</v>
      </c>
      <c r="K2" t="n">
        <v>2026</v>
      </c>
      <c r="L2" t="inlineStr">
        <is>
          <t>1</t>
        </is>
      </c>
      <c r="M2" t="inlineStr">
        <is>
          <t>CITRICOS</t>
        </is>
      </c>
      <c r="N2" t="inlineStr">
        <is>
          <t>41055</t>
        </is>
      </c>
      <c r="O2" t="inlineStr">
        <is>
          <t>23</t>
        </is>
      </c>
      <c r="P2" t="inlineStr">
        <is>
          <t>141</t>
        </is>
      </c>
      <c r="Q2" t="inlineStr">
        <is>
          <t>1</t>
        </is>
      </c>
      <c r="R2" t="n">
        <v>1.86</v>
      </c>
      <c r="S2" t="n">
        <v>4.237448</v>
      </c>
      <c r="T2" t="n">
        <v>1.86</v>
      </c>
      <c r="V2" t="inlineStr">
        <is>
          <t>Sí</t>
        </is>
      </c>
      <c r="W2" t="inlineStr"/>
    </row>
    <row r="3">
      <c r="A3" t="n">
        <v>1462</v>
      </c>
      <c r="B3" t="inlineStr">
        <is>
          <t>GARCIA TORO,RAFAEL</t>
        </is>
      </c>
      <c r="C3" t="n">
        <v>1</v>
      </c>
      <c r="D3" t="inlineStr">
        <is>
          <t>CITRICOS</t>
        </is>
      </c>
      <c r="E3" t="n">
        <v>2026</v>
      </c>
      <c r="F3" t="n">
        <v>1</v>
      </c>
      <c r="G3" t="n">
        <v>1</v>
      </c>
      <c r="H3" t="inlineStr">
        <is>
          <t>Sí</t>
        </is>
      </c>
      <c r="J3" t="n">
        <v>1</v>
      </c>
      <c r="K3" t="n">
        <v>2026</v>
      </c>
      <c r="L3" t="inlineStr">
        <is>
          <t>1</t>
        </is>
      </c>
      <c r="M3" t="inlineStr">
        <is>
          <t>CITRICOS</t>
        </is>
      </c>
      <c r="N3" t="inlineStr">
        <is>
          <t>41055</t>
        </is>
      </c>
      <c r="O3" t="inlineStr">
        <is>
          <t>23</t>
        </is>
      </c>
      <c r="P3" t="inlineStr">
        <is>
          <t>140</t>
        </is>
      </c>
      <c r="Q3" t="inlineStr">
        <is>
          <t>1</t>
        </is>
      </c>
      <c r="R3" t="n">
        <v>0.18</v>
      </c>
      <c r="S3" t="n">
        <v>0.8767430000000001</v>
      </c>
      <c r="T3" t="n">
        <v>0.18</v>
      </c>
      <c r="V3" t="inlineStr">
        <is>
          <t>Sí</t>
        </is>
      </c>
      <c r="W3" t="inlineStr"/>
    </row>
    <row r="4">
      <c r="A4" t="n">
        <v>1462</v>
      </c>
      <c r="B4" t="inlineStr">
        <is>
          <t>GARCIA TORO,RAFAEL</t>
        </is>
      </c>
      <c r="C4" t="n">
        <v>2</v>
      </c>
      <c r="D4" t="inlineStr">
        <is>
          <t>CITRICOS</t>
        </is>
      </c>
      <c r="E4" t="n">
        <v>2026</v>
      </c>
      <c r="F4" t="n">
        <v>1</v>
      </c>
      <c r="G4" t="n">
        <v>1</v>
      </c>
      <c r="H4" t="inlineStr">
        <is>
          <t>Sí</t>
        </is>
      </c>
      <c r="J4" t="n">
        <v>2</v>
      </c>
      <c r="K4" t="n">
        <v>2026</v>
      </c>
      <c r="L4" t="inlineStr">
        <is>
          <t>1</t>
        </is>
      </c>
      <c r="M4" t="inlineStr">
        <is>
          <t>CITRICOS</t>
        </is>
      </c>
      <c r="N4" t="inlineStr">
        <is>
          <t>41055</t>
        </is>
      </c>
      <c r="O4" t="inlineStr">
        <is>
          <t>23</t>
        </is>
      </c>
      <c r="P4" t="inlineStr">
        <is>
          <t>140</t>
        </is>
      </c>
      <c r="Q4" t="inlineStr">
        <is>
          <t>1</t>
        </is>
      </c>
      <c r="R4" t="n">
        <v>0.62</v>
      </c>
      <c r="S4" t="n">
        <v>0.8767430000000001</v>
      </c>
      <c r="T4" t="n">
        <v>0.62</v>
      </c>
      <c r="V4" t="inlineStr">
        <is>
          <t>Sí</t>
        </is>
      </c>
      <c r="W4" t="inlineStr"/>
    </row>
    <row r="5">
      <c r="A5" t="n">
        <v>1462</v>
      </c>
      <c r="B5" t="inlineStr">
        <is>
          <t>GARCIA TORO,RAFAEL</t>
        </is>
      </c>
      <c r="C5" t="n">
        <v>2</v>
      </c>
      <c r="D5" t="inlineStr">
        <is>
          <t>CITRICOS</t>
        </is>
      </c>
      <c r="E5" t="n">
        <v>2026</v>
      </c>
      <c r="F5" t="n">
        <v>1</v>
      </c>
      <c r="G5" t="n">
        <v>1</v>
      </c>
      <c r="H5" t="inlineStr">
        <is>
          <t>Sí</t>
        </is>
      </c>
      <c r="J5" t="n">
        <v>2</v>
      </c>
      <c r="K5" t="n">
        <v>2026</v>
      </c>
      <c r="L5" t="inlineStr">
        <is>
          <t>1</t>
        </is>
      </c>
      <c r="M5" t="inlineStr">
        <is>
          <t>CITRICOS</t>
        </is>
      </c>
      <c r="N5" t="inlineStr">
        <is>
          <t>41055</t>
        </is>
      </c>
      <c r="O5" t="inlineStr">
        <is>
          <t>23</t>
        </is>
      </c>
      <c r="P5" t="inlineStr">
        <is>
          <t>141</t>
        </is>
      </c>
      <c r="Q5" t="inlineStr">
        <is>
          <t>1</t>
        </is>
      </c>
      <c r="R5" t="n">
        <v>0.2</v>
      </c>
      <c r="S5" t="n">
        <v>4.237448</v>
      </c>
      <c r="T5" t="n">
        <v>0.2</v>
      </c>
      <c r="V5" t="inlineStr">
        <is>
          <t>Sí</t>
        </is>
      </c>
      <c r="W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Estado</t>
        </is>
      </c>
      <c r="E1" t="inlineStr">
        <is>
          <t>Hectáreas</t>
        </is>
      </c>
      <c r="F1" t="inlineStr">
        <is>
          <t>Cuota anual</t>
        </is>
      </c>
      <c r="G1" t="inlineStr">
        <is>
          <t>Kilos efectivos totales</t>
        </is>
      </c>
      <c r="H1" t="inlineStr">
        <is>
          <t>Proporción €/kg</t>
        </is>
      </c>
      <c r="I1" t="inlineStr">
        <is>
          <t>Neto efectivo línea</t>
        </is>
      </c>
      <c r="J1" t="inlineStr">
        <is>
          <t>Cuota calculada</t>
        </is>
      </c>
      <c r="K1" t="inlineStr">
        <is>
          <t>Advertencias</t>
        </is>
      </c>
    </row>
    <row r="2">
      <c r="A2" t="n">
        <v>1462</v>
      </c>
      <c r="B2" t="inlineStr">
        <is>
          <t>GARCIA TORO,RAFAEL</t>
        </is>
      </c>
      <c r="C2" t="inlineStr">
        <is>
          <t>WASHINGTON</t>
        </is>
      </c>
      <c r="D2" t="inlineStr">
        <is>
          <t>calculated</t>
        </is>
      </c>
      <c r="E2" t="n">
        <v>2.86</v>
      </c>
      <c r="F2" t="n">
        <v>557.7</v>
      </c>
      <c r="G2" t="n">
        <v>51026</v>
      </c>
      <c r="H2" t="n">
        <v>0.01092972210245757</v>
      </c>
      <c r="I2" t="n">
        <v>24906</v>
      </c>
      <c r="J2" t="n">
        <v>272.22</v>
      </c>
      <c r="K2" t="inlineStr">
        <is>
          <t>2 entregas ya figuran como liquidadas.; No existe tarifa BonCalidad para socio=1462 campaña=2026 empresa=1 cultivo=DIRECTO.; No existe fuente acumulada disponible; saldo informativo calculado con cuota ya aplicada = 0.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Campaña</t>
        </is>
      </c>
      <c r="E1" t="inlineStr">
        <is>
          <t>Empresa</t>
        </is>
      </c>
      <c r="F1" t="inlineStr">
        <is>
          <t>Cultivo remesa</t>
        </is>
      </c>
      <c r="G1" t="inlineStr">
        <is>
          <t>Checkbox AplGlobal</t>
        </is>
      </c>
      <c r="H1" t="inlineStr">
        <is>
          <t>Certificado</t>
        </is>
      </c>
      <c r="I1" t="inlineStr">
        <is>
          <t>Certificación incoherente</t>
        </is>
      </c>
      <c r="J1" t="inlineStr">
        <is>
          <t>Cultivos certificados</t>
        </is>
      </c>
      <c r="K1" t="inlineStr">
        <is>
          <t>Cultivos no certificados</t>
        </is>
      </c>
      <c r="L1" t="inlineStr">
        <is>
          <t>NivelGlobal</t>
        </is>
      </c>
      <c r="M1" t="inlineStr">
        <is>
          <t>Índice</t>
        </is>
      </c>
      <c r="N1" t="inlineStr">
        <is>
          <t>Bonificación base</t>
        </is>
      </c>
      <c r="O1" t="inlineStr">
        <is>
          <t>Categoría</t>
        </is>
      </c>
      <c r="P1" t="inlineStr">
        <is>
          <t>Base utilizada</t>
        </is>
      </c>
      <c r="Q1" t="inlineStr">
        <is>
          <t>Neto efectivo</t>
        </is>
      </c>
      <c r="R1" t="inlineStr">
        <is>
          <t>Neto comercial</t>
        </is>
      </c>
      <c r="S1" t="inlineStr">
        <is>
          <t>Kilos base</t>
        </is>
      </c>
      <c r="T1" t="inlineStr">
        <is>
          <t>Importe detectado</t>
        </is>
      </c>
      <c r="U1" t="inlineStr">
        <is>
          <t>Importe aplicado</t>
        </is>
      </c>
      <c r="V1" t="inlineStr">
        <is>
          <t>Importe almacenado en modelo</t>
        </is>
      </c>
      <c r="W1" t="inlineStr">
        <is>
          <t>Importe exportado a Resumen</t>
        </is>
      </c>
      <c r="X1" t="inlineStr">
        <is>
          <t>Estado</t>
        </is>
      </c>
      <c r="Y1" t="inlineStr">
        <is>
          <t>Advertencias</t>
        </is>
      </c>
      <c r="Z1" t="inlineStr">
        <is>
          <t>Alineado</t>
        </is>
      </c>
    </row>
    <row r="2">
      <c r="A2" t="n">
        <v>1462</v>
      </c>
      <c r="B2" t="inlineStr">
        <is>
          <t>GARCIA TORO,RAFAEL</t>
        </is>
      </c>
      <c r="C2" t="inlineStr">
        <is>
          <t>WASHINGTON</t>
        </is>
      </c>
      <c r="D2" t="inlineStr">
        <is>
          <t>2026</t>
        </is>
      </c>
      <c r="E2" t="inlineStr">
        <is>
          <t>1</t>
        </is>
      </c>
      <c r="F2" t="inlineStr">
        <is>
          <t>DIRECTO</t>
        </is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inlineStr"/>
      <c r="K2" t="inlineStr">
        <is>
          <t>CITRICOS</t>
        </is>
      </c>
      <c r="N2" t="n">
        <v>0</v>
      </c>
      <c r="O2" t="n">
        <v>0</v>
      </c>
      <c r="Q2" t="n">
        <v>24906</v>
      </c>
      <c r="R2" t="n">
        <v>24906</v>
      </c>
      <c r="U2" t="n">
        <v>0</v>
      </c>
      <c r="V2" t="n">
        <v>0</v>
      </c>
      <c r="W2" t="n">
        <v>0</v>
      </c>
      <c r="X2" t="inlineStr">
        <is>
          <t>disabled</t>
        </is>
      </c>
      <c r="Y2" t="inlineStr"/>
      <c r="Z2" t="inlineStr">
        <is>
          <t>SÍ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Campaña</t>
        </is>
      </c>
      <c r="B1" t="inlineStr">
        <is>
          <t>Empresa</t>
        </is>
      </c>
      <c r="C1" t="inlineStr">
        <is>
          <t>Cultivo</t>
        </is>
      </c>
      <c r="D1" t="inlineStr">
        <is>
          <t>Remesa</t>
        </is>
      </c>
      <c r="E1" t="inlineStr">
        <is>
          <t>Valor original</t>
        </is>
      </c>
      <c r="F1" t="inlineStr">
        <is>
          <t>Tipo resuelto</t>
        </is>
      </c>
      <c r="G1" t="inlineStr">
        <is>
          <t>Grupo</t>
        </is>
      </c>
      <c r="H1" t="inlineStr">
        <is>
          <t>Subgrupo</t>
        </is>
      </c>
      <c r="I1" t="inlineStr">
        <is>
          <t>Variedades resueltas</t>
        </is>
      </c>
      <c r="J1" t="inlineStr">
        <is>
          <t>Nº variedades</t>
        </is>
      </c>
      <c r="K1" t="inlineStr">
        <is>
          <t>Estado</t>
        </is>
      </c>
      <c r="L1" t="inlineStr">
        <is>
          <t>Advertencias</t>
        </is>
      </c>
      <c r="M1" t="inlineStr">
        <is>
          <t>Usado en consulta</t>
        </is>
      </c>
      <c r="N1" t="inlineStr">
        <is>
          <t>Alineado</t>
        </is>
      </c>
    </row>
    <row r="2">
      <c r="A2" t="inlineStr">
        <is>
          <t>2026</t>
        </is>
      </c>
      <c r="B2" t="inlineStr">
        <is>
          <t>1</t>
        </is>
      </c>
      <c r="C2" t="inlineStr">
        <is>
          <t>DIRECTO</t>
        </is>
      </c>
      <c r="D2" t="inlineStr">
        <is>
          <t>Final RAFAEL GARCIA (1462) NAVEL</t>
        </is>
      </c>
      <c r="E2" t="inlineStr">
        <is>
          <t>WASHINGTON</t>
        </is>
      </c>
      <c r="F2" t="inlineStr">
        <is>
          <t>VARIETY</t>
        </is>
      </c>
      <c r="G2" t="inlineStr"/>
      <c r="H2" t="inlineStr"/>
      <c r="I2" t="inlineStr">
        <is>
          <t>WASHINGTON</t>
        </is>
      </c>
      <c r="J2" t="n">
        <v>1</v>
      </c>
      <c r="K2" t="inlineStr">
        <is>
          <t>VARIETY</t>
        </is>
      </c>
      <c r="L2" t="inlineStr"/>
      <c r="M2" t="inlineStr">
        <is>
          <t>WASHINGTON</t>
        </is>
      </c>
      <c r="N2" t="inlineStr">
        <is>
          <t>SÍ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Importe bruto mostrado</t>
        </is>
      </c>
      <c r="E1" t="inlineStr">
        <is>
          <t>Importe bruto usado en fórmula</t>
        </is>
      </c>
      <c r="F1" t="inlineStr">
        <is>
          <t>Recolección</t>
        </is>
      </c>
      <c r="G1" t="inlineStr">
        <is>
          <t>Cuota Ha</t>
        </is>
      </c>
      <c r="H1" t="inlineStr">
        <is>
          <t>B/P Calidad</t>
        </is>
      </c>
      <c r="I1" t="inlineStr">
        <is>
          <t>B. Transporte</t>
        </is>
      </c>
      <c r="J1" t="inlineStr">
        <is>
          <t>B. GlobalGAP</t>
        </is>
      </c>
      <c r="K1" t="inlineStr">
        <is>
          <t>Base esperada</t>
        </is>
      </c>
      <c r="L1" t="inlineStr">
        <is>
          <t>Base almacenada en modelo</t>
        </is>
      </c>
      <c r="M1" t="inlineStr">
        <is>
          <t>Base exportada</t>
        </is>
      </c>
      <c r="N1" t="inlineStr">
        <is>
          <t>Diferencia</t>
        </is>
      </c>
      <c r="O1" t="inlineStr">
        <is>
          <t>Precio medio esperado</t>
        </is>
      </c>
      <c r="P1" t="inlineStr">
        <is>
          <t>Precio medio almacenado</t>
        </is>
      </c>
      <c r="Q1" t="inlineStr">
        <is>
          <t>Alineado</t>
        </is>
      </c>
      <c r="R1" t="inlineStr">
        <is>
          <t>Advertencias</t>
        </is>
      </c>
    </row>
    <row r="2">
      <c r="A2" t="n">
        <v>1462</v>
      </c>
      <c r="B2" t="inlineStr">
        <is>
          <t>GARCIA TORO,RAFAEL</t>
        </is>
      </c>
      <c r="C2" t="inlineStr">
        <is>
          <t>WASHINGTON</t>
        </is>
      </c>
      <c r="D2" t="n">
        <v>7023.49</v>
      </c>
      <c r="E2" t="n">
        <v>7023.49</v>
      </c>
      <c r="F2" t="n">
        <v>0</v>
      </c>
      <c r="G2" t="n">
        <v>272.22</v>
      </c>
      <c r="H2" t="n">
        <v>0</v>
      </c>
      <c r="I2" t="n">
        <v>0</v>
      </c>
      <c r="J2" t="n">
        <v>0</v>
      </c>
      <c r="K2" t="n">
        <v>6751.27</v>
      </c>
      <c r="L2" t="n">
        <v>6751.27</v>
      </c>
      <c r="M2" t="n">
        <v>6751.27</v>
      </c>
      <c r="N2" t="n">
        <v>0</v>
      </c>
      <c r="O2" t="n">
        <v>0.27107</v>
      </c>
      <c r="P2" t="n">
        <v>0.29753</v>
      </c>
      <c r="Q2" t="inlineStr">
        <is>
          <t>SÍ</t>
        </is>
      </c>
      <c r="R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Base imponible</t>
        </is>
      </c>
      <c r="E1" t="inlineStr">
        <is>
          <t>IVA %</t>
        </is>
      </c>
      <c r="F1" t="inlineStr">
        <is>
          <t>Factor IVA</t>
        </is>
      </c>
      <c r="G1" t="inlineStr">
        <is>
          <t>Importe IVA</t>
        </is>
      </c>
      <c r="H1" t="inlineStr">
        <is>
          <t>Importe después IVA</t>
        </is>
      </c>
      <c r="I1" t="inlineStr">
        <is>
          <t>Retención %</t>
        </is>
      </c>
      <c r="J1" t="inlineStr">
        <is>
          <t>Factor retención</t>
        </is>
      </c>
      <c r="K1" t="inlineStr">
        <is>
          <t>Importe retención</t>
        </is>
      </c>
      <c r="L1" t="inlineStr">
        <is>
          <t>Importe total esperado</t>
        </is>
      </c>
      <c r="M1" t="inlineStr">
        <is>
          <t>Importe total modelo</t>
        </is>
      </c>
      <c r="N1" t="inlineStr">
        <is>
          <t>Importe total Excel</t>
        </is>
      </c>
      <c r="O1" t="inlineStr">
        <is>
          <t>Neto efectivo</t>
        </is>
      </c>
      <c r="P1" t="inlineStr">
        <is>
          <t>P.Medio esperado</t>
        </is>
      </c>
      <c r="Q1" t="inlineStr">
        <is>
          <t>P.Medio modelo</t>
        </is>
      </c>
      <c r="R1" t="inlineStr">
        <is>
          <t>P.Medio Excel</t>
        </is>
      </c>
      <c r="S1" t="inlineStr">
        <is>
          <t>Diferencia total</t>
        </is>
      </c>
      <c r="T1" t="inlineStr">
        <is>
          <t>Diferencia P.Medio</t>
        </is>
      </c>
      <c r="U1" t="inlineStr">
        <is>
          <t>Alineado</t>
        </is>
      </c>
      <c r="V1" t="inlineStr">
        <is>
          <t>Advertencias</t>
        </is>
      </c>
    </row>
    <row r="2">
      <c r="A2" t="n">
        <v>1462</v>
      </c>
      <c r="B2" t="inlineStr">
        <is>
          <t>GARCIA TORO,RAFAEL</t>
        </is>
      </c>
      <c r="C2" t="inlineStr">
        <is>
          <t>WASHINGTON</t>
        </is>
      </c>
      <c r="D2" t="n">
        <v>6751.27</v>
      </c>
      <c r="E2" t="n">
        <v>12</v>
      </c>
      <c r="F2" t="n">
        <v>1.12</v>
      </c>
      <c r="G2" t="n">
        <v>810.15</v>
      </c>
      <c r="H2" t="n">
        <v>7561.42</v>
      </c>
      <c r="I2" t="n">
        <v>2</v>
      </c>
      <c r="J2" t="n">
        <v>0.98</v>
      </c>
      <c r="K2" t="n">
        <v>151.23</v>
      </c>
      <c r="L2" t="n">
        <v>7410.19</v>
      </c>
      <c r="M2" t="n">
        <v>7410.19</v>
      </c>
      <c r="N2" t="n">
        <v>7410.19</v>
      </c>
      <c r="O2" t="n">
        <v>24906</v>
      </c>
      <c r="P2" t="n">
        <v>0.29753</v>
      </c>
      <c r="Q2" t="n">
        <v>0.29753</v>
      </c>
      <c r="R2" t="n">
        <v>0.29753</v>
      </c>
      <c r="S2" t="n">
        <v>0</v>
      </c>
      <c r="T2" t="n">
        <v>0</v>
      </c>
      <c r="U2" t="inlineStr">
        <is>
          <t>SÍ</t>
        </is>
      </c>
      <c r="V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Campaña</t>
        </is>
      </c>
      <c r="E1" t="inlineStr">
        <is>
          <t>Empresa</t>
        </is>
      </c>
      <c r="F1" t="inlineStr">
        <is>
          <t>Cultivos aplicables</t>
        </is>
      </c>
      <c r="G1" t="inlineStr">
        <is>
          <t>Boletas candidatas</t>
        </is>
      </c>
      <c r="H1" t="inlineStr">
        <is>
          <t>Boletas CHA activas</t>
        </is>
      </c>
      <c r="I1" t="inlineStr">
        <is>
          <t>Parcelas incluidas</t>
        </is>
      </c>
      <c r="J1" t="inlineStr">
        <is>
          <t>Parcelas jóvenes</t>
        </is>
      </c>
      <c r="K1" t="inlineStr">
        <is>
          <t>Parcelas dadas de baja</t>
        </is>
      </c>
      <c r="L1" t="inlineStr">
        <is>
          <t>Superficie total</t>
        </is>
      </c>
      <c r="M1" t="inlineStr">
        <is>
          <t>Precio €/ha</t>
        </is>
      </c>
      <c r="N1" t="inlineStr">
        <is>
          <t>Cuota anual</t>
        </is>
      </c>
      <c r="O1" t="inlineStr">
        <is>
          <t>Kg anuales aplicables</t>
        </is>
      </c>
      <c r="P1" t="inlineStr">
        <is>
          <t>Proporción €/kg</t>
        </is>
      </c>
      <c r="Q1" t="inlineStr">
        <is>
          <t>Kg liquidación</t>
        </is>
      </c>
      <c r="R1" t="inlineStr">
        <is>
          <t>Cuota liquidación</t>
        </is>
      </c>
      <c r="S1" t="inlineStr">
        <is>
          <t>Cuota ya aplicada</t>
        </is>
      </c>
      <c r="T1" t="inlineStr">
        <is>
          <t>Cuota proyectada</t>
        </is>
      </c>
      <c r="U1" t="inlineStr">
        <is>
          <t>Saldo pendiente</t>
        </is>
      </c>
      <c r="V1" t="inlineStr">
        <is>
          <t>Estado de cierre</t>
        </is>
      </c>
      <c r="W1" t="inlineStr">
        <is>
          <t>Estado</t>
        </is>
      </c>
      <c r="X1" t="inlineStr">
        <is>
          <t>Advertencias</t>
        </is>
      </c>
      <c r="Y1" t="inlineStr">
        <is>
          <t>Alineado</t>
        </is>
      </c>
    </row>
    <row r="2">
      <c r="A2" t="n">
        <v>1462</v>
      </c>
      <c r="B2" t="inlineStr">
        <is>
          <t>GARCIA TORO,RAFAEL</t>
        </is>
      </c>
      <c r="C2" t="inlineStr">
        <is>
          <t>WASHINGTON</t>
        </is>
      </c>
      <c r="D2" t="inlineStr">
        <is>
          <t>2026</t>
        </is>
      </c>
      <c r="E2" t="inlineStr">
        <is>
          <t>1</t>
        </is>
      </c>
      <c r="F2" t="inlineStr">
        <is>
          <t>DIRECTOCHF, DIRECTO, MANDARINA, INDUSTRIA, CITRICOS</t>
        </is>
      </c>
      <c r="G2" t="n">
        <v>2</v>
      </c>
      <c r="H2" t="n">
        <v>2</v>
      </c>
      <c r="I2" t="n">
        <v>4</v>
      </c>
      <c r="J2" t="n">
        <v>0</v>
      </c>
      <c r="K2" t="n">
        <v>0</v>
      </c>
      <c r="L2" t="n">
        <v>2.86</v>
      </c>
      <c r="M2" t="n">
        <v>195</v>
      </c>
      <c r="N2" t="n">
        <v>557.7</v>
      </c>
      <c r="O2" t="n">
        <v>51026</v>
      </c>
      <c r="P2" t="n">
        <v>0.01092972210245757</v>
      </c>
      <c r="Q2" t="n">
        <v>24906</v>
      </c>
      <c r="R2" t="n">
        <v>272.22</v>
      </c>
      <c r="S2" t="n">
        <v>0</v>
      </c>
      <c r="T2" t="n">
        <v>272.22</v>
      </c>
      <c r="U2" t="n">
        <v>285.48</v>
      </c>
      <c r="V2" t="inlineStr">
        <is>
          <t>OPEN</t>
        </is>
      </c>
      <c r="W2" t="inlineStr">
        <is>
          <t>calculated</t>
        </is>
      </c>
      <c r="X2" t="inlineStr">
        <is>
          <t>2 entregas ya figuran como liquidadas.; No existe tarifa BonCalidad para socio=1462 campaña=2026 empresa=1 cultivo=DIRECTO.; No existe fuente acumulada disponible; saldo informativo calculado con cuota ya aplicada = 0.</t>
        </is>
      </c>
      <c r="Y2" t="inlineStr">
        <is>
          <t>SÍ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Boleta</t>
        </is>
      </c>
      <c r="D1" t="inlineStr">
        <is>
          <t>RowId parcela</t>
        </is>
      </c>
      <c r="E1" t="inlineStr">
        <is>
          <t>Polígono</t>
        </is>
      </c>
      <c r="F1" t="inlineStr">
        <is>
          <t>Parcela</t>
        </is>
      </c>
      <c r="G1" t="inlineStr">
        <is>
          <t>Recinto</t>
        </is>
      </c>
      <c r="H1" t="inlineStr">
        <is>
          <t>Año</t>
        </is>
      </c>
      <c r="I1" t="inlineStr">
        <is>
          <t>SupCul</t>
        </is>
      </c>
      <c r="J1" t="inlineStr">
        <is>
          <t>CHA</t>
        </is>
      </c>
      <c r="K1" t="inlineStr">
        <is>
          <t>Baja</t>
        </is>
      </c>
      <c r="L1" t="inlineStr">
        <is>
          <t>Cumple antigüedad</t>
        </is>
      </c>
      <c r="M1" t="inlineStr">
        <is>
          <t>Incluida</t>
        </is>
      </c>
      <c r="N1" t="inlineStr">
        <is>
          <t>Motivo</t>
        </is>
      </c>
      <c r="O1" t="inlineStr">
        <is>
          <t>Superficie acumulada socio</t>
        </is>
      </c>
      <c r="P1" t="inlineStr">
        <is>
          <t>Cuota total anual</t>
        </is>
      </c>
      <c r="Q1" t="inlineStr">
        <is>
          <t>Kilos elegibles</t>
        </is>
      </c>
      <c r="R1" t="inlineStr">
        <is>
          <t>Proporción</t>
        </is>
      </c>
      <c r="S1" t="inlineStr">
        <is>
          <t>Kilos remesa</t>
        </is>
      </c>
      <c r="T1" t="inlineStr">
        <is>
          <t>Cuota remesa</t>
        </is>
      </c>
    </row>
    <row r="2">
      <c r="A2" t="n">
        <v>1462</v>
      </c>
      <c r="B2" t="inlineStr">
        <is>
          <t>GARCIA TORO,RAFAEL</t>
        </is>
      </c>
      <c r="C2" t="n">
        <v>1</v>
      </c>
      <c r="D2" t="inlineStr">
        <is>
          <t>8923</t>
        </is>
      </c>
      <c r="E2" t="inlineStr">
        <is>
          <t>23</t>
        </is>
      </c>
      <c r="F2" t="inlineStr">
        <is>
          <t>141</t>
        </is>
      </c>
      <c r="G2" t="inlineStr">
        <is>
          <t>1</t>
        </is>
      </c>
      <c r="H2" t="n">
        <v>1951</v>
      </c>
      <c r="I2" t="n">
        <v>1.86</v>
      </c>
      <c r="J2" t="n">
        <v>1</v>
      </c>
      <c r="L2" t="inlineStr">
        <is>
          <t>Sí</t>
        </is>
      </c>
      <c r="M2" t="inlineStr">
        <is>
          <t>Sí</t>
        </is>
      </c>
      <c r="N2" t="inlineStr">
        <is>
          <t>VALIDA</t>
        </is>
      </c>
      <c r="O2" t="n">
        <v>2.86</v>
      </c>
      <c r="P2" t="n">
        <v>557.7</v>
      </c>
      <c r="Q2" t="n">
        <v>51026</v>
      </c>
      <c r="R2" t="n">
        <v>0.01092972210245757</v>
      </c>
      <c r="S2" t="n">
        <v>24906</v>
      </c>
      <c r="T2" t="n">
        <v>272.22</v>
      </c>
    </row>
    <row r="3">
      <c r="A3" t="n">
        <v>1462</v>
      </c>
      <c r="B3" t="inlineStr">
        <is>
          <t>GARCIA TORO,RAFAEL</t>
        </is>
      </c>
      <c r="C3" t="n">
        <v>1</v>
      </c>
      <c r="D3" t="inlineStr">
        <is>
          <t>8924</t>
        </is>
      </c>
      <c r="E3" t="inlineStr">
        <is>
          <t>23</t>
        </is>
      </c>
      <c r="F3" t="inlineStr">
        <is>
          <t>140</t>
        </is>
      </c>
      <c r="G3" t="inlineStr">
        <is>
          <t>1</t>
        </is>
      </c>
      <c r="H3" t="n">
        <v>1951</v>
      </c>
      <c r="I3" t="n">
        <v>0.18</v>
      </c>
      <c r="J3" t="n">
        <v>1</v>
      </c>
      <c r="L3" t="inlineStr">
        <is>
          <t>Sí</t>
        </is>
      </c>
      <c r="M3" t="inlineStr">
        <is>
          <t>Sí</t>
        </is>
      </c>
      <c r="N3" t="inlineStr">
        <is>
          <t>VALIDA</t>
        </is>
      </c>
      <c r="O3" t="n">
        <v>2.86</v>
      </c>
      <c r="P3" t="n">
        <v>557.7</v>
      </c>
      <c r="Q3" t="n">
        <v>51026</v>
      </c>
      <c r="R3" t="n">
        <v>0.01092972210245757</v>
      </c>
      <c r="S3" t="n">
        <v>24906</v>
      </c>
      <c r="T3" t="n">
        <v>272.22</v>
      </c>
    </row>
    <row r="4">
      <c r="A4" t="n">
        <v>1462</v>
      </c>
      <c r="B4" t="inlineStr">
        <is>
          <t>GARCIA TORO,RAFAEL</t>
        </is>
      </c>
      <c r="C4" t="n">
        <v>2</v>
      </c>
      <c r="D4" t="inlineStr">
        <is>
          <t>8925</t>
        </is>
      </c>
      <c r="E4" t="inlineStr">
        <is>
          <t>23</t>
        </is>
      </c>
      <c r="F4" t="inlineStr">
        <is>
          <t>140</t>
        </is>
      </c>
      <c r="G4" t="inlineStr">
        <is>
          <t>1</t>
        </is>
      </c>
      <c r="H4" t="n">
        <v>1951</v>
      </c>
      <c r="I4" t="n">
        <v>0.62</v>
      </c>
      <c r="J4" t="n">
        <v>1</v>
      </c>
      <c r="L4" t="inlineStr">
        <is>
          <t>Sí</t>
        </is>
      </c>
      <c r="M4" t="inlineStr">
        <is>
          <t>Sí</t>
        </is>
      </c>
      <c r="N4" t="inlineStr">
        <is>
          <t>VALIDA</t>
        </is>
      </c>
      <c r="O4" t="n">
        <v>2.86</v>
      </c>
      <c r="P4" t="n">
        <v>557.7</v>
      </c>
      <c r="Q4" t="n">
        <v>51026</v>
      </c>
      <c r="R4" t="n">
        <v>0.01092972210245757</v>
      </c>
      <c r="S4" t="n">
        <v>24906</v>
      </c>
      <c r="T4" t="n">
        <v>272.22</v>
      </c>
    </row>
    <row r="5">
      <c r="A5" t="n">
        <v>1462</v>
      </c>
      <c r="B5" t="inlineStr">
        <is>
          <t>GARCIA TORO,RAFAEL</t>
        </is>
      </c>
      <c r="C5" t="n">
        <v>2</v>
      </c>
      <c r="D5" t="inlineStr">
        <is>
          <t>8926</t>
        </is>
      </c>
      <c r="E5" t="inlineStr">
        <is>
          <t>23</t>
        </is>
      </c>
      <c r="F5" t="inlineStr">
        <is>
          <t>141</t>
        </is>
      </c>
      <c r="G5" t="inlineStr">
        <is>
          <t>1</t>
        </is>
      </c>
      <c r="H5" t="n">
        <v>1951</v>
      </c>
      <c r="I5" t="n">
        <v>0.2</v>
      </c>
      <c r="J5" t="n">
        <v>1</v>
      </c>
      <c r="L5" t="inlineStr">
        <is>
          <t>Sí</t>
        </is>
      </c>
      <c r="M5" t="inlineStr">
        <is>
          <t>Sí</t>
        </is>
      </c>
      <c r="N5" t="inlineStr">
        <is>
          <t>VALIDA</t>
        </is>
      </c>
      <c r="O5" t="n">
        <v>2.86</v>
      </c>
      <c r="P5" t="n">
        <v>557.7</v>
      </c>
      <c r="Q5" t="n">
        <v>51026</v>
      </c>
      <c r="R5" t="n">
        <v>0.01092972210245757</v>
      </c>
      <c r="S5" t="n">
        <v>24906</v>
      </c>
      <c r="T5" t="n">
        <v>272.22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Registro</t>
        </is>
      </c>
      <c r="D1" t="inlineStr">
        <is>
          <t>Fecha</t>
        </is>
      </c>
      <c r="E1" t="inlineStr">
        <is>
          <t>Campaña</t>
        </is>
      </c>
      <c r="F1" t="inlineStr">
        <is>
          <t>Empresa</t>
        </is>
      </c>
      <c r="G1" t="inlineStr">
        <is>
          <t>Cultivo</t>
        </is>
      </c>
      <c r="H1" t="inlineStr">
        <is>
          <t>Variedad</t>
        </is>
      </c>
      <c r="I1" t="inlineStr">
        <is>
          <t>Boleta</t>
        </is>
      </c>
      <c r="J1" t="inlineStr">
        <is>
          <t>Neto</t>
        </is>
      </c>
      <c r="K1" t="inlineStr">
        <is>
          <t>NetoPartida</t>
        </is>
      </c>
      <c r="L1" t="inlineStr">
        <is>
          <t>NetoEfectivo</t>
        </is>
      </c>
      <c r="M1" t="inlineStr">
        <is>
          <t>Incluida en denominador</t>
        </is>
      </c>
      <c r="N1" t="inlineStr">
        <is>
          <t>Motivo exclusión</t>
        </is>
      </c>
      <c r="O1" t="inlineStr">
        <is>
          <t>Boleta apta para cuota</t>
        </is>
      </c>
      <c r="P1" t="inlineStr">
        <is>
          <t>Relevancia de boleta</t>
        </is>
      </c>
    </row>
    <row r="2">
      <c r="A2" t="n">
        <v>1462</v>
      </c>
      <c r="B2" t="inlineStr">
        <is>
          <t>GARCIA TORO,RAFAEL</t>
        </is>
      </c>
      <c r="E2" t="n">
        <v>2026</v>
      </c>
      <c r="F2" t="n">
        <v>1</v>
      </c>
      <c r="G2" t="inlineStr">
        <is>
          <t>DIRECTO</t>
        </is>
      </c>
      <c r="H2" t="inlineStr">
        <is>
          <t>WASHINGTON</t>
        </is>
      </c>
      <c r="I2" t="n">
        <v>2</v>
      </c>
      <c r="J2" t="n">
        <v>12060</v>
      </c>
      <c r="K2" t="n">
        <v>0</v>
      </c>
      <c r="L2" t="n">
        <v>12060</v>
      </c>
      <c r="M2" t="inlineStr">
        <is>
          <t>Sí</t>
        </is>
      </c>
      <c r="N2" t="inlineStr"/>
      <c r="O2" t="inlineStr">
        <is>
          <t>Informativa</t>
        </is>
      </c>
      <c r="P2" t="inlineStr">
        <is>
          <t>No interviene en el prorrateo</t>
        </is>
      </c>
    </row>
    <row r="3">
      <c r="A3" t="n">
        <v>1462</v>
      </c>
      <c r="B3" t="inlineStr">
        <is>
          <t>GARCIA TORO,RAFAEL</t>
        </is>
      </c>
      <c r="E3" t="n">
        <v>2026</v>
      </c>
      <c r="F3" t="n">
        <v>1</v>
      </c>
      <c r="G3" t="inlineStr">
        <is>
          <t>DIRECTO</t>
        </is>
      </c>
      <c r="H3" t="inlineStr">
        <is>
          <t>WASHINGTON</t>
        </is>
      </c>
      <c r="I3" t="n">
        <v>2</v>
      </c>
      <c r="J3" t="n">
        <v>12846</v>
      </c>
      <c r="K3" t="n">
        <v>0</v>
      </c>
      <c r="L3" t="n">
        <v>12846</v>
      </c>
      <c r="M3" t="inlineStr">
        <is>
          <t>Sí</t>
        </is>
      </c>
      <c r="N3" t="inlineStr"/>
      <c r="O3" t="inlineStr">
        <is>
          <t>Informativa</t>
        </is>
      </c>
      <c r="P3" t="inlineStr">
        <is>
          <t>No interviene en el prorrateo</t>
        </is>
      </c>
    </row>
    <row r="4">
      <c r="A4" t="n">
        <v>1462</v>
      </c>
      <c r="B4" t="inlineStr">
        <is>
          <t>GARCIA TORO,RAFAEL</t>
        </is>
      </c>
      <c r="E4" t="n">
        <v>2026</v>
      </c>
      <c r="F4" t="n">
        <v>1</v>
      </c>
      <c r="G4" t="inlineStr">
        <is>
          <t>INDUSTRIA</t>
        </is>
      </c>
      <c r="H4" t="inlineStr">
        <is>
          <t>SALUSTIANA</t>
        </is>
      </c>
      <c r="I4" t="n">
        <v>1</v>
      </c>
      <c r="J4" t="n">
        <v>26120</v>
      </c>
      <c r="K4" t="n">
        <v>0</v>
      </c>
      <c r="L4" t="n">
        <v>26120</v>
      </c>
      <c r="M4" t="inlineStr">
        <is>
          <t>Sí</t>
        </is>
      </c>
      <c r="N4" t="inlineStr"/>
      <c r="O4" t="inlineStr">
        <is>
          <t>Informativa</t>
        </is>
      </c>
      <c r="P4" t="inlineStr">
        <is>
          <t>No interviene en el prorrateo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Campo</t>
        </is>
      </c>
      <c r="E1" t="inlineStr">
        <is>
          <t>Nueva app</t>
        </is>
      </c>
      <c r="F1" t="inlineStr">
        <is>
          <t>Perceco</t>
        </is>
      </c>
      <c r="G1" t="inlineStr">
        <is>
          <t>Diferencia</t>
        </is>
      </c>
      <c r="H1" t="inlineStr">
        <is>
          <t>Diferencia %</t>
        </is>
      </c>
      <c r="I1" t="inlineStr">
        <is>
          <t>Observación</t>
        </is>
      </c>
    </row>
    <row r="2">
      <c r="A2" t="n">
        <v>1462</v>
      </c>
      <c r="B2" t="inlineStr">
        <is>
          <t>GARCIA TORO,RAFAEL</t>
        </is>
      </c>
      <c r="C2" t="inlineStr">
        <is>
          <t>WASHINGTON</t>
        </is>
      </c>
      <c r="D2" t="inlineStr">
        <is>
          <t>Hectáreas</t>
        </is>
      </c>
      <c r="E2" t="n">
        <v>2.86</v>
      </c>
      <c r="I2" t="inlineStr"/>
    </row>
    <row r="3">
      <c r="A3" t="n">
        <v>1462</v>
      </c>
      <c r="B3" t="inlineStr">
        <is>
          <t>GARCIA TORO,RAFAEL</t>
        </is>
      </c>
      <c r="C3" t="inlineStr">
        <is>
          <t>WASHINGTON</t>
        </is>
      </c>
      <c r="D3" t="inlineStr">
        <is>
          <t>Cuota teórica</t>
        </is>
      </c>
      <c r="E3" t="n">
        <v>557.7</v>
      </c>
      <c r="I3" t="inlineStr"/>
    </row>
    <row r="4">
      <c r="A4" t="n">
        <v>1462</v>
      </c>
      <c r="B4" t="inlineStr">
        <is>
          <t>GARCIA TORO,RAFAEL</t>
        </is>
      </c>
      <c r="C4" t="inlineStr">
        <is>
          <t>WASHINGTON</t>
        </is>
      </c>
      <c r="D4" t="inlineStr">
        <is>
          <t>Kg campaña</t>
        </is>
      </c>
      <c r="E4" t="n">
        <v>51026</v>
      </c>
      <c r="I4" t="inlineStr"/>
    </row>
    <row r="5">
      <c r="A5" t="n">
        <v>1462</v>
      </c>
      <c r="B5" t="inlineStr">
        <is>
          <t>GARCIA TORO,RAFAEL</t>
        </is>
      </c>
      <c r="C5" t="inlineStr">
        <is>
          <t>WASHINGTON</t>
        </is>
      </c>
      <c r="D5" t="inlineStr">
        <is>
          <t>Índice</t>
        </is>
      </c>
      <c r="E5" t="n">
        <v>0.01092972210245757</v>
      </c>
      <c r="I5" t="inlineStr"/>
    </row>
    <row r="6">
      <c r="A6" t="n">
        <v>1462</v>
      </c>
      <c r="B6" t="inlineStr">
        <is>
          <t>GARCIA TORO,RAFAEL</t>
        </is>
      </c>
      <c r="C6" t="inlineStr">
        <is>
          <t>WASHINGTON</t>
        </is>
      </c>
      <c r="D6" t="inlineStr">
        <is>
          <t>Kg remesa</t>
        </is>
      </c>
      <c r="E6" t="n">
        <v>24906</v>
      </c>
      <c r="I6" t="inlineStr"/>
    </row>
    <row r="7">
      <c r="A7" t="n">
        <v>1462</v>
      </c>
      <c r="B7" t="inlineStr">
        <is>
          <t>GARCIA TORO,RAFAEL</t>
        </is>
      </c>
      <c r="C7" t="inlineStr">
        <is>
          <t>WASHINGTON</t>
        </is>
      </c>
      <c r="D7" t="inlineStr">
        <is>
          <t>Cuota parcial</t>
        </is>
      </c>
      <c r="E7" t="n">
        <v>272.22</v>
      </c>
      <c r="I7" t="inlineStr"/>
    </row>
    <row r="8">
      <c r="A8" t="n">
        <v>1462</v>
      </c>
      <c r="B8" t="inlineStr">
        <is>
          <t>GARCIA TORO,RAFAEL</t>
        </is>
      </c>
      <c r="C8" t="inlineStr">
        <is>
          <t>WASHINGTON</t>
        </is>
      </c>
      <c r="D8" t="inlineStr">
        <is>
          <t>Importe bruto</t>
        </is>
      </c>
      <c r="E8" t="n">
        <v>7023.49</v>
      </c>
      <c r="I8" t="inlineStr"/>
    </row>
    <row r="9">
      <c r="A9" t="n">
        <v>1462</v>
      </c>
      <c r="B9" t="inlineStr">
        <is>
          <t>GARCIA TORO,RAFAEL</t>
        </is>
      </c>
      <c r="C9" t="inlineStr">
        <is>
          <t>WASHINGTON</t>
        </is>
      </c>
      <c r="D9" t="inlineStr">
        <is>
          <t>Recolección</t>
        </is>
      </c>
      <c r="E9" t="n">
        <v>0</v>
      </c>
      <c r="I9" t="inlineStr"/>
    </row>
    <row r="10">
      <c r="A10" t="n">
        <v>1462</v>
      </c>
      <c r="B10" t="inlineStr">
        <is>
          <t>GARCIA TORO,RAFAEL</t>
        </is>
      </c>
      <c r="C10" t="inlineStr">
        <is>
          <t>WASHINGTON</t>
        </is>
      </c>
      <c r="D10" t="inlineStr">
        <is>
          <t>Transporte</t>
        </is>
      </c>
      <c r="E10" t="n">
        <v>0</v>
      </c>
      <c r="I10" t="inlineStr"/>
    </row>
    <row r="11">
      <c r="A11" t="n">
        <v>1462</v>
      </c>
      <c r="B11" t="inlineStr">
        <is>
          <t>GARCIA TORO,RAFAEL</t>
        </is>
      </c>
      <c r="C11" t="inlineStr">
        <is>
          <t>WASHINGTON</t>
        </is>
      </c>
      <c r="D11" t="inlineStr">
        <is>
          <t>Calidad</t>
        </is>
      </c>
      <c r="E11" t="n">
        <v>0</v>
      </c>
      <c r="I11" t="inlineStr"/>
    </row>
    <row r="12">
      <c r="A12" t="n">
        <v>1462</v>
      </c>
      <c r="B12" t="inlineStr">
        <is>
          <t>GARCIA TORO,RAFAEL</t>
        </is>
      </c>
      <c r="C12" t="inlineStr">
        <is>
          <t>WASHINGTON</t>
        </is>
      </c>
      <c r="D12" t="inlineStr">
        <is>
          <t>GlobalGAP</t>
        </is>
      </c>
      <c r="E12" t="n">
        <v>0</v>
      </c>
      <c r="I12" t="inlineStr"/>
    </row>
    <row r="13">
      <c r="A13" t="n">
        <v>1462</v>
      </c>
      <c r="B13" t="inlineStr">
        <is>
          <t>GARCIA TORO,RAFAEL</t>
        </is>
      </c>
      <c r="C13" t="inlineStr">
        <is>
          <t>WASHINGTON</t>
        </is>
      </c>
      <c r="D13" t="inlineStr">
        <is>
          <t>Base imponible</t>
        </is>
      </c>
      <c r="E13" t="n">
        <v>6751.27</v>
      </c>
      <c r="I13" t="inlineStr"/>
    </row>
    <row r="14">
      <c r="A14" t="n">
        <v>1462</v>
      </c>
      <c r="B14" t="inlineStr">
        <is>
          <t>GARCIA TORO,RAFAEL</t>
        </is>
      </c>
      <c r="C14" t="inlineStr">
        <is>
          <t>WASHINGTON</t>
        </is>
      </c>
      <c r="D14" t="inlineStr">
        <is>
          <t>IVA</t>
        </is>
      </c>
      <c r="E14" t="n">
        <v>810.15</v>
      </c>
      <c r="I14" t="inlineStr"/>
    </row>
    <row r="15">
      <c r="A15" t="n">
        <v>1462</v>
      </c>
      <c r="B15" t="inlineStr">
        <is>
          <t>GARCIA TORO,RAFAEL</t>
        </is>
      </c>
      <c r="C15" t="inlineStr">
        <is>
          <t>WASHINGTON</t>
        </is>
      </c>
      <c r="D15" t="inlineStr">
        <is>
          <t>Retención</t>
        </is>
      </c>
      <c r="E15" t="n">
        <v>151.23</v>
      </c>
      <c r="I15" t="inlineStr"/>
    </row>
    <row r="16">
      <c r="A16" t="n">
        <v>1462</v>
      </c>
      <c r="B16" t="inlineStr">
        <is>
          <t>GARCIA TORO,RAFAEL</t>
        </is>
      </c>
      <c r="C16" t="inlineStr">
        <is>
          <t>WASHINGTON</t>
        </is>
      </c>
      <c r="D16" t="inlineStr">
        <is>
          <t>Total</t>
        </is>
      </c>
      <c r="E16" t="n">
        <v>7410.19</v>
      </c>
      <c r="I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2026-07-28T15:52:30Z</dcterms:created>
  <dcterms:modified xmlns:dcterms="http://purl.org/dc/terms/" xmlns:xsi="http://www.w3.org/2001/XMLSchema-instance" xsi:type="dcterms:W3CDTF">2026-07-28T15:52:30Z</dcterms:modified>
</cp:coreProperties>
</file>