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por remesa" sheetId="1" state="visible" r:id="rId1"/>
    <sheet xmlns:r="http://schemas.openxmlformats.org/officeDocument/2006/relationships" name="Detalle acumulado" sheetId="2" state="visible" r:id="rId2"/>
    <sheet xmlns:r="http://schemas.openxmlformats.org/officeDocument/2006/relationships" name="Incidencias" sheetId="3" state="visible" r:id="rId3"/>
    <sheet xmlns:r="http://schemas.openxmlformats.org/officeDocument/2006/relationships" name="Parámetros" sheetId="4" state="visible" r:id="rId4"/>
  </sheets>
  <definedNames>
    <definedName name="_xlnm._FilterDatabase" localSheetId="0" hidden="1">'Resumen por remesa'!$A$1:$W$53</definedName>
    <definedName name="_xlnm._FilterDatabase" localSheetId="1" hidden="1">'Detalle acumulado'!$A$1:$W$53</definedName>
    <definedName name="_xlnm._FilterDatabase" localSheetId="2" hidden="1">'Incidencias'!$A$1:$G$140</definedName>
    <definedName name="_xlnm._FilterDatabase" localSheetId="3" hidden="1">'Parámetros'!$A$1:$B$15</definedName>
  </definedNames>
  <calcPr calcId="124519" fullCalcOnLoad="1"/>
</workbook>
</file>

<file path=xl/styles.xml><?xml version="1.0" encoding="utf-8"?>
<styleSheet xmlns="http://schemas.openxmlformats.org/spreadsheetml/2006/main">
  <numFmts count="8">
    <numFmt numFmtId="164" formatCode="yyyy-mm-dd"/>
    <numFmt numFmtId="165" formatCode="DD/MM/YYYY"/>
    <numFmt numFmtId="166" formatCode="#,##0;-#,##0;-"/>
    <numFmt numFmtId="167" formatCode="#,##0.00;-#,##0.00;-"/>
    <numFmt numFmtId="168" formatCode="0.00000000;-0.00000000;-"/>
    <numFmt numFmtId="169" formatCode="0&quot;%&quot;"/>
    <numFmt numFmtId="170" formatCode="0.00;-0.00;-"/>
    <numFmt numFmtId="171" formatCode="yyyy-mm-dd h:mm:ss"/>
  </numFmts>
  <fonts count="2">
    <font>
      <name val="Calibri"/>
      <family val="2"/>
      <color theme="1"/>
      <sz val="11"/>
      <scheme val="minor"/>
    </font>
    <font>
      <b val="1"/>
    </font>
  </fonts>
  <fills count="4">
    <fill>
      <patternFill/>
    </fill>
    <fill>
      <patternFill patternType="gray125"/>
    </fill>
    <fill>
      <patternFill patternType="solid">
        <fgColor rgb="00C6E0B4"/>
      </patternFill>
    </fill>
    <fill>
      <patternFill patternType="solid">
        <fgColor rgb="00D9EAF7"/>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000000"/>
      </left>
      <right style="thin">
        <color rgb="00000000"/>
      </right>
      <top style="thin">
        <color rgb="00000000"/>
      </top>
      <bottom style="thin">
        <color rgb="00000000"/>
      </bottom>
    </border>
  </borders>
  <cellStyleXfs count="1">
    <xf numFmtId="0" fontId="0" fillId="0" borderId="0"/>
  </cellStyleXfs>
  <cellXfs count="26">
    <xf numFmtId="0" fontId="0" fillId="0" borderId="0" pivotButton="0" quotePrefix="0" xfId="0"/>
    <xf numFmtId="0" fontId="1" fillId="3" borderId="1" applyAlignment="1" pivotButton="0" quotePrefix="0" xfId="0">
      <alignment vertical="top" wrapText="1"/>
    </xf>
    <xf numFmtId="165" fontId="1" fillId="3" borderId="1" applyAlignment="1" pivotButton="0" quotePrefix="0" xfId="0">
      <alignment vertical="top" wrapText="1"/>
    </xf>
    <xf numFmtId="166" fontId="1" fillId="3" borderId="1" applyAlignment="1" pivotButton="0" quotePrefix="0" xfId="0">
      <alignment vertical="top" wrapText="1"/>
    </xf>
    <xf numFmtId="167" fontId="1" fillId="3" borderId="1" applyAlignment="1" pivotButton="0" quotePrefix="0" xfId="0">
      <alignment vertical="top" wrapText="1"/>
    </xf>
    <xf numFmtId="0" fontId="0" fillId="0" borderId="1" applyAlignment="1" pivotButton="0" quotePrefix="0" xfId="0">
      <alignment vertical="top" wrapText="1"/>
    </xf>
    <xf numFmtId="165" fontId="0" fillId="0" borderId="1" applyAlignment="1" pivotButton="0" quotePrefix="0" xfId="0">
      <alignment vertical="top" wrapText="1"/>
    </xf>
    <xf numFmtId="166" fontId="0" fillId="0" borderId="1" applyAlignment="1" pivotButton="0" quotePrefix="0" xfId="0">
      <alignment vertical="top" wrapText="1"/>
    </xf>
    <xf numFmtId="167" fontId="0" fillId="0" borderId="1" applyAlignment="1" pivotButton="0" quotePrefix="0" xfId="0">
      <alignment vertical="top" wrapText="1"/>
    </xf>
    <xf numFmtId="0" fontId="1" fillId="2" borderId="1" applyAlignment="1" pivotButton="0" quotePrefix="0" xfId="0">
      <alignment vertical="top" wrapText="1"/>
    </xf>
    <xf numFmtId="165" fontId="1" fillId="2" borderId="1" applyAlignment="1" pivotButton="0" quotePrefix="0" xfId="0">
      <alignment vertical="top" wrapText="1"/>
    </xf>
    <xf numFmtId="166" fontId="1" fillId="2" borderId="1" applyAlignment="1" pivotButton="0" quotePrefix="0" xfId="0">
      <alignment vertical="top" wrapText="1"/>
    </xf>
    <xf numFmtId="167" fontId="1" fillId="2" borderId="1" applyAlignment="1" pivotButton="0" quotePrefix="0" xfId="0">
      <alignment vertical="top" wrapText="1"/>
    </xf>
    <xf numFmtId="0" fontId="1" fillId="0" borderId="2" applyAlignment="1" pivotButton="0" quotePrefix="0" xfId="0">
      <alignment horizontal="center" vertical="center" wrapText="1"/>
    </xf>
    <xf numFmtId="0" fontId="0" fillId="0" borderId="0" applyAlignment="1" pivotButton="0" quotePrefix="0" xfId="0">
      <alignment vertical="center"/>
    </xf>
    <xf numFmtId="166" fontId="0" fillId="0" borderId="0" applyAlignment="1" pivotButton="0" quotePrefix="0" xfId="0">
      <alignment vertical="center"/>
    </xf>
    <xf numFmtId="167" fontId="0" fillId="0" borderId="0" applyAlignment="1" pivotButton="0" quotePrefix="0" xfId="0">
      <alignment vertical="center"/>
    </xf>
    <xf numFmtId="168" fontId="0" fillId="0" borderId="0" applyAlignment="1" pivotButton="0" quotePrefix="0" xfId="0">
      <alignment vertical="center"/>
    </xf>
    <xf numFmtId="169" fontId="0" fillId="0" borderId="0" applyAlignment="1" pivotButton="0" quotePrefix="0" xfId="0">
      <alignment vertical="center"/>
    </xf>
    <xf numFmtId="170" fontId="0" fillId="0" borderId="0" applyAlignment="1" pivotButton="0" quotePrefix="0" xfId="0">
      <alignment vertical="center"/>
    </xf>
    <xf numFmtId="0" fontId="1" fillId="2" borderId="2" applyAlignment="1" pivotButton="0" quotePrefix="0" xfId="0">
      <alignment vertical="center"/>
    </xf>
    <xf numFmtId="166" fontId="1" fillId="2" borderId="2" applyAlignment="1" pivotButton="0" quotePrefix="0" xfId="0">
      <alignment vertical="center"/>
    </xf>
    <xf numFmtId="167" fontId="1" fillId="2" borderId="2" applyAlignment="1" pivotButton="0" quotePrefix="0" xfId="0">
      <alignment vertical="center"/>
    </xf>
    <xf numFmtId="168" fontId="1" fillId="2" borderId="2" applyAlignment="1" pivotButton="0" quotePrefix="0" xfId="0">
      <alignment vertical="center"/>
    </xf>
    <xf numFmtId="169" fontId="1" fillId="2" borderId="2" applyAlignment="1" pivotButton="0" quotePrefix="0" xfId="0">
      <alignment vertical="center"/>
    </xf>
    <xf numFmtId="170" fontId="1" fillId="2"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15" customWidth="1" min="3" max="3"/>
    <col width="15" customWidth="1" min="4" max="4"/>
    <col width="15" customWidth="1" min="5" max="5"/>
    <col width="12" customWidth="1" min="6" max="6"/>
    <col width="18" customWidth="1" min="7" max="7"/>
    <col width="13" customWidth="1" min="8" max="8"/>
    <col width="12" customWidth="1" min="9" max="9"/>
    <col width="15" customWidth="1" min="10" max="10"/>
    <col width="13" customWidth="1" min="11" max="11"/>
    <col width="19" customWidth="1" min="12" max="12"/>
    <col width="13" customWidth="1" min="13" max="13"/>
    <col width="15" customWidth="1" min="14" max="14"/>
    <col width="12" customWidth="1" min="15" max="15"/>
    <col width="12" customWidth="1" min="16" max="16"/>
    <col width="12" customWidth="1" min="17" max="17"/>
    <col width="16" customWidth="1" min="18" max="18"/>
    <col width="13" customWidth="1" min="19" max="19"/>
    <col width="19" customWidth="1" min="20" max="20"/>
    <col width="15" customWidth="1" min="21" max="21"/>
    <col width="12" customWidth="1" min="22" max="22"/>
    <col width="45" customWidth="1" min="23" max="23"/>
  </cols>
  <sheetData>
    <row r="1">
      <c r="A1" s="1" t="inlineStr">
        <is>
          <t>Id Remesa</t>
        </is>
      </c>
      <c r="B1" s="1" t="inlineStr">
        <is>
          <t>Remesa</t>
        </is>
      </c>
      <c r="C1" s="2" t="inlineStr">
        <is>
          <t>Fecha de pago</t>
        </is>
      </c>
      <c r="D1" s="2" t="inlineStr">
        <is>
          <t>Periodo desde</t>
        </is>
      </c>
      <c r="E1" s="2" t="inlineStr">
        <is>
          <t>Periodo hasta</t>
        </is>
      </c>
      <c r="F1" s="1" t="inlineStr">
        <is>
          <t>Categoría</t>
        </is>
      </c>
      <c r="G1" s="1" t="inlineStr">
        <is>
          <t>Tipo liquidación</t>
        </is>
      </c>
      <c r="H1" s="3" t="inlineStr">
        <is>
          <t>Nº entregas</t>
        </is>
      </c>
      <c r="I1" s="3" t="inlineStr">
        <is>
          <t>Nº socios</t>
        </is>
      </c>
      <c r="J1" s="3" t="inlineStr">
        <is>
          <t>Nº variedades</t>
        </is>
      </c>
      <c r="K1" s="3" t="inlineStr">
        <is>
          <t>Kilos netos</t>
        </is>
      </c>
      <c r="L1" s="4" t="inlineStr">
        <is>
          <t>Importe comercial</t>
        </is>
      </c>
      <c r="M1" s="4" t="inlineStr">
        <is>
          <t>Recolección</t>
        </is>
      </c>
      <c r="N1" s="4" t="inlineStr">
        <is>
          <t>Calidad</t>
        </is>
      </c>
      <c r="O1" s="4" t="inlineStr">
        <is>
          <t>Transporte</t>
        </is>
      </c>
      <c r="P1" s="4" t="inlineStr">
        <is>
          <t>GlobalGAP</t>
        </is>
      </c>
      <c r="Q1" s="4" t="inlineStr">
        <is>
          <t>Cuota Ha</t>
        </is>
      </c>
      <c r="R1" s="4" t="inlineStr">
        <is>
          <t>Base imponible</t>
        </is>
      </c>
      <c r="S1" s="4" t="inlineStr">
        <is>
          <t>Importe IVA</t>
        </is>
      </c>
      <c r="T1" s="4" t="inlineStr">
        <is>
          <t>Importe retención</t>
        </is>
      </c>
      <c r="U1" s="4" t="inlineStr">
        <is>
          <t>Importe total</t>
        </is>
      </c>
      <c r="V1" s="1" t="inlineStr">
        <is>
          <t>Estado</t>
        </is>
      </c>
      <c r="W1" s="1" t="inlineStr">
        <is>
          <t>Carpeta de salida</t>
        </is>
      </c>
    </row>
    <row r="2">
      <c r="A2" s="5" t="n">
        <v>2185</v>
      </c>
      <c r="B2" s="5" t="inlineStr">
        <is>
          <t>Tango Semana 5 NORMAL</t>
        </is>
      </c>
      <c r="C2" s="6" t="n">
        <v>46239</v>
      </c>
      <c r="D2" s="6" t="n">
        <v>46048</v>
      </c>
      <c r="E2" s="6" t="n">
        <v>46054</v>
      </c>
      <c r="F2" s="5" t="inlineStr">
        <is>
          <t>NORMAL</t>
        </is>
      </c>
      <c r="G2" s="5" t="inlineStr">
        <is>
          <t>Final</t>
        </is>
      </c>
      <c r="H2" s="7" t="n">
        <v>5</v>
      </c>
      <c r="I2" s="7" t="n">
        <v>1</v>
      </c>
      <c r="J2" s="7" t="n">
        <v>1</v>
      </c>
      <c r="K2" s="7" t="n">
        <v>105845</v>
      </c>
      <c r="L2" s="8" t="n">
        <v>86738.78999999999</v>
      </c>
      <c r="M2" s="8" t="n">
        <v>0</v>
      </c>
      <c r="N2" s="8" t="n">
        <v>0</v>
      </c>
      <c r="O2" s="8" t="n">
        <v>0</v>
      </c>
      <c r="P2" s="8" t="n">
        <v>0</v>
      </c>
      <c r="Q2" s="8" t="n">
        <v>860.59</v>
      </c>
      <c r="R2" s="8" t="n">
        <v>86182.45</v>
      </c>
      <c r="S2" s="8" t="n">
        <v>10341.89</v>
      </c>
      <c r="T2" s="8" t="n">
        <v>1930.49</v>
      </c>
      <c r="U2" s="8" t="n">
        <v>94593.86</v>
      </c>
      <c r="V2" s="5" t="inlineStr">
        <is>
          <t>SUCCESS</t>
        </is>
      </c>
      <c r="W2" s="5" t="inlineStr">
        <is>
          <t>C:\Liquidaciones\salidas\remesas\2026\DIRECTO\Tango_Semana_5_NORMAL</t>
        </is>
      </c>
    </row>
    <row r="3">
      <c r="A3" s="5" t="n">
        <v>2186</v>
      </c>
      <c r="B3" s="5" t="inlineStr">
        <is>
          <t>Tango Semana 6 NORMAL</t>
        </is>
      </c>
      <c r="C3" s="6" t="n">
        <v>46239</v>
      </c>
      <c r="D3" s="6" t="n">
        <v>46055</v>
      </c>
      <c r="E3" s="6" t="n">
        <v>46061</v>
      </c>
      <c r="F3" s="5" t="inlineStr">
        <is>
          <t>NORMAL</t>
        </is>
      </c>
      <c r="G3" s="5" t="inlineStr">
        <is>
          <t>Final</t>
        </is>
      </c>
      <c r="H3" s="7" t="n">
        <v>1</v>
      </c>
      <c r="I3" s="7" t="n">
        <v>1</v>
      </c>
      <c r="J3" s="7" t="n">
        <v>1</v>
      </c>
      <c r="K3" s="7" t="n">
        <v>20120</v>
      </c>
      <c r="L3" s="8" t="n">
        <v>15968.99</v>
      </c>
      <c r="M3" s="8" t="n">
        <v>0</v>
      </c>
      <c r="N3" s="8" t="n">
        <v>0</v>
      </c>
      <c r="O3" s="8" t="n">
        <v>0</v>
      </c>
      <c r="P3" s="8" t="n">
        <v>0</v>
      </c>
      <c r="Q3" s="8" t="n">
        <v>163.59</v>
      </c>
      <c r="R3" s="8" t="n">
        <v>15863.23</v>
      </c>
      <c r="S3" s="8" t="n">
        <v>1903.59</v>
      </c>
      <c r="T3" s="8" t="n">
        <v>355.34</v>
      </c>
      <c r="U3" s="8" t="n">
        <v>17411.48</v>
      </c>
      <c r="V3" s="5" t="inlineStr">
        <is>
          <t>SUCCESS</t>
        </is>
      </c>
      <c r="W3" s="5" t="inlineStr">
        <is>
          <t>C:\Liquidaciones\salidas\remesas\2026\DIRECTO\Tango_Semana_6_NORMAL</t>
        </is>
      </c>
    </row>
    <row r="4">
      <c r="A4" s="5" t="n">
        <v>2267</v>
      </c>
      <c r="B4" s="5" t="inlineStr">
        <is>
          <t>Final ANGELES DURAN (1251) NAVELINA</t>
        </is>
      </c>
      <c r="C4" s="6" t="n">
        <v>46249</v>
      </c>
      <c r="D4" s="6" t="n">
        <v>45901</v>
      </c>
      <c r="E4" s="6" t="n">
        <v>46265</v>
      </c>
      <c r="F4" s="5" t="inlineStr">
        <is>
          <t>NORMAL</t>
        </is>
      </c>
      <c r="G4" s="5" t="inlineStr">
        <is>
          <t>Final</t>
        </is>
      </c>
      <c r="H4" s="7" t="n">
        <v>3</v>
      </c>
      <c r="I4" s="7" t="n">
        <v>1</v>
      </c>
      <c r="J4" s="7" t="n">
        <v>1</v>
      </c>
      <c r="K4" s="7" t="n">
        <v>51468</v>
      </c>
      <c r="L4" s="8" t="n">
        <v>19660.78</v>
      </c>
      <c r="M4" s="8" t="n">
        <v>0</v>
      </c>
      <c r="N4" s="8" t="n">
        <v>0</v>
      </c>
      <c r="O4" s="8" t="n">
        <v>0</v>
      </c>
      <c r="P4" s="8" t="n">
        <v>0</v>
      </c>
      <c r="Q4" s="8" t="n">
        <v>234.65</v>
      </c>
      <c r="R4" s="8" t="n">
        <v>19426.13</v>
      </c>
      <c r="S4" s="8" t="n">
        <v>2331.14</v>
      </c>
      <c r="T4" s="8" t="n">
        <v>435.15</v>
      </c>
      <c r="U4" s="8" t="n">
        <v>21322.12</v>
      </c>
      <c r="V4" s="5" t="inlineStr">
        <is>
          <t>SUCCESS</t>
        </is>
      </c>
      <c r="W4" s="5" t="inlineStr">
        <is>
          <t>C:\Liquidaciones\salidas\remesas\2026\DIRECTO\Final_ANGELES_DURAN_(1251)_NAVELINA</t>
        </is>
      </c>
    </row>
    <row r="5">
      <c r="A5" s="5" t="n">
        <v>2268</v>
      </c>
      <c r="B5" s="5" t="inlineStr">
        <is>
          <t>Final ALVARO HARO (1544) NAVELINA</t>
        </is>
      </c>
      <c r="C5" s="6" t="n">
        <v>46249</v>
      </c>
      <c r="D5" s="6" t="n">
        <v>45901</v>
      </c>
      <c r="E5" s="6" t="n">
        <v>46265</v>
      </c>
      <c r="F5" s="5" t="inlineStr">
        <is>
          <t>NORMAL</t>
        </is>
      </c>
      <c r="G5" s="5" t="inlineStr">
        <is>
          <t>Final</t>
        </is>
      </c>
      <c r="H5" s="7" t="n">
        <v>2</v>
      </c>
      <c r="I5" s="7" t="n">
        <v>1</v>
      </c>
      <c r="J5" s="7" t="n">
        <v>1</v>
      </c>
      <c r="K5" s="7" t="n">
        <v>13962</v>
      </c>
      <c r="L5" s="8" t="n">
        <v>5358.62</v>
      </c>
      <c r="M5" s="8" t="n">
        <v>0</v>
      </c>
      <c r="N5" s="8" t="n">
        <v>0</v>
      </c>
      <c r="O5" s="8" t="n">
        <v>0</v>
      </c>
      <c r="P5" s="8" t="n">
        <v>0</v>
      </c>
      <c r="Q5" s="8" t="n">
        <v>78.55</v>
      </c>
      <c r="R5" s="8" t="n">
        <v>5280.07</v>
      </c>
      <c r="S5" s="8" t="n">
        <v>633.61</v>
      </c>
      <c r="T5" s="8" t="n">
        <v>118.27</v>
      </c>
      <c r="U5" s="8" t="n">
        <v>5795.4</v>
      </c>
      <c r="V5" s="5" t="inlineStr">
        <is>
          <t>SUCCESS</t>
        </is>
      </c>
      <c r="W5" s="5" t="inlineStr">
        <is>
          <t>C:\Liquidaciones\salidas\remesas\2026\DIRECTO\Final_ALVARO_HARO_(1544)_NAVELINA</t>
        </is>
      </c>
    </row>
    <row r="6">
      <c r="A6" s="5" t="n">
        <v>2269</v>
      </c>
      <c r="B6" s="5" t="inlineStr">
        <is>
          <t>Final JUAN MARTINEZ LOPEZ DE ROZAS (1429) NAVELINA</t>
        </is>
      </c>
      <c r="C6" s="6" t="n">
        <v>46249</v>
      </c>
      <c r="D6" s="6" t="n">
        <v>45901</v>
      </c>
      <c r="E6" s="6" t="n">
        <v>46265</v>
      </c>
      <c r="F6" s="5" t="inlineStr">
        <is>
          <t>NORMAL</t>
        </is>
      </c>
      <c r="G6" s="5" t="inlineStr">
        <is>
          <t>Final</t>
        </is>
      </c>
      <c r="H6" s="7" t="n">
        <v>4</v>
      </c>
      <c r="I6" s="7" t="n">
        <v>1</v>
      </c>
      <c r="J6" s="7" t="n">
        <v>1</v>
      </c>
      <c r="K6" s="7" t="n">
        <v>76460</v>
      </c>
      <c r="L6" s="8" t="n">
        <v>28290.2</v>
      </c>
      <c r="M6" s="8" t="n">
        <v>0</v>
      </c>
      <c r="N6" s="8" t="n">
        <v>0</v>
      </c>
      <c r="O6" s="8" t="n">
        <v>0</v>
      </c>
      <c r="P6" s="8" t="n">
        <v>0</v>
      </c>
      <c r="Q6" s="8" t="n">
        <v>758.24</v>
      </c>
      <c r="R6" s="8" t="n">
        <v>27531.96</v>
      </c>
      <c r="S6" s="8" t="n">
        <v>3303.84</v>
      </c>
      <c r="T6" s="8" t="n">
        <v>616.72</v>
      </c>
      <c r="U6" s="8" t="n">
        <v>30219.08</v>
      </c>
      <c r="V6" s="5" t="inlineStr">
        <is>
          <t>SUCCESS</t>
        </is>
      </c>
      <c r="W6" s="5" t="inlineStr">
        <is>
          <t>C:\Liquidaciones\salidas\remesas\2026\DIRECTO\Final_JUAN_MARTINEZ_LOPEZ_DE_ROZAS_(1429)_NAVELINA</t>
        </is>
      </c>
    </row>
    <row r="7">
      <c r="A7" s="5" t="n">
        <v>2270</v>
      </c>
      <c r="B7" s="5" t="inlineStr">
        <is>
          <t>Final J. A. RODRIGUEZ MEJIAS (1523) FUKUMOTO</t>
        </is>
      </c>
      <c r="C7" s="6" t="n">
        <v>46249</v>
      </c>
      <c r="D7" s="6" t="n">
        <v>45901</v>
      </c>
      <c r="E7" s="6" t="n">
        <v>46265</v>
      </c>
      <c r="F7" s="5" t="inlineStr">
        <is>
          <t>NORMAL</t>
        </is>
      </c>
      <c r="G7" s="5" t="inlineStr">
        <is>
          <t>Final</t>
        </is>
      </c>
      <c r="H7" s="7" t="n">
        <v>3</v>
      </c>
      <c r="I7" s="7" t="n">
        <v>1</v>
      </c>
      <c r="J7" s="7" t="n">
        <v>1</v>
      </c>
      <c r="K7" s="7" t="n">
        <v>60605</v>
      </c>
      <c r="L7" s="8" t="n">
        <v>21939.01</v>
      </c>
      <c r="M7" s="8" t="n">
        <v>0</v>
      </c>
      <c r="N7" s="8" t="n">
        <v>0</v>
      </c>
      <c r="O7" s="8" t="n">
        <v>0</v>
      </c>
      <c r="P7" s="8" t="n">
        <v>0</v>
      </c>
      <c r="Q7" s="8" t="n">
        <v>440.33</v>
      </c>
      <c r="R7" s="8" t="n">
        <v>21498.68</v>
      </c>
      <c r="S7" s="8" t="n">
        <v>2579.84</v>
      </c>
      <c r="T7" s="8" t="n">
        <v>481.57</v>
      </c>
      <c r="U7" s="8" t="n">
        <v>23596.95</v>
      </c>
      <c r="V7" s="5" t="inlineStr">
        <is>
          <t>SUCCESS</t>
        </is>
      </c>
      <c r="W7" s="5" t="inlineStr">
        <is>
          <t>C:\Liquidaciones\salidas\remesas\2026\DIRECTO\Final_J._A._RODRIGUEZ_MEJIAS_(1523)_FUKUMOTO</t>
        </is>
      </c>
    </row>
    <row r="8">
      <c r="A8" s="5" t="n">
        <v>2271</v>
      </c>
      <c r="B8" s="5" t="inlineStr">
        <is>
          <t>Final J. A. RODRIGUEZ MEJIAS (1523) POMELOS</t>
        </is>
      </c>
      <c r="C8" s="6" t="n">
        <v>46249</v>
      </c>
      <c r="D8" s="6" t="n">
        <v>45901</v>
      </c>
      <c r="E8" s="6" t="n">
        <v>46265</v>
      </c>
      <c r="F8" s="5" t="inlineStr">
        <is>
          <t>NORMAL</t>
        </is>
      </c>
      <c r="G8" s="5" t="inlineStr">
        <is>
          <t>Final</t>
        </is>
      </c>
      <c r="H8" s="7" t="n">
        <v>5</v>
      </c>
      <c r="I8" s="7" t="n">
        <v>1</v>
      </c>
      <c r="J8" s="7" t="n">
        <v>1</v>
      </c>
      <c r="K8" s="7" t="n">
        <v>71633</v>
      </c>
      <c r="L8" s="8" t="n">
        <v>18963.33</v>
      </c>
      <c r="M8" s="8" t="n">
        <v>4222.58</v>
      </c>
      <c r="N8" s="8" t="n">
        <v>4222.57982053</v>
      </c>
      <c r="O8" s="8" t="n">
        <v>0</v>
      </c>
      <c r="P8" s="8" t="n">
        <v>0</v>
      </c>
      <c r="Q8" s="8" t="n">
        <v>520.46</v>
      </c>
      <c r="R8" s="8" t="n">
        <v>18442.87</v>
      </c>
      <c r="S8" s="8" t="n">
        <v>2213.14</v>
      </c>
      <c r="T8" s="8" t="n">
        <v>413.12</v>
      </c>
      <c r="U8" s="8" t="n">
        <v>20242.89</v>
      </c>
      <c r="V8" s="5" t="inlineStr">
        <is>
          <t>SUCCESS</t>
        </is>
      </c>
      <c r="W8" s="5" t="inlineStr">
        <is>
          <t>C:\Liquidaciones\salidas\remesas\2026\DIRECTO\Final_J._A._RODRIGUEZ_MEJIAS_(1523)_POMELOS</t>
        </is>
      </c>
    </row>
    <row r="9">
      <c r="A9" s="5" t="n">
        <v>2272</v>
      </c>
      <c r="B9" s="5" t="inlineStr">
        <is>
          <t>Final JUAN FRANCISCO BARRERA PERA (1463) NAVELINA</t>
        </is>
      </c>
      <c r="C9" s="6" t="n">
        <v>46249</v>
      </c>
      <c r="D9" s="6" t="n">
        <v>45901</v>
      </c>
      <c r="E9" s="6" t="n">
        <v>46265</v>
      </c>
      <c r="F9" s="5" t="inlineStr">
        <is>
          <t>NORMAL</t>
        </is>
      </c>
      <c r="G9" s="5" t="inlineStr">
        <is>
          <t>Final</t>
        </is>
      </c>
      <c r="H9" s="7" t="n">
        <v>2</v>
      </c>
      <c r="I9" s="7" t="n">
        <v>1</v>
      </c>
      <c r="J9" s="7" t="n">
        <v>1</v>
      </c>
      <c r="K9" s="7" t="n">
        <v>33020</v>
      </c>
      <c r="L9" s="8" t="n">
        <v>11623.04</v>
      </c>
      <c r="M9" s="8" t="n">
        <v>0</v>
      </c>
      <c r="N9" s="8" t="n">
        <v>0</v>
      </c>
      <c r="O9" s="8" t="n">
        <v>0</v>
      </c>
      <c r="P9" s="8" t="n">
        <v>0</v>
      </c>
      <c r="Q9" s="8" t="n">
        <v>380.25</v>
      </c>
      <c r="R9" s="8" t="n">
        <v>11242.79</v>
      </c>
      <c r="S9" s="8" t="n">
        <v>1349.13</v>
      </c>
      <c r="T9" s="8" t="n">
        <v>251.84</v>
      </c>
      <c r="U9" s="8" t="n">
        <v>12340.09</v>
      </c>
      <c r="V9" s="5" t="inlineStr">
        <is>
          <t>SUCCESS</t>
        </is>
      </c>
      <c r="W9" s="5" t="inlineStr">
        <is>
          <t>C:\Liquidaciones\salidas\remesas\2026\DIRECTO\Final_JUAN_FRANCISCO_BARRERA_PERA_(1463)_NAVELINA</t>
        </is>
      </c>
    </row>
    <row r="10">
      <c r="A10" s="5" t="n">
        <v>2273</v>
      </c>
      <c r="B10" s="5" t="inlineStr">
        <is>
          <t>Final M&amp;M (1571) NAVELINA</t>
        </is>
      </c>
      <c r="C10" s="6" t="n">
        <v>46249</v>
      </c>
      <c r="D10" s="6" t="n">
        <v>45901</v>
      </c>
      <c r="E10" s="6" t="n">
        <v>46265</v>
      </c>
      <c r="F10" s="5" t="inlineStr">
        <is>
          <t>NORMAL</t>
        </is>
      </c>
      <c r="G10" s="5" t="inlineStr">
        <is>
          <t>Final</t>
        </is>
      </c>
      <c r="H10" s="7" t="n">
        <v>3</v>
      </c>
      <c r="I10" s="7" t="n">
        <v>1</v>
      </c>
      <c r="J10" s="7" t="n">
        <v>1</v>
      </c>
      <c r="K10" s="7" t="n">
        <v>67030</v>
      </c>
      <c r="L10" s="8" t="n">
        <v>25605.46</v>
      </c>
      <c r="M10" s="8" t="n">
        <v>0</v>
      </c>
      <c r="N10" s="8" t="n">
        <v>0</v>
      </c>
      <c r="O10" s="8" t="n">
        <v>0</v>
      </c>
      <c r="P10" s="8" t="n">
        <v>0</v>
      </c>
      <c r="Q10" s="8" t="n">
        <v>766.35</v>
      </c>
      <c r="R10" s="8" t="n">
        <v>24839.11</v>
      </c>
      <c r="S10" s="8" t="n">
        <v>993.5599999999999</v>
      </c>
      <c r="T10" s="8" t="n">
        <v>0</v>
      </c>
      <c r="U10" s="8" t="n">
        <v>25832.67</v>
      </c>
      <c r="V10" s="5" t="inlineStr">
        <is>
          <t>SUCCESS</t>
        </is>
      </c>
      <c r="W10" s="5" t="inlineStr">
        <is>
          <t>C:\Liquidaciones\salidas\remesas\2026\DIRECTO\Final_M&amp;M_(1571)_NAVELINA</t>
        </is>
      </c>
    </row>
    <row r="11">
      <c r="A11" s="5" t="n">
        <v>2274</v>
      </c>
      <c r="B11" s="5" t="inlineStr">
        <is>
          <t>Final EXP. AGR. ARJONA Y CRESPO (1313) NAVELINA</t>
        </is>
      </c>
      <c r="C11" s="6" t="n">
        <v>46249</v>
      </c>
      <c r="D11" s="6" t="n">
        <v>45901</v>
      </c>
      <c r="E11" s="6" t="n">
        <v>46265</v>
      </c>
      <c r="F11" s="5" t="inlineStr">
        <is>
          <t>NORMAL</t>
        </is>
      </c>
      <c r="G11" s="5" t="inlineStr">
        <is>
          <t>Final</t>
        </is>
      </c>
      <c r="H11" s="7" t="n">
        <v>7</v>
      </c>
      <c r="I11" s="7" t="n">
        <v>1</v>
      </c>
      <c r="J11" s="7" t="n">
        <v>1</v>
      </c>
      <c r="K11" s="7" t="n">
        <v>154682</v>
      </c>
      <c r="L11" s="8" t="n">
        <v>51354.42</v>
      </c>
      <c r="M11" s="8" t="n">
        <v>0</v>
      </c>
      <c r="N11" s="8" t="n">
        <v>0</v>
      </c>
      <c r="O11" s="8" t="n">
        <v>0</v>
      </c>
      <c r="P11" s="8" t="n">
        <v>0</v>
      </c>
      <c r="Q11" s="8" t="n">
        <v>978.02</v>
      </c>
      <c r="R11" s="8" t="n">
        <v>50376.4</v>
      </c>
      <c r="S11" s="8" t="n">
        <v>6045.17</v>
      </c>
      <c r="T11" s="8" t="n">
        <v>1128.43</v>
      </c>
      <c r="U11" s="8" t="n">
        <v>55293.14</v>
      </c>
      <c r="V11" s="5" t="inlineStr">
        <is>
          <t>SUCCESS</t>
        </is>
      </c>
      <c r="W11" s="5" t="inlineStr">
        <is>
          <t>C:\Liquidaciones\salidas\remesas\2026\DIRECTO\Final_EXP._AGR._ARJONA_Y_CRESPO_(1313)_NAVELINA</t>
        </is>
      </c>
    </row>
    <row r="12">
      <c r="A12" s="5" t="n">
        <v>2275</v>
      </c>
      <c r="B12" s="5" t="inlineStr">
        <is>
          <t>Final MATIAS BARRERA (1456) NAVELINA</t>
        </is>
      </c>
      <c r="C12" s="6" t="n">
        <v>46249</v>
      </c>
      <c r="D12" s="6" t="n">
        <v>45901</v>
      </c>
      <c r="E12" s="6" t="n">
        <v>46265</v>
      </c>
      <c r="F12" s="5" t="inlineStr">
        <is>
          <t>NORMAL</t>
        </is>
      </c>
      <c r="G12" s="5" t="inlineStr">
        <is>
          <t>Final</t>
        </is>
      </c>
      <c r="H12" s="7" t="n">
        <v>9</v>
      </c>
      <c r="I12" s="7" t="n">
        <v>1</v>
      </c>
      <c r="J12" s="7" t="n">
        <v>1</v>
      </c>
      <c r="K12" s="7" t="n">
        <v>181742</v>
      </c>
      <c r="L12" s="8" t="n">
        <v>67971.50999999999</v>
      </c>
      <c r="M12" s="8" t="n">
        <v>0</v>
      </c>
      <c r="N12" s="8" t="n">
        <v>0</v>
      </c>
      <c r="O12" s="8" t="n">
        <v>0</v>
      </c>
      <c r="P12" s="8" t="n">
        <v>0</v>
      </c>
      <c r="Q12" s="8" t="n">
        <v>1728.37</v>
      </c>
      <c r="R12" s="8" t="n">
        <v>66243.14</v>
      </c>
      <c r="S12" s="8" t="n">
        <v>7949.18</v>
      </c>
      <c r="T12" s="8" t="n">
        <v>1483.85</v>
      </c>
      <c r="U12" s="8" t="n">
        <v>72708.47</v>
      </c>
      <c r="V12" s="5" t="inlineStr">
        <is>
          <t>SUCCESS</t>
        </is>
      </c>
      <c r="W12" s="5" t="inlineStr">
        <is>
          <t>C:\Liquidaciones\salidas\remesas\2026\DIRECTO\Final_MATIAS_BARRERA_(1456)_NAVELINA</t>
        </is>
      </c>
    </row>
    <row r="13">
      <c r="A13" s="5" t="n">
        <v>2276</v>
      </c>
      <c r="B13" s="5" t="inlineStr">
        <is>
          <t>Final LUIS HINIESTA (1181) NAVELINA</t>
        </is>
      </c>
      <c r="C13" s="6" t="n">
        <v>46249</v>
      </c>
      <c r="D13" s="6" t="n">
        <v>45901</v>
      </c>
      <c r="E13" s="6" t="n">
        <v>46265</v>
      </c>
      <c r="F13" s="5" t="inlineStr">
        <is>
          <t>NORMAL</t>
        </is>
      </c>
      <c r="G13" s="5" t="inlineStr">
        <is>
          <t>Final</t>
        </is>
      </c>
      <c r="H13" s="7" t="n">
        <v>2</v>
      </c>
      <c r="I13" s="7" t="n">
        <v>1</v>
      </c>
      <c r="J13" s="7" t="n">
        <v>1</v>
      </c>
      <c r="K13" s="7" t="n">
        <v>46220</v>
      </c>
      <c r="L13" s="8" t="n">
        <v>14420.64</v>
      </c>
      <c r="M13" s="8" t="n">
        <v>0</v>
      </c>
      <c r="N13" s="8" t="n">
        <v>0</v>
      </c>
      <c r="O13" s="8" t="n">
        <v>0</v>
      </c>
      <c r="P13" s="8" t="n">
        <v>0</v>
      </c>
      <c r="Q13" s="8" t="n">
        <v>598.65</v>
      </c>
      <c r="R13" s="8" t="n">
        <v>13821.99</v>
      </c>
      <c r="S13" s="8" t="n">
        <v>1658.64</v>
      </c>
      <c r="T13" s="8" t="n">
        <v>309.61</v>
      </c>
      <c r="U13" s="8" t="n">
        <v>15171.02</v>
      </c>
      <c r="V13" s="5" t="inlineStr">
        <is>
          <t>SUCCESS</t>
        </is>
      </c>
      <c r="W13" s="5" t="inlineStr">
        <is>
          <t>C:\Liquidaciones\salidas\remesas\2026\DIRECTO\Final_LUIS_HINIESTA_(1181)_NAVELINA</t>
        </is>
      </c>
    </row>
    <row r="14">
      <c r="A14" s="5" t="n">
        <v>2277</v>
      </c>
      <c r="B14" s="5" t="inlineStr">
        <is>
          <t>Final ISABEL MOLINA HIDALGO (1283) NAVEL FOYOS</t>
        </is>
      </c>
      <c r="C14" s="6" t="n">
        <v>46249</v>
      </c>
      <c r="D14" s="6" t="n">
        <v>45901</v>
      </c>
      <c r="E14" s="6" t="n">
        <v>46265</v>
      </c>
      <c r="F14" s="5" t="inlineStr">
        <is>
          <t>NORMAL</t>
        </is>
      </c>
      <c r="G14" s="5" t="inlineStr">
        <is>
          <t>Final</t>
        </is>
      </c>
      <c r="H14" s="7" t="n">
        <v>8</v>
      </c>
      <c r="I14" s="7" t="n">
        <v>1</v>
      </c>
      <c r="J14" s="7" t="n">
        <v>1</v>
      </c>
      <c r="K14" s="7" t="n">
        <v>170966</v>
      </c>
      <c r="L14" s="8" t="n">
        <v>68422.61</v>
      </c>
      <c r="M14" s="8" t="n">
        <v>0</v>
      </c>
      <c r="N14" s="8" t="n">
        <v>0</v>
      </c>
      <c r="O14" s="8" t="n">
        <v>0</v>
      </c>
      <c r="P14" s="8" t="n">
        <v>0</v>
      </c>
      <c r="Q14" s="8" t="n">
        <v>1950.74</v>
      </c>
      <c r="R14" s="8" t="n">
        <v>66471.87</v>
      </c>
      <c r="S14" s="8" t="n">
        <v>7976.62</v>
      </c>
      <c r="T14" s="8" t="n">
        <v>1488.97</v>
      </c>
      <c r="U14" s="8" t="n">
        <v>72959.52</v>
      </c>
      <c r="V14" s="5" t="inlineStr">
        <is>
          <t>SUCCESS</t>
        </is>
      </c>
      <c r="W14" s="5" t="inlineStr">
        <is>
          <t>C:\Liquidaciones\salidas\remesas\2026\DIRECTO\Final_ISABEL_MOLINA_HIDALGO_(1283)_NAVEL_FOYOS</t>
        </is>
      </c>
    </row>
    <row r="15">
      <c r="A15" s="5" t="n">
        <v>2278</v>
      </c>
      <c r="B15" s="5" t="inlineStr">
        <is>
          <t>Final PEDRO JIMENEZ MALDONADO (1500) SALUSTIANAS</t>
        </is>
      </c>
      <c r="C15" s="6" t="n">
        <v>46249</v>
      </c>
      <c r="D15" s="6" t="n">
        <v>45901</v>
      </c>
      <c r="E15" s="6" t="n">
        <v>46265</v>
      </c>
      <c r="F15" s="5" t="inlineStr">
        <is>
          <t>NORMAL</t>
        </is>
      </c>
      <c r="G15" s="5" t="inlineStr">
        <is>
          <t>Final</t>
        </is>
      </c>
      <c r="H15" s="7" t="n">
        <v>6</v>
      </c>
      <c r="I15" s="7" t="n">
        <v>1</v>
      </c>
      <c r="J15" s="7" t="n">
        <v>1</v>
      </c>
      <c r="K15" s="7" t="n">
        <v>109860</v>
      </c>
      <c r="L15" s="8" t="n">
        <v>34276.32</v>
      </c>
      <c r="M15" s="8" t="n">
        <v>0</v>
      </c>
      <c r="N15" s="8" t="n">
        <v>0</v>
      </c>
      <c r="O15" s="8" t="n">
        <v>0</v>
      </c>
      <c r="P15" s="8" t="n">
        <v>0</v>
      </c>
      <c r="Q15" s="8" t="n">
        <v>384.77</v>
      </c>
      <c r="R15" s="8" t="n">
        <v>33891.55</v>
      </c>
      <c r="S15" s="8" t="n">
        <v>4066.99</v>
      </c>
      <c r="T15" s="8" t="n">
        <v>759.17</v>
      </c>
      <c r="U15" s="8" t="n">
        <v>37199.37</v>
      </c>
      <c r="V15" s="5" t="inlineStr">
        <is>
          <t>SUCCESS</t>
        </is>
      </c>
      <c r="W15" s="5" t="inlineStr">
        <is>
          <t>C:\Liquidaciones\salidas\remesas\2026\DIRECTO\Final_PEDRO_JIMENEZ_MALDONADO_(1500)_SALUSTIANAS</t>
        </is>
      </c>
    </row>
    <row r="16">
      <c r="A16" s="5" t="n">
        <v>2279</v>
      </c>
      <c r="B16" s="5" t="inlineStr">
        <is>
          <t>Final YOLANDA CALZADO RUIZ (1516) NEW HALL</t>
        </is>
      </c>
      <c r="C16" s="6" t="n">
        <v>46249</v>
      </c>
      <c r="D16" s="6" t="n">
        <v>45901</v>
      </c>
      <c r="E16" s="6" t="n">
        <v>46265</v>
      </c>
      <c r="F16" s="5" t="inlineStr">
        <is>
          <t>NORMAL</t>
        </is>
      </c>
      <c r="G16" s="5" t="inlineStr">
        <is>
          <t>Final</t>
        </is>
      </c>
      <c r="H16" s="7" t="n">
        <v>7</v>
      </c>
      <c r="I16" s="7" t="n">
        <v>1</v>
      </c>
      <c r="J16" s="7" t="n">
        <v>1</v>
      </c>
      <c r="K16" s="7" t="n">
        <v>83782</v>
      </c>
      <c r="L16" s="8" t="n">
        <v>26139.98</v>
      </c>
      <c r="M16" s="8" t="n">
        <v>0</v>
      </c>
      <c r="N16" s="8" t="n">
        <v>0</v>
      </c>
      <c r="O16" s="8" t="n">
        <v>0</v>
      </c>
      <c r="P16" s="8" t="n">
        <v>0</v>
      </c>
      <c r="Q16" s="8" t="n">
        <v>778.04</v>
      </c>
      <c r="R16" s="8" t="n">
        <v>25361.94</v>
      </c>
      <c r="S16" s="8" t="n">
        <v>3043.43</v>
      </c>
      <c r="T16" s="8" t="n">
        <v>568.11</v>
      </c>
      <c r="U16" s="8" t="n">
        <v>27837.27</v>
      </c>
      <c r="V16" s="5" t="inlineStr">
        <is>
          <t>SUCCESS</t>
        </is>
      </c>
      <c r="W16" s="5" t="inlineStr">
        <is>
          <t>C:\Liquidaciones\salidas\remesas\2026\DIRECTO\Final_YOLANDA_CALZADO_RUIZ_(1516)_NEW_HALL</t>
        </is>
      </c>
    </row>
    <row r="17">
      <c r="A17" s="5" t="n">
        <v>2280</v>
      </c>
      <c r="B17" s="5" t="inlineStr">
        <is>
          <t>Final RURAL PRIME (BERBABE) (1615) LANE LATE</t>
        </is>
      </c>
      <c r="C17" s="6" t="n">
        <v>46249</v>
      </c>
      <c r="D17" s="6" t="n">
        <v>45901</v>
      </c>
      <c r="E17" s="6" t="n">
        <v>46265</v>
      </c>
      <c r="F17" s="5" t="inlineStr">
        <is>
          <t>NORMAL</t>
        </is>
      </c>
      <c r="G17" s="5" t="inlineStr">
        <is>
          <t>Final</t>
        </is>
      </c>
      <c r="H17" s="7" t="n">
        <v>8</v>
      </c>
      <c r="I17" s="7" t="n">
        <v>1</v>
      </c>
      <c r="J17" s="7" t="n">
        <v>1</v>
      </c>
      <c r="K17" s="7" t="n">
        <v>144460</v>
      </c>
      <c r="L17" s="8" t="n">
        <v>61106.58</v>
      </c>
      <c r="M17" s="8" t="n">
        <v>0</v>
      </c>
      <c r="N17" s="8" t="n">
        <v>0</v>
      </c>
      <c r="O17" s="8" t="n">
        <v>0</v>
      </c>
      <c r="P17" s="8" t="n">
        <v>0</v>
      </c>
      <c r="Q17" s="8" t="n">
        <v>0</v>
      </c>
      <c r="R17" s="8" t="n">
        <v>61106.58</v>
      </c>
      <c r="S17" s="8" t="n">
        <v>2444.26</v>
      </c>
      <c r="T17" s="8" t="n">
        <v>0</v>
      </c>
      <c r="U17" s="8" t="n">
        <v>63550.84</v>
      </c>
      <c r="V17" s="5" t="inlineStr">
        <is>
          <t>SUCCESS</t>
        </is>
      </c>
      <c r="W17" s="5" t="inlineStr">
        <is>
          <t>C:\Liquidaciones\salidas\remesas\2026\DIRECTO\Final_RURAL_PRIME_(BERBABE)_(1615)_LANE_LATE</t>
        </is>
      </c>
    </row>
    <row r="18">
      <c r="A18" s="5" t="n">
        <v>2282</v>
      </c>
      <c r="B18" s="5" t="inlineStr">
        <is>
          <t>Final MIGUEL ANGEL GUIL (1471) SALUSTIANAS</t>
        </is>
      </c>
      <c r="C18" s="6" t="n">
        <v>46249</v>
      </c>
      <c r="D18" s="6" t="n">
        <v>45901</v>
      </c>
      <c r="E18" s="6" t="n">
        <v>46265</v>
      </c>
      <c r="F18" s="5" t="inlineStr">
        <is>
          <t>NORMAL</t>
        </is>
      </c>
      <c r="G18" s="5" t="inlineStr">
        <is>
          <t>Final</t>
        </is>
      </c>
      <c r="H18" s="7" t="n">
        <v>1</v>
      </c>
      <c r="I18" s="7" t="n">
        <v>1</v>
      </c>
      <c r="J18" s="7" t="n">
        <v>1</v>
      </c>
      <c r="K18" s="7" t="n">
        <v>22554</v>
      </c>
      <c r="L18" s="8" t="n">
        <v>6224.9</v>
      </c>
      <c r="M18" s="8" t="n">
        <v>0</v>
      </c>
      <c r="N18" s="8" t="n">
        <v>0</v>
      </c>
      <c r="O18" s="8" t="n">
        <v>0</v>
      </c>
      <c r="P18" s="8" t="n">
        <v>0</v>
      </c>
      <c r="Q18" s="8" t="n">
        <v>112.42</v>
      </c>
      <c r="R18" s="8" t="n">
        <v>6112.48</v>
      </c>
      <c r="S18" s="8" t="n">
        <v>733.5</v>
      </c>
      <c r="T18" s="8" t="n">
        <v>136.92</v>
      </c>
      <c r="U18" s="8" t="n">
        <v>6709.06</v>
      </c>
      <c r="V18" s="5" t="inlineStr">
        <is>
          <t>SUCCESS</t>
        </is>
      </c>
      <c r="W18" s="5" t="inlineStr">
        <is>
          <t>C:\Liquidaciones\salidas\remesas\2026\DIRECTO\Final_MIGUEL_ANGEL_GUIL_(1471)_SALUSTIANAS</t>
        </is>
      </c>
    </row>
    <row r="19">
      <c r="A19" s="5" t="n">
        <v>2283</v>
      </c>
      <c r="B19" s="5" t="inlineStr">
        <is>
          <t>Final JOSE MARIA GUIL (963) SALUSTIANAS</t>
        </is>
      </c>
      <c r="C19" s="6" t="n">
        <v>46249</v>
      </c>
      <c r="D19" s="6" t="n">
        <v>45901</v>
      </c>
      <c r="E19" s="6" t="n">
        <v>46265</v>
      </c>
      <c r="F19" s="5" t="inlineStr">
        <is>
          <t>NORMAL</t>
        </is>
      </c>
      <c r="G19" s="5" t="inlineStr">
        <is>
          <t>Final</t>
        </is>
      </c>
      <c r="H19" s="7" t="n">
        <v>1</v>
      </c>
      <c r="I19" s="7" t="n">
        <v>1</v>
      </c>
      <c r="J19" s="7" t="n">
        <v>1</v>
      </c>
      <c r="K19" s="7" t="n">
        <v>28180</v>
      </c>
      <c r="L19" s="8" t="n">
        <v>7777.68</v>
      </c>
      <c r="M19" s="8" t="n">
        <v>0</v>
      </c>
      <c r="N19" s="8" t="n">
        <v>0</v>
      </c>
      <c r="O19" s="8" t="n">
        <v>0</v>
      </c>
      <c r="P19" s="8" t="n">
        <v>0</v>
      </c>
      <c r="Q19" s="8" t="n">
        <v>0</v>
      </c>
      <c r="R19" s="8" t="n">
        <v>7777.68</v>
      </c>
      <c r="S19" s="8" t="n">
        <v>933.3200000000001</v>
      </c>
      <c r="T19" s="8" t="n">
        <v>174.22</v>
      </c>
      <c r="U19" s="8" t="n">
        <v>8536.780000000001</v>
      </c>
      <c r="V19" s="5" t="inlineStr">
        <is>
          <t>SUCCESS</t>
        </is>
      </c>
      <c r="W19" s="5" t="inlineStr">
        <is>
          <t>C:\Liquidaciones\salidas\remesas\2026\DIRECTO\Final_JOSE_MARIA_GUIL_(963)_SALUSTIANAS</t>
        </is>
      </c>
    </row>
    <row r="20">
      <c r="A20" s="5" t="n">
        <v>2285</v>
      </c>
      <c r="B20" s="5" t="inlineStr">
        <is>
          <t>Final HILARIO  GARCIA (453) NAVEL</t>
        </is>
      </c>
      <c r="C20" s="6" t="n">
        <v>46249</v>
      </c>
      <c r="D20" s="6" t="n">
        <v>45901</v>
      </c>
      <c r="E20" s="6" t="n">
        <v>46265</v>
      </c>
      <c r="F20" s="5" t="inlineStr">
        <is>
          <t>NORMAL</t>
        </is>
      </c>
      <c r="G20" s="5" t="inlineStr">
        <is>
          <t>Final</t>
        </is>
      </c>
      <c r="H20" s="7" t="n">
        <v>2</v>
      </c>
      <c r="I20" s="7" t="n">
        <v>1</v>
      </c>
      <c r="J20" s="7" t="n">
        <v>1</v>
      </c>
      <c r="K20" s="7" t="n">
        <v>12947</v>
      </c>
      <c r="L20" s="8" t="n">
        <v>3651.05</v>
      </c>
      <c r="M20" s="8" t="n">
        <v>0</v>
      </c>
      <c r="N20" s="8" t="n">
        <v>0</v>
      </c>
      <c r="O20" s="8" t="n">
        <v>0</v>
      </c>
      <c r="P20" s="8" t="n">
        <v>0</v>
      </c>
      <c r="Q20" s="8" t="n">
        <v>99.55</v>
      </c>
      <c r="R20" s="8" t="n">
        <v>3551.5</v>
      </c>
      <c r="S20" s="8" t="n">
        <v>426.18</v>
      </c>
      <c r="T20" s="8" t="n">
        <v>79.55</v>
      </c>
      <c r="U20" s="8" t="n">
        <v>3898.13</v>
      </c>
      <c r="V20" s="5" t="inlineStr">
        <is>
          <t>SUCCESS</t>
        </is>
      </c>
      <c r="W20" s="5" t="inlineStr">
        <is>
          <t>C:\Liquidaciones\salidas\remesas\2026\DIRECTO\Final_HILARIO__GARCIA_(453)_NAVEL</t>
        </is>
      </c>
    </row>
    <row r="21">
      <c r="A21" s="5" t="n">
        <v>2288</v>
      </c>
      <c r="B21" s="5" t="inlineStr">
        <is>
          <t>Final RAFAEL GARCIA (1462) NAVEL</t>
        </is>
      </c>
      <c r="C21" s="6" t="n">
        <v>46249</v>
      </c>
      <c r="D21" s="6" t="n">
        <v>45901</v>
      </c>
      <c r="E21" s="6" t="n">
        <v>46265</v>
      </c>
      <c r="F21" s="5" t="inlineStr">
        <is>
          <t>NORMAL</t>
        </is>
      </c>
      <c r="G21" s="5" t="inlineStr">
        <is>
          <t>Final</t>
        </is>
      </c>
      <c r="H21" s="7" t="n">
        <v>2</v>
      </c>
      <c r="I21" s="7" t="n">
        <v>1</v>
      </c>
      <c r="J21" s="7" t="n">
        <v>1</v>
      </c>
      <c r="K21" s="7" t="n">
        <v>24906</v>
      </c>
      <c r="L21" s="8" t="n">
        <v>7023.49</v>
      </c>
      <c r="M21" s="8" t="n">
        <v>0</v>
      </c>
      <c r="N21" s="8" t="n">
        <v>0</v>
      </c>
      <c r="O21" s="8" t="n">
        <v>0</v>
      </c>
      <c r="P21" s="8" t="n">
        <v>0</v>
      </c>
      <c r="Q21" s="8" t="n">
        <v>272.22</v>
      </c>
      <c r="R21" s="8" t="n">
        <v>6751.27</v>
      </c>
      <c r="S21" s="8" t="n">
        <v>810.15</v>
      </c>
      <c r="T21" s="8" t="n">
        <v>151.23</v>
      </c>
      <c r="U21" s="8" t="n">
        <v>7410.19</v>
      </c>
      <c r="V21" s="5" t="inlineStr">
        <is>
          <t>SUCCESS</t>
        </is>
      </c>
      <c r="W21" s="5" t="inlineStr">
        <is>
          <t>C:\Liquidaciones\salidas\remesas\2026\DIRECTO\Final_RAFAEL_GARCIA_(1462)_NAVEL</t>
        </is>
      </c>
    </row>
    <row r="22">
      <c r="A22" s="5" t="n">
        <v>2289</v>
      </c>
      <c r="B22" s="5" t="inlineStr">
        <is>
          <t>Final ALVARO HARO (1544) LANE LATE</t>
        </is>
      </c>
      <c r="C22" s="6" t="n">
        <v>46249</v>
      </c>
      <c r="D22" s="6" t="n">
        <v>45901</v>
      </c>
      <c r="E22" s="6" t="n">
        <v>46265</v>
      </c>
      <c r="F22" s="5" t="inlineStr">
        <is>
          <t>NORMAL</t>
        </is>
      </c>
      <c r="G22" s="5" t="inlineStr">
        <is>
          <t>Final</t>
        </is>
      </c>
      <c r="H22" s="7" t="n">
        <v>1</v>
      </c>
      <c r="I22" s="7" t="n">
        <v>1</v>
      </c>
      <c r="J22" s="7" t="n">
        <v>1</v>
      </c>
      <c r="K22" s="7" t="n">
        <v>21260</v>
      </c>
      <c r="L22" s="8" t="n">
        <v>8121.32</v>
      </c>
      <c r="M22" s="8" t="n">
        <v>0</v>
      </c>
      <c r="N22" s="8" t="n">
        <v>0</v>
      </c>
      <c r="O22" s="8" t="n">
        <v>0</v>
      </c>
      <c r="P22" s="8" t="n">
        <v>0</v>
      </c>
      <c r="Q22" s="8" t="n">
        <v>119.6</v>
      </c>
      <c r="R22" s="8" t="n">
        <v>8001.72</v>
      </c>
      <c r="S22" s="8" t="n">
        <v>960.21</v>
      </c>
      <c r="T22" s="8" t="n">
        <v>179.24</v>
      </c>
      <c r="U22" s="8" t="n">
        <v>8782.690000000001</v>
      </c>
      <c r="V22" s="5" t="inlineStr">
        <is>
          <t>SUCCESS</t>
        </is>
      </c>
      <c r="W22" s="5" t="inlineStr">
        <is>
          <t>C:\Liquidaciones\salidas\remesas\2026\DIRECTO\Final_ALVARO_HARO_(1544)_LANE_LATE</t>
        </is>
      </c>
    </row>
    <row r="23">
      <c r="A23" s="5" t="n">
        <v>2290</v>
      </c>
      <c r="B23" s="5" t="inlineStr">
        <is>
          <t>Final HNOS GONZALEZ ROLDAN (1272) LANE LATE</t>
        </is>
      </c>
      <c r="C23" s="6" t="n">
        <v>46249</v>
      </c>
      <c r="D23" s="6" t="n">
        <v>45901</v>
      </c>
      <c r="E23" s="6" t="n">
        <v>46084</v>
      </c>
      <c r="F23" s="5" t="inlineStr">
        <is>
          <t>NORMAL</t>
        </is>
      </c>
      <c r="G23" s="5" t="inlineStr">
        <is>
          <t>Final</t>
        </is>
      </c>
      <c r="H23" s="7" t="n">
        <v>12</v>
      </c>
      <c r="I23" s="7" t="n">
        <v>1</v>
      </c>
      <c r="J23" s="7" t="n">
        <v>1</v>
      </c>
      <c r="K23" s="7" t="n">
        <v>258132</v>
      </c>
      <c r="L23" s="8" t="n">
        <v>105059.72</v>
      </c>
      <c r="M23" s="8" t="n">
        <v>0</v>
      </c>
      <c r="N23" s="8" t="n">
        <v>0</v>
      </c>
      <c r="O23" s="8" t="n">
        <v>0</v>
      </c>
      <c r="P23" s="8" t="n">
        <v>0</v>
      </c>
      <c r="Q23" s="8" t="n">
        <v>4744.21</v>
      </c>
      <c r="R23" s="8" t="n">
        <v>100315.51</v>
      </c>
      <c r="S23" s="8" t="n">
        <v>12037.86</v>
      </c>
      <c r="T23" s="8" t="n">
        <v>2247.07</v>
      </c>
      <c r="U23" s="8" t="n">
        <v>110106.3</v>
      </c>
      <c r="V23" s="5" t="inlineStr">
        <is>
          <t>SUCCESS</t>
        </is>
      </c>
      <c r="W23" s="5" t="inlineStr">
        <is>
          <t>C:\Liquidaciones\salidas\remesas\2026\DIRECTO\Final_HNOS_GONZALEZ_ROLDAN_(1272)_LANE_LATE</t>
        </is>
      </c>
    </row>
    <row r="24">
      <c r="A24" s="5" t="n">
        <v>2291</v>
      </c>
      <c r="B24" s="5" t="inlineStr">
        <is>
          <t>Final CRISTINA CALZADO (1519) LANE LATE</t>
        </is>
      </c>
      <c r="C24" s="6" t="n">
        <v>46249</v>
      </c>
      <c r="D24" s="6" t="n">
        <v>45901</v>
      </c>
      <c r="E24" s="6" t="n">
        <v>46265</v>
      </c>
      <c r="F24" s="5" t="inlineStr">
        <is>
          <t>NORMAL</t>
        </is>
      </c>
      <c r="G24" s="5" t="inlineStr">
        <is>
          <t>Final</t>
        </is>
      </c>
      <c r="H24" s="7" t="n">
        <v>3</v>
      </c>
      <c r="I24" s="7" t="n">
        <v>1</v>
      </c>
      <c r="J24" s="7" t="n">
        <v>1</v>
      </c>
      <c r="K24" s="7" t="n">
        <v>62160</v>
      </c>
      <c r="L24" s="8" t="n">
        <v>26231.52</v>
      </c>
      <c r="M24" s="8" t="n">
        <v>0</v>
      </c>
      <c r="N24" s="8" t="n">
        <v>0</v>
      </c>
      <c r="O24" s="8" t="n">
        <v>0</v>
      </c>
      <c r="P24" s="8" t="n">
        <v>0</v>
      </c>
      <c r="Q24" s="8" t="n">
        <v>641.55</v>
      </c>
      <c r="R24" s="8" t="n">
        <v>25589.97</v>
      </c>
      <c r="S24" s="8" t="n">
        <v>3070.8</v>
      </c>
      <c r="T24" s="8" t="n">
        <v>573.22</v>
      </c>
      <c r="U24" s="8" t="n">
        <v>28087.55</v>
      </c>
      <c r="V24" s="5" t="inlineStr">
        <is>
          <t>SUCCESS</t>
        </is>
      </c>
      <c r="W24" s="5" t="inlineStr">
        <is>
          <t>C:\Liquidaciones\salidas\remesas\2026\DIRECTO\Final_CRISTINA_CALZADO_(1519)_LANE_LATE</t>
        </is>
      </c>
    </row>
    <row r="25">
      <c r="A25" s="5" t="n">
        <v>2292</v>
      </c>
      <c r="B25" s="5" t="inlineStr">
        <is>
          <t>Final MARIA CALZADO (1518) LANE LATE</t>
        </is>
      </c>
      <c r="C25" s="6" t="n">
        <v>46249</v>
      </c>
      <c r="D25" s="6" t="n">
        <v>45901</v>
      </c>
      <c r="E25" s="6" t="n">
        <v>46265</v>
      </c>
      <c r="F25" s="5" t="inlineStr">
        <is>
          <t>NORMAL</t>
        </is>
      </c>
      <c r="G25" s="5" t="inlineStr">
        <is>
          <t>Final</t>
        </is>
      </c>
      <c r="H25" s="7" t="n">
        <v>5</v>
      </c>
      <c r="I25" s="7" t="n">
        <v>1</v>
      </c>
      <c r="J25" s="7" t="n">
        <v>1</v>
      </c>
      <c r="K25" s="7" t="n">
        <v>103140</v>
      </c>
      <c r="L25" s="8" t="n">
        <v>43525.08</v>
      </c>
      <c r="M25" s="8" t="n">
        <v>0</v>
      </c>
      <c r="N25" s="8" t="n">
        <v>0</v>
      </c>
      <c r="O25" s="8" t="n">
        <v>0</v>
      </c>
      <c r="P25" s="8" t="n">
        <v>0</v>
      </c>
      <c r="Q25" s="8" t="n">
        <v>891.3099999999999</v>
      </c>
      <c r="R25" s="8" t="n">
        <v>42633.77</v>
      </c>
      <c r="S25" s="8" t="n">
        <v>5116.05</v>
      </c>
      <c r="T25" s="8" t="n">
        <v>955</v>
      </c>
      <c r="U25" s="8" t="n">
        <v>46794.83</v>
      </c>
      <c r="V25" s="5" t="inlineStr">
        <is>
          <t>SUCCESS</t>
        </is>
      </c>
      <c r="W25" s="5" t="inlineStr">
        <is>
          <t>C:\Liquidaciones\salidas\remesas\2026\DIRECTO\Final_MARIA_CALZADO_(1518)_LANE_LATE</t>
        </is>
      </c>
    </row>
    <row r="26">
      <c r="A26" s="5" t="n">
        <v>2293</v>
      </c>
      <c r="B26" s="5" t="inlineStr">
        <is>
          <t>Final FRANCISCO GALVEZ (937) SALUSTIANAS</t>
        </is>
      </c>
      <c r="C26" s="6" t="n">
        <v>46249</v>
      </c>
      <c r="D26" s="6" t="n">
        <v>45901</v>
      </c>
      <c r="E26" s="6" t="n">
        <v>46265</v>
      </c>
      <c r="F26" s="5" t="inlineStr">
        <is>
          <t>NORMAL</t>
        </is>
      </c>
      <c r="G26" s="5" t="inlineStr">
        <is>
          <t>Final</t>
        </is>
      </c>
      <c r="H26" s="7" t="n">
        <v>7</v>
      </c>
      <c r="I26" s="7" t="n">
        <v>1</v>
      </c>
      <c r="J26" s="7" t="n">
        <v>1</v>
      </c>
      <c r="K26" s="7" t="n">
        <v>108389</v>
      </c>
      <c r="L26" s="8" t="n">
        <v>43680.77</v>
      </c>
      <c r="M26" s="8" t="n">
        <v>4151.52</v>
      </c>
      <c r="N26" s="8" t="n">
        <v>0</v>
      </c>
      <c r="O26" s="8" t="n">
        <v>0</v>
      </c>
      <c r="P26" s="8" t="n">
        <v>0</v>
      </c>
      <c r="Q26" s="8" t="n">
        <v>885.86</v>
      </c>
      <c r="R26" s="8" t="n">
        <v>38643.39</v>
      </c>
      <c r="S26" s="8" t="n">
        <v>4637.21</v>
      </c>
      <c r="T26" s="8" t="n">
        <v>865.61</v>
      </c>
      <c r="U26" s="8" t="n">
        <v>42414.98</v>
      </c>
      <c r="V26" s="5" t="inlineStr">
        <is>
          <t>SUCCESS</t>
        </is>
      </c>
      <c r="W26" s="5" t="inlineStr">
        <is>
          <t>C:\Liquidaciones\salidas\remesas\2026\DIRECTO\Final_FRANCISCO_GALVEZ_(937)_SALUSTIANAS</t>
        </is>
      </c>
    </row>
    <row r="27">
      <c r="A27" s="5" t="n">
        <v>2294</v>
      </c>
      <c r="B27" s="5" t="inlineStr">
        <is>
          <t>Final ESTIBEN HIDALGO (1602) SALUSTIANAS</t>
        </is>
      </c>
      <c r="C27" s="6" t="n">
        <v>46249</v>
      </c>
      <c r="D27" s="6" t="n">
        <v>45901</v>
      </c>
      <c r="E27" s="6" t="n">
        <v>46265</v>
      </c>
      <c r="F27" s="5" t="inlineStr">
        <is>
          <t>NORMAL</t>
        </is>
      </c>
      <c r="G27" s="5" t="inlineStr">
        <is>
          <t>Final</t>
        </is>
      </c>
      <c r="H27" s="7" t="n">
        <v>3</v>
      </c>
      <c r="I27" s="7" t="n">
        <v>1</v>
      </c>
      <c r="J27" s="7" t="n">
        <v>1</v>
      </c>
      <c r="K27" s="7" t="n">
        <v>45074</v>
      </c>
      <c r="L27" s="8" t="n">
        <v>16046.34</v>
      </c>
      <c r="M27" s="8" t="n">
        <v>3051.19</v>
      </c>
      <c r="N27" s="8" t="n">
        <v>0</v>
      </c>
      <c r="O27" s="8" t="n">
        <v>0</v>
      </c>
      <c r="P27" s="8" t="n">
        <v>0</v>
      </c>
      <c r="Q27" s="8" t="n">
        <v>282.75</v>
      </c>
      <c r="R27" s="8" t="n">
        <v>12712.4</v>
      </c>
      <c r="S27" s="8" t="n">
        <v>1525.49</v>
      </c>
      <c r="T27" s="8" t="n">
        <v>284.76</v>
      </c>
      <c r="U27" s="8" t="n">
        <v>13953.13</v>
      </c>
      <c r="V27" s="5" t="inlineStr">
        <is>
          <t>SUCCESS</t>
        </is>
      </c>
      <c r="W27" s="5" t="inlineStr">
        <is>
          <t>C:\Liquidaciones\salidas\remesas\2026\DIRECTO\Final_ESTIBEN_HIDALGO_(1602)_SALUSTIANAS</t>
        </is>
      </c>
    </row>
    <row r="28">
      <c r="A28" s="5" t="n">
        <v>2295</v>
      </c>
      <c r="B28" s="5" t="inlineStr">
        <is>
          <t>Final JOSE RINCON (824) SALUSTIANAS</t>
        </is>
      </c>
      <c r="C28" s="6" t="n">
        <v>46249</v>
      </c>
      <c r="D28" s="6" t="n">
        <v>45901</v>
      </c>
      <c r="E28" s="6" t="n">
        <v>46265</v>
      </c>
      <c r="F28" s="5" t="inlineStr">
        <is>
          <t>NORMAL</t>
        </is>
      </c>
      <c r="G28" s="5" t="inlineStr">
        <is>
          <t>Final</t>
        </is>
      </c>
      <c r="H28" s="7" t="n">
        <v>2</v>
      </c>
      <c r="I28" s="7" t="n">
        <v>1</v>
      </c>
      <c r="J28" s="7" t="n">
        <v>1</v>
      </c>
      <c r="K28" s="7" t="n">
        <v>35387</v>
      </c>
      <c r="L28" s="8" t="n">
        <v>12597.77</v>
      </c>
      <c r="M28" s="8" t="n">
        <v>2592.79</v>
      </c>
      <c r="N28" s="8" t="n">
        <v>0</v>
      </c>
      <c r="O28" s="8" t="n">
        <v>0</v>
      </c>
      <c r="P28" s="8" t="n">
        <v>0</v>
      </c>
      <c r="Q28" s="8" t="n">
        <v>391.7</v>
      </c>
      <c r="R28" s="8" t="n">
        <v>9613.280000000001</v>
      </c>
      <c r="S28" s="8" t="n">
        <v>1153.59</v>
      </c>
      <c r="T28" s="8" t="n">
        <v>215.34</v>
      </c>
      <c r="U28" s="8" t="n">
        <v>10551.54</v>
      </c>
      <c r="V28" s="5" t="inlineStr">
        <is>
          <t>SUCCESS</t>
        </is>
      </c>
      <c r="W28" s="5" t="inlineStr">
        <is>
          <t>C:\Liquidaciones\salidas\remesas\2026\DIRECTO\Final_JOSE_RINCON_(824)_SALUSTIANAS</t>
        </is>
      </c>
    </row>
    <row r="29">
      <c r="A29" s="5" t="n">
        <v>2296</v>
      </c>
      <c r="B29" s="5" t="inlineStr">
        <is>
          <t>Final LEON CARRASCO SL (1504) SALUSTIANAS</t>
        </is>
      </c>
      <c r="C29" s="6" t="n">
        <v>46249</v>
      </c>
      <c r="D29" s="6" t="n">
        <v>45901</v>
      </c>
      <c r="E29" s="6" t="n">
        <v>46265</v>
      </c>
      <c r="F29" s="5" t="inlineStr">
        <is>
          <t>NORMAL</t>
        </is>
      </c>
      <c r="G29" s="5" t="inlineStr">
        <is>
          <t>Final</t>
        </is>
      </c>
      <c r="H29" s="7" t="n">
        <v>8</v>
      </c>
      <c r="I29" s="7" t="n">
        <v>1</v>
      </c>
      <c r="J29" s="7" t="n">
        <v>1</v>
      </c>
      <c r="K29" s="7" t="n">
        <v>157340</v>
      </c>
      <c r="L29" s="8" t="n">
        <v>51450.18</v>
      </c>
      <c r="M29" s="8" t="n">
        <v>0</v>
      </c>
      <c r="N29" s="8" t="n">
        <v>0</v>
      </c>
      <c r="O29" s="8" t="n">
        <v>0</v>
      </c>
      <c r="P29" s="8" t="n">
        <v>0</v>
      </c>
      <c r="Q29" s="8" t="n">
        <v>1003.7</v>
      </c>
      <c r="R29" s="8" t="n">
        <v>50446.48</v>
      </c>
      <c r="S29" s="8" t="n">
        <v>6053.58</v>
      </c>
      <c r="T29" s="8" t="n">
        <v>1130</v>
      </c>
      <c r="U29" s="8" t="n">
        <v>55370.06</v>
      </c>
      <c r="V29" s="5" t="inlineStr">
        <is>
          <t>SUCCESS</t>
        </is>
      </c>
      <c r="W29" s="5" t="inlineStr">
        <is>
          <t>C:\Liquidaciones\salidas\remesas\2026\DIRECTO\Final_LEON_CARRASCO_SL_(1504)_SALUSTIANAS</t>
        </is>
      </c>
    </row>
    <row r="30">
      <c r="A30" s="5" t="n">
        <v>2297</v>
      </c>
      <c r="B30" s="5" t="inlineStr">
        <is>
          <t>Final CADORTAN SL (1550) LANE LATE</t>
        </is>
      </c>
      <c r="C30" s="6" t="n">
        <v>46249</v>
      </c>
      <c r="D30" s="6" t="n">
        <v>45901</v>
      </c>
      <c r="E30" s="6" t="n">
        <v>46265</v>
      </c>
      <c r="F30" s="5" t="inlineStr">
        <is>
          <t>NORMAL</t>
        </is>
      </c>
      <c r="G30" s="5" t="inlineStr">
        <is>
          <t>Final</t>
        </is>
      </c>
      <c r="H30" s="7" t="n">
        <v>10</v>
      </c>
      <c r="I30" s="7" t="n">
        <v>1</v>
      </c>
      <c r="J30" s="7" t="n">
        <v>1</v>
      </c>
      <c r="K30" s="7" t="n">
        <v>187789</v>
      </c>
      <c r="L30" s="8" t="n">
        <v>81124.85000000001</v>
      </c>
      <c r="M30" s="8" t="n">
        <v>0</v>
      </c>
      <c r="N30" s="8" t="n">
        <v>0</v>
      </c>
      <c r="O30" s="8" t="n">
        <v>0</v>
      </c>
      <c r="P30" s="8" t="n">
        <v>0</v>
      </c>
      <c r="Q30" s="8" t="n">
        <v>1661.46</v>
      </c>
      <c r="R30" s="8" t="n">
        <v>79463.39</v>
      </c>
      <c r="S30" s="8" t="n">
        <v>3178.54</v>
      </c>
      <c r="T30" s="8" t="n">
        <v>0</v>
      </c>
      <c r="U30" s="8" t="n">
        <v>82641.92999999999</v>
      </c>
      <c r="V30" s="5" t="inlineStr">
        <is>
          <t>SUCCESS</t>
        </is>
      </c>
      <c r="W30" s="5" t="inlineStr">
        <is>
          <t>C:\Liquidaciones\salidas\remesas\2026\DIRECTO\Final_CADORTAN_SL_(1550)_LANE_LATE</t>
        </is>
      </c>
    </row>
    <row r="31">
      <c r="A31" s="5" t="n">
        <v>2298</v>
      </c>
      <c r="B31" s="5" t="inlineStr">
        <is>
          <t>Final FERNANDO TOMENO (1415) SALUSTIANAS</t>
        </is>
      </c>
      <c r="C31" s="6" t="n">
        <v>46249</v>
      </c>
      <c r="D31" s="6" t="n">
        <v>45901</v>
      </c>
      <c r="E31" s="6" t="n">
        <v>46265</v>
      </c>
      <c r="F31" s="5" t="inlineStr">
        <is>
          <t>NORMAL</t>
        </is>
      </c>
      <c r="G31" s="5" t="inlineStr">
        <is>
          <t>Final</t>
        </is>
      </c>
      <c r="H31" s="7" t="n">
        <v>7</v>
      </c>
      <c r="I31" s="7" t="n">
        <v>1</v>
      </c>
      <c r="J31" s="7" t="n">
        <v>1</v>
      </c>
      <c r="K31" s="7" t="n">
        <v>136563</v>
      </c>
      <c r="L31" s="8" t="n">
        <v>55581.14</v>
      </c>
      <c r="M31" s="8" t="n">
        <v>0</v>
      </c>
      <c r="N31" s="8" t="n">
        <v>0</v>
      </c>
      <c r="O31" s="8" t="n">
        <v>0</v>
      </c>
      <c r="P31" s="8" t="n">
        <v>0</v>
      </c>
      <c r="Q31" s="8" t="n">
        <v>481.24</v>
      </c>
      <c r="R31" s="8" t="n">
        <v>55099.9</v>
      </c>
      <c r="S31" s="8" t="n">
        <v>6611.99</v>
      </c>
      <c r="T31" s="8" t="n">
        <v>1234.24</v>
      </c>
      <c r="U31" s="8" t="n">
        <v>60477.65</v>
      </c>
      <c r="V31" s="5" t="inlineStr">
        <is>
          <t>SUCCESS</t>
        </is>
      </c>
      <c r="W31" s="5" t="inlineStr">
        <is>
          <t>C:\Liquidaciones\salidas\remesas\2026\DIRECTO\Final_FERNANDO_TOMENO_(1415)_SALUSTIANAS</t>
        </is>
      </c>
    </row>
    <row r="32">
      <c r="A32" s="5" t="n">
        <v>2299</v>
      </c>
      <c r="B32" s="5" t="inlineStr">
        <is>
          <t>Final DOLORES MUÑOZ  (1511) SALUSTIANAS</t>
        </is>
      </c>
      <c r="C32" s="6" t="n">
        <v>46249</v>
      </c>
      <c r="D32" s="6" t="n">
        <v>45901</v>
      </c>
      <c r="E32" s="6" t="n">
        <v>46265</v>
      </c>
      <c r="F32" s="5" t="inlineStr">
        <is>
          <t>NORMAL</t>
        </is>
      </c>
      <c r="G32" s="5" t="inlineStr">
        <is>
          <t>Final</t>
        </is>
      </c>
      <c r="H32" s="7" t="n">
        <v>3</v>
      </c>
      <c r="I32" s="7" t="n">
        <v>1</v>
      </c>
      <c r="J32" s="7" t="n">
        <v>1</v>
      </c>
      <c r="K32" s="7" t="n">
        <v>56193</v>
      </c>
      <c r="L32" s="8" t="n">
        <v>18375.11</v>
      </c>
      <c r="M32" s="8" t="n">
        <v>0</v>
      </c>
      <c r="N32" s="8" t="n">
        <v>0</v>
      </c>
      <c r="O32" s="8" t="n">
        <v>0</v>
      </c>
      <c r="P32" s="8" t="n">
        <v>0</v>
      </c>
      <c r="Q32" s="8" t="n">
        <v>577.2</v>
      </c>
      <c r="R32" s="8" t="n">
        <v>17797.91</v>
      </c>
      <c r="S32" s="8" t="n">
        <v>2135.75</v>
      </c>
      <c r="T32" s="8" t="n">
        <v>398.67</v>
      </c>
      <c r="U32" s="8" t="n">
        <v>19534.99</v>
      </c>
      <c r="V32" s="5" t="inlineStr">
        <is>
          <t>SUCCESS</t>
        </is>
      </c>
      <c r="W32" s="5" t="inlineStr">
        <is>
          <t>C:\Liquidaciones\salidas\remesas\2026\DIRECTO\Final_DOLORES_MUÑOZ__(1511)_SALUSTIANAS</t>
        </is>
      </c>
    </row>
    <row r="33">
      <c r="A33" s="5" t="n">
        <v>2300</v>
      </c>
      <c r="B33" s="5" t="inlineStr">
        <is>
          <t>Final DOLORES HDEZ (1549) SALUSTIANAS</t>
        </is>
      </c>
      <c r="C33" s="6" t="n">
        <v>46249</v>
      </c>
      <c r="D33" s="6" t="n">
        <v>45901</v>
      </c>
      <c r="E33" s="6" t="n">
        <v>46265</v>
      </c>
      <c r="F33" s="5" t="inlineStr">
        <is>
          <t>NORMAL</t>
        </is>
      </c>
      <c r="G33" s="5" t="inlineStr">
        <is>
          <t>Final</t>
        </is>
      </c>
      <c r="H33" s="7" t="n">
        <v>4</v>
      </c>
      <c r="I33" s="7" t="n">
        <v>1</v>
      </c>
      <c r="J33" s="7" t="n">
        <v>1</v>
      </c>
      <c r="K33" s="7" t="n">
        <v>75812</v>
      </c>
      <c r="L33" s="8" t="n">
        <v>24790.52</v>
      </c>
      <c r="M33" s="8" t="n">
        <v>0</v>
      </c>
      <c r="N33" s="8" t="n">
        <v>0</v>
      </c>
      <c r="O33" s="8" t="n">
        <v>0</v>
      </c>
      <c r="P33" s="8" t="n">
        <v>0</v>
      </c>
      <c r="Q33" s="8" t="n">
        <v>596.7</v>
      </c>
      <c r="R33" s="8" t="n">
        <v>24193.82</v>
      </c>
      <c r="S33" s="8" t="n">
        <v>2903.26</v>
      </c>
      <c r="T33" s="8" t="n">
        <v>541.9400000000001</v>
      </c>
      <c r="U33" s="8" t="n">
        <v>26555.14</v>
      </c>
      <c r="V33" s="5" t="inlineStr">
        <is>
          <t>SUCCESS</t>
        </is>
      </c>
      <c r="W33" s="5" t="inlineStr">
        <is>
          <t>C:\Liquidaciones\salidas\remesas\2026\DIRECTO\Final_DOLORES_HDEZ_(1549)_SALUSTIANAS</t>
        </is>
      </c>
    </row>
    <row r="34">
      <c r="A34" s="5" t="n">
        <v>2301</v>
      </c>
      <c r="B34" s="5" t="inlineStr">
        <is>
          <t>Final JESUS PADILLA (1611) LANE LATE</t>
        </is>
      </c>
      <c r="C34" s="6" t="n">
        <v>46249</v>
      </c>
      <c r="D34" s="6" t="n">
        <v>45901</v>
      </c>
      <c r="E34" s="6" t="n">
        <v>46265</v>
      </c>
      <c r="F34" s="5" t="inlineStr">
        <is>
          <t>NORMAL</t>
        </is>
      </c>
      <c r="G34" s="5" t="inlineStr">
        <is>
          <t>Final</t>
        </is>
      </c>
      <c r="H34" s="7" t="n">
        <v>4</v>
      </c>
      <c r="I34" s="7" t="n">
        <v>1</v>
      </c>
      <c r="J34" s="7" t="n">
        <v>1</v>
      </c>
      <c r="K34" s="7" t="n">
        <v>89325</v>
      </c>
      <c r="L34" s="8" t="n">
        <v>35649.61</v>
      </c>
      <c r="M34" s="8" t="n">
        <v>0</v>
      </c>
      <c r="N34" s="8" t="n">
        <v>0</v>
      </c>
      <c r="O34" s="8" t="n">
        <v>0</v>
      </c>
      <c r="P34" s="8" t="n">
        <v>0</v>
      </c>
      <c r="Q34" s="8" t="n">
        <v>1134.9</v>
      </c>
      <c r="R34" s="8" t="n">
        <v>34514.71</v>
      </c>
      <c r="S34" s="8" t="n">
        <v>4141.77</v>
      </c>
      <c r="T34" s="8" t="n">
        <v>773.13</v>
      </c>
      <c r="U34" s="8" t="n">
        <v>37883.35</v>
      </c>
      <c r="V34" s="5" t="inlineStr">
        <is>
          <t>SUCCESS</t>
        </is>
      </c>
      <c r="W34" s="5" t="inlineStr">
        <is>
          <t>C:\Liquidaciones\salidas\remesas\2026\DIRECTO\Final_JESUS_PADILLA_(1611)_LANE_LATE</t>
        </is>
      </c>
    </row>
    <row r="35">
      <c r="A35" s="5" t="n">
        <v>2302</v>
      </c>
      <c r="B35" s="5" t="inlineStr">
        <is>
          <t>Final ALVARO HARO (1544) CHISSLET</t>
        </is>
      </c>
      <c r="C35" s="6" t="n">
        <v>46249</v>
      </c>
      <c r="D35" s="6" t="n">
        <v>45901</v>
      </c>
      <c r="E35" s="6" t="n">
        <v>46265</v>
      </c>
      <c r="F35" s="5" t="inlineStr">
        <is>
          <t>NORMAL</t>
        </is>
      </c>
      <c r="G35" s="5" t="inlineStr">
        <is>
          <t>Final</t>
        </is>
      </c>
      <c r="H35" s="7" t="n">
        <v>3</v>
      </c>
      <c r="I35" s="7" t="n">
        <v>1</v>
      </c>
      <c r="J35" s="7" t="n">
        <v>1</v>
      </c>
      <c r="K35" s="7" t="n">
        <v>53005</v>
      </c>
      <c r="L35" s="8" t="n">
        <v>19045.91</v>
      </c>
      <c r="M35" s="8" t="n">
        <v>0</v>
      </c>
      <c r="N35" s="8" t="n">
        <v>0</v>
      </c>
      <c r="O35" s="8" t="n">
        <v>0</v>
      </c>
      <c r="P35" s="8" t="n">
        <v>0</v>
      </c>
      <c r="Q35" s="8" t="n">
        <v>298.19</v>
      </c>
      <c r="R35" s="8" t="n">
        <v>18747.72</v>
      </c>
      <c r="S35" s="8" t="n">
        <v>2249.73</v>
      </c>
      <c r="T35" s="8" t="n">
        <v>419.95</v>
      </c>
      <c r="U35" s="8" t="n">
        <v>20577.5</v>
      </c>
      <c r="V35" s="5" t="inlineStr">
        <is>
          <t>SUCCESS</t>
        </is>
      </c>
      <c r="W35" s="5" t="inlineStr">
        <is>
          <t>C:\Liquidaciones\salidas\remesas\2026\DIRECTO\Final_ALVARO_HARO_(1544)_CHISSLET</t>
        </is>
      </c>
    </row>
    <row r="36">
      <c r="A36" s="5" t="n">
        <v>2303</v>
      </c>
      <c r="B36" s="5" t="inlineStr">
        <is>
          <t>Final J. A. RODRIGUEZ MEJIAS (1523) LANE LATE</t>
        </is>
      </c>
      <c r="C36" s="6" t="n">
        <v>46249</v>
      </c>
      <c r="D36" s="6" t="n">
        <v>45901</v>
      </c>
      <c r="E36" s="6" t="n">
        <v>46265</v>
      </c>
      <c r="F36" s="5" t="inlineStr">
        <is>
          <t>NORMAL</t>
        </is>
      </c>
      <c r="G36" s="5" t="inlineStr">
        <is>
          <t>Final</t>
        </is>
      </c>
      <c r="H36" s="7" t="n">
        <v>4</v>
      </c>
      <c r="I36" s="7" t="n">
        <v>1</v>
      </c>
      <c r="J36" s="7" t="n">
        <v>1</v>
      </c>
      <c r="K36" s="7" t="n">
        <v>78560</v>
      </c>
      <c r="L36" s="8" t="n">
        <v>33937.92</v>
      </c>
      <c r="M36" s="8" t="n">
        <v>0</v>
      </c>
      <c r="N36" s="8" t="n">
        <v>0</v>
      </c>
      <c r="O36" s="8" t="n">
        <v>0</v>
      </c>
      <c r="P36" s="8" t="n">
        <v>0</v>
      </c>
      <c r="Q36" s="8" t="n">
        <v>570.79</v>
      </c>
      <c r="R36" s="8" t="n">
        <v>33367.13</v>
      </c>
      <c r="S36" s="8" t="n">
        <v>4004.06</v>
      </c>
      <c r="T36" s="8" t="n">
        <v>747.42</v>
      </c>
      <c r="U36" s="8" t="n">
        <v>36623.76</v>
      </c>
      <c r="V36" s="5" t="inlineStr">
        <is>
          <t>SUCCESS</t>
        </is>
      </c>
      <c r="W36" s="5" t="inlineStr">
        <is>
          <t>C:\Liquidaciones\salidas\remesas\2026\DIRECTO\Final_J._A._RODRIGUEZ_MEJIAS_(1523)_LANE_LATE</t>
        </is>
      </c>
    </row>
    <row r="37">
      <c r="A37" s="5" t="n">
        <v>2304</v>
      </c>
      <c r="B37" s="5" t="inlineStr">
        <is>
          <t>Final AGRONUÑEZ (1466) LANE LATE</t>
        </is>
      </c>
      <c r="C37" s="6" t="n">
        <v>46249</v>
      </c>
      <c r="D37" s="6" t="n">
        <v>45901</v>
      </c>
      <c r="E37" s="6" t="n">
        <v>46265</v>
      </c>
      <c r="F37" s="5" t="inlineStr">
        <is>
          <t>NORMAL</t>
        </is>
      </c>
      <c r="G37" s="5" t="inlineStr">
        <is>
          <t>Final</t>
        </is>
      </c>
      <c r="H37" s="7" t="n">
        <v>5</v>
      </c>
      <c r="I37" s="7" t="n">
        <v>1</v>
      </c>
      <c r="J37" s="7" t="n">
        <v>1</v>
      </c>
      <c r="K37" s="7" t="n">
        <v>100396</v>
      </c>
      <c r="L37" s="8" t="n">
        <v>50398.79</v>
      </c>
      <c r="M37" s="8" t="n">
        <v>6274.75</v>
      </c>
      <c r="N37" s="8" t="n">
        <v>0</v>
      </c>
      <c r="O37" s="8" t="n">
        <v>0</v>
      </c>
      <c r="P37" s="8" t="n">
        <v>0</v>
      </c>
      <c r="Q37" s="8" t="n">
        <v>1118.85</v>
      </c>
      <c r="R37" s="8" t="n">
        <v>43005.19</v>
      </c>
      <c r="S37" s="8" t="n">
        <v>5160.62</v>
      </c>
      <c r="T37" s="8" t="n">
        <v>963.3200000000001</v>
      </c>
      <c r="U37" s="8" t="n">
        <v>47202.5</v>
      </c>
      <c r="V37" s="5" t="inlineStr">
        <is>
          <t>SUCCESS</t>
        </is>
      </c>
      <c r="W37" s="5" t="inlineStr">
        <is>
          <t>C:\Liquidaciones\salidas\remesas\2026\DIRECTO\Final_AGRONUÑEZ_(1466)_LANE_LATE</t>
        </is>
      </c>
    </row>
    <row r="38">
      <c r="A38" s="5" t="n">
        <v>2305</v>
      </c>
      <c r="B38" s="5" t="inlineStr">
        <is>
          <t>Final MANUEL JESUS NUÑEZ (1560) LANE LATE</t>
        </is>
      </c>
      <c r="C38" s="6" t="n">
        <v>46249</v>
      </c>
      <c r="D38" s="6" t="n">
        <v>45901</v>
      </c>
      <c r="E38" s="6" t="n">
        <v>46265</v>
      </c>
      <c r="F38" s="5" t="inlineStr">
        <is>
          <t>NORMAL</t>
        </is>
      </c>
      <c r="G38" s="5" t="inlineStr">
        <is>
          <t>Final</t>
        </is>
      </c>
      <c r="H38" s="7" t="n">
        <v>3</v>
      </c>
      <c r="I38" s="7" t="n">
        <v>1</v>
      </c>
      <c r="J38" s="7" t="n">
        <v>1</v>
      </c>
      <c r="K38" s="7" t="n">
        <v>45424</v>
      </c>
      <c r="L38" s="8" t="n">
        <v>22802.85</v>
      </c>
      <c r="M38" s="8" t="n">
        <v>2839</v>
      </c>
      <c r="N38" s="8" t="n">
        <v>0</v>
      </c>
      <c r="O38" s="8" t="n">
        <v>0</v>
      </c>
      <c r="P38" s="8" t="n">
        <v>0</v>
      </c>
      <c r="Q38" s="8" t="n">
        <v>526.5</v>
      </c>
      <c r="R38" s="8" t="n">
        <v>19437.35</v>
      </c>
      <c r="S38" s="8" t="n">
        <v>2332.48</v>
      </c>
      <c r="T38" s="8" t="n">
        <v>435.4</v>
      </c>
      <c r="U38" s="8" t="n">
        <v>21334.44</v>
      </c>
      <c r="V38" s="5" t="inlineStr">
        <is>
          <t>SUCCESS</t>
        </is>
      </c>
      <c r="W38" s="5" t="inlineStr">
        <is>
          <t>C:\Liquidaciones\salidas\remesas\2026\DIRECTO\Final_MANUEL_JESUS_NUÑEZ_(1560)_LANE_LATE</t>
        </is>
      </c>
    </row>
    <row r="39">
      <c r="A39" s="5" t="n">
        <v>2306</v>
      </c>
      <c r="B39" s="5" t="inlineStr">
        <is>
          <t>Final HNOS GONZALEZ ROLDAN (1272) LANE LATE 1</t>
        </is>
      </c>
      <c r="C39" s="6" t="n">
        <v>46249</v>
      </c>
      <c r="D39" s="6" t="n">
        <v>46092</v>
      </c>
      <c r="E39" s="6" t="n">
        <v>46265</v>
      </c>
      <c r="F39" s="5" t="inlineStr">
        <is>
          <t>NORMAL</t>
        </is>
      </c>
      <c r="G39" s="5" t="inlineStr">
        <is>
          <t>Final</t>
        </is>
      </c>
      <c r="H39" s="7" t="n">
        <v>4</v>
      </c>
      <c r="I39" s="7" t="n">
        <v>1</v>
      </c>
      <c r="J39" s="7" t="n">
        <v>1</v>
      </c>
      <c r="K39" s="7" t="n">
        <v>36500</v>
      </c>
      <c r="L39" s="8" t="n">
        <v>13943</v>
      </c>
      <c r="M39" s="8" t="n">
        <v>0</v>
      </c>
      <c r="N39" s="8" t="n">
        <v>0</v>
      </c>
      <c r="O39" s="8" t="n">
        <v>0</v>
      </c>
      <c r="P39" s="8" t="n">
        <v>0</v>
      </c>
      <c r="Q39" s="8" t="n">
        <v>670.83</v>
      </c>
      <c r="R39" s="8" t="n">
        <v>13272.17</v>
      </c>
      <c r="S39" s="8" t="n">
        <v>1592.66</v>
      </c>
      <c r="T39" s="8" t="n">
        <v>297.3</v>
      </c>
      <c r="U39" s="8" t="n">
        <v>14567.53</v>
      </c>
      <c r="V39" s="5" t="inlineStr">
        <is>
          <t>SUCCESS</t>
        </is>
      </c>
      <c r="W39" s="5" t="inlineStr">
        <is>
          <t>C:\Liquidaciones\salidas\remesas\2026\DIRECTO\Final_HNOS_GONZALEZ_ROLDAN_(1272)_LANE_LATE_1</t>
        </is>
      </c>
    </row>
    <row r="40">
      <c r="A40" s="5" t="n">
        <v>2307</v>
      </c>
      <c r="B40" s="5" t="inlineStr">
        <is>
          <t>Final AGRICOLA HNOS BUIZA (1395) POWEL</t>
        </is>
      </c>
      <c r="C40" s="6" t="n">
        <v>46249</v>
      </c>
      <c r="D40" s="6" t="n">
        <v>45901</v>
      </c>
      <c r="E40" s="6" t="n">
        <v>46265</v>
      </c>
      <c r="F40" s="5" t="inlineStr">
        <is>
          <t>NORMAL</t>
        </is>
      </c>
      <c r="G40" s="5" t="inlineStr">
        <is>
          <t>Final</t>
        </is>
      </c>
      <c r="H40" s="7" t="n">
        <v>3</v>
      </c>
      <c r="I40" s="7" t="n">
        <v>1</v>
      </c>
      <c r="J40" s="7" t="n">
        <v>1</v>
      </c>
      <c r="K40" s="7" t="n">
        <v>68380</v>
      </c>
      <c r="L40" s="8" t="n">
        <v>28924.74</v>
      </c>
      <c r="M40" s="8" t="n">
        <v>0</v>
      </c>
      <c r="N40" s="8" t="n">
        <v>0</v>
      </c>
      <c r="O40" s="8" t="n">
        <v>0</v>
      </c>
      <c r="P40" s="8" t="n">
        <v>0</v>
      </c>
      <c r="Q40" s="8" t="n">
        <v>258.36</v>
      </c>
      <c r="R40" s="8" t="n">
        <v>28666.38</v>
      </c>
      <c r="S40" s="8" t="n">
        <v>3439.97</v>
      </c>
      <c r="T40" s="8" t="n">
        <v>642.13</v>
      </c>
      <c r="U40" s="8" t="n">
        <v>31464.22</v>
      </c>
      <c r="V40" s="5" t="inlineStr">
        <is>
          <t>SUCCESS</t>
        </is>
      </c>
      <c r="W40" s="5" t="inlineStr">
        <is>
          <t>C:\Liquidaciones\salidas\remesas\2026\DIRECTO\Final_AGRICOLA_HNOS_BUIZA_(1395)_POWEL</t>
        </is>
      </c>
    </row>
    <row r="41">
      <c r="A41" s="5" t="n">
        <v>2308</v>
      </c>
      <c r="B41" s="5" t="inlineStr">
        <is>
          <t>Final JAVIER SANCHEZ GUIL (1624) SALUSTIANAS</t>
        </is>
      </c>
      <c r="C41" s="6" t="n">
        <v>46249</v>
      </c>
      <c r="D41" s="6" t="n">
        <v>45901</v>
      </c>
      <c r="E41" s="6" t="n">
        <v>46265</v>
      </c>
      <c r="F41" s="5" t="inlineStr">
        <is>
          <t>NORMAL</t>
        </is>
      </c>
      <c r="G41" s="5" t="inlineStr">
        <is>
          <t>Final</t>
        </is>
      </c>
      <c r="H41" s="7" t="n">
        <v>1</v>
      </c>
      <c r="I41" s="7" t="n">
        <v>1</v>
      </c>
      <c r="J41" s="7" t="n">
        <v>1</v>
      </c>
      <c r="K41" s="7" t="n">
        <v>10200</v>
      </c>
      <c r="L41" s="8" t="n">
        <v>4110.6</v>
      </c>
      <c r="M41" s="8" t="n">
        <v>734.4</v>
      </c>
      <c r="N41" s="8" t="n">
        <v>0</v>
      </c>
      <c r="O41" s="8" t="n">
        <v>0</v>
      </c>
      <c r="P41" s="8" t="n">
        <v>0</v>
      </c>
      <c r="Q41" s="8" t="n">
        <v>86.13</v>
      </c>
      <c r="R41" s="8" t="n">
        <v>3290.07</v>
      </c>
      <c r="S41" s="8" t="n">
        <v>394.81</v>
      </c>
      <c r="T41" s="8" t="n">
        <v>73.7</v>
      </c>
      <c r="U41" s="8" t="n">
        <v>3611.18</v>
      </c>
      <c r="V41" s="5" t="inlineStr">
        <is>
          <t>SUCCESS</t>
        </is>
      </c>
      <c r="W41" s="5" t="inlineStr">
        <is>
          <t>C:\Liquidaciones\salidas\remesas\2026\DIRECTO\Final_JAVIER_SANCHEZ_GUIL_(1624)_SALUSTIANAS</t>
        </is>
      </c>
    </row>
    <row r="42">
      <c r="A42" s="5" t="n">
        <v>2309</v>
      </c>
      <c r="B42" s="5" t="inlineStr">
        <is>
          <t>Final J. A. PRIOR PORTILLO (1589) SALUSTIANAS</t>
        </is>
      </c>
      <c r="C42" s="6" t="n">
        <v>46249</v>
      </c>
      <c r="D42" s="6" t="n">
        <v>45901</v>
      </c>
      <c r="E42" s="6" t="n">
        <v>46265</v>
      </c>
      <c r="F42" s="5" t="inlineStr">
        <is>
          <t>NORMAL</t>
        </is>
      </c>
      <c r="G42" s="5" t="inlineStr">
        <is>
          <t>Final</t>
        </is>
      </c>
      <c r="H42" s="7" t="n">
        <v>1</v>
      </c>
      <c r="I42" s="7" t="n">
        <v>1</v>
      </c>
      <c r="J42" s="7" t="n">
        <v>1</v>
      </c>
      <c r="K42" s="7" t="n">
        <v>10620</v>
      </c>
      <c r="L42" s="8" t="n">
        <v>4279.86</v>
      </c>
      <c r="M42" s="8" t="n">
        <v>764.64</v>
      </c>
      <c r="N42" s="8" t="n">
        <v>0</v>
      </c>
      <c r="O42" s="8" t="n">
        <v>0</v>
      </c>
      <c r="P42" s="8" t="n">
        <v>0</v>
      </c>
      <c r="Q42" s="8" t="n">
        <v>66.23999999999999</v>
      </c>
      <c r="R42" s="8" t="n">
        <v>3448.98</v>
      </c>
      <c r="S42" s="8" t="n">
        <v>413.88</v>
      </c>
      <c r="T42" s="8" t="n">
        <v>77.26000000000001</v>
      </c>
      <c r="U42" s="8" t="n">
        <v>3785.6</v>
      </c>
      <c r="V42" s="5" t="inlineStr">
        <is>
          <t>SUCCESS</t>
        </is>
      </c>
      <c r="W42" s="5" t="inlineStr">
        <is>
          <t>C:\Liquidaciones\salidas\remesas\2026\DIRECTO\Final_J._A._PRIOR_PORTILLO_(1589)_SALUSTIANAS</t>
        </is>
      </c>
    </row>
    <row r="43">
      <c r="A43" s="5" t="n">
        <v>2310</v>
      </c>
      <c r="B43" s="5" t="inlineStr">
        <is>
          <t>Final LEON CARRASCO SL (1504) POWEL</t>
        </is>
      </c>
      <c r="C43" s="6" t="n">
        <v>46249</v>
      </c>
      <c r="D43" s="6" t="n">
        <v>45901</v>
      </c>
      <c r="E43" s="6" t="n">
        <v>46265</v>
      </c>
      <c r="F43" s="5" t="inlineStr">
        <is>
          <t>NORMAL</t>
        </is>
      </c>
      <c r="G43" s="5" t="inlineStr">
        <is>
          <t>Final</t>
        </is>
      </c>
      <c r="H43" s="7" t="n">
        <v>4</v>
      </c>
      <c r="I43" s="7" t="n">
        <v>1</v>
      </c>
      <c r="J43" s="7" t="n">
        <v>1</v>
      </c>
      <c r="K43" s="7" t="n">
        <v>78340</v>
      </c>
      <c r="L43" s="8" t="n">
        <v>31492.68</v>
      </c>
      <c r="M43" s="8" t="n">
        <v>0</v>
      </c>
      <c r="N43" s="8" t="n">
        <v>0</v>
      </c>
      <c r="O43" s="8" t="n">
        <v>0</v>
      </c>
      <c r="P43" s="8" t="n">
        <v>0</v>
      </c>
      <c r="Q43" s="8" t="n">
        <v>499.75</v>
      </c>
      <c r="R43" s="8" t="n">
        <v>30992.93</v>
      </c>
      <c r="S43" s="8" t="n">
        <v>3719.15</v>
      </c>
      <c r="T43" s="8" t="n">
        <v>694.24</v>
      </c>
      <c r="U43" s="8" t="n">
        <v>34017.84</v>
      </c>
      <c r="V43" s="5" t="inlineStr">
        <is>
          <t>SUCCESS</t>
        </is>
      </c>
      <c r="W43" s="5" t="inlineStr">
        <is>
          <t>C:\Liquidaciones\salidas\remesas\2026\DIRECTO\Final_LEON_CARRASCO_SL_(1504)_POWEL</t>
        </is>
      </c>
    </row>
    <row r="44">
      <c r="A44" s="5" t="n">
        <v>2311</v>
      </c>
      <c r="B44" s="5" t="inlineStr">
        <is>
          <t>Final MERCEDES GOMEZ (1577) POWEL</t>
        </is>
      </c>
      <c r="C44" s="6" t="n">
        <v>46249</v>
      </c>
      <c r="D44" s="6" t="n">
        <v>45901</v>
      </c>
      <c r="E44" s="6" t="n">
        <v>46265</v>
      </c>
      <c r="F44" s="5" t="inlineStr">
        <is>
          <t>NORMAL</t>
        </is>
      </c>
      <c r="G44" s="5" t="inlineStr">
        <is>
          <t>Final</t>
        </is>
      </c>
      <c r="H44" s="7" t="n">
        <v>4</v>
      </c>
      <c r="I44" s="7" t="n">
        <v>1</v>
      </c>
      <c r="J44" s="7" t="n">
        <v>1</v>
      </c>
      <c r="K44" s="7" t="n">
        <v>83263</v>
      </c>
      <c r="L44" s="8" t="n">
        <v>40132.77</v>
      </c>
      <c r="M44" s="8" t="n">
        <v>5203.94</v>
      </c>
      <c r="N44" s="8" t="n">
        <v>0</v>
      </c>
      <c r="O44" s="8" t="n">
        <v>0</v>
      </c>
      <c r="P44" s="8" t="n">
        <v>0</v>
      </c>
      <c r="Q44" s="8" t="n">
        <v>531.41</v>
      </c>
      <c r="R44" s="8" t="n">
        <v>34397.42</v>
      </c>
      <c r="S44" s="8" t="n">
        <v>4127.69</v>
      </c>
      <c r="T44" s="8" t="n">
        <v>770.5</v>
      </c>
      <c r="U44" s="8" t="n">
        <v>37754.61</v>
      </c>
      <c r="V44" s="5" t="inlineStr">
        <is>
          <t>SUCCESS</t>
        </is>
      </c>
      <c r="W44" s="5" t="inlineStr">
        <is>
          <t>C:\Liquidaciones\salidas\remesas\2026\DIRECTO\Final_MERCEDES_GOMEZ_(1577)_POWEL</t>
        </is>
      </c>
    </row>
    <row r="45">
      <c r="A45" s="5" t="n">
        <v>2312</v>
      </c>
      <c r="B45" s="5" t="inlineStr">
        <is>
          <t>Final FRANCISCO JAVIER CALZADO (1178) NAVEL POWEL</t>
        </is>
      </c>
      <c r="C45" s="6" t="n">
        <v>46249</v>
      </c>
      <c r="D45" s="6" t="n">
        <v>45901</v>
      </c>
      <c r="E45" s="6" t="n">
        <v>46265</v>
      </c>
      <c r="F45" s="5" t="inlineStr">
        <is>
          <t>NORMAL</t>
        </is>
      </c>
      <c r="G45" s="5" t="inlineStr">
        <is>
          <t>Final</t>
        </is>
      </c>
      <c r="H45" s="7" t="n">
        <v>2</v>
      </c>
      <c r="I45" s="7" t="n">
        <v>1</v>
      </c>
      <c r="J45" s="7" t="n">
        <v>1</v>
      </c>
      <c r="K45" s="7" t="n">
        <v>20980</v>
      </c>
      <c r="L45" s="8" t="n">
        <v>8014.36</v>
      </c>
      <c r="M45" s="8" t="n">
        <v>0</v>
      </c>
      <c r="N45" s="8" t="n">
        <v>0</v>
      </c>
      <c r="O45" s="8" t="n">
        <v>0</v>
      </c>
      <c r="P45" s="8" t="n">
        <v>0</v>
      </c>
      <c r="Q45" s="8" t="n">
        <v>258.34</v>
      </c>
      <c r="R45" s="8" t="n">
        <v>7756.02</v>
      </c>
      <c r="S45" s="8" t="n">
        <v>930.72</v>
      </c>
      <c r="T45" s="8" t="n">
        <v>173.73</v>
      </c>
      <c r="U45" s="8" t="n">
        <v>8513.01</v>
      </c>
      <c r="V45" s="5" t="inlineStr">
        <is>
          <t>SUCCESS</t>
        </is>
      </c>
      <c r="W45" s="5" t="inlineStr">
        <is>
          <t>C:\Liquidaciones\salidas\remesas\2026\DIRECTO\Final_FRANCISCO_JAVIER_CALZADO_(1178)_NAVEL_POWEL</t>
        </is>
      </c>
    </row>
    <row r="46">
      <c r="A46" s="5" t="n">
        <v>2313</v>
      </c>
      <c r="B46" s="5" t="inlineStr">
        <is>
          <t>Final FERNANDO TOMENO SUAREZ (1415) BARBERINA</t>
        </is>
      </c>
      <c r="C46" s="6" t="n">
        <v>46249</v>
      </c>
      <c r="D46" s="6" t="n">
        <v>45901</v>
      </c>
      <c r="E46" s="6" t="n">
        <v>46265</v>
      </c>
      <c r="F46" s="5" t="inlineStr">
        <is>
          <t>NORMAL</t>
        </is>
      </c>
      <c r="G46" s="5" t="inlineStr">
        <is>
          <t>Final</t>
        </is>
      </c>
      <c r="H46" s="7" t="n">
        <v>4</v>
      </c>
      <c r="I46" s="7" t="n">
        <v>1</v>
      </c>
      <c r="J46" s="7" t="n">
        <v>1</v>
      </c>
      <c r="K46" s="7" t="n">
        <v>84220</v>
      </c>
      <c r="L46" s="8" t="n">
        <v>43120.64</v>
      </c>
      <c r="M46" s="8" t="n">
        <v>0</v>
      </c>
      <c r="N46" s="8" t="n">
        <v>0</v>
      </c>
      <c r="O46" s="8" t="n">
        <v>0</v>
      </c>
      <c r="P46" s="8" t="n">
        <v>0</v>
      </c>
      <c r="Q46" s="8" t="n">
        <v>296.78</v>
      </c>
      <c r="R46" s="8" t="n">
        <v>42823.86</v>
      </c>
      <c r="S46" s="8" t="n">
        <v>5138.86</v>
      </c>
      <c r="T46" s="8" t="n">
        <v>959.25</v>
      </c>
      <c r="U46" s="8" t="n">
        <v>47003.47</v>
      </c>
      <c r="V46" s="5" t="inlineStr">
        <is>
          <t>SUCCESS</t>
        </is>
      </c>
      <c r="W46" s="5" t="inlineStr">
        <is>
          <t>C:\Liquidaciones\salidas\remesas\2026\DIRECTO\Final_FERNANDO_TOMENO_SUAREZ_(1415)_BARBERINA</t>
        </is>
      </c>
    </row>
    <row r="47">
      <c r="A47" s="5" t="n">
        <v>2314</v>
      </c>
      <c r="B47" s="5" t="inlineStr">
        <is>
          <t>Final FAMILIA GONZALEZ LACAL (1350) BARBERINA</t>
        </is>
      </c>
      <c r="C47" s="6" t="n">
        <v>46249</v>
      </c>
      <c r="D47" s="6" t="n">
        <v>45901</v>
      </c>
      <c r="E47" s="6" t="n">
        <v>46265</v>
      </c>
      <c r="F47" s="5" t="inlineStr">
        <is>
          <t>NORMAL</t>
        </is>
      </c>
      <c r="G47" s="5" t="inlineStr">
        <is>
          <t>Final</t>
        </is>
      </c>
      <c r="H47" s="7" t="n">
        <v>1</v>
      </c>
      <c r="I47" s="7" t="n">
        <v>1</v>
      </c>
      <c r="J47" s="7" t="n">
        <v>1</v>
      </c>
      <c r="K47" s="7" t="n">
        <v>22080</v>
      </c>
      <c r="L47" s="8" t="n">
        <v>11304.96</v>
      </c>
      <c r="M47" s="8" t="n">
        <v>1380</v>
      </c>
      <c r="N47" s="8" t="n">
        <v>0</v>
      </c>
      <c r="O47" s="8" t="n">
        <v>0</v>
      </c>
      <c r="P47" s="8" t="n">
        <v>0</v>
      </c>
      <c r="Q47" s="8" t="n">
        <v>308.38</v>
      </c>
      <c r="R47" s="8" t="n">
        <v>9616.58</v>
      </c>
      <c r="S47" s="8" t="n">
        <v>1153.99</v>
      </c>
      <c r="T47" s="8" t="n">
        <v>215.41</v>
      </c>
      <c r="U47" s="8" t="n">
        <v>10555.16</v>
      </c>
      <c r="V47" s="5" t="inlineStr">
        <is>
          <t>SUCCESS</t>
        </is>
      </c>
      <c r="W47" s="5" t="inlineStr">
        <is>
          <t>C:\Liquidaciones\salidas\remesas\2026\DIRECTO\Final_FAMILIA_GONZALEZ_LACAL_(1350)_BARBERINA</t>
        </is>
      </c>
    </row>
    <row r="48">
      <c r="A48" s="5" t="n">
        <v>2315</v>
      </c>
      <c r="B48" s="5" t="inlineStr">
        <is>
          <t>Final FRUTAS ANDALUZAS DE SEVILLA (1627) BARBERINA</t>
        </is>
      </c>
      <c r="C48" s="6" t="n">
        <v>46249</v>
      </c>
      <c r="D48" s="6" t="n">
        <v>45901</v>
      </c>
      <c r="E48" s="6" t="n">
        <v>46265</v>
      </c>
      <c r="F48" s="5" t="inlineStr">
        <is>
          <t>NORMAL</t>
        </is>
      </c>
      <c r="G48" s="5" t="inlineStr">
        <is>
          <t>Final</t>
        </is>
      </c>
      <c r="H48" s="7" t="n">
        <v>2</v>
      </c>
      <c r="I48" s="7" t="n">
        <v>1</v>
      </c>
      <c r="J48" s="7" t="n">
        <v>1</v>
      </c>
      <c r="K48" s="7" t="n">
        <v>40500</v>
      </c>
      <c r="L48" s="8" t="n">
        <v>20331</v>
      </c>
      <c r="M48" s="8" t="n">
        <v>0</v>
      </c>
      <c r="N48" s="8" t="n">
        <v>0</v>
      </c>
      <c r="O48" s="8" t="n">
        <v>0</v>
      </c>
      <c r="P48" s="8" t="n">
        <v>0</v>
      </c>
      <c r="Q48" s="8" t="n">
        <v>409.54</v>
      </c>
      <c r="R48" s="8" t="n">
        <v>19921.46</v>
      </c>
      <c r="S48" s="8" t="n">
        <v>2390.58</v>
      </c>
      <c r="T48" s="8" t="n">
        <v>446.24</v>
      </c>
      <c r="U48" s="8" t="n">
        <v>21865.79</v>
      </c>
      <c r="V48" s="5" t="inlineStr">
        <is>
          <t>SUCCESS</t>
        </is>
      </c>
      <c r="W48" s="5" t="inlineStr">
        <is>
          <t>C:\Liquidaciones\salidas\remesas\2026\DIRECTO\Final_FRUTAS_ANDALUZAS_DE_SEVILLA_(1627)_BARBERINA</t>
        </is>
      </c>
    </row>
    <row r="49">
      <c r="A49" s="5" t="n">
        <v>2317</v>
      </c>
      <c r="B49" s="5" t="inlineStr">
        <is>
          <t>Final JUAN SERRANO CORZO (981) SALUSTIANAS</t>
        </is>
      </c>
      <c r="C49" s="6" t="n">
        <v>46249</v>
      </c>
      <c r="D49" s="6" t="n">
        <v>45901</v>
      </c>
      <c r="E49" s="6" t="n">
        <v>46265</v>
      </c>
      <c r="F49" s="5" t="inlineStr">
        <is>
          <t>NORMAL</t>
        </is>
      </c>
      <c r="G49" s="5" t="inlineStr">
        <is>
          <t>Final</t>
        </is>
      </c>
      <c r="H49" s="7" t="n">
        <v>3</v>
      </c>
      <c r="I49" s="7" t="n">
        <v>1</v>
      </c>
      <c r="J49" s="7" t="n">
        <v>1</v>
      </c>
      <c r="K49" s="7" t="n">
        <v>34725</v>
      </c>
      <c r="L49" s="8" t="n">
        <v>8056.2</v>
      </c>
      <c r="M49" s="8" t="n">
        <v>0</v>
      </c>
      <c r="N49" s="8" t="n">
        <v>0</v>
      </c>
      <c r="O49" s="8" t="n">
        <v>0</v>
      </c>
      <c r="P49" s="8" t="n">
        <v>0</v>
      </c>
      <c r="Q49" s="8" t="n">
        <v>312</v>
      </c>
      <c r="R49" s="8" t="n">
        <v>7744.2</v>
      </c>
      <c r="S49" s="8" t="n">
        <v>929.3</v>
      </c>
      <c r="T49" s="8" t="n">
        <v>173.47</v>
      </c>
      <c r="U49" s="8" t="n">
        <v>8500.030000000001</v>
      </c>
      <c r="V49" s="5" t="inlineStr">
        <is>
          <t>SUCCESS</t>
        </is>
      </c>
      <c r="W49" s="5" t="inlineStr">
        <is>
          <t>C:\Liquidaciones\salidas\remesas\2026\DIRECTO\Final_JUAN_SERRANO_CORZO_(981)_SALUSTIANAS</t>
        </is>
      </c>
    </row>
    <row r="50">
      <c r="A50" s="5" t="n">
        <v>2318</v>
      </c>
      <c r="B50" s="5" t="inlineStr">
        <is>
          <t>Final J. A. RODRIGUEZ MEJIAS (1523) VALENCIA</t>
        </is>
      </c>
      <c r="C50" s="6" t="n">
        <v>46249</v>
      </c>
      <c r="D50" s="6" t="n">
        <v>45901</v>
      </c>
      <c r="E50" s="6" t="n">
        <v>46265</v>
      </c>
      <c r="F50" s="5" t="inlineStr">
        <is>
          <t>NORMAL</t>
        </is>
      </c>
      <c r="G50" s="5" t="inlineStr">
        <is>
          <t>Final</t>
        </is>
      </c>
      <c r="H50" s="7" t="n">
        <v>3</v>
      </c>
      <c r="I50" s="7" t="n">
        <v>1</v>
      </c>
      <c r="J50" s="7" t="n">
        <v>1</v>
      </c>
      <c r="K50" s="7" t="n">
        <v>56312</v>
      </c>
      <c r="L50" s="8" t="n">
        <v>19258.7</v>
      </c>
      <c r="M50" s="8" t="n">
        <v>0</v>
      </c>
      <c r="N50" s="8" t="n">
        <v>0</v>
      </c>
      <c r="O50" s="8" t="n">
        <v>0</v>
      </c>
      <c r="P50" s="8" t="n">
        <v>0</v>
      </c>
      <c r="Q50" s="8" t="n">
        <v>409.14</v>
      </c>
      <c r="R50" s="8" t="n">
        <v>18849.56</v>
      </c>
      <c r="S50" s="8" t="n">
        <v>2261.95</v>
      </c>
      <c r="T50" s="8" t="n">
        <v>422.23</v>
      </c>
      <c r="U50" s="8" t="n">
        <v>20689.28</v>
      </c>
      <c r="V50" s="5" t="inlineStr">
        <is>
          <t>SUCCESS</t>
        </is>
      </c>
      <c r="W50" s="5" t="inlineStr">
        <is>
          <t>C:\Liquidaciones\salidas\remesas\2026\DIRECTO\Final_J._A._RODRIGUEZ_MEJIAS_(1523)_VALENCIA</t>
        </is>
      </c>
    </row>
    <row r="51">
      <c r="A51" s="5" t="n">
        <v>2319</v>
      </c>
      <c r="B51" s="5" t="inlineStr">
        <is>
          <t>Final J. A. RODRIGUEZ GARCIA (1194) VALENCIA</t>
        </is>
      </c>
      <c r="C51" s="6" t="n">
        <v>46249</v>
      </c>
      <c r="D51" s="6" t="n">
        <v>45901</v>
      </c>
      <c r="E51" s="6" t="n">
        <v>46265</v>
      </c>
      <c r="F51" s="5" t="inlineStr">
        <is>
          <t>NORMAL</t>
        </is>
      </c>
      <c r="G51" s="5" t="inlineStr">
        <is>
          <t>Final</t>
        </is>
      </c>
      <c r="H51" s="7" t="n">
        <v>10</v>
      </c>
      <c r="I51" s="7" t="n">
        <v>1</v>
      </c>
      <c r="J51" s="7" t="n">
        <v>1</v>
      </c>
      <c r="K51" s="7" t="n">
        <v>181217</v>
      </c>
      <c r="L51" s="8" t="n">
        <v>61976.21</v>
      </c>
      <c r="M51" s="8" t="n">
        <v>0</v>
      </c>
      <c r="N51" s="8" t="n">
        <v>0</v>
      </c>
      <c r="O51" s="8" t="n">
        <v>0</v>
      </c>
      <c r="P51" s="8" t="n">
        <v>0</v>
      </c>
      <c r="Q51" s="8" t="n">
        <v>1372.8</v>
      </c>
      <c r="R51" s="8" t="n">
        <v>60603.41</v>
      </c>
      <c r="S51" s="8" t="n">
        <v>7272.41</v>
      </c>
      <c r="T51" s="8" t="n">
        <v>1357.52</v>
      </c>
      <c r="U51" s="8" t="n">
        <v>66518.3</v>
      </c>
      <c r="V51" s="5" t="inlineStr">
        <is>
          <t>SUCCESS</t>
        </is>
      </c>
      <c r="W51" s="5" t="inlineStr">
        <is>
          <t>C:\Liquidaciones\salidas\remesas\2026\DIRECTO\Final_J._A._RODRIGUEZ_GARCIA_(1194)_VALENCIA</t>
        </is>
      </c>
    </row>
    <row r="52">
      <c r="A52" s="5" t="n">
        <v>2320</v>
      </c>
      <c r="B52" s="5" t="inlineStr">
        <is>
          <t>Final PEDRO JIMENEZ MALDONADO (1500) CHISSLET</t>
        </is>
      </c>
      <c r="C52" s="6" t="n">
        <v>46249</v>
      </c>
      <c r="D52" s="6" t="n">
        <v>45901</v>
      </c>
      <c r="E52" s="6" t="n">
        <v>46265</v>
      </c>
      <c r="F52" s="5" t="inlineStr">
        <is>
          <t>NORMAL</t>
        </is>
      </c>
      <c r="G52" s="5" t="inlineStr">
        <is>
          <t>Final</t>
        </is>
      </c>
      <c r="H52" s="7" t="n">
        <v>1</v>
      </c>
      <c r="I52" s="7" t="n">
        <v>1</v>
      </c>
      <c r="J52" s="7" t="n">
        <v>1</v>
      </c>
      <c r="K52" s="7" t="n">
        <v>2769</v>
      </c>
      <c r="L52" s="8" t="n">
        <v>1334.66</v>
      </c>
      <c r="M52" s="8" t="n">
        <v>173.06</v>
      </c>
      <c r="N52" s="8" t="n">
        <v>0</v>
      </c>
      <c r="O52" s="8" t="n">
        <v>0</v>
      </c>
      <c r="P52" s="8" t="n">
        <v>0</v>
      </c>
      <c r="Q52" s="8" t="n">
        <v>9.699999999999999</v>
      </c>
      <c r="R52" s="8" t="n">
        <v>1151.9</v>
      </c>
      <c r="S52" s="8" t="n">
        <v>138.23</v>
      </c>
      <c r="T52" s="8" t="n">
        <v>25.8</v>
      </c>
      <c r="U52" s="8" t="n">
        <v>1264.33</v>
      </c>
      <c r="V52" s="5" t="inlineStr">
        <is>
          <t>SUCCESS</t>
        </is>
      </c>
      <c r="W52" s="5" t="inlineStr">
        <is>
          <t>C:\Liquidaciones\salidas\remesas\2026\DIRECTO\Final_PEDRO_JIMENEZ_MALDONADO_(1500)_CHISSLET</t>
        </is>
      </c>
    </row>
    <row r="53">
      <c r="A53" s="9" t="inlineStr">
        <is>
          <t>TOTAL GENERAL</t>
        </is>
      </c>
      <c r="B53" s="9" t="inlineStr"/>
      <c r="C53" s="10" t="inlineStr"/>
      <c r="D53" s="10" t="inlineStr"/>
      <c r="E53" s="10" t="inlineStr"/>
      <c r="F53" s="9" t="inlineStr"/>
      <c r="G53" s="9" t="inlineStr"/>
      <c r="H53" s="11" t="n">
        <v>208</v>
      </c>
      <c r="I53" s="11" t="n">
        <v>51</v>
      </c>
      <c r="J53" s="11" t="inlineStr"/>
      <c r="K53" s="11" t="n">
        <v>3824497</v>
      </c>
      <c r="L53" s="12" t="n">
        <v>1527217.18</v>
      </c>
      <c r="M53" s="12" t="n">
        <v>31387.87</v>
      </c>
      <c r="N53" s="12" t="n">
        <v>4222.57982053</v>
      </c>
      <c r="O53" s="12" t="n">
        <v>0</v>
      </c>
      <c r="P53" s="12" t="n">
        <v>0</v>
      </c>
      <c r="Q53" s="12" t="n">
        <v>32521.7</v>
      </c>
      <c r="R53" s="12" t="n">
        <v>1467892.27</v>
      </c>
      <c r="S53" s="12" t="n">
        <v>162914.37</v>
      </c>
      <c r="T53" s="12" t="n">
        <v>29175.65</v>
      </c>
      <c r="U53" s="12" t="n">
        <v>1601631.02</v>
      </c>
      <c r="V53" s="9" t="inlineStr"/>
      <c r="W53" s="9" t="inlineStr"/>
    </row>
  </sheetData>
  <autoFilter ref="A1:W53"/>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W53"/>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35" customWidth="1" min="4" max="4"/>
    <col width="18" customWidth="1" min="5" max="5"/>
    <col width="14" customWidth="1" min="6" max="6"/>
    <col width="15" customWidth="1" min="7" max="7"/>
    <col width="12" customWidth="1" min="8" max="8"/>
    <col width="14" customWidth="1" min="9" max="9"/>
    <col width="14" customWidth="1" min="10" max="10"/>
    <col width="14" customWidth="1" min="11" max="11"/>
    <col width="14" customWidth="1" min="12" max="12"/>
    <col width="14" customWidth="1" min="13" max="13"/>
    <col width="17" customWidth="1" min="14" max="14"/>
    <col width="12" customWidth="1" min="15" max="15"/>
    <col width="10" customWidth="1" min="16" max="16"/>
    <col width="10" customWidth="1" min="17" max="17"/>
    <col width="17" customWidth="1" min="18" max="18"/>
    <col width="32" customWidth="1" min="19" max="19"/>
    <col width="16" customWidth="1" min="20" max="20"/>
    <col width="24" customWidth="1" min="21" max="21"/>
    <col width="23" customWidth="1" min="22" max="22"/>
    <col width="24" customWidth="1" min="23" max="23"/>
  </cols>
  <sheetData>
    <row r="1">
      <c r="A1" s="13" t="inlineStr">
        <is>
          <t>Id Remesa</t>
        </is>
      </c>
      <c r="B1" s="13" t="inlineStr">
        <is>
          <t>Remesa</t>
        </is>
      </c>
      <c r="C1" s="13" t="inlineStr">
        <is>
          <t>Nº Socio</t>
        </is>
      </c>
      <c r="D1" s="13" t="inlineStr">
        <is>
          <t>Socio</t>
        </is>
      </c>
      <c r="E1" s="13" t="inlineStr">
        <is>
          <t>Variedad</t>
        </is>
      </c>
      <c r="F1" s="13" t="inlineStr">
        <is>
          <t>Neto</t>
        </is>
      </c>
      <c r="G1" s="13" t="inlineStr">
        <is>
          <t>I. Bruto</t>
        </is>
      </c>
      <c r="H1" s="13" t="inlineStr">
        <is>
          <t>P. Comer.</t>
        </is>
      </c>
      <c r="I1" s="13" t="inlineStr">
        <is>
          <t>Recolec.</t>
        </is>
      </c>
      <c r="J1" s="13" t="inlineStr">
        <is>
          <t>C. Has.</t>
        </is>
      </c>
      <c r="K1" s="13" t="inlineStr">
        <is>
          <t>B/P Cal.</t>
        </is>
      </c>
      <c r="L1" s="13" t="inlineStr">
        <is>
          <t>B. Trans.</t>
        </is>
      </c>
      <c r="M1" s="13" t="inlineStr">
        <is>
          <t>B. Glob.</t>
        </is>
      </c>
      <c r="N1" s="13" t="inlineStr">
        <is>
          <t>Base Imponible</t>
        </is>
      </c>
      <c r="O1" s="13" t="inlineStr">
        <is>
          <t>P.Medio</t>
        </is>
      </c>
      <c r="P1" s="13" t="inlineStr">
        <is>
          <t>I.V.A</t>
        </is>
      </c>
      <c r="Q1" s="13" t="inlineStr">
        <is>
          <t>Ret.</t>
        </is>
      </c>
      <c r="R1" s="13" t="inlineStr">
        <is>
          <t>Importe Total.</t>
        </is>
      </c>
      <c r="S1" s="13" t="inlineStr">
        <is>
          <t>Concepto Liquidación</t>
        </is>
      </c>
      <c r="T1" s="13" t="inlineStr">
        <is>
          <t>Cultivo</t>
        </is>
      </c>
      <c r="U1" s="13" t="inlineStr">
        <is>
          <t>Com. Recol. (Pts/kg)(&lt;11,65)</t>
        </is>
      </c>
      <c r="V1" s="13" t="inlineStr">
        <is>
          <t>Com. Global (Pts/kg)(&lt;2)</t>
        </is>
      </c>
      <c r="W1" s="13" t="inlineStr">
        <is>
          <t>Com. Trans. (Pts/kg) (&lt;1,7)</t>
        </is>
      </c>
    </row>
    <row r="2">
      <c r="A2" s="14" t="n">
        <v>2185</v>
      </c>
      <c r="B2" s="14" t="inlineStr">
        <is>
          <t>Tango Semana 5 NORMAL</t>
        </is>
      </c>
      <c r="C2" s="15" t="n">
        <v>1561</v>
      </c>
      <c r="D2" s="14" t="inlineStr">
        <is>
          <t>SUAREZ SANCHEZ, Mª DEL PILAR</t>
        </is>
      </c>
      <c r="E2" s="14" t="inlineStr">
        <is>
          <t>TANGO</t>
        </is>
      </c>
      <c r="F2" s="15" t="n">
        <v>105845</v>
      </c>
      <c r="G2" s="16" t="n">
        <v>87043.03999999999</v>
      </c>
      <c r="H2" s="17" t="n">
        <v>0.8223632670414285</v>
      </c>
      <c r="I2" s="16" t="n">
        <v>0</v>
      </c>
      <c r="J2" s="16" t="n">
        <v>860.59</v>
      </c>
      <c r="K2" s="16" t="n">
        <v>0</v>
      </c>
      <c r="L2" s="16" t="n">
        <v>0</v>
      </c>
      <c r="M2" s="16" t="n">
        <v>0</v>
      </c>
      <c r="N2" s="16" t="n">
        <v>86182.45</v>
      </c>
      <c r="O2" s="17" t="n">
        <v>0.8937</v>
      </c>
      <c r="P2" s="18" t="n">
        <v>12</v>
      </c>
      <c r="Q2" s="18" t="n">
        <v>2</v>
      </c>
      <c r="R2" s="16" t="n">
        <v>94593.86</v>
      </c>
      <c r="S2" s="14" t="inlineStr">
        <is>
          <t>Tango Semana 5 NORMAL</t>
        </is>
      </c>
      <c r="T2" s="14" t="inlineStr">
        <is>
          <t>DIRECTO</t>
        </is>
      </c>
      <c r="U2" s="19">
        <f>IFERROR(166.386*I2/F2,0)</f>
        <v/>
      </c>
      <c r="V2" s="19">
        <f>IFERROR(166.386*M2/F2,0)</f>
        <v/>
      </c>
      <c r="W2" s="19">
        <f>IFERROR(166.386*L2/F2,0)</f>
        <v/>
      </c>
    </row>
    <row r="3">
      <c r="A3" s="14" t="n">
        <v>2186</v>
      </c>
      <c r="B3" s="14" t="inlineStr">
        <is>
          <t>Tango Semana 6 NORMAL</t>
        </is>
      </c>
      <c r="C3" s="15" t="n">
        <v>1561</v>
      </c>
      <c r="D3" s="14" t="inlineStr">
        <is>
          <t>SUAREZ SANCHEZ, Mª DEL PILAR</t>
        </is>
      </c>
      <c r="E3" s="14" t="inlineStr">
        <is>
          <t>TANGO</t>
        </is>
      </c>
      <c r="F3" s="15" t="n">
        <v>20120</v>
      </c>
      <c r="G3" s="16" t="n">
        <v>16026.82</v>
      </c>
      <c r="H3" s="17" t="n">
        <v>0.7965616302186879</v>
      </c>
      <c r="I3" s="16" t="n">
        <v>0</v>
      </c>
      <c r="J3" s="16" t="n">
        <v>163.59</v>
      </c>
      <c r="K3" s="16" t="n">
        <v>0</v>
      </c>
      <c r="L3" s="16" t="n">
        <v>0</v>
      </c>
      <c r="M3" s="16" t="n">
        <v>0</v>
      </c>
      <c r="N3" s="16" t="n">
        <v>15863.23</v>
      </c>
      <c r="O3" s="17" t="n">
        <v>0.86538</v>
      </c>
      <c r="P3" s="18" t="n">
        <v>12</v>
      </c>
      <c r="Q3" s="18" t="n">
        <v>2</v>
      </c>
      <c r="R3" s="16" t="n">
        <v>17411.48</v>
      </c>
      <c r="S3" s="14" t="inlineStr">
        <is>
          <t>Tango Semana 6 NORMAL</t>
        </is>
      </c>
      <c r="T3" s="14" t="inlineStr">
        <is>
          <t>DIRECTO</t>
        </is>
      </c>
      <c r="U3" s="19">
        <f>IFERROR(166.386*I3/F3,0)</f>
        <v/>
      </c>
      <c r="V3" s="19">
        <f>IFERROR(166.386*M3/F3,0)</f>
        <v/>
      </c>
      <c r="W3" s="19">
        <f>IFERROR(166.386*L3/F3,0)</f>
        <v/>
      </c>
    </row>
    <row r="4">
      <c r="A4" s="14" t="n">
        <v>2267</v>
      </c>
      <c r="B4" s="14" t="inlineStr">
        <is>
          <t>Final ANGELES DURAN (1251) NAVELINA</t>
        </is>
      </c>
      <c r="C4" s="15" t="n">
        <v>1251</v>
      </c>
      <c r="D4" s="14" t="inlineStr">
        <is>
          <t>DURAN ALMENARA,ANGELES</t>
        </is>
      </c>
      <c r="E4" s="14" t="inlineStr">
        <is>
          <t>NAVELINA</t>
        </is>
      </c>
      <c r="F4" s="15" t="n">
        <v>51468</v>
      </c>
      <c r="G4" s="16" t="n">
        <v>19660.78</v>
      </c>
      <c r="H4" s="17" t="n">
        <v>0.3820000777181938</v>
      </c>
      <c r="I4" s="16" t="n">
        <v>0</v>
      </c>
      <c r="J4" s="16" t="n">
        <v>234.65</v>
      </c>
      <c r="K4" s="16" t="n">
        <v>0</v>
      </c>
      <c r="L4" s="16" t="n">
        <v>0</v>
      </c>
      <c r="M4" s="16" t="n">
        <v>0</v>
      </c>
      <c r="N4" s="16" t="n">
        <v>19426.13</v>
      </c>
      <c r="O4" s="17" t="n">
        <v>0.41428</v>
      </c>
      <c r="P4" s="18" t="n">
        <v>12</v>
      </c>
      <c r="Q4" s="18" t="n">
        <v>2</v>
      </c>
      <c r="R4" s="16" t="n">
        <v>21322.12</v>
      </c>
      <c r="S4" s="14" t="inlineStr">
        <is>
          <t>Final ANGELES DURAN (1251) NAVELINA</t>
        </is>
      </c>
      <c r="T4" s="14" t="inlineStr">
        <is>
          <t>DIRECTO</t>
        </is>
      </c>
      <c r="U4" s="19">
        <f>IFERROR(166.386*I4/F4,0)</f>
        <v/>
      </c>
      <c r="V4" s="19">
        <f>IFERROR(166.386*M4/F4,0)</f>
        <v/>
      </c>
      <c r="W4" s="19">
        <f>IFERROR(166.386*L4/F4,0)</f>
        <v/>
      </c>
    </row>
    <row r="5">
      <c r="A5" s="14" t="n">
        <v>2268</v>
      </c>
      <c r="B5" s="14" t="inlineStr">
        <is>
          <t>Final ALVARO HARO (1544) NAVELINA</t>
        </is>
      </c>
      <c r="C5" s="15" t="n">
        <v>1544</v>
      </c>
      <c r="D5" s="14" t="inlineStr">
        <is>
          <t>HARO ORDOÑO, ALVARO</t>
        </is>
      </c>
      <c r="E5" s="14" t="inlineStr">
        <is>
          <t>NAVELINA</t>
        </is>
      </c>
      <c r="F5" s="15" t="n">
        <v>13962</v>
      </c>
      <c r="G5" s="16" t="n">
        <v>5358.62</v>
      </c>
      <c r="H5" s="17" t="n">
        <v>0.3838003151410972</v>
      </c>
      <c r="I5" s="16" t="n">
        <v>0</v>
      </c>
      <c r="J5" s="16" t="n">
        <v>78.55</v>
      </c>
      <c r="K5" s="16" t="n">
        <v>0</v>
      </c>
      <c r="L5" s="16" t="n">
        <v>0</v>
      </c>
      <c r="M5" s="16" t="n">
        <v>0</v>
      </c>
      <c r="N5" s="16" t="n">
        <v>5280.07</v>
      </c>
      <c r="O5" s="17" t="n">
        <v>0.41508</v>
      </c>
      <c r="P5" s="18" t="n">
        <v>12</v>
      </c>
      <c r="Q5" s="18" t="n">
        <v>2</v>
      </c>
      <c r="R5" s="16" t="n">
        <v>5795.4</v>
      </c>
      <c r="S5" s="14" t="inlineStr">
        <is>
          <t>Final ALVARO HARO (1544) NAVELINA</t>
        </is>
      </c>
      <c r="T5" s="14" t="inlineStr">
        <is>
          <t>DIRECTO</t>
        </is>
      </c>
      <c r="U5" s="19">
        <f>IFERROR(166.386*I5/F5,0)</f>
        <v/>
      </c>
      <c r="V5" s="19">
        <f>IFERROR(166.386*M5/F5,0)</f>
        <v/>
      </c>
      <c r="W5" s="19">
        <f>IFERROR(166.386*L5/F5,0)</f>
        <v/>
      </c>
    </row>
    <row r="6">
      <c r="A6" s="14" t="n">
        <v>2269</v>
      </c>
      <c r="B6" s="14" t="inlineStr">
        <is>
          <t>Final JUAN MARTINEZ LOPEZ DE ROZAS (1429) NAVELINA</t>
        </is>
      </c>
      <c r="C6" s="15" t="n">
        <v>1429</v>
      </c>
      <c r="D6" s="14" t="inlineStr">
        <is>
          <t>MARTINEZ LOPEZ DE ROZAS,JUAN</t>
        </is>
      </c>
      <c r="E6" s="14" t="inlineStr">
        <is>
          <t>NAVELINA</t>
        </is>
      </c>
      <c r="F6" s="15" t="n">
        <v>76460</v>
      </c>
      <c r="G6" s="16" t="n">
        <v>28290.2</v>
      </c>
      <c r="H6" s="17" t="n">
        <v>0.37</v>
      </c>
      <c r="I6" s="16" t="n">
        <v>0</v>
      </c>
      <c r="J6" s="16" t="n">
        <v>758.24</v>
      </c>
      <c r="K6" s="16" t="n">
        <v>0</v>
      </c>
      <c r="L6" s="16" t="n">
        <v>0</v>
      </c>
      <c r="M6" s="16" t="n">
        <v>0</v>
      </c>
      <c r="N6" s="16" t="n">
        <v>27531.96</v>
      </c>
      <c r="O6" s="17" t="n">
        <v>0.39523</v>
      </c>
      <c r="P6" s="18" t="n">
        <v>12</v>
      </c>
      <c r="Q6" s="18" t="n">
        <v>2</v>
      </c>
      <c r="R6" s="16" t="n">
        <v>30219.08</v>
      </c>
      <c r="S6" s="14" t="inlineStr">
        <is>
          <t>Final JUAN MARTINEZ LOPEZ DE ROZAS (1429) NAVELINA</t>
        </is>
      </c>
      <c r="T6" s="14" t="inlineStr">
        <is>
          <t>DIRECTO</t>
        </is>
      </c>
      <c r="U6" s="19">
        <f>IFERROR(166.386*I6/F6,0)</f>
        <v/>
      </c>
      <c r="V6" s="19">
        <f>IFERROR(166.386*M6/F6,0)</f>
        <v/>
      </c>
      <c r="W6" s="19">
        <f>IFERROR(166.386*L6/F6,0)</f>
        <v/>
      </c>
    </row>
    <row r="7">
      <c r="A7" s="14" t="n">
        <v>2270</v>
      </c>
      <c r="B7" s="14" t="inlineStr">
        <is>
          <t>Final J. A. RODRIGUEZ MEJIAS (1523) FUKUMOTO</t>
        </is>
      </c>
      <c r="C7" s="15" t="n">
        <v>1523</v>
      </c>
      <c r="D7" s="14" t="inlineStr">
        <is>
          <t>RODRIGUEZ MEJÍAS, JOSE ANTONIO</t>
        </is>
      </c>
      <c r="E7" s="14" t="inlineStr">
        <is>
          <t>FUKUMOTO</t>
        </is>
      </c>
      <c r="F7" s="15" t="n">
        <v>60605</v>
      </c>
      <c r="G7" s="16" t="n">
        <v>21939.01</v>
      </c>
      <c r="H7" s="17" t="n">
        <v>0.362</v>
      </c>
      <c r="I7" s="16" t="n">
        <v>0</v>
      </c>
      <c r="J7" s="16" t="n">
        <v>440.33</v>
      </c>
      <c r="K7" s="16" t="n">
        <v>0</v>
      </c>
      <c r="L7" s="16" t="n">
        <v>0</v>
      </c>
      <c r="M7" s="16" t="n">
        <v>0</v>
      </c>
      <c r="N7" s="16" t="n">
        <v>21498.68</v>
      </c>
      <c r="O7" s="17" t="n">
        <v>0.38936</v>
      </c>
      <c r="P7" s="18" t="n">
        <v>12</v>
      </c>
      <c r="Q7" s="18" t="n">
        <v>2</v>
      </c>
      <c r="R7" s="16" t="n">
        <v>23596.95</v>
      </c>
      <c r="S7" s="14" t="inlineStr">
        <is>
          <t>Final J. A. RODRIGUEZ MEJIAS (1523) FUKUMOTO</t>
        </is>
      </c>
      <c r="T7" s="14" t="inlineStr">
        <is>
          <t>DIRECTO</t>
        </is>
      </c>
      <c r="U7" s="19">
        <f>IFERROR(166.386*I7/F7,0)</f>
        <v/>
      </c>
      <c r="V7" s="19">
        <f>IFERROR(166.386*M7/F7,0)</f>
        <v/>
      </c>
      <c r="W7" s="19">
        <f>IFERROR(166.386*L7/F7,0)</f>
        <v/>
      </c>
    </row>
    <row r="8">
      <c r="A8" s="14" t="n">
        <v>2271</v>
      </c>
      <c r="B8" s="14" t="inlineStr">
        <is>
          <t>Final J. A. RODRIGUEZ MEJIAS (1523) POMELOS</t>
        </is>
      </c>
      <c r="C8" s="15" t="n">
        <v>1523</v>
      </c>
      <c r="D8" s="14" t="inlineStr">
        <is>
          <t>RODRIGUEZ MEJÍAS, JOSE ANTONIO</t>
        </is>
      </c>
      <c r="E8" s="14" t="inlineStr">
        <is>
          <t>STAR RUBY</t>
        </is>
      </c>
      <c r="F8" s="15" t="n">
        <v>71633</v>
      </c>
      <c r="G8" s="16" t="n">
        <v>18963.33</v>
      </c>
      <c r="H8" s="17" t="n">
        <v>0.2647289657001661</v>
      </c>
      <c r="I8" s="16" t="n">
        <v>4222.58</v>
      </c>
      <c r="J8" s="16" t="n">
        <v>520.46</v>
      </c>
      <c r="K8" s="16" t="n">
        <v>4222.57982053</v>
      </c>
      <c r="L8" s="16" t="n">
        <v>0</v>
      </c>
      <c r="M8" s="16" t="n">
        <v>0</v>
      </c>
      <c r="N8" s="16" t="n">
        <v>18442.87</v>
      </c>
      <c r="O8" s="17" t="n">
        <v>0.28259</v>
      </c>
      <c r="P8" s="18" t="n">
        <v>12</v>
      </c>
      <c r="Q8" s="18" t="n">
        <v>2</v>
      </c>
      <c r="R8" s="16" t="n">
        <v>20242.89</v>
      </c>
      <c r="S8" s="14" t="inlineStr">
        <is>
          <t>Final J. A. RODRIGUEZ MEJIAS (1523) POMELOS</t>
        </is>
      </c>
      <c r="T8" s="14" t="inlineStr">
        <is>
          <t>DIRECTO</t>
        </is>
      </c>
      <c r="U8" s="19">
        <f>IFERROR(166.386*I8/F8,0)</f>
        <v/>
      </c>
      <c r="V8" s="19">
        <f>IFERROR(166.386*M8/F8,0)</f>
        <v/>
      </c>
      <c r="W8" s="19">
        <f>IFERROR(166.386*L8/F8,0)</f>
        <v/>
      </c>
    </row>
    <row r="9">
      <c r="A9" s="14" t="n">
        <v>2272</v>
      </c>
      <c r="B9" s="14" t="inlineStr">
        <is>
          <t>Final JUAN FRANCISCO BARRERA PERA (1463) NAVELINA</t>
        </is>
      </c>
      <c r="C9" s="15" t="n">
        <v>1463</v>
      </c>
      <c r="D9" s="14" t="inlineStr">
        <is>
          <t>BARRERA PERA,JUAN FRANCISCO</t>
        </is>
      </c>
      <c r="E9" s="14" t="inlineStr">
        <is>
          <t>NAVELINA</t>
        </is>
      </c>
      <c r="F9" s="15" t="n">
        <v>33020</v>
      </c>
      <c r="G9" s="16" t="n">
        <v>11623.04</v>
      </c>
      <c r="H9" s="17" t="n">
        <v>0.352</v>
      </c>
      <c r="I9" s="16" t="n">
        <v>0</v>
      </c>
      <c r="J9" s="16" t="n">
        <v>380.25</v>
      </c>
      <c r="K9" s="16" t="n">
        <v>0</v>
      </c>
      <c r="L9" s="16" t="n">
        <v>0</v>
      </c>
      <c r="M9" s="16" t="n">
        <v>0</v>
      </c>
      <c r="N9" s="16" t="n">
        <v>11242.79</v>
      </c>
      <c r="O9" s="17" t="n">
        <v>0.37372</v>
      </c>
      <c r="P9" s="18" t="n">
        <v>12</v>
      </c>
      <c r="Q9" s="18" t="n">
        <v>2</v>
      </c>
      <c r="R9" s="16" t="n">
        <v>12340.09</v>
      </c>
      <c r="S9" s="14" t="inlineStr">
        <is>
          <t>Final JUAN FRANCISCO BARRERA PERA (1463) NAVELINA</t>
        </is>
      </c>
      <c r="T9" s="14" t="inlineStr">
        <is>
          <t>DIRECTO</t>
        </is>
      </c>
      <c r="U9" s="19">
        <f>IFERROR(166.386*I9/F9,0)</f>
        <v/>
      </c>
      <c r="V9" s="19">
        <f>IFERROR(166.386*M9/F9,0)</f>
        <v/>
      </c>
      <c r="W9" s="19">
        <f>IFERROR(166.386*L9/F9,0)</f>
        <v/>
      </c>
    </row>
    <row r="10">
      <c r="A10" s="14" t="n">
        <v>2273</v>
      </c>
      <c r="B10" s="14" t="inlineStr">
        <is>
          <t>Final M&amp;M (1571) NAVELINA</t>
        </is>
      </c>
      <c r="C10" s="15" t="n">
        <v>1571</v>
      </c>
      <c r="D10" s="14" t="inlineStr">
        <is>
          <t>M&amp;M AXATI AGRO S.L.</t>
        </is>
      </c>
      <c r="E10" s="14" t="inlineStr">
        <is>
          <t>NAVELINA</t>
        </is>
      </c>
      <c r="F10" s="15" t="n">
        <v>67030</v>
      </c>
      <c r="G10" s="16" t="n">
        <v>25605.46</v>
      </c>
      <c r="H10" s="17" t="n">
        <v>0.382</v>
      </c>
      <c r="I10" s="16" t="n">
        <v>0</v>
      </c>
      <c r="J10" s="16" t="n">
        <v>766.35</v>
      </c>
      <c r="K10" s="16" t="n">
        <v>0</v>
      </c>
      <c r="L10" s="16" t="n">
        <v>0</v>
      </c>
      <c r="M10" s="16" t="n">
        <v>0</v>
      </c>
      <c r="N10" s="16" t="n">
        <v>24839.11</v>
      </c>
      <c r="O10" s="17" t="n">
        <v>0.38539</v>
      </c>
      <c r="P10" s="18" t="n">
        <v>4</v>
      </c>
      <c r="Q10" s="18" t="n">
        <v>0</v>
      </c>
      <c r="R10" s="16" t="n">
        <v>25832.67</v>
      </c>
      <c r="S10" s="14" t="inlineStr">
        <is>
          <t>Final M&amp;M (1571) NAVELINA</t>
        </is>
      </c>
      <c r="T10" s="14" t="inlineStr">
        <is>
          <t>DIRECTO</t>
        </is>
      </c>
      <c r="U10" s="19">
        <f>IFERROR(166.386*I10/F10,0)</f>
        <v/>
      </c>
      <c r="V10" s="19">
        <f>IFERROR(166.386*M10/F10,0)</f>
        <v/>
      </c>
      <c r="W10" s="19">
        <f>IFERROR(166.386*L10/F10,0)</f>
        <v/>
      </c>
    </row>
    <row r="11">
      <c r="A11" s="14" t="n">
        <v>2274</v>
      </c>
      <c r="B11" s="14" t="inlineStr">
        <is>
          <t>Final EXP. AGR. ARJONA Y CRESPO (1313) NAVELINA</t>
        </is>
      </c>
      <c r="C11" s="15" t="n">
        <v>1313</v>
      </c>
      <c r="D11" s="14" t="inlineStr">
        <is>
          <t>EXPLOT. AGRIC. ARJONA Y CRESPO,S.C.</t>
        </is>
      </c>
      <c r="E11" s="14" t="inlineStr">
        <is>
          <t>NAVELINA</t>
        </is>
      </c>
      <c r="F11" s="15" t="n">
        <v>154682</v>
      </c>
      <c r="G11" s="16" t="n">
        <v>51354.42</v>
      </c>
      <c r="H11" s="17" t="n">
        <v>0.3319999741404947</v>
      </c>
      <c r="I11" s="16" t="n">
        <v>0</v>
      </c>
      <c r="J11" s="16" t="n">
        <v>978.02</v>
      </c>
      <c r="K11" s="16" t="n">
        <v>0</v>
      </c>
      <c r="L11" s="16" t="n">
        <v>0</v>
      </c>
      <c r="M11" s="16" t="n">
        <v>0</v>
      </c>
      <c r="N11" s="16" t="n">
        <v>50376.4</v>
      </c>
      <c r="O11" s="17" t="n">
        <v>0.35746</v>
      </c>
      <c r="P11" s="18" t="n">
        <v>12</v>
      </c>
      <c r="Q11" s="18" t="n">
        <v>2</v>
      </c>
      <c r="R11" s="16" t="n">
        <v>55293.14</v>
      </c>
      <c r="S11" s="14" t="inlineStr">
        <is>
          <t>Final EXP. AGR. ARJONA Y CRESPO (1313) NAVELINA</t>
        </is>
      </c>
      <c r="T11" s="14" t="inlineStr">
        <is>
          <t>DIRECTO</t>
        </is>
      </c>
      <c r="U11" s="19">
        <f>IFERROR(166.386*I11/F11,0)</f>
        <v/>
      </c>
      <c r="V11" s="19">
        <f>IFERROR(166.386*M11/F11,0)</f>
        <v/>
      </c>
      <c r="W11" s="19">
        <f>IFERROR(166.386*L11/F11,0)</f>
        <v/>
      </c>
    </row>
    <row r="12">
      <c r="A12" s="14" t="n">
        <v>2275</v>
      </c>
      <c r="B12" s="14" t="inlineStr">
        <is>
          <t>Final MATIAS BARRERA (1456) NAVELINA</t>
        </is>
      </c>
      <c r="C12" s="15" t="n">
        <v>1456</v>
      </c>
      <c r="D12" s="14" t="inlineStr">
        <is>
          <t>BARRERA RECUERO,MATIAS</t>
        </is>
      </c>
      <c r="E12" s="14" t="inlineStr">
        <is>
          <t>NAVELINA</t>
        </is>
      </c>
      <c r="F12" s="15" t="n">
        <v>181742</v>
      </c>
      <c r="G12" s="16" t="n">
        <v>67971.50999999999</v>
      </c>
      <c r="H12" s="17" t="n">
        <v>0.3740000110046109</v>
      </c>
      <c r="I12" s="16" t="n">
        <v>0</v>
      </c>
      <c r="J12" s="16" t="n">
        <v>1728.37</v>
      </c>
      <c r="K12" s="16" t="n">
        <v>0</v>
      </c>
      <c r="L12" s="16" t="n">
        <v>0</v>
      </c>
      <c r="M12" s="16" t="n">
        <v>0</v>
      </c>
      <c r="N12" s="16" t="n">
        <v>66243.14</v>
      </c>
      <c r="O12" s="17" t="n">
        <v>0.40006</v>
      </c>
      <c r="P12" s="18" t="n">
        <v>12</v>
      </c>
      <c r="Q12" s="18" t="n">
        <v>2</v>
      </c>
      <c r="R12" s="16" t="n">
        <v>72708.47</v>
      </c>
      <c r="S12" s="14" t="inlineStr">
        <is>
          <t>Final MATIAS BARRERA (1456) NAVELINA</t>
        </is>
      </c>
      <c r="T12" s="14" t="inlineStr">
        <is>
          <t>DIRECTO</t>
        </is>
      </c>
      <c r="U12" s="19">
        <f>IFERROR(166.386*I12/F12,0)</f>
        <v/>
      </c>
      <c r="V12" s="19">
        <f>IFERROR(166.386*M12/F12,0)</f>
        <v/>
      </c>
      <c r="W12" s="19">
        <f>IFERROR(166.386*L12/F12,0)</f>
        <v/>
      </c>
    </row>
    <row r="13">
      <c r="A13" s="14" t="n">
        <v>2276</v>
      </c>
      <c r="B13" s="14" t="inlineStr">
        <is>
          <t>Final LUIS HINIESTA (1181) NAVELINA</t>
        </is>
      </c>
      <c r="C13" s="15" t="n">
        <v>1181</v>
      </c>
      <c r="D13" s="14" t="inlineStr">
        <is>
          <t>HINIESTA RIOS,LUIS</t>
        </is>
      </c>
      <c r="E13" s="14" t="inlineStr">
        <is>
          <t>NAVELINA</t>
        </is>
      </c>
      <c r="F13" s="15" t="n">
        <v>46220</v>
      </c>
      <c r="G13" s="16" t="n">
        <v>14420.64</v>
      </c>
      <c r="H13" s="17" t="n">
        <v>0.312</v>
      </c>
      <c r="I13" s="16" t="n">
        <v>0</v>
      </c>
      <c r="J13" s="16" t="n">
        <v>598.65</v>
      </c>
      <c r="K13" s="16" t="n">
        <v>0</v>
      </c>
      <c r="L13" s="16" t="n">
        <v>0</v>
      </c>
      <c r="M13" s="16" t="n">
        <v>0</v>
      </c>
      <c r="N13" s="16" t="n">
        <v>13821.99</v>
      </c>
      <c r="O13" s="17" t="n">
        <v>0.32823</v>
      </c>
      <c r="P13" s="18" t="n">
        <v>12</v>
      </c>
      <c r="Q13" s="18" t="n">
        <v>2</v>
      </c>
      <c r="R13" s="16" t="n">
        <v>15171.02</v>
      </c>
      <c r="S13" s="14" t="inlineStr">
        <is>
          <t>Final LUIS HINIESTA (1181) NAVELINA</t>
        </is>
      </c>
      <c r="T13" s="14" t="inlineStr">
        <is>
          <t>DIRECTO</t>
        </is>
      </c>
      <c r="U13" s="19">
        <f>IFERROR(166.386*I13/F13,0)</f>
        <v/>
      </c>
      <c r="V13" s="19">
        <f>IFERROR(166.386*M13/F13,0)</f>
        <v/>
      </c>
      <c r="W13" s="19">
        <f>IFERROR(166.386*L13/F13,0)</f>
        <v/>
      </c>
    </row>
    <row r="14">
      <c r="A14" s="14" t="n">
        <v>2277</v>
      </c>
      <c r="B14" s="14" t="inlineStr">
        <is>
          <t>Final ISABEL MOLINA HIDALGO (1283) NAVEL FOYOS</t>
        </is>
      </c>
      <c r="C14" s="15" t="n">
        <v>1283</v>
      </c>
      <c r="D14" s="14" t="inlineStr">
        <is>
          <t>MOLINA HIDALGO,ISABEL</t>
        </is>
      </c>
      <c r="E14" s="14" t="inlineStr">
        <is>
          <t>NAVEL FOYOS</t>
        </is>
      </c>
      <c r="F14" s="15" t="n">
        <v>170966</v>
      </c>
      <c r="G14" s="16" t="n">
        <v>68422.61</v>
      </c>
      <c r="H14" s="17" t="n">
        <v>0.4002117964975492</v>
      </c>
      <c r="I14" s="16" t="n">
        <v>0</v>
      </c>
      <c r="J14" s="16" t="n">
        <v>1950.74</v>
      </c>
      <c r="K14" s="16" t="n">
        <v>0</v>
      </c>
      <c r="L14" s="16" t="n">
        <v>0</v>
      </c>
      <c r="M14" s="16" t="n">
        <v>0</v>
      </c>
      <c r="N14" s="16" t="n">
        <v>66471.87</v>
      </c>
      <c r="O14" s="17" t="n">
        <v>0.42675</v>
      </c>
      <c r="P14" s="18" t="n">
        <v>12</v>
      </c>
      <c r="Q14" s="18" t="n">
        <v>2</v>
      </c>
      <c r="R14" s="16" t="n">
        <v>72959.52</v>
      </c>
      <c r="S14" s="14" t="inlineStr">
        <is>
          <t>Final ISABEL MOLINA HIDALGO (1283) NAVEL FOYOS</t>
        </is>
      </c>
      <c r="T14" s="14" t="inlineStr">
        <is>
          <t>DIRECTO</t>
        </is>
      </c>
      <c r="U14" s="19">
        <f>IFERROR(166.386*I14/F14,0)</f>
        <v/>
      </c>
      <c r="V14" s="19">
        <f>IFERROR(166.386*M14/F14,0)</f>
        <v/>
      </c>
      <c r="W14" s="19">
        <f>IFERROR(166.386*L14/F14,0)</f>
        <v/>
      </c>
    </row>
    <row r="15">
      <c r="A15" s="14" t="n">
        <v>2278</v>
      </c>
      <c r="B15" s="14" t="inlineStr">
        <is>
          <t>Final PEDRO JIMENEZ MALDONADO (1500) SALUSTIANAS</t>
        </is>
      </c>
      <c r="C15" s="15" t="n">
        <v>1500</v>
      </c>
      <c r="D15" s="14" t="inlineStr">
        <is>
          <t>JIMENEZ MALDONADO, PEDRO</t>
        </is>
      </c>
      <c r="E15" s="14" t="inlineStr">
        <is>
          <t>SALUSTIANA</t>
        </is>
      </c>
      <c r="F15" s="15" t="n">
        <v>109860</v>
      </c>
      <c r="G15" s="16" t="n">
        <v>34276.32</v>
      </c>
      <c r="H15" s="17" t="n">
        <v>0.312</v>
      </c>
      <c r="I15" s="16" t="n">
        <v>0</v>
      </c>
      <c r="J15" s="16" t="n">
        <v>384.77</v>
      </c>
      <c r="K15" s="16" t="n">
        <v>0</v>
      </c>
      <c r="L15" s="16" t="n">
        <v>0</v>
      </c>
      <c r="M15" s="16" t="n">
        <v>0</v>
      </c>
      <c r="N15" s="16" t="n">
        <v>33891.55</v>
      </c>
      <c r="O15" s="17" t="n">
        <v>0.33861</v>
      </c>
      <c r="P15" s="18" t="n">
        <v>12</v>
      </c>
      <c r="Q15" s="18" t="n">
        <v>2</v>
      </c>
      <c r="R15" s="16" t="n">
        <v>37199.37</v>
      </c>
      <c r="S15" s="14" t="inlineStr">
        <is>
          <t>Final PEDRO JIMENEZ MALDONADO (1500) SALUSTIANAS</t>
        </is>
      </c>
      <c r="T15" s="14" t="inlineStr">
        <is>
          <t>DIRECTO</t>
        </is>
      </c>
      <c r="U15" s="19">
        <f>IFERROR(166.386*I15/F15,0)</f>
        <v/>
      </c>
      <c r="V15" s="19">
        <f>IFERROR(166.386*M15/F15,0)</f>
        <v/>
      </c>
      <c r="W15" s="19">
        <f>IFERROR(166.386*L15/F15,0)</f>
        <v/>
      </c>
    </row>
    <row r="16">
      <c r="A16" s="14" t="n">
        <v>2279</v>
      </c>
      <c r="B16" s="14" t="inlineStr">
        <is>
          <t>Final YOLANDA CALZADO RUIZ (1516) NEW HALL</t>
        </is>
      </c>
      <c r="C16" s="15" t="n">
        <v>1516</v>
      </c>
      <c r="D16" s="14" t="inlineStr">
        <is>
          <t>CALZADO RUIZ, YOLANDA</t>
        </is>
      </c>
      <c r="E16" s="14" t="inlineStr">
        <is>
          <t>NEWHALL</t>
        </is>
      </c>
      <c r="F16" s="15" t="n">
        <v>83782</v>
      </c>
      <c r="G16" s="16" t="n">
        <v>26139.98</v>
      </c>
      <c r="H16" s="17" t="n">
        <v>0.3119999522570481</v>
      </c>
      <c r="I16" s="16" t="n">
        <v>0</v>
      </c>
      <c r="J16" s="16" t="n">
        <v>778.04</v>
      </c>
      <c r="K16" s="16" t="n">
        <v>0</v>
      </c>
      <c r="L16" s="16" t="n">
        <v>0</v>
      </c>
      <c r="M16" s="16" t="n">
        <v>0</v>
      </c>
      <c r="N16" s="16" t="n">
        <v>25361.94</v>
      </c>
      <c r="O16" s="17" t="n">
        <v>0.33226</v>
      </c>
      <c r="P16" s="18" t="n">
        <v>12</v>
      </c>
      <c r="Q16" s="18" t="n">
        <v>2</v>
      </c>
      <c r="R16" s="16" t="n">
        <v>27837.27</v>
      </c>
      <c r="S16" s="14" t="inlineStr">
        <is>
          <t>Final YOLANDA CALZADO RUIZ (1516) NEW HALL</t>
        </is>
      </c>
      <c r="T16" s="14" t="inlineStr">
        <is>
          <t>DIRECTO</t>
        </is>
      </c>
      <c r="U16" s="19">
        <f>IFERROR(166.386*I16/F16,0)</f>
        <v/>
      </c>
      <c r="V16" s="19">
        <f>IFERROR(166.386*M16/F16,0)</f>
        <v/>
      </c>
      <c r="W16" s="19">
        <f>IFERROR(166.386*L16/F16,0)</f>
        <v/>
      </c>
    </row>
    <row r="17">
      <c r="A17" s="14" t="n">
        <v>2280</v>
      </c>
      <c r="B17" s="14" t="inlineStr">
        <is>
          <t>Final RURAL PRIME (BERBABE) (1615) LANE LATE</t>
        </is>
      </c>
      <c r="C17" s="15" t="n">
        <v>1615</v>
      </c>
      <c r="D17" s="14" t="inlineStr">
        <is>
          <t>RURAL PRIME S.L.</t>
        </is>
      </c>
      <c r="E17" s="14" t="inlineStr">
        <is>
          <t>LANE LATE</t>
        </is>
      </c>
      <c r="F17" s="15" t="n">
        <v>144460</v>
      </c>
      <c r="G17" s="16" t="n">
        <v>61106.58</v>
      </c>
      <c r="H17" s="17" t="n">
        <v>0.423</v>
      </c>
      <c r="I17" s="16" t="n">
        <v>0</v>
      </c>
      <c r="J17" s="16" t="n">
        <v>0</v>
      </c>
      <c r="K17" s="16" t="n">
        <v>0</v>
      </c>
      <c r="L17" s="16" t="n">
        <v>0</v>
      </c>
      <c r="M17" s="16" t="n">
        <v>0</v>
      </c>
      <c r="N17" s="16" t="n">
        <v>61106.58</v>
      </c>
      <c r="O17" s="17" t="n">
        <v>0.43992</v>
      </c>
      <c r="P17" s="18" t="n">
        <v>4</v>
      </c>
      <c r="Q17" s="18" t="n">
        <v>0</v>
      </c>
      <c r="R17" s="16" t="n">
        <v>63550.84</v>
      </c>
      <c r="S17" s="14" t="inlineStr">
        <is>
          <t>Final RURAL PRIME (BERBABE) (1615) LANE LATE</t>
        </is>
      </c>
      <c r="T17" s="14" t="inlineStr">
        <is>
          <t>DIRECTO</t>
        </is>
      </c>
      <c r="U17" s="19">
        <f>IFERROR(166.386*I17/F17,0)</f>
        <v/>
      </c>
      <c r="V17" s="19">
        <f>IFERROR(166.386*M17/F17,0)</f>
        <v/>
      </c>
      <c r="W17" s="19">
        <f>IFERROR(166.386*L17/F17,0)</f>
        <v/>
      </c>
    </row>
    <row r="18">
      <c r="A18" s="14" t="n">
        <v>2282</v>
      </c>
      <c r="B18" s="14" t="inlineStr">
        <is>
          <t>Final MIGUEL ANGEL GUIL (1471) SALUSTIANAS</t>
        </is>
      </c>
      <c r="C18" s="15" t="n">
        <v>1471</v>
      </c>
      <c r="D18" s="14" t="inlineStr">
        <is>
          <t>GUIL GARCIA,MIGUEL ANGEL</t>
        </is>
      </c>
      <c r="E18" s="14" t="inlineStr">
        <is>
          <t>SALUSTIANA</t>
        </is>
      </c>
      <c r="F18" s="15" t="n">
        <v>22554</v>
      </c>
      <c r="G18" s="16" t="n">
        <v>6224.9</v>
      </c>
      <c r="H18" s="17" t="n">
        <v>0.2759998226478673</v>
      </c>
      <c r="I18" s="16" t="n">
        <v>0</v>
      </c>
      <c r="J18" s="16" t="n">
        <v>112.42</v>
      </c>
      <c r="K18" s="16" t="n">
        <v>0</v>
      </c>
      <c r="L18" s="16" t="n">
        <v>0</v>
      </c>
      <c r="M18" s="16" t="n">
        <v>0</v>
      </c>
      <c r="N18" s="16" t="n">
        <v>6112.48</v>
      </c>
      <c r="O18" s="17" t="n">
        <v>0.29747</v>
      </c>
      <c r="P18" s="18" t="n">
        <v>12</v>
      </c>
      <c r="Q18" s="18" t="n">
        <v>2</v>
      </c>
      <c r="R18" s="16" t="n">
        <v>6709.06</v>
      </c>
      <c r="S18" s="14" t="inlineStr">
        <is>
          <t>Final MIGUEL ANGEL GUIL (1471) SALUSTIANAS</t>
        </is>
      </c>
      <c r="T18" s="14" t="inlineStr">
        <is>
          <t>DIRECTO</t>
        </is>
      </c>
      <c r="U18" s="19">
        <f>IFERROR(166.386*I18/F18,0)</f>
        <v/>
      </c>
      <c r="V18" s="19">
        <f>IFERROR(166.386*M18/F18,0)</f>
        <v/>
      </c>
      <c r="W18" s="19">
        <f>IFERROR(166.386*L18/F18,0)</f>
        <v/>
      </c>
    </row>
    <row r="19">
      <c r="A19" s="14" t="n">
        <v>2283</v>
      </c>
      <c r="B19" s="14" t="inlineStr">
        <is>
          <t>Final JOSE MARIA GUIL (963) SALUSTIANAS</t>
        </is>
      </c>
      <c r="C19" s="15" t="n">
        <v>963</v>
      </c>
      <c r="D19" s="14" t="inlineStr">
        <is>
          <t>GUIL RUEDA,JOSE MARIA</t>
        </is>
      </c>
      <c r="E19" s="14" t="inlineStr">
        <is>
          <t>SALUSTIANA</t>
        </is>
      </c>
      <c r="F19" s="15" t="n">
        <v>28180</v>
      </c>
      <c r="G19" s="16" t="n">
        <v>7777.68</v>
      </c>
      <c r="H19" s="17" t="n">
        <v>0.276</v>
      </c>
      <c r="I19" s="16" t="n">
        <v>0</v>
      </c>
      <c r="J19" s="16" t="n">
        <v>0</v>
      </c>
      <c r="K19" s="16" t="n">
        <v>0</v>
      </c>
      <c r="L19" s="16" t="n">
        <v>0</v>
      </c>
      <c r="M19" s="16" t="n">
        <v>0</v>
      </c>
      <c r="N19" s="16" t="n">
        <v>7777.68</v>
      </c>
      <c r="O19" s="17" t="n">
        <v>0.30294</v>
      </c>
      <c r="P19" s="18" t="n">
        <v>12</v>
      </c>
      <c r="Q19" s="18" t="n">
        <v>2</v>
      </c>
      <c r="R19" s="16" t="n">
        <v>8536.780000000001</v>
      </c>
      <c r="S19" s="14" t="inlineStr">
        <is>
          <t>Final JOSE MARIA GUIL (963) SALUSTIANAS</t>
        </is>
      </c>
      <c r="T19" s="14" t="inlineStr">
        <is>
          <t>DIRECTO</t>
        </is>
      </c>
      <c r="U19" s="19">
        <f>IFERROR(166.386*I19/F19,0)</f>
        <v/>
      </c>
      <c r="V19" s="19">
        <f>IFERROR(166.386*M19/F19,0)</f>
        <v/>
      </c>
      <c r="W19" s="19">
        <f>IFERROR(166.386*L19/F19,0)</f>
        <v/>
      </c>
    </row>
    <row r="20">
      <c r="A20" s="14" t="n">
        <v>2285</v>
      </c>
      <c r="B20" s="14" t="inlineStr">
        <is>
          <t>Final HILARIO  GARCIA (453) NAVEL</t>
        </is>
      </c>
      <c r="C20" s="15" t="n">
        <v>453</v>
      </c>
      <c r="D20" s="14" t="inlineStr">
        <is>
          <t>GARCIA CORDON,HILARIO</t>
        </is>
      </c>
      <c r="E20" s="14" t="inlineStr">
        <is>
          <t>WASHINGTON</t>
        </is>
      </c>
      <c r="F20" s="15" t="n">
        <v>12947</v>
      </c>
      <c r="G20" s="16" t="n">
        <v>3651.05</v>
      </c>
      <c r="H20" s="17" t="n">
        <v>0.2819996910481193</v>
      </c>
      <c r="I20" s="16" t="n">
        <v>0</v>
      </c>
      <c r="J20" s="16" t="n">
        <v>99.55</v>
      </c>
      <c r="K20" s="16" t="n">
        <v>0</v>
      </c>
      <c r="L20" s="16" t="n">
        <v>0</v>
      </c>
      <c r="M20" s="16" t="n">
        <v>0</v>
      </c>
      <c r="N20" s="16" t="n">
        <v>3551.5</v>
      </c>
      <c r="O20" s="17" t="n">
        <v>0.30108</v>
      </c>
      <c r="P20" s="18" t="n">
        <v>12</v>
      </c>
      <c r="Q20" s="18" t="n">
        <v>2</v>
      </c>
      <c r="R20" s="16" t="n">
        <v>3898.13</v>
      </c>
      <c r="S20" s="14" t="inlineStr">
        <is>
          <t>Final HILARIO  GARCIA (453) NAVEL</t>
        </is>
      </c>
      <c r="T20" s="14" t="inlineStr">
        <is>
          <t>DIRECTO</t>
        </is>
      </c>
      <c r="U20" s="19">
        <f>IFERROR(166.386*I20/F20,0)</f>
        <v/>
      </c>
      <c r="V20" s="19">
        <f>IFERROR(166.386*M20/F20,0)</f>
        <v/>
      </c>
      <c r="W20" s="19">
        <f>IFERROR(166.386*L20/F20,0)</f>
        <v/>
      </c>
    </row>
    <row r="21">
      <c r="A21" s="14" t="n">
        <v>2288</v>
      </c>
      <c r="B21" s="14" t="inlineStr">
        <is>
          <t>Final RAFAEL GARCIA (1462) NAVEL</t>
        </is>
      </c>
      <c r="C21" s="15" t="n">
        <v>1462</v>
      </c>
      <c r="D21" s="14" t="inlineStr">
        <is>
          <t>GARCIA TORO,RAFAEL</t>
        </is>
      </c>
      <c r="E21" s="14" t="inlineStr">
        <is>
          <t>WASHINGTON</t>
        </is>
      </c>
      <c r="F21" s="15" t="n">
        <v>24906</v>
      </c>
      <c r="G21" s="16" t="n">
        <v>7023.49</v>
      </c>
      <c r="H21" s="17" t="n">
        <v>0.2819999196980647</v>
      </c>
      <c r="I21" s="16" t="n">
        <v>0</v>
      </c>
      <c r="J21" s="16" t="n">
        <v>272.22</v>
      </c>
      <c r="K21" s="16" t="n">
        <v>0</v>
      </c>
      <c r="L21" s="16" t="n">
        <v>0</v>
      </c>
      <c r="M21" s="16" t="n">
        <v>0</v>
      </c>
      <c r="N21" s="16" t="n">
        <v>6751.27</v>
      </c>
      <c r="O21" s="17" t="n">
        <v>0.29753</v>
      </c>
      <c r="P21" s="18" t="n">
        <v>12</v>
      </c>
      <c r="Q21" s="18" t="n">
        <v>2</v>
      </c>
      <c r="R21" s="16" t="n">
        <v>7410.19</v>
      </c>
      <c r="S21" s="14" t="inlineStr">
        <is>
          <t>Final RAFAEL GARCIA (1462) NAVEL</t>
        </is>
      </c>
      <c r="T21" s="14" t="inlineStr">
        <is>
          <t>DIRECTO</t>
        </is>
      </c>
      <c r="U21" s="19">
        <f>IFERROR(166.386*I21/F21,0)</f>
        <v/>
      </c>
      <c r="V21" s="19">
        <f>IFERROR(166.386*M21/F21,0)</f>
        <v/>
      </c>
      <c r="W21" s="19">
        <f>IFERROR(166.386*L21/F21,0)</f>
        <v/>
      </c>
    </row>
    <row r="22">
      <c r="A22" s="14" t="n">
        <v>2289</v>
      </c>
      <c r="B22" s="14" t="inlineStr">
        <is>
          <t>Final ALVARO HARO (1544) LANE LATE</t>
        </is>
      </c>
      <c r="C22" s="15" t="n">
        <v>1544</v>
      </c>
      <c r="D22" s="14" t="inlineStr">
        <is>
          <t>HARO ORDOÑO, ALVARO</t>
        </is>
      </c>
      <c r="E22" s="14" t="inlineStr">
        <is>
          <t>LANE LATE</t>
        </is>
      </c>
      <c r="F22" s="15" t="n">
        <v>21260</v>
      </c>
      <c r="G22" s="16" t="n">
        <v>8121.32</v>
      </c>
      <c r="H22" s="17" t="n">
        <v>0.382</v>
      </c>
      <c r="I22" s="16" t="n">
        <v>0</v>
      </c>
      <c r="J22" s="16" t="n">
        <v>119.6</v>
      </c>
      <c r="K22" s="16" t="n">
        <v>0</v>
      </c>
      <c r="L22" s="16" t="n">
        <v>0</v>
      </c>
      <c r="M22" s="16" t="n">
        <v>0</v>
      </c>
      <c r="N22" s="16" t="n">
        <v>8001.72</v>
      </c>
      <c r="O22" s="17" t="n">
        <v>0.41311</v>
      </c>
      <c r="P22" s="18" t="n">
        <v>12</v>
      </c>
      <c r="Q22" s="18" t="n">
        <v>2</v>
      </c>
      <c r="R22" s="16" t="n">
        <v>8782.690000000001</v>
      </c>
      <c r="S22" s="14" t="inlineStr">
        <is>
          <t>Final ALVARO HARO (1544) LANE LATE</t>
        </is>
      </c>
      <c r="T22" s="14" t="inlineStr">
        <is>
          <t>DIRECTO</t>
        </is>
      </c>
      <c r="U22" s="19">
        <f>IFERROR(166.386*I22/F22,0)</f>
        <v/>
      </c>
      <c r="V22" s="19">
        <f>IFERROR(166.386*M22/F22,0)</f>
        <v/>
      </c>
      <c r="W22" s="19">
        <f>IFERROR(166.386*L22/F22,0)</f>
        <v/>
      </c>
    </row>
    <row r="23">
      <c r="A23" s="14" t="n">
        <v>2290</v>
      </c>
      <c r="B23" s="14" t="inlineStr">
        <is>
          <t>Final HNOS GONZALEZ ROLDAN (1272) LANE LATE</t>
        </is>
      </c>
      <c r="C23" s="15" t="n">
        <v>1272</v>
      </c>
      <c r="D23" s="14" t="inlineStr">
        <is>
          <t>HERMANOS GONZALEZ ROLDAN,S.C.</t>
        </is>
      </c>
      <c r="E23" s="14" t="inlineStr">
        <is>
          <t>LANE LATE</t>
        </is>
      </c>
      <c r="F23" s="15" t="n">
        <v>258132</v>
      </c>
      <c r="G23" s="16" t="n">
        <v>105059.72</v>
      </c>
      <c r="H23" s="17" t="n">
        <v>0.4069999845040522</v>
      </c>
      <c r="I23" s="16" t="n">
        <v>0</v>
      </c>
      <c r="J23" s="16" t="n">
        <v>4744.21</v>
      </c>
      <c r="K23" s="16" t="n">
        <v>0</v>
      </c>
      <c r="L23" s="16" t="n">
        <v>0</v>
      </c>
      <c r="M23" s="16" t="n">
        <v>0</v>
      </c>
      <c r="N23" s="16" t="n">
        <v>100315.51</v>
      </c>
      <c r="O23" s="17" t="n">
        <v>0.42655</v>
      </c>
      <c r="P23" s="18" t="n">
        <v>12</v>
      </c>
      <c r="Q23" s="18" t="n">
        <v>2</v>
      </c>
      <c r="R23" s="16" t="n">
        <v>110106.3</v>
      </c>
      <c r="S23" s="14" t="inlineStr">
        <is>
          <t>Final HNOS GONZALEZ ROLDAN (1272) LANE LATE</t>
        </is>
      </c>
      <c r="T23" s="14" t="inlineStr">
        <is>
          <t>DIRECTO</t>
        </is>
      </c>
      <c r="U23" s="19">
        <f>IFERROR(166.386*I23/F23,0)</f>
        <v/>
      </c>
      <c r="V23" s="19">
        <f>IFERROR(166.386*M23/F23,0)</f>
        <v/>
      </c>
      <c r="W23" s="19">
        <f>IFERROR(166.386*L23/F23,0)</f>
        <v/>
      </c>
    </row>
    <row r="24">
      <c r="A24" s="14" t="n">
        <v>2291</v>
      </c>
      <c r="B24" s="14" t="inlineStr">
        <is>
          <t>Final CRISTINA CALZADO (1519) LANE LATE</t>
        </is>
      </c>
      <c r="C24" s="15" t="n">
        <v>1519</v>
      </c>
      <c r="D24" s="14" t="inlineStr">
        <is>
          <t>CALZADO ARGüELLES, CRISTINA SETEFILLA</t>
        </is>
      </c>
      <c r="E24" s="14" t="inlineStr">
        <is>
          <t>LANE LATE</t>
        </is>
      </c>
      <c r="F24" s="15" t="n">
        <v>62160</v>
      </c>
      <c r="G24" s="16" t="n">
        <v>26231.52</v>
      </c>
      <c r="H24" s="17" t="n">
        <v>0.422</v>
      </c>
      <c r="I24" s="16" t="n">
        <v>0</v>
      </c>
      <c r="J24" s="16" t="n">
        <v>641.55</v>
      </c>
      <c r="K24" s="16" t="n">
        <v>0</v>
      </c>
      <c r="L24" s="16" t="n">
        <v>0</v>
      </c>
      <c r="M24" s="16" t="n">
        <v>0</v>
      </c>
      <c r="N24" s="16" t="n">
        <v>25589.97</v>
      </c>
      <c r="O24" s="17" t="n">
        <v>0.45186</v>
      </c>
      <c r="P24" s="18" t="n">
        <v>12</v>
      </c>
      <c r="Q24" s="18" t="n">
        <v>2</v>
      </c>
      <c r="R24" s="16" t="n">
        <v>28087.55</v>
      </c>
      <c r="S24" s="14" t="inlineStr">
        <is>
          <t>Final CRISTINA CALZADO (1519) LANE LATE</t>
        </is>
      </c>
      <c r="T24" s="14" t="inlineStr">
        <is>
          <t>DIRECTO</t>
        </is>
      </c>
      <c r="U24" s="19">
        <f>IFERROR(166.386*I24/F24,0)</f>
        <v/>
      </c>
      <c r="V24" s="19">
        <f>IFERROR(166.386*M24/F24,0)</f>
        <v/>
      </c>
      <c r="W24" s="19">
        <f>IFERROR(166.386*L24/F24,0)</f>
        <v/>
      </c>
    </row>
    <row r="25">
      <c r="A25" s="14" t="n">
        <v>2292</v>
      </c>
      <c r="B25" s="14" t="inlineStr">
        <is>
          <t>Final MARIA CALZADO (1518) LANE LATE</t>
        </is>
      </c>
      <c r="C25" s="15" t="n">
        <v>1518</v>
      </c>
      <c r="D25" s="14" t="inlineStr">
        <is>
          <t>CALZADO ARGüELLES,MARIA</t>
        </is>
      </c>
      <c r="E25" s="14" t="inlineStr">
        <is>
          <t>LANE LATE</t>
        </is>
      </c>
      <c r="F25" s="15" t="n">
        <v>103140</v>
      </c>
      <c r="G25" s="16" t="n">
        <v>43525.08</v>
      </c>
      <c r="H25" s="17" t="n">
        <v>0.422</v>
      </c>
      <c r="I25" s="16" t="n">
        <v>0</v>
      </c>
      <c r="J25" s="16" t="n">
        <v>891.3099999999999</v>
      </c>
      <c r="K25" s="16" t="n">
        <v>0</v>
      </c>
      <c r="L25" s="16" t="n">
        <v>0</v>
      </c>
      <c r="M25" s="16" t="n">
        <v>0</v>
      </c>
      <c r="N25" s="16" t="n">
        <v>42633.77</v>
      </c>
      <c r="O25" s="17" t="n">
        <v>0.4537</v>
      </c>
      <c r="P25" s="18" t="n">
        <v>12</v>
      </c>
      <c r="Q25" s="18" t="n">
        <v>2</v>
      </c>
      <c r="R25" s="16" t="n">
        <v>46794.83</v>
      </c>
      <c r="S25" s="14" t="inlineStr">
        <is>
          <t>Final MARIA CALZADO (1518) LANE LATE</t>
        </is>
      </c>
      <c r="T25" s="14" t="inlineStr">
        <is>
          <t>DIRECTO</t>
        </is>
      </c>
      <c r="U25" s="19">
        <f>IFERROR(166.386*I25/F25,0)</f>
        <v/>
      </c>
      <c r="V25" s="19">
        <f>IFERROR(166.386*M25/F25,0)</f>
        <v/>
      </c>
      <c r="W25" s="19">
        <f>IFERROR(166.386*L25/F25,0)</f>
        <v/>
      </c>
    </row>
    <row r="26">
      <c r="A26" s="14" t="n">
        <v>2293</v>
      </c>
      <c r="B26" s="14" t="inlineStr">
        <is>
          <t>Final FRANCISCO GALVEZ (937) SALUSTIANAS</t>
        </is>
      </c>
      <c r="C26" s="15" t="n">
        <v>937</v>
      </c>
      <c r="D26" s="14" t="inlineStr">
        <is>
          <t>GALVEZ MACIAS,FRANCISCO</t>
        </is>
      </c>
      <c r="E26" s="14" t="inlineStr">
        <is>
          <t>SALUSTIANA</t>
        </is>
      </c>
      <c r="F26" s="15" t="n">
        <v>108389</v>
      </c>
      <c r="G26" s="16" t="n">
        <v>43680.77</v>
      </c>
      <c r="H26" s="17" t="n">
        <v>0.4030000276780854</v>
      </c>
      <c r="I26" s="16" t="n">
        <v>4151.52</v>
      </c>
      <c r="J26" s="16" t="n">
        <v>885.86</v>
      </c>
      <c r="K26" s="16" t="n">
        <v>0</v>
      </c>
      <c r="L26" s="16" t="n">
        <v>0</v>
      </c>
      <c r="M26" s="16" t="n">
        <v>0</v>
      </c>
      <c r="N26" s="16" t="n">
        <v>38643.39</v>
      </c>
      <c r="O26" s="17" t="n">
        <v>0.39132</v>
      </c>
      <c r="P26" s="18" t="n">
        <v>12</v>
      </c>
      <c r="Q26" s="18" t="n">
        <v>2</v>
      </c>
      <c r="R26" s="16" t="n">
        <v>42414.98</v>
      </c>
      <c r="S26" s="14" t="inlineStr">
        <is>
          <t>Final FRANCISCO GALVEZ (937) SALUSTIANAS</t>
        </is>
      </c>
      <c r="T26" s="14" t="inlineStr">
        <is>
          <t>DIRECTO</t>
        </is>
      </c>
      <c r="U26" s="19">
        <f>IFERROR(166.386*I26/F26,0)</f>
        <v/>
      </c>
      <c r="V26" s="19">
        <f>IFERROR(166.386*M26/F26,0)</f>
        <v/>
      </c>
      <c r="W26" s="19">
        <f>IFERROR(166.386*L26/F26,0)</f>
        <v/>
      </c>
    </row>
    <row r="27">
      <c r="A27" s="14" t="n">
        <v>2294</v>
      </c>
      <c r="B27" s="14" t="inlineStr">
        <is>
          <t>Final ESTIBEN HIDALGO (1602) SALUSTIANAS</t>
        </is>
      </c>
      <c r="C27" s="15" t="n">
        <v>1602</v>
      </c>
      <c r="D27" s="14" t="inlineStr">
        <is>
          <t>HIDALGO PEREZ, ESTIBEN</t>
        </is>
      </c>
      <c r="E27" s="14" t="inlineStr">
        <is>
          <t>SALUSTIANA</t>
        </is>
      </c>
      <c r="F27" s="15" t="n">
        <v>45074</v>
      </c>
      <c r="G27" s="16" t="n">
        <v>16046.34</v>
      </c>
      <c r="H27" s="17" t="n">
        <v>0.355999911257044</v>
      </c>
      <c r="I27" s="16" t="n">
        <v>3051.19</v>
      </c>
      <c r="J27" s="16" t="n">
        <v>282.75</v>
      </c>
      <c r="K27" s="16" t="n">
        <v>0</v>
      </c>
      <c r="L27" s="16" t="n">
        <v>0</v>
      </c>
      <c r="M27" s="16" t="n">
        <v>0</v>
      </c>
      <c r="N27" s="16" t="n">
        <v>12712.4</v>
      </c>
      <c r="O27" s="17" t="n">
        <v>0.30956</v>
      </c>
      <c r="P27" s="18" t="n">
        <v>12</v>
      </c>
      <c r="Q27" s="18" t="n">
        <v>2</v>
      </c>
      <c r="R27" s="16" t="n">
        <v>13953.13</v>
      </c>
      <c r="S27" s="14" t="inlineStr">
        <is>
          <t>Final ESTIBEN HIDALGO (1602) SALUSTIANAS</t>
        </is>
      </c>
      <c r="T27" s="14" t="inlineStr">
        <is>
          <t>DIRECTO</t>
        </is>
      </c>
      <c r="U27" s="19">
        <f>IFERROR(166.386*I27/F27,0)</f>
        <v/>
      </c>
      <c r="V27" s="19">
        <f>IFERROR(166.386*M27/F27,0)</f>
        <v/>
      </c>
      <c r="W27" s="19">
        <f>IFERROR(166.386*L27/F27,0)</f>
        <v/>
      </c>
    </row>
    <row r="28">
      <c r="A28" s="14" t="n">
        <v>2295</v>
      </c>
      <c r="B28" s="14" t="inlineStr">
        <is>
          <t>Final JOSE RINCON (824) SALUSTIANAS</t>
        </is>
      </c>
      <c r="C28" s="15" t="n">
        <v>824</v>
      </c>
      <c r="D28" s="14" t="inlineStr">
        <is>
          <t>RINCON NIETO,JOSE</t>
        </is>
      </c>
      <c r="E28" s="14" t="inlineStr">
        <is>
          <t>SALUSTIANA</t>
        </is>
      </c>
      <c r="F28" s="15" t="n">
        <v>35387</v>
      </c>
      <c r="G28" s="16" t="n">
        <v>12597.77</v>
      </c>
      <c r="H28" s="17" t="n">
        <v>0.3559999434820697</v>
      </c>
      <c r="I28" s="16" t="n">
        <v>2592.79</v>
      </c>
      <c r="J28" s="16" t="n">
        <v>391.7</v>
      </c>
      <c r="K28" s="16" t="n">
        <v>0</v>
      </c>
      <c r="L28" s="16" t="n">
        <v>0</v>
      </c>
      <c r="M28" s="16" t="n">
        <v>0</v>
      </c>
      <c r="N28" s="16" t="n">
        <v>9613.280000000001</v>
      </c>
      <c r="O28" s="17" t="n">
        <v>0.29818</v>
      </c>
      <c r="P28" s="18" t="n">
        <v>12</v>
      </c>
      <c r="Q28" s="18" t="n">
        <v>2</v>
      </c>
      <c r="R28" s="16" t="n">
        <v>10551.54</v>
      </c>
      <c r="S28" s="14" t="inlineStr">
        <is>
          <t>Final JOSE RINCON (824) SALUSTIANAS</t>
        </is>
      </c>
      <c r="T28" s="14" t="inlineStr">
        <is>
          <t>DIRECTO</t>
        </is>
      </c>
      <c r="U28" s="19">
        <f>IFERROR(166.386*I28/F28,0)</f>
        <v/>
      </c>
      <c r="V28" s="19">
        <f>IFERROR(166.386*M28/F28,0)</f>
        <v/>
      </c>
      <c r="W28" s="19">
        <f>IFERROR(166.386*L28/F28,0)</f>
        <v/>
      </c>
    </row>
    <row r="29">
      <c r="A29" s="14" t="n">
        <v>2296</v>
      </c>
      <c r="B29" s="14" t="inlineStr">
        <is>
          <t>Final LEON CARRASCO SL (1504) SALUSTIANAS</t>
        </is>
      </c>
      <c r="C29" s="15" t="n">
        <v>1504</v>
      </c>
      <c r="D29" s="14" t="inlineStr">
        <is>
          <t>LEON CARRASCO S.C.</t>
        </is>
      </c>
      <c r="E29" s="14" t="inlineStr">
        <is>
          <t>SALUSTIANA</t>
        </is>
      </c>
      <c r="F29" s="15" t="n">
        <v>157340</v>
      </c>
      <c r="G29" s="16" t="n">
        <v>51450.18</v>
      </c>
      <c r="H29" s="17" t="n">
        <v>0.327</v>
      </c>
      <c r="I29" s="16" t="n">
        <v>0</v>
      </c>
      <c r="J29" s="16" t="n">
        <v>1003.7</v>
      </c>
      <c r="K29" s="16" t="n">
        <v>0</v>
      </c>
      <c r="L29" s="16" t="n">
        <v>0</v>
      </c>
      <c r="M29" s="16" t="n">
        <v>0</v>
      </c>
      <c r="N29" s="16" t="n">
        <v>50446.48</v>
      </c>
      <c r="O29" s="17" t="n">
        <v>0.35191</v>
      </c>
      <c r="P29" s="18" t="n">
        <v>12</v>
      </c>
      <c r="Q29" s="18" t="n">
        <v>2</v>
      </c>
      <c r="R29" s="16" t="n">
        <v>55370.06</v>
      </c>
      <c r="S29" s="14" t="inlineStr">
        <is>
          <t>Final LEON CARRASCO SL (1504) SALUSTIANAS</t>
        </is>
      </c>
      <c r="T29" s="14" t="inlineStr">
        <is>
          <t>DIRECTO</t>
        </is>
      </c>
      <c r="U29" s="19">
        <f>IFERROR(166.386*I29/F29,0)</f>
        <v/>
      </c>
      <c r="V29" s="19">
        <f>IFERROR(166.386*M29/F29,0)</f>
        <v/>
      </c>
      <c r="W29" s="19">
        <f>IFERROR(166.386*L29/F29,0)</f>
        <v/>
      </c>
    </row>
    <row r="30">
      <c r="A30" s="14" t="n">
        <v>2297</v>
      </c>
      <c r="B30" s="14" t="inlineStr">
        <is>
          <t>Final CADORTAN SL (1550) LANE LATE</t>
        </is>
      </c>
      <c r="C30" s="15" t="n">
        <v>1550</v>
      </c>
      <c r="D30" s="14" t="inlineStr">
        <is>
          <t>CADORTAN S.L.</t>
        </is>
      </c>
      <c r="E30" s="14" t="inlineStr">
        <is>
          <t>LANE LATE</t>
        </is>
      </c>
      <c r="F30" s="15" t="n">
        <v>187789</v>
      </c>
      <c r="G30" s="16" t="n">
        <v>81124.85000000001</v>
      </c>
      <c r="H30" s="17" t="n">
        <v>0.4320000106502511</v>
      </c>
      <c r="I30" s="16" t="n">
        <v>0</v>
      </c>
      <c r="J30" s="16" t="n">
        <v>1661.46</v>
      </c>
      <c r="K30" s="16" t="n">
        <v>0</v>
      </c>
      <c r="L30" s="16" t="n">
        <v>0</v>
      </c>
      <c r="M30" s="16" t="n">
        <v>0</v>
      </c>
      <c r="N30" s="16" t="n">
        <v>79463.39</v>
      </c>
      <c r="O30" s="17" t="n">
        <v>0.44008</v>
      </c>
      <c r="P30" s="18" t="n">
        <v>4</v>
      </c>
      <c r="Q30" s="18" t="n">
        <v>0</v>
      </c>
      <c r="R30" s="16" t="n">
        <v>82641.92999999999</v>
      </c>
      <c r="S30" s="14" t="inlineStr">
        <is>
          <t>Final CADORTAN SL (1550) LANE LATE</t>
        </is>
      </c>
      <c r="T30" s="14" t="inlineStr">
        <is>
          <t>DIRECTO</t>
        </is>
      </c>
      <c r="U30" s="19">
        <f>IFERROR(166.386*I30/F30,0)</f>
        <v/>
      </c>
      <c r="V30" s="19">
        <f>IFERROR(166.386*M30/F30,0)</f>
        <v/>
      </c>
      <c r="W30" s="19">
        <f>IFERROR(166.386*L30/F30,0)</f>
        <v/>
      </c>
    </row>
    <row r="31">
      <c r="A31" s="14" t="n">
        <v>2298</v>
      </c>
      <c r="B31" s="14" t="inlineStr">
        <is>
          <t>Final FERNANDO TOMENO (1415) SALUSTIANAS</t>
        </is>
      </c>
      <c r="C31" s="15" t="n">
        <v>1415</v>
      </c>
      <c r="D31" s="14" t="inlineStr">
        <is>
          <t>TOMENO SUAREZ,FERNANDO</t>
        </is>
      </c>
      <c r="E31" s="14" t="inlineStr">
        <is>
          <t>SALUSTIANA</t>
        </is>
      </c>
      <c r="F31" s="15" t="n">
        <v>136563</v>
      </c>
      <c r="G31" s="16" t="n">
        <v>55581.14</v>
      </c>
      <c r="H31" s="17" t="n">
        <v>0.4069999926773724</v>
      </c>
      <c r="I31" s="16" t="n">
        <v>0</v>
      </c>
      <c r="J31" s="16" t="n">
        <v>481.24</v>
      </c>
      <c r="K31" s="16" t="n">
        <v>0</v>
      </c>
      <c r="L31" s="16" t="n">
        <v>0</v>
      </c>
      <c r="M31" s="16" t="n">
        <v>0</v>
      </c>
      <c r="N31" s="16" t="n">
        <v>55099.9</v>
      </c>
      <c r="O31" s="17" t="n">
        <v>0.44286</v>
      </c>
      <c r="P31" s="18" t="n">
        <v>12</v>
      </c>
      <c r="Q31" s="18" t="n">
        <v>2</v>
      </c>
      <c r="R31" s="16" t="n">
        <v>60477.65</v>
      </c>
      <c r="S31" s="14" t="inlineStr">
        <is>
          <t>Final FERNANDO TOMENO (1415) SALUSTIANAS</t>
        </is>
      </c>
      <c r="T31" s="14" t="inlineStr">
        <is>
          <t>DIRECTO</t>
        </is>
      </c>
      <c r="U31" s="19">
        <f>IFERROR(166.386*I31/F31,0)</f>
        <v/>
      </c>
      <c r="V31" s="19">
        <f>IFERROR(166.386*M31/F31,0)</f>
        <v/>
      </c>
      <c r="W31" s="19">
        <f>IFERROR(166.386*L31/F31,0)</f>
        <v/>
      </c>
    </row>
    <row r="32">
      <c r="A32" s="14" t="n">
        <v>2299</v>
      </c>
      <c r="B32" s="14" t="inlineStr">
        <is>
          <t>Final DOLORES MUÑOZ  (1511) SALUSTIANAS</t>
        </is>
      </c>
      <c r="C32" s="15" t="n">
        <v>1511</v>
      </c>
      <c r="D32" s="14" t="inlineStr">
        <is>
          <t>HERNANDEZ MUÑOZ,DOLORES</t>
        </is>
      </c>
      <c r="E32" s="14" t="inlineStr">
        <is>
          <t>SALUSTIANA</t>
        </is>
      </c>
      <c r="F32" s="15" t="n">
        <v>56193</v>
      </c>
      <c r="G32" s="16" t="n">
        <v>18375.11</v>
      </c>
      <c r="H32" s="17" t="n">
        <v>0.3269999822041891</v>
      </c>
      <c r="I32" s="16" t="n">
        <v>0</v>
      </c>
      <c r="J32" s="16" t="n">
        <v>577.2</v>
      </c>
      <c r="K32" s="16" t="n">
        <v>0</v>
      </c>
      <c r="L32" s="16" t="n">
        <v>0</v>
      </c>
      <c r="M32" s="16" t="n">
        <v>0</v>
      </c>
      <c r="N32" s="16" t="n">
        <v>17797.91</v>
      </c>
      <c r="O32" s="17" t="n">
        <v>0.34764</v>
      </c>
      <c r="P32" s="18" t="n">
        <v>12</v>
      </c>
      <c r="Q32" s="18" t="n">
        <v>2</v>
      </c>
      <c r="R32" s="16" t="n">
        <v>19534.99</v>
      </c>
      <c r="S32" s="14" t="inlineStr">
        <is>
          <t>Final DOLORES MUÑOZ  (1511) SALUSTIANAS</t>
        </is>
      </c>
      <c r="T32" s="14" t="inlineStr">
        <is>
          <t>DIRECTO</t>
        </is>
      </c>
      <c r="U32" s="19">
        <f>IFERROR(166.386*I32/F32,0)</f>
        <v/>
      </c>
      <c r="V32" s="19">
        <f>IFERROR(166.386*M32/F32,0)</f>
        <v/>
      </c>
      <c r="W32" s="19">
        <f>IFERROR(166.386*L32/F32,0)</f>
        <v/>
      </c>
    </row>
    <row r="33">
      <c r="A33" s="14" t="n">
        <v>2300</v>
      </c>
      <c r="B33" s="14" t="inlineStr">
        <is>
          <t>Final DOLORES HDEZ (1549) SALUSTIANAS</t>
        </is>
      </c>
      <c r="C33" s="15" t="n">
        <v>1549</v>
      </c>
      <c r="D33" s="14" t="inlineStr">
        <is>
          <t>MUÑOZ JIMÉNEZ, DOLORES</t>
        </is>
      </c>
      <c r="E33" s="14" t="inlineStr">
        <is>
          <t>SALUSTIANA</t>
        </is>
      </c>
      <c r="F33" s="15" t="n">
        <v>75812</v>
      </c>
      <c r="G33" s="16" t="n">
        <v>24790.52</v>
      </c>
      <c r="H33" s="17" t="n">
        <v>0.3269999472379043</v>
      </c>
      <c r="I33" s="16" t="n">
        <v>0</v>
      </c>
      <c r="J33" s="16" t="n">
        <v>596.7</v>
      </c>
      <c r="K33" s="16" t="n">
        <v>0</v>
      </c>
      <c r="L33" s="16" t="n">
        <v>0</v>
      </c>
      <c r="M33" s="16" t="n">
        <v>0</v>
      </c>
      <c r="N33" s="16" t="n">
        <v>24193.82</v>
      </c>
      <c r="O33" s="17" t="n">
        <v>0.35028</v>
      </c>
      <c r="P33" s="18" t="n">
        <v>12</v>
      </c>
      <c r="Q33" s="18" t="n">
        <v>2</v>
      </c>
      <c r="R33" s="16" t="n">
        <v>26555.14</v>
      </c>
      <c r="S33" s="14" t="inlineStr">
        <is>
          <t>Final DOLORES HDEZ (1549) SALUSTIANAS</t>
        </is>
      </c>
      <c r="T33" s="14" t="inlineStr">
        <is>
          <t>DIRECTO</t>
        </is>
      </c>
      <c r="U33" s="19">
        <f>IFERROR(166.386*I33/F33,0)</f>
        <v/>
      </c>
      <c r="V33" s="19">
        <f>IFERROR(166.386*M33/F33,0)</f>
        <v/>
      </c>
      <c r="W33" s="19">
        <f>IFERROR(166.386*L33/F33,0)</f>
        <v/>
      </c>
    </row>
    <row r="34">
      <c r="A34" s="14" t="n">
        <v>2301</v>
      </c>
      <c r="B34" s="14" t="inlineStr">
        <is>
          <t>Final JESUS PADILLA (1611) LANE LATE</t>
        </is>
      </c>
      <c r="C34" s="15" t="n">
        <v>1611</v>
      </c>
      <c r="D34" s="14" t="inlineStr">
        <is>
          <t>PADILLA GONZALEZ, JESUS</t>
        </is>
      </c>
      <c r="E34" s="14" t="inlineStr">
        <is>
          <t>LANE LATE</t>
        </is>
      </c>
      <c r="F34" s="15" t="n">
        <v>89325</v>
      </c>
      <c r="G34" s="16" t="n">
        <v>35649.61</v>
      </c>
      <c r="H34" s="17" t="n">
        <v>0.3991000279876854</v>
      </c>
      <c r="I34" s="16" t="n">
        <v>0</v>
      </c>
      <c r="J34" s="16" t="n">
        <v>1134.9</v>
      </c>
      <c r="K34" s="16" t="n">
        <v>0</v>
      </c>
      <c r="L34" s="16" t="n">
        <v>0</v>
      </c>
      <c r="M34" s="16" t="n">
        <v>0</v>
      </c>
      <c r="N34" s="16" t="n">
        <v>34514.71</v>
      </c>
      <c r="O34" s="17" t="n">
        <v>0.42411</v>
      </c>
      <c r="P34" s="18" t="n">
        <v>12</v>
      </c>
      <c r="Q34" s="18" t="n">
        <v>2</v>
      </c>
      <c r="R34" s="16" t="n">
        <v>37883.35</v>
      </c>
      <c r="S34" s="14" t="inlineStr">
        <is>
          <t>Final JESUS PADILLA (1611) LANE LATE</t>
        </is>
      </c>
      <c r="T34" s="14" t="inlineStr">
        <is>
          <t>DIRECTO</t>
        </is>
      </c>
      <c r="U34" s="19">
        <f>IFERROR(166.386*I34/F34,0)</f>
        <v/>
      </c>
      <c r="V34" s="19">
        <f>IFERROR(166.386*M34/F34,0)</f>
        <v/>
      </c>
      <c r="W34" s="19">
        <f>IFERROR(166.386*L34/F34,0)</f>
        <v/>
      </c>
    </row>
    <row r="35">
      <c r="A35" s="14" t="n">
        <v>2302</v>
      </c>
      <c r="B35" s="14" t="inlineStr">
        <is>
          <t>Final ALVARO HARO (1544) CHISSLET</t>
        </is>
      </c>
      <c r="C35" s="15" t="n">
        <v>1544</v>
      </c>
      <c r="D35" s="14" t="inlineStr">
        <is>
          <t>HARO ORDOÑO, ALVARO</t>
        </is>
      </c>
      <c r="E35" s="14" t="inlineStr">
        <is>
          <t>CHISLETT SUMER</t>
        </is>
      </c>
      <c r="F35" s="15" t="n">
        <v>53005</v>
      </c>
      <c r="G35" s="16" t="n">
        <v>19045.91</v>
      </c>
      <c r="H35" s="17" t="n">
        <v>0.3593228940665975</v>
      </c>
      <c r="I35" s="16" t="n">
        <v>0</v>
      </c>
      <c r="J35" s="16" t="n">
        <v>298.19</v>
      </c>
      <c r="K35" s="16" t="n">
        <v>0</v>
      </c>
      <c r="L35" s="16" t="n">
        <v>0</v>
      </c>
      <c r="M35" s="16" t="n">
        <v>0</v>
      </c>
      <c r="N35" s="16" t="n">
        <v>18747.72</v>
      </c>
      <c r="O35" s="17" t="n">
        <v>0.38822</v>
      </c>
      <c r="P35" s="18" t="n">
        <v>12</v>
      </c>
      <c r="Q35" s="18" t="n">
        <v>2</v>
      </c>
      <c r="R35" s="16" t="n">
        <v>20577.5</v>
      </c>
      <c r="S35" s="14" t="inlineStr">
        <is>
          <t>Final ALVARO HARO (1544) CHISSLET</t>
        </is>
      </c>
      <c r="T35" s="14" t="inlineStr">
        <is>
          <t>DIRECTO</t>
        </is>
      </c>
      <c r="U35" s="19">
        <f>IFERROR(166.386*I35/F35,0)</f>
        <v/>
      </c>
      <c r="V35" s="19">
        <f>IFERROR(166.386*M35/F35,0)</f>
        <v/>
      </c>
      <c r="W35" s="19">
        <f>IFERROR(166.386*L35/F35,0)</f>
        <v/>
      </c>
    </row>
    <row r="36">
      <c r="A36" s="14" t="n">
        <v>2303</v>
      </c>
      <c r="B36" s="14" t="inlineStr">
        <is>
          <t>Final J. A. RODRIGUEZ MEJIAS (1523) LANE LATE</t>
        </is>
      </c>
      <c r="C36" s="15" t="n">
        <v>1523</v>
      </c>
      <c r="D36" s="14" t="inlineStr">
        <is>
          <t>RODRIGUEZ MEJÍAS, JOSE ANTONIO</t>
        </is>
      </c>
      <c r="E36" s="14" t="inlineStr">
        <is>
          <t>LANE LATE</t>
        </is>
      </c>
      <c r="F36" s="15" t="n">
        <v>78560</v>
      </c>
      <c r="G36" s="16" t="n">
        <v>33937.92</v>
      </c>
      <c r="H36" s="17" t="n">
        <v>0.432</v>
      </c>
      <c r="I36" s="16" t="n">
        <v>0</v>
      </c>
      <c r="J36" s="16" t="n">
        <v>570.79</v>
      </c>
      <c r="K36" s="16" t="n">
        <v>0</v>
      </c>
      <c r="L36" s="16" t="n">
        <v>0</v>
      </c>
      <c r="M36" s="16" t="n">
        <v>0</v>
      </c>
      <c r="N36" s="16" t="n">
        <v>33367.13</v>
      </c>
      <c r="O36" s="17" t="n">
        <v>0.46619</v>
      </c>
      <c r="P36" s="18" t="n">
        <v>12</v>
      </c>
      <c r="Q36" s="18" t="n">
        <v>2</v>
      </c>
      <c r="R36" s="16" t="n">
        <v>36623.76</v>
      </c>
      <c r="S36" s="14" t="inlineStr">
        <is>
          <t>Final J. A. RODRIGUEZ MEJIAS (1523) LANE LATE</t>
        </is>
      </c>
      <c r="T36" s="14" t="inlineStr">
        <is>
          <t>DIRECTO</t>
        </is>
      </c>
      <c r="U36" s="19">
        <f>IFERROR(166.386*I36/F36,0)</f>
        <v/>
      </c>
      <c r="V36" s="19">
        <f>IFERROR(166.386*M36/F36,0)</f>
        <v/>
      </c>
      <c r="W36" s="19">
        <f>IFERROR(166.386*L36/F36,0)</f>
        <v/>
      </c>
    </row>
    <row r="37">
      <c r="A37" s="14" t="n">
        <v>2304</v>
      </c>
      <c r="B37" s="14" t="inlineStr">
        <is>
          <t>Final AGRONUÑEZ (1466) LANE LATE</t>
        </is>
      </c>
      <c r="C37" s="15" t="n">
        <v>1466</v>
      </c>
      <c r="D37" s="14" t="inlineStr">
        <is>
          <t>AGRONUÑEZ S.C.</t>
        </is>
      </c>
      <c r="E37" s="14" t="inlineStr">
        <is>
          <t>LANE LATE</t>
        </is>
      </c>
      <c r="F37" s="15" t="n">
        <v>100396</v>
      </c>
      <c r="G37" s="16" t="n">
        <v>50398.79</v>
      </c>
      <c r="H37" s="17" t="n">
        <v>0.5019999800788876</v>
      </c>
      <c r="I37" s="16" t="n">
        <v>6274.75</v>
      </c>
      <c r="J37" s="16" t="n">
        <v>1118.85</v>
      </c>
      <c r="K37" s="16" t="n">
        <v>0</v>
      </c>
      <c r="L37" s="16" t="n">
        <v>0</v>
      </c>
      <c r="M37" s="16" t="n">
        <v>0</v>
      </c>
      <c r="N37" s="16" t="n">
        <v>43005.19</v>
      </c>
      <c r="O37" s="17" t="n">
        <v>0.47016</v>
      </c>
      <c r="P37" s="18" t="n">
        <v>12</v>
      </c>
      <c r="Q37" s="18" t="n">
        <v>2</v>
      </c>
      <c r="R37" s="16" t="n">
        <v>47202.5</v>
      </c>
      <c r="S37" s="14" t="inlineStr">
        <is>
          <t>Final AGRONUÑEZ (1466) LANE LATE</t>
        </is>
      </c>
      <c r="T37" s="14" t="inlineStr">
        <is>
          <t>DIRECTO</t>
        </is>
      </c>
      <c r="U37" s="19">
        <f>IFERROR(166.386*I37/F37,0)</f>
        <v/>
      </c>
      <c r="V37" s="19">
        <f>IFERROR(166.386*M37/F37,0)</f>
        <v/>
      </c>
      <c r="W37" s="19">
        <f>IFERROR(166.386*L37/F37,0)</f>
        <v/>
      </c>
    </row>
    <row r="38">
      <c r="A38" s="14" t="n">
        <v>2305</v>
      </c>
      <c r="B38" s="14" t="inlineStr">
        <is>
          <t>Final MANUEL JESUS NUÑEZ (1560) LANE LATE</t>
        </is>
      </c>
      <c r="C38" s="15" t="n">
        <v>1560</v>
      </c>
      <c r="D38" s="14" t="inlineStr">
        <is>
          <t>NUÑEZ GUERRERO, MANUEL JESUS</t>
        </is>
      </c>
      <c r="E38" s="14" t="inlineStr">
        <is>
          <t>LANE LATE</t>
        </is>
      </c>
      <c r="F38" s="15" t="n">
        <v>45424</v>
      </c>
      <c r="G38" s="16" t="n">
        <v>22802.85</v>
      </c>
      <c r="H38" s="17" t="n">
        <v>0.5020000440295879</v>
      </c>
      <c r="I38" s="16" t="n">
        <v>2839</v>
      </c>
      <c r="J38" s="16" t="n">
        <v>526.5</v>
      </c>
      <c r="K38" s="16" t="n">
        <v>0</v>
      </c>
      <c r="L38" s="16" t="n">
        <v>0</v>
      </c>
      <c r="M38" s="16" t="n">
        <v>0</v>
      </c>
      <c r="N38" s="16" t="n">
        <v>19437.35</v>
      </c>
      <c r="O38" s="17" t="n">
        <v>0.46967</v>
      </c>
      <c r="P38" s="18" t="n">
        <v>12</v>
      </c>
      <c r="Q38" s="18" t="n">
        <v>2</v>
      </c>
      <c r="R38" s="16" t="n">
        <v>21334.44</v>
      </c>
      <c r="S38" s="14" t="inlineStr">
        <is>
          <t>Final MANUEL JESUS NUÑEZ (1560) LANE LATE</t>
        </is>
      </c>
      <c r="T38" s="14" t="inlineStr">
        <is>
          <t>DIRECTO</t>
        </is>
      </c>
      <c r="U38" s="19">
        <f>IFERROR(166.386*I38/F38,0)</f>
        <v/>
      </c>
      <c r="V38" s="19">
        <f>IFERROR(166.386*M38/F38,0)</f>
        <v/>
      </c>
      <c r="W38" s="19">
        <f>IFERROR(166.386*L38/F38,0)</f>
        <v/>
      </c>
    </row>
    <row r="39">
      <c r="A39" s="14" t="n">
        <v>2306</v>
      </c>
      <c r="B39" s="14" t="inlineStr">
        <is>
          <t>Final HNOS GONZALEZ ROLDAN (1272) LANE LATE 1</t>
        </is>
      </c>
      <c r="C39" s="15" t="n">
        <v>1272</v>
      </c>
      <c r="D39" s="14" t="inlineStr">
        <is>
          <t>HERMANOS GONZALEZ ROLDAN,S.C.</t>
        </is>
      </c>
      <c r="E39" s="14" t="inlineStr">
        <is>
          <t>LANE LATE</t>
        </is>
      </c>
      <c r="F39" s="15" t="n">
        <v>36500</v>
      </c>
      <c r="G39" s="16" t="n">
        <v>13943</v>
      </c>
      <c r="H39" s="17" t="n">
        <v>0.382</v>
      </c>
      <c r="I39" s="16" t="n">
        <v>0</v>
      </c>
      <c r="J39" s="16" t="n">
        <v>670.83</v>
      </c>
      <c r="K39" s="16" t="n">
        <v>0</v>
      </c>
      <c r="L39" s="16" t="n">
        <v>0</v>
      </c>
      <c r="M39" s="16" t="n">
        <v>0</v>
      </c>
      <c r="N39" s="16" t="n">
        <v>13272.17</v>
      </c>
      <c r="O39" s="17" t="n">
        <v>0.39911</v>
      </c>
      <c r="P39" s="18" t="n">
        <v>12</v>
      </c>
      <c r="Q39" s="18" t="n">
        <v>2</v>
      </c>
      <c r="R39" s="16" t="n">
        <v>14567.53</v>
      </c>
      <c r="S39" s="14" t="inlineStr">
        <is>
          <t>Final HNOS GONZALEZ ROLDAN (1272) LANE LATE 1</t>
        </is>
      </c>
      <c r="T39" s="14" t="inlineStr">
        <is>
          <t>DIRECTO</t>
        </is>
      </c>
      <c r="U39" s="19">
        <f>IFERROR(166.386*I39/F39,0)</f>
        <v/>
      </c>
      <c r="V39" s="19">
        <f>IFERROR(166.386*M39/F39,0)</f>
        <v/>
      </c>
      <c r="W39" s="19">
        <f>IFERROR(166.386*L39/F39,0)</f>
        <v/>
      </c>
    </row>
    <row r="40">
      <c r="A40" s="14" t="n">
        <v>2307</v>
      </c>
      <c r="B40" s="14" t="inlineStr">
        <is>
          <t>Final AGRICOLA HNOS BUIZA (1395) POWEL</t>
        </is>
      </c>
      <c r="C40" s="15" t="n">
        <v>1395</v>
      </c>
      <c r="D40" s="14" t="inlineStr">
        <is>
          <t>AGRICOLA HERMANOS BUIZA S.C.</t>
        </is>
      </c>
      <c r="E40" s="14" t="inlineStr">
        <is>
          <t>NAVEL POWEL</t>
        </is>
      </c>
      <c r="F40" s="15" t="n">
        <v>68380</v>
      </c>
      <c r="G40" s="16" t="n">
        <v>28924.74</v>
      </c>
      <c r="H40" s="17" t="n">
        <v>0.423</v>
      </c>
      <c r="I40" s="16" t="n">
        <v>0</v>
      </c>
      <c r="J40" s="16" t="n">
        <v>258.36</v>
      </c>
      <c r="K40" s="16" t="n">
        <v>0</v>
      </c>
      <c r="L40" s="16" t="n">
        <v>0</v>
      </c>
      <c r="M40" s="16" t="n">
        <v>0</v>
      </c>
      <c r="N40" s="16" t="n">
        <v>28666.38</v>
      </c>
      <c r="O40" s="17" t="n">
        <v>0.46014</v>
      </c>
      <c r="P40" s="18" t="n">
        <v>12</v>
      </c>
      <c r="Q40" s="18" t="n">
        <v>2</v>
      </c>
      <c r="R40" s="16" t="n">
        <v>31464.22</v>
      </c>
      <c r="S40" s="14" t="inlineStr">
        <is>
          <t>Final AGRICOLA HNOS BUIZA (1395) POWEL</t>
        </is>
      </c>
      <c r="T40" s="14" t="inlineStr">
        <is>
          <t>DIRECTO</t>
        </is>
      </c>
      <c r="U40" s="19">
        <f>IFERROR(166.386*I40/F40,0)</f>
        <v/>
      </c>
      <c r="V40" s="19">
        <f>IFERROR(166.386*M40/F40,0)</f>
        <v/>
      </c>
      <c r="W40" s="19">
        <f>IFERROR(166.386*L40/F40,0)</f>
        <v/>
      </c>
    </row>
    <row r="41">
      <c r="A41" s="14" t="n">
        <v>2308</v>
      </c>
      <c r="B41" s="14" t="inlineStr">
        <is>
          <t>Final JAVIER SANCHEZ GUIL (1624) SALUSTIANAS</t>
        </is>
      </c>
      <c r="C41" s="15" t="n">
        <v>1624</v>
      </c>
      <c r="D41" s="14" t="inlineStr">
        <is>
          <t>SANCHEZ GUIL, JUAN JAVIER</t>
        </is>
      </c>
      <c r="E41" s="14" t="inlineStr">
        <is>
          <t>SALUSTIANA</t>
        </is>
      </c>
      <c r="F41" s="15" t="n">
        <v>10200</v>
      </c>
      <c r="G41" s="16" t="n">
        <v>4110.6</v>
      </c>
      <c r="H41" s="17" t="n">
        <v>0.403</v>
      </c>
      <c r="I41" s="16" t="n">
        <v>734.4</v>
      </c>
      <c r="J41" s="16" t="n">
        <v>86.13</v>
      </c>
      <c r="K41" s="16" t="n">
        <v>0</v>
      </c>
      <c r="L41" s="16" t="n">
        <v>0</v>
      </c>
      <c r="M41" s="16" t="n">
        <v>0</v>
      </c>
      <c r="N41" s="16" t="n">
        <v>3290.07</v>
      </c>
      <c r="O41" s="17" t="n">
        <v>0.35404</v>
      </c>
      <c r="P41" s="18" t="n">
        <v>12</v>
      </c>
      <c r="Q41" s="18" t="n">
        <v>2</v>
      </c>
      <c r="R41" s="16" t="n">
        <v>3611.18</v>
      </c>
      <c r="S41" s="14" t="inlineStr">
        <is>
          <t>Final JAVIER SANCHEZ GUIL (1624) SALUSTIANAS</t>
        </is>
      </c>
      <c r="T41" s="14" t="inlineStr">
        <is>
          <t>DIRECTO</t>
        </is>
      </c>
      <c r="U41" s="19">
        <f>IFERROR(166.386*I41/F41,0)</f>
        <v/>
      </c>
      <c r="V41" s="19">
        <f>IFERROR(166.386*M41/F41,0)</f>
        <v/>
      </c>
      <c r="W41" s="19">
        <f>IFERROR(166.386*L41/F41,0)</f>
        <v/>
      </c>
    </row>
    <row r="42">
      <c r="A42" s="14" t="n">
        <v>2309</v>
      </c>
      <c r="B42" s="14" t="inlineStr">
        <is>
          <t>Final J. A. PRIOR PORTILLO (1589) SALUSTIANAS</t>
        </is>
      </c>
      <c r="C42" s="15" t="n">
        <v>1589</v>
      </c>
      <c r="D42" s="14" t="inlineStr">
        <is>
          <t>PRIOR PORTILLO, JUAN ANTONIO</t>
        </is>
      </c>
      <c r="E42" s="14" t="inlineStr">
        <is>
          <t>SALUSTIANA</t>
        </is>
      </c>
      <c r="F42" s="15" t="n">
        <v>10620</v>
      </c>
      <c r="G42" s="16" t="n">
        <v>4279.86</v>
      </c>
      <c r="H42" s="17" t="n">
        <v>0.403</v>
      </c>
      <c r="I42" s="16" t="n">
        <v>764.64</v>
      </c>
      <c r="J42" s="16" t="n">
        <v>66.23999999999999</v>
      </c>
      <c r="K42" s="16" t="n">
        <v>0</v>
      </c>
      <c r="L42" s="16" t="n">
        <v>0</v>
      </c>
      <c r="M42" s="16" t="n">
        <v>0</v>
      </c>
      <c r="N42" s="16" t="n">
        <v>3448.98</v>
      </c>
      <c r="O42" s="17" t="n">
        <v>0.35646</v>
      </c>
      <c r="P42" s="18" t="n">
        <v>12</v>
      </c>
      <c r="Q42" s="18" t="n">
        <v>2</v>
      </c>
      <c r="R42" s="16" t="n">
        <v>3785.6</v>
      </c>
      <c r="S42" s="14" t="inlineStr">
        <is>
          <t>Final J. A. PRIOR PORTILLO (1589) SALUSTIANAS</t>
        </is>
      </c>
      <c r="T42" s="14" t="inlineStr">
        <is>
          <t>DIRECTO</t>
        </is>
      </c>
      <c r="U42" s="19">
        <f>IFERROR(166.386*I42/F42,0)</f>
        <v/>
      </c>
      <c r="V42" s="19">
        <f>IFERROR(166.386*M42/F42,0)</f>
        <v/>
      </c>
      <c r="W42" s="19">
        <f>IFERROR(166.386*L42/F42,0)</f>
        <v/>
      </c>
    </row>
    <row r="43">
      <c r="A43" s="14" t="n">
        <v>2310</v>
      </c>
      <c r="B43" s="14" t="inlineStr">
        <is>
          <t>Final LEON CARRASCO SL (1504) POWEL</t>
        </is>
      </c>
      <c r="C43" s="15" t="n">
        <v>1504</v>
      </c>
      <c r="D43" s="14" t="inlineStr">
        <is>
          <t>LEON CARRASCO S.C.</t>
        </is>
      </c>
      <c r="E43" s="14" t="inlineStr">
        <is>
          <t>NAVEL POWEL</t>
        </is>
      </c>
      <c r="F43" s="15" t="n">
        <v>78340</v>
      </c>
      <c r="G43" s="16" t="n">
        <v>31492.68</v>
      </c>
      <c r="H43" s="17" t="n">
        <v>0.402</v>
      </c>
      <c r="I43" s="16" t="n">
        <v>0</v>
      </c>
      <c r="J43" s="16" t="n">
        <v>499.75</v>
      </c>
      <c r="K43" s="16" t="n">
        <v>0</v>
      </c>
      <c r="L43" s="16" t="n">
        <v>0</v>
      </c>
      <c r="M43" s="16" t="n">
        <v>0</v>
      </c>
      <c r="N43" s="16" t="n">
        <v>30992.93</v>
      </c>
      <c r="O43" s="17" t="n">
        <v>0.43423</v>
      </c>
      <c r="P43" s="18" t="n">
        <v>12</v>
      </c>
      <c r="Q43" s="18" t="n">
        <v>2</v>
      </c>
      <c r="R43" s="16" t="n">
        <v>34017.84</v>
      </c>
      <c r="S43" s="14" t="inlineStr">
        <is>
          <t>Final LEON CARRASCO SL (1504) POWEL</t>
        </is>
      </c>
      <c r="T43" s="14" t="inlineStr">
        <is>
          <t>DIRECTO</t>
        </is>
      </c>
      <c r="U43" s="19">
        <f>IFERROR(166.386*I43/F43,0)</f>
        <v/>
      </c>
      <c r="V43" s="19">
        <f>IFERROR(166.386*M43/F43,0)</f>
        <v/>
      </c>
      <c r="W43" s="19">
        <f>IFERROR(166.386*L43/F43,0)</f>
        <v/>
      </c>
    </row>
    <row r="44">
      <c r="A44" s="14" t="n">
        <v>2311</v>
      </c>
      <c r="B44" s="14" t="inlineStr">
        <is>
          <t>Final MERCEDES GOMEZ (1577) POWEL</t>
        </is>
      </c>
      <c r="C44" s="15" t="n">
        <v>1577</v>
      </c>
      <c r="D44" s="14" t="inlineStr">
        <is>
          <t>GOMEZ GUERRERO, MARIA MERCEDES</t>
        </is>
      </c>
      <c r="E44" s="14" t="inlineStr">
        <is>
          <t>NAVEL POWEL</t>
        </is>
      </c>
      <c r="F44" s="15" t="n">
        <v>83263</v>
      </c>
      <c r="G44" s="16" t="n">
        <v>40132.77</v>
      </c>
      <c r="H44" s="17" t="n">
        <v>0.4820000480405462</v>
      </c>
      <c r="I44" s="16" t="n">
        <v>5203.94</v>
      </c>
      <c r="J44" s="16" t="n">
        <v>531.41</v>
      </c>
      <c r="K44" s="16" t="n">
        <v>0</v>
      </c>
      <c r="L44" s="16" t="n">
        <v>0</v>
      </c>
      <c r="M44" s="16" t="n">
        <v>0</v>
      </c>
      <c r="N44" s="16" t="n">
        <v>34397.42</v>
      </c>
      <c r="O44" s="17" t="n">
        <v>0.45344</v>
      </c>
      <c r="P44" s="18" t="n">
        <v>12</v>
      </c>
      <c r="Q44" s="18" t="n">
        <v>2</v>
      </c>
      <c r="R44" s="16" t="n">
        <v>37754.61</v>
      </c>
      <c r="S44" s="14" t="inlineStr">
        <is>
          <t>Final MERCEDES GOMEZ (1577) POWEL</t>
        </is>
      </c>
      <c r="T44" s="14" t="inlineStr">
        <is>
          <t>DIRECTO</t>
        </is>
      </c>
      <c r="U44" s="19">
        <f>IFERROR(166.386*I44/F44,0)</f>
        <v/>
      </c>
      <c r="V44" s="19">
        <f>IFERROR(166.386*M44/F44,0)</f>
        <v/>
      </c>
      <c r="W44" s="19">
        <f>IFERROR(166.386*L44/F44,0)</f>
        <v/>
      </c>
    </row>
    <row r="45">
      <c r="A45" s="14" t="n">
        <v>2312</v>
      </c>
      <c r="B45" s="14" t="inlineStr">
        <is>
          <t>Final FRANCISCO JAVIER CALZADO (1178) NAVEL POWEL</t>
        </is>
      </c>
      <c r="C45" s="15" t="n">
        <v>1178</v>
      </c>
      <c r="D45" s="14" t="inlineStr">
        <is>
          <t>CALZADO GARCIA,FRANCISCO JAVIER</t>
        </is>
      </c>
      <c r="E45" s="14" t="inlineStr">
        <is>
          <t>NAVEL POWEL</t>
        </is>
      </c>
      <c r="F45" s="15" t="n">
        <v>20980</v>
      </c>
      <c r="G45" s="16" t="n">
        <v>8014.36</v>
      </c>
      <c r="H45" s="17" t="n">
        <v>0.382</v>
      </c>
      <c r="I45" s="16" t="n">
        <v>0</v>
      </c>
      <c r="J45" s="16" t="n">
        <v>258.34</v>
      </c>
      <c r="K45" s="16" t="n">
        <v>0</v>
      </c>
      <c r="L45" s="16" t="n">
        <v>0</v>
      </c>
      <c r="M45" s="16" t="n">
        <v>0</v>
      </c>
      <c r="N45" s="16" t="n">
        <v>7756.02</v>
      </c>
      <c r="O45" s="17" t="n">
        <v>0.40577</v>
      </c>
      <c r="P45" s="18" t="n">
        <v>12</v>
      </c>
      <c r="Q45" s="18" t="n">
        <v>2</v>
      </c>
      <c r="R45" s="16" t="n">
        <v>8513.01</v>
      </c>
      <c r="S45" s="14" t="inlineStr">
        <is>
          <t>Final FRANCISCO JAVIER CALZADO (1178) NAVEL POWEL</t>
        </is>
      </c>
      <c r="T45" s="14" t="inlineStr">
        <is>
          <t>DIRECTO</t>
        </is>
      </c>
      <c r="U45" s="19">
        <f>IFERROR(166.386*I45/F45,0)</f>
        <v/>
      </c>
      <c r="V45" s="19">
        <f>IFERROR(166.386*M45/F45,0)</f>
        <v/>
      </c>
      <c r="W45" s="19">
        <f>IFERROR(166.386*L45/F45,0)</f>
        <v/>
      </c>
    </row>
    <row r="46">
      <c r="A46" s="14" t="n">
        <v>2313</v>
      </c>
      <c r="B46" s="14" t="inlineStr">
        <is>
          <t>Final FERNANDO TOMENO SUAREZ (1415) BARBERINA</t>
        </is>
      </c>
      <c r="C46" s="15" t="n">
        <v>1415</v>
      </c>
      <c r="D46" s="14" t="inlineStr">
        <is>
          <t>TOMENO SUAREZ,FERNANDO</t>
        </is>
      </c>
      <c r="E46" s="14" t="inlineStr">
        <is>
          <t>BARBERINA</t>
        </is>
      </c>
      <c r="F46" s="15" t="n">
        <v>84220</v>
      </c>
      <c r="G46" s="16" t="n">
        <v>43120.64</v>
      </c>
      <c r="H46" s="17" t="n">
        <v>0.512</v>
      </c>
      <c r="I46" s="16" t="n">
        <v>0</v>
      </c>
      <c r="J46" s="16" t="n">
        <v>296.78</v>
      </c>
      <c r="K46" s="16" t="n">
        <v>0</v>
      </c>
      <c r="L46" s="16" t="n">
        <v>0</v>
      </c>
      <c r="M46" s="16" t="n">
        <v>0</v>
      </c>
      <c r="N46" s="16" t="n">
        <v>42823.86</v>
      </c>
      <c r="O46" s="17" t="n">
        <v>0.5581</v>
      </c>
      <c r="P46" s="18" t="n">
        <v>12</v>
      </c>
      <c r="Q46" s="18" t="n">
        <v>2</v>
      </c>
      <c r="R46" s="16" t="n">
        <v>47003.47</v>
      </c>
      <c r="S46" s="14" t="inlineStr">
        <is>
          <t>Final FERNANDO TOMENO SUAREZ (1415) BARBERINA</t>
        </is>
      </c>
      <c r="T46" s="14" t="inlineStr">
        <is>
          <t>DIRECTO</t>
        </is>
      </c>
      <c r="U46" s="19">
        <f>IFERROR(166.386*I46/F46,0)</f>
        <v/>
      </c>
      <c r="V46" s="19">
        <f>IFERROR(166.386*M46/F46,0)</f>
        <v/>
      </c>
      <c r="W46" s="19">
        <f>IFERROR(166.386*L46/F46,0)</f>
        <v/>
      </c>
    </row>
    <row r="47">
      <c r="A47" s="14" t="n">
        <v>2314</v>
      </c>
      <c r="B47" s="14" t="inlineStr">
        <is>
          <t>Final FAMILIA GONZALEZ LACAL (1350) BARBERINA</t>
        </is>
      </c>
      <c r="C47" s="15" t="n">
        <v>1350</v>
      </c>
      <c r="D47" s="14" t="inlineStr">
        <is>
          <t>FAMILIA GONZALEZ LACAL S.C.</t>
        </is>
      </c>
      <c r="E47" s="14" t="inlineStr">
        <is>
          <t>BARBERINA</t>
        </is>
      </c>
      <c r="F47" s="15" t="n">
        <v>22080</v>
      </c>
      <c r="G47" s="16" t="n">
        <v>11304.96</v>
      </c>
      <c r="H47" s="17" t="n">
        <v>0.512</v>
      </c>
      <c r="I47" s="16" t="n">
        <v>1380</v>
      </c>
      <c r="J47" s="16" t="n">
        <v>308.38</v>
      </c>
      <c r="K47" s="16" t="n">
        <v>0</v>
      </c>
      <c r="L47" s="16" t="n">
        <v>0</v>
      </c>
      <c r="M47" s="16" t="n">
        <v>0</v>
      </c>
      <c r="N47" s="16" t="n">
        <v>9616.58</v>
      </c>
      <c r="O47" s="17" t="n">
        <v>0.47804</v>
      </c>
      <c r="P47" s="18" t="n">
        <v>12</v>
      </c>
      <c r="Q47" s="18" t="n">
        <v>2</v>
      </c>
      <c r="R47" s="16" t="n">
        <v>10555.16</v>
      </c>
      <c r="S47" s="14" t="inlineStr">
        <is>
          <t>Final FAMILIA GONZALEZ LACAL (1350) BARBERINA</t>
        </is>
      </c>
      <c r="T47" s="14" t="inlineStr">
        <is>
          <t>DIRECTO</t>
        </is>
      </c>
      <c r="U47" s="19">
        <f>IFERROR(166.386*I47/F47,0)</f>
        <v/>
      </c>
      <c r="V47" s="19">
        <f>IFERROR(166.386*M47/F47,0)</f>
        <v/>
      </c>
      <c r="W47" s="19">
        <f>IFERROR(166.386*L47/F47,0)</f>
        <v/>
      </c>
    </row>
    <row r="48">
      <c r="A48" s="14" t="n">
        <v>2315</v>
      </c>
      <c r="B48" s="14" t="inlineStr">
        <is>
          <t>Final FRUTAS ANDALUZAS DE SEVILLA (1627) BARBERINA</t>
        </is>
      </c>
      <c r="C48" s="15" t="n">
        <v>1627</v>
      </c>
      <c r="D48" s="14" t="inlineStr">
        <is>
          <t>FRUTAS ANDALUZAS DE SEVILLA S.L.</t>
        </is>
      </c>
      <c r="E48" s="14" t="inlineStr">
        <is>
          <t>BARBERINA</t>
        </is>
      </c>
      <c r="F48" s="15" t="n">
        <v>40500</v>
      </c>
      <c r="G48" s="16" t="n">
        <v>20331</v>
      </c>
      <c r="H48" s="17" t="n">
        <v>0.502</v>
      </c>
      <c r="I48" s="16" t="n">
        <v>0</v>
      </c>
      <c r="J48" s="16" t="n">
        <v>409.54</v>
      </c>
      <c r="K48" s="16" t="n">
        <v>0</v>
      </c>
      <c r="L48" s="16" t="n">
        <v>0</v>
      </c>
      <c r="M48" s="16" t="n">
        <v>0</v>
      </c>
      <c r="N48" s="16" t="n">
        <v>19921.46</v>
      </c>
      <c r="O48" s="17" t="n">
        <v>0.5399</v>
      </c>
      <c r="P48" s="18" t="n">
        <v>12</v>
      </c>
      <c r="Q48" s="18" t="n">
        <v>2</v>
      </c>
      <c r="R48" s="16" t="n">
        <v>21865.79</v>
      </c>
      <c r="S48" s="14" t="inlineStr">
        <is>
          <t>Final FRUTAS ANDALUZAS DE SEVILLA (1627) BARBERINA</t>
        </is>
      </c>
      <c r="T48" s="14" t="inlineStr">
        <is>
          <t>DIRECTO</t>
        </is>
      </c>
      <c r="U48" s="19">
        <f>IFERROR(166.386*I48/F48,0)</f>
        <v/>
      </c>
      <c r="V48" s="19">
        <f>IFERROR(166.386*M48/F48,0)</f>
        <v/>
      </c>
      <c r="W48" s="19">
        <f>IFERROR(166.386*L48/F48,0)</f>
        <v/>
      </c>
    </row>
    <row r="49">
      <c r="A49" s="14" t="n">
        <v>2317</v>
      </c>
      <c r="B49" s="14" t="inlineStr">
        <is>
          <t>Final JUAN SERRANO CORZO (981) SALUSTIANAS</t>
        </is>
      </c>
      <c r="C49" s="15" t="n">
        <v>981</v>
      </c>
      <c r="D49" s="14" t="inlineStr">
        <is>
          <t>SERRANO CORZO,JUAN</t>
        </is>
      </c>
      <c r="E49" s="14" t="inlineStr">
        <is>
          <t>SALUSTIANA</t>
        </is>
      </c>
      <c r="F49" s="15" t="n">
        <v>34725</v>
      </c>
      <c r="G49" s="16" t="n">
        <v>8056.2</v>
      </c>
      <c r="H49" s="17" t="n">
        <v>0.232</v>
      </c>
      <c r="I49" s="16" t="n">
        <v>0</v>
      </c>
      <c r="J49" s="16" t="n">
        <v>312</v>
      </c>
      <c r="K49" s="16" t="n">
        <v>0</v>
      </c>
      <c r="L49" s="16" t="n">
        <v>0</v>
      </c>
      <c r="M49" s="16" t="n">
        <v>0</v>
      </c>
      <c r="N49" s="16" t="n">
        <v>7744.2</v>
      </c>
      <c r="O49" s="17" t="n">
        <v>0.24478</v>
      </c>
      <c r="P49" s="18" t="n">
        <v>12</v>
      </c>
      <c r="Q49" s="18" t="n">
        <v>2</v>
      </c>
      <c r="R49" s="16" t="n">
        <v>8500.030000000001</v>
      </c>
      <c r="S49" s="14" t="inlineStr">
        <is>
          <t>Final JUAN SERRANO CORZO (981) SALUSTIANAS</t>
        </is>
      </c>
      <c r="T49" s="14" t="inlineStr">
        <is>
          <t>DIRECTO</t>
        </is>
      </c>
      <c r="U49" s="19">
        <f>IFERROR(166.386*I49/F49,0)</f>
        <v/>
      </c>
      <c r="V49" s="19">
        <f>IFERROR(166.386*M49/F49,0)</f>
        <v/>
      </c>
      <c r="W49" s="19">
        <f>IFERROR(166.386*L49/F49,0)</f>
        <v/>
      </c>
    </row>
    <row r="50">
      <c r="A50" s="14" t="n">
        <v>2318</v>
      </c>
      <c r="B50" s="14" t="inlineStr">
        <is>
          <t>Final J. A. RODRIGUEZ MEJIAS (1523) VALENCIA</t>
        </is>
      </c>
      <c r="C50" s="15" t="n">
        <v>1523</v>
      </c>
      <c r="D50" s="14" t="inlineStr">
        <is>
          <t>RODRIGUEZ MEJÍAS, JOSE ANTONIO</t>
        </is>
      </c>
      <c r="E50" s="14" t="inlineStr">
        <is>
          <t>VALENCIA DELTA</t>
        </is>
      </c>
      <c r="F50" s="15" t="n">
        <v>56312</v>
      </c>
      <c r="G50" s="16" t="n">
        <v>19258.7</v>
      </c>
      <c r="H50" s="17" t="n">
        <v>0.3419999289671828</v>
      </c>
      <c r="I50" s="16" t="n">
        <v>0</v>
      </c>
      <c r="J50" s="16" t="n">
        <v>409.14</v>
      </c>
      <c r="K50" s="16" t="n">
        <v>0</v>
      </c>
      <c r="L50" s="16" t="n">
        <v>0</v>
      </c>
      <c r="M50" s="16" t="n">
        <v>0</v>
      </c>
      <c r="N50" s="16" t="n">
        <v>18849.56</v>
      </c>
      <c r="O50" s="17" t="n">
        <v>0.3674</v>
      </c>
      <c r="P50" s="18" t="n">
        <v>12</v>
      </c>
      <c r="Q50" s="18" t="n">
        <v>2</v>
      </c>
      <c r="R50" s="16" t="n">
        <v>20689.28</v>
      </c>
      <c r="S50" s="14" t="inlineStr">
        <is>
          <t>Final J. A. RODRIGUEZ MEJIAS (1523) VALENCIA</t>
        </is>
      </c>
      <c r="T50" s="14" t="inlineStr">
        <is>
          <t>DIRECTO</t>
        </is>
      </c>
      <c r="U50" s="19">
        <f>IFERROR(166.386*I50/F50,0)</f>
        <v/>
      </c>
      <c r="V50" s="19">
        <f>IFERROR(166.386*M50/F50,0)</f>
        <v/>
      </c>
      <c r="W50" s="19">
        <f>IFERROR(166.386*L50/F50,0)</f>
        <v/>
      </c>
    </row>
    <row r="51">
      <c r="A51" s="14" t="n">
        <v>2319</v>
      </c>
      <c r="B51" s="14" t="inlineStr">
        <is>
          <t>Final J. A. RODRIGUEZ GARCIA (1194) VALENCIA</t>
        </is>
      </c>
      <c r="C51" s="15" t="n">
        <v>1194</v>
      </c>
      <c r="D51" s="14" t="inlineStr">
        <is>
          <t>RODRIGUEZ GARCIA,JOSE ANTONIO</t>
        </is>
      </c>
      <c r="E51" s="14" t="inlineStr">
        <is>
          <t>VALENCIA</t>
        </is>
      </c>
      <c r="F51" s="15" t="n">
        <v>181217</v>
      </c>
      <c r="G51" s="16" t="n">
        <v>61976.21</v>
      </c>
      <c r="H51" s="17" t="n">
        <v>0.3419999779270157</v>
      </c>
      <c r="I51" s="16" t="n">
        <v>0</v>
      </c>
      <c r="J51" s="16" t="n">
        <v>1372.8</v>
      </c>
      <c r="K51" s="16" t="n">
        <v>0</v>
      </c>
      <c r="L51" s="16" t="n">
        <v>0</v>
      </c>
      <c r="M51" s="16" t="n">
        <v>0</v>
      </c>
      <c r="N51" s="16" t="n">
        <v>60603.41</v>
      </c>
      <c r="O51" s="17" t="n">
        <v>0.36706</v>
      </c>
      <c r="P51" s="18" t="n">
        <v>12</v>
      </c>
      <c r="Q51" s="18" t="n">
        <v>2</v>
      </c>
      <c r="R51" s="16" t="n">
        <v>66518.3</v>
      </c>
      <c r="S51" s="14" t="inlineStr">
        <is>
          <t>Final J. A. RODRIGUEZ GARCIA (1194) VALENCIA</t>
        </is>
      </c>
      <c r="T51" s="14" t="inlineStr">
        <is>
          <t>DIRECTO</t>
        </is>
      </c>
      <c r="U51" s="19">
        <f>IFERROR(166.386*I51/F51,0)</f>
        <v/>
      </c>
      <c r="V51" s="19">
        <f>IFERROR(166.386*M51/F51,0)</f>
        <v/>
      </c>
      <c r="W51" s="19">
        <f>IFERROR(166.386*L51/F51,0)</f>
        <v/>
      </c>
    </row>
    <row r="52">
      <c r="A52" s="14" t="n">
        <v>2320</v>
      </c>
      <c r="B52" s="14" t="inlineStr">
        <is>
          <t>Final PEDRO JIMENEZ MALDONADO (1500) CHISSLET</t>
        </is>
      </c>
      <c r="C52" s="15" t="n">
        <v>1500</v>
      </c>
      <c r="D52" s="14" t="inlineStr">
        <is>
          <t>JIMENEZ MALDONADO, PEDRO</t>
        </is>
      </c>
      <c r="E52" s="14" t="inlineStr">
        <is>
          <t>CHISLETT SUMER</t>
        </is>
      </c>
      <c r="F52" s="15" t="n">
        <v>2769</v>
      </c>
      <c r="G52" s="16" t="n">
        <v>1334.66</v>
      </c>
      <c r="H52" s="17" t="n">
        <v>0.4820007222824124</v>
      </c>
      <c r="I52" s="16" t="n">
        <v>173.06</v>
      </c>
      <c r="J52" s="16" t="n">
        <v>9.699999999999999</v>
      </c>
      <c r="K52" s="16" t="n">
        <v>0</v>
      </c>
      <c r="L52" s="16" t="n">
        <v>0</v>
      </c>
      <c r="M52" s="16" t="n">
        <v>0</v>
      </c>
      <c r="N52" s="16" t="n">
        <v>1151.9</v>
      </c>
      <c r="O52" s="17" t="n">
        <v>0.4566</v>
      </c>
      <c r="P52" s="18" t="n">
        <v>12</v>
      </c>
      <c r="Q52" s="18" t="n">
        <v>2</v>
      </c>
      <c r="R52" s="16" t="n">
        <v>1264.33</v>
      </c>
      <c r="S52" s="14" t="inlineStr">
        <is>
          <t>Final PEDRO JIMENEZ MALDONADO (1500) CHISSLET</t>
        </is>
      </c>
      <c r="T52" s="14" t="inlineStr">
        <is>
          <t>DIRECTO</t>
        </is>
      </c>
      <c r="U52" s="19">
        <f>IFERROR(166.386*I52/F52,0)</f>
        <v/>
      </c>
      <c r="V52" s="19">
        <f>IFERROR(166.386*M52/F52,0)</f>
        <v/>
      </c>
      <c r="W52" s="19">
        <f>IFERROR(166.386*L52/F52,0)</f>
        <v/>
      </c>
    </row>
    <row r="53">
      <c r="A53" s="20" t="n"/>
      <c r="B53" s="20" t="n"/>
      <c r="C53" s="21" t="n"/>
      <c r="D53" s="20" t="inlineStr">
        <is>
          <t>TOTAL GENERAL</t>
        </is>
      </c>
      <c r="E53" s="20" t="n"/>
      <c r="F53" s="21" t="n">
        <v>3824497</v>
      </c>
      <c r="G53" s="22" t="n">
        <v>1527579.26</v>
      </c>
      <c r="H53" s="23" t="n"/>
      <c r="I53" s="22" t="n">
        <v>31387.87</v>
      </c>
      <c r="J53" s="22" t="n">
        <v>32521.7</v>
      </c>
      <c r="K53" s="22" t="n">
        <v>4222.57982053</v>
      </c>
      <c r="L53" s="22" t="n">
        <v>0</v>
      </c>
      <c r="M53" s="22" t="n">
        <v>0</v>
      </c>
      <c r="N53" s="22" t="n">
        <v>1467892.27</v>
      </c>
      <c r="O53" s="23" t="n">
        <v>0.4187821352716449</v>
      </c>
      <c r="P53" s="24" t="n"/>
      <c r="Q53" s="24" t="n"/>
      <c r="R53" s="22" t="n">
        <v>1601631.02</v>
      </c>
      <c r="S53" s="20" t="n"/>
      <c r="T53" s="20" t="n"/>
      <c r="U53" s="25" t="n"/>
      <c r="V53" s="25" t="n"/>
      <c r="W53" s="25" t="n"/>
    </row>
  </sheetData>
  <autoFilter ref="A1:W53"/>
  <pageMargins left="0.25" right="0.25"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G140"/>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5" customWidth="1" min="4" max="4"/>
    <col width="45" customWidth="1" min="5" max="5"/>
    <col width="28" customWidth="1" min="6" max="6"/>
    <col width="12" customWidth="1" min="7" max="7"/>
  </cols>
  <sheetData>
    <row r="1">
      <c r="A1" s="1" t="inlineStr">
        <is>
          <t>Id Remesa</t>
        </is>
      </c>
      <c r="B1" s="1" t="inlineStr">
        <is>
          <t>Remesa</t>
        </is>
      </c>
      <c r="C1" s="1" t="inlineStr">
        <is>
          <t>Fase</t>
        </is>
      </c>
      <c r="D1" s="1" t="inlineStr">
        <is>
          <t>Tipo de error</t>
        </is>
      </c>
      <c r="E1" s="1" t="inlineStr">
        <is>
          <t>Mensaje</t>
        </is>
      </c>
      <c r="F1" s="2" t="inlineStr">
        <is>
          <t>Fecha y hora</t>
        </is>
      </c>
      <c r="G1" s="1" t="inlineStr">
        <is>
          <t>Estado</t>
        </is>
      </c>
    </row>
    <row r="2">
      <c r="A2" s="5" t="n">
        <v>2281</v>
      </c>
      <c r="B2" s="5" t="inlineStr">
        <is>
          <t>Final JOSE MARIA GUIL (963) NAVEL</t>
        </is>
      </c>
      <c r="C2" s="5" t="inlineStr">
        <is>
          <t>ERROR</t>
        </is>
      </c>
      <c r="D2" s="5" t="inlineStr">
        <is>
          <t>ValueError</t>
        </is>
      </c>
      <c r="E2" s="5" t="inlineStr">
        <is>
          <t>El cálculo no contiene líneas para exportar</t>
        </is>
      </c>
      <c r="F2" s="6" t="n">
        <v>46231.74488281704</v>
      </c>
      <c r="G2" s="5" t="inlineStr">
        <is>
          <t>ERROR</t>
        </is>
      </c>
    </row>
    <row r="3">
      <c r="A3" s="5" t="n">
        <v>2284</v>
      </c>
      <c r="B3" s="5" t="inlineStr">
        <is>
          <t>Final MIGUEL ANGEL GUIL (1471) NAVEL</t>
        </is>
      </c>
      <c r="C3" s="5" t="inlineStr">
        <is>
          <t>ERROR</t>
        </is>
      </c>
      <c r="D3" s="5" t="inlineStr">
        <is>
          <t>ValueError</t>
        </is>
      </c>
      <c r="E3" s="5" t="inlineStr">
        <is>
          <t>El cálculo no contiene líneas para exportar</t>
        </is>
      </c>
      <c r="F3" s="6" t="n">
        <v>46231.74488281704</v>
      </c>
      <c r="G3" s="5" t="inlineStr">
        <is>
          <t>ERROR</t>
        </is>
      </c>
    </row>
    <row r="4">
      <c r="A4" s="5" t="n">
        <v>2286</v>
      </c>
      <c r="B4" s="5" t="inlineStr">
        <is>
          <t>Final RAFAEL GARCIA (1462) SALUSTIANAS</t>
        </is>
      </c>
      <c r="C4" s="5" t="inlineStr">
        <is>
          <t>ERROR</t>
        </is>
      </c>
      <c r="D4" s="5" t="inlineStr">
        <is>
          <t>ValueError</t>
        </is>
      </c>
      <c r="E4" s="5" t="inlineStr">
        <is>
          <t>El cálculo no contiene líneas para exportar</t>
        </is>
      </c>
      <c r="F4" s="6" t="n">
        <v>46231.74488281704</v>
      </c>
      <c r="G4" s="5" t="inlineStr">
        <is>
          <t>ERROR</t>
        </is>
      </c>
    </row>
    <row r="5">
      <c r="A5" s="5" t="n">
        <v>2287</v>
      </c>
      <c r="B5" s="5" t="inlineStr">
        <is>
          <t>Final HILARIO  GARCIA (453) SALUSTIANAS</t>
        </is>
      </c>
      <c r="C5" s="5" t="inlineStr">
        <is>
          <t>ERROR</t>
        </is>
      </c>
      <c r="D5" s="5" t="inlineStr">
        <is>
          <t>ValueError</t>
        </is>
      </c>
      <c r="E5" s="5" t="inlineStr">
        <is>
          <t>El cálculo no contiene líneas para exportar</t>
        </is>
      </c>
      <c r="F5" s="6" t="n">
        <v>46231.74488281704</v>
      </c>
      <c r="G5" s="5" t="inlineStr">
        <is>
          <t>ERROR</t>
        </is>
      </c>
    </row>
    <row r="6">
      <c r="A6" s="5" t="n">
        <v>2316</v>
      </c>
      <c r="B6" s="5" t="inlineStr">
        <is>
          <t>Final JUAN SERRANO CORZO (981) NAVELINA</t>
        </is>
      </c>
      <c r="C6" s="5" t="inlineStr">
        <is>
          <t>ERROR</t>
        </is>
      </c>
      <c r="D6" s="5" t="inlineStr">
        <is>
          <t>ValueError</t>
        </is>
      </c>
      <c r="E6" s="5" t="inlineStr">
        <is>
          <t>El cálculo no contiene líneas para exportar</t>
        </is>
      </c>
      <c r="F6" s="6" t="n">
        <v>46231.74488281704</v>
      </c>
      <c r="G6" s="5" t="inlineStr">
        <is>
          <t>ERROR</t>
        </is>
      </c>
    </row>
    <row r="7">
      <c r="A7" s="5" t="n">
        <v>2185</v>
      </c>
      <c r="B7" s="5" t="inlineStr">
        <is>
          <t>Tango Semana 5 NORMAL</t>
        </is>
      </c>
      <c r="C7" s="5" t="inlineStr">
        <is>
          <t>WARNING</t>
        </is>
      </c>
      <c r="D7" s="5" t="inlineStr">
        <is>
          <t>Warning</t>
        </is>
      </c>
      <c r="E7" s="5" t="inlineStr">
        <is>
          <t>No existe tarifa BonCalidad para socio=1561 campaña=2026 empresa=1 cultivo=DIRECTO.</t>
        </is>
      </c>
      <c r="F7" s="6" t="n">
        <v>46231.74488281704</v>
      </c>
      <c r="G7" s="5" t="inlineStr">
        <is>
          <t>WARNING</t>
        </is>
      </c>
    </row>
    <row r="8">
      <c r="A8" s="5" t="n">
        <v>2185</v>
      </c>
      <c r="B8" s="5" t="inlineStr">
        <is>
          <t>Tango Semana 5 NORMAL</t>
        </is>
      </c>
      <c r="C8" s="5" t="inlineStr">
        <is>
          <t>WARNING</t>
        </is>
      </c>
      <c r="D8" s="5" t="inlineStr">
        <is>
          <t>Warning</t>
        </is>
      </c>
      <c r="E8" s="5" t="inlineStr">
        <is>
          <t>No existe fuente acumulada disponible; saldo informativo calculado con cuota ya aplicada = 0.</t>
        </is>
      </c>
      <c r="F8" s="6" t="n">
        <v>46231.74488281704</v>
      </c>
      <c r="G8" s="5" t="inlineStr">
        <is>
          <t>WARNING</t>
        </is>
      </c>
    </row>
    <row r="9">
      <c r="A9" s="5" t="n">
        <v>2186</v>
      </c>
      <c r="B9" s="5" t="inlineStr">
        <is>
          <t>Tango Semana 6 NORMAL</t>
        </is>
      </c>
      <c r="C9" s="5" t="inlineStr">
        <is>
          <t>WARNING</t>
        </is>
      </c>
      <c r="D9" s="5" t="inlineStr">
        <is>
          <t>Warning</t>
        </is>
      </c>
      <c r="E9" s="5" t="inlineStr">
        <is>
          <t>No existe tarifa BonCalidad para socio=1561 campaña=2026 empresa=1 cultivo=DIRECTO.</t>
        </is>
      </c>
      <c r="F9" s="6" t="n">
        <v>46231.74488281704</v>
      </c>
      <c r="G9" s="5" t="inlineStr">
        <is>
          <t>WARNING</t>
        </is>
      </c>
    </row>
    <row r="10">
      <c r="A10" s="5" t="n">
        <v>2186</v>
      </c>
      <c r="B10" s="5" t="inlineStr">
        <is>
          <t>Tango Semana 6 NORMAL</t>
        </is>
      </c>
      <c r="C10" s="5" t="inlineStr">
        <is>
          <t>WARNING</t>
        </is>
      </c>
      <c r="D10" s="5" t="inlineStr">
        <is>
          <t>Warning</t>
        </is>
      </c>
      <c r="E10" s="5" t="inlineStr">
        <is>
          <t>No existe fuente acumulada disponible; saldo informativo calculado con cuota ya aplicada = 0.</t>
        </is>
      </c>
      <c r="F10" s="6" t="n">
        <v>46231.74488281704</v>
      </c>
      <c r="G10" s="5" t="inlineStr">
        <is>
          <t>WARNING</t>
        </is>
      </c>
    </row>
    <row r="11">
      <c r="A11" s="5" t="n">
        <v>2267</v>
      </c>
      <c r="B11" s="5" t="inlineStr">
        <is>
          <t>Final ANGELES DURAN (1251) NAVELINA</t>
        </is>
      </c>
      <c r="C11" s="5" t="inlineStr">
        <is>
          <t>WARNING</t>
        </is>
      </c>
      <c r="D11" s="5" t="inlineStr">
        <is>
          <t>Warning</t>
        </is>
      </c>
      <c r="E11" s="5" t="inlineStr">
        <is>
          <t>3 entregas ya figuran como liquidadas.</t>
        </is>
      </c>
      <c r="F11" s="6" t="n">
        <v>46231.74488281704</v>
      </c>
      <c r="G11" s="5" t="inlineStr">
        <is>
          <t>WARNING</t>
        </is>
      </c>
    </row>
    <row r="12">
      <c r="A12" s="5" t="n">
        <v>2267</v>
      </c>
      <c r="B12" s="5" t="inlineStr">
        <is>
          <t>Final ANGELES DURAN (1251) NAVELINA</t>
        </is>
      </c>
      <c r="C12" s="5" t="inlineStr">
        <is>
          <t>WARNING</t>
        </is>
      </c>
      <c r="D12" s="5" t="inlineStr">
        <is>
          <t>Warning</t>
        </is>
      </c>
      <c r="E12" s="5" t="inlineStr">
        <is>
          <t>No existe tarifa BonCalidad para socio=1251 campaña=2026 empresa=1 cultivo=DIRECTO.</t>
        </is>
      </c>
      <c r="F12" s="6" t="n">
        <v>46231.74488281704</v>
      </c>
      <c r="G12" s="5" t="inlineStr">
        <is>
          <t>WARNING</t>
        </is>
      </c>
    </row>
    <row r="13">
      <c r="A13" s="5" t="n">
        <v>2267</v>
      </c>
      <c r="B13" s="5" t="inlineStr">
        <is>
          <t>Final ANGELES DURAN (1251) NAVELINA</t>
        </is>
      </c>
      <c r="C13" s="5" t="inlineStr">
        <is>
          <t>WARNING</t>
        </is>
      </c>
      <c r="D13" s="5" t="inlineStr">
        <is>
          <t>Warning</t>
        </is>
      </c>
      <c r="E13" s="5" t="inlineStr">
        <is>
          <t>No existe fuente acumulada disponible; saldo informativo calculado con cuota ya aplicada = 0.</t>
        </is>
      </c>
      <c r="F13" s="6" t="n">
        <v>46231.74488281704</v>
      </c>
      <c r="G13" s="5" t="inlineStr">
        <is>
          <t>WARNING</t>
        </is>
      </c>
    </row>
    <row r="14">
      <c r="A14" s="5" t="n">
        <v>2268</v>
      </c>
      <c r="B14" s="5" t="inlineStr">
        <is>
          <t>Final ALVARO HARO (1544) NAVELINA</t>
        </is>
      </c>
      <c r="C14" s="5" t="inlineStr">
        <is>
          <t>WARNING</t>
        </is>
      </c>
      <c r="D14" s="5" t="inlineStr">
        <is>
          <t>Warning</t>
        </is>
      </c>
      <c r="E14" s="5" t="inlineStr">
        <is>
          <t>2 entregas ya figuran como liquidadas.</t>
        </is>
      </c>
      <c r="F14" s="6" t="n">
        <v>46231.74488281704</v>
      </c>
      <c r="G14" s="5" t="inlineStr">
        <is>
          <t>WARNING</t>
        </is>
      </c>
    </row>
    <row r="15">
      <c r="A15" s="5" t="n">
        <v>2268</v>
      </c>
      <c r="B15" s="5" t="inlineStr">
        <is>
          <t>Final ALVARO HARO (1544) NAVELINA</t>
        </is>
      </c>
      <c r="C15" s="5" t="inlineStr">
        <is>
          <t>WARNING</t>
        </is>
      </c>
      <c r="D15" s="5" t="inlineStr">
        <is>
          <t>Warning</t>
        </is>
      </c>
      <c r="E15" s="5" t="inlineStr">
        <is>
          <t>No existe tarifa BonCalidad para socio=1544 campaña=2026 empresa=1 cultivo=DIRECTO.</t>
        </is>
      </c>
      <c r="F15" s="6" t="n">
        <v>46231.74488281704</v>
      </c>
      <c r="G15" s="5" t="inlineStr">
        <is>
          <t>WARNING</t>
        </is>
      </c>
    </row>
    <row r="16">
      <c r="A16" s="5" t="n">
        <v>2268</v>
      </c>
      <c r="B16" s="5" t="inlineStr">
        <is>
          <t>Final ALVARO HARO (1544) NAVELINA</t>
        </is>
      </c>
      <c r="C16" s="5" t="inlineStr">
        <is>
          <t>WARNING</t>
        </is>
      </c>
      <c r="D16" s="5" t="inlineStr">
        <is>
          <t>Warning</t>
        </is>
      </c>
      <c r="E16" s="5" t="inlineStr">
        <is>
          <t>No existe fuente acumulada disponible; saldo informativo calculado con cuota ya aplicada = 0.</t>
        </is>
      </c>
      <c r="F16" s="6" t="n">
        <v>46231.74488281704</v>
      </c>
      <c r="G16" s="5" t="inlineStr">
        <is>
          <t>WARNING</t>
        </is>
      </c>
    </row>
    <row r="17">
      <c r="A17" s="5" t="n">
        <v>2269</v>
      </c>
      <c r="B17" s="5" t="inlineStr">
        <is>
          <t>Final JUAN MARTINEZ LOPEZ DE ROZAS (1429) NAVELINA</t>
        </is>
      </c>
      <c r="C17" s="5" t="inlineStr">
        <is>
          <t>WARNING</t>
        </is>
      </c>
      <c r="D17" s="5" t="inlineStr">
        <is>
          <t>Warning</t>
        </is>
      </c>
      <c r="E17" s="5" t="inlineStr">
        <is>
          <t>4 entregas ya figuran como liquidadas.</t>
        </is>
      </c>
      <c r="F17" s="6" t="n">
        <v>46231.74488281704</v>
      </c>
      <c r="G17" s="5" t="inlineStr">
        <is>
          <t>WARNING</t>
        </is>
      </c>
    </row>
    <row r="18">
      <c r="A18" s="5" t="n">
        <v>2269</v>
      </c>
      <c r="B18" s="5" t="inlineStr">
        <is>
          <t>Final JUAN MARTINEZ LOPEZ DE ROZAS (1429) NAVELINA</t>
        </is>
      </c>
      <c r="C18" s="5" t="inlineStr">
        <is>
          <t>WARNING</t>
        </is>
      </c>
      <c r="D18" s="5" t="inlineStr">
        <is>
          <t>Warning</t>
        </is>
      </c>
      <c r="E18" s="5" t="inlineStr">
        <is>
          <t>No existe tarifa BonCalidad para socio=1429 campaña=2026 empresa=1 cultivo=DIRECTO.</t>
        </is>
      </c>
      <c r="F18" s="6" t="n">
        <v>46231.74488281704</v>
      </c>
      <c r="G18" s="5" t="inlineStr">
        <is>
          <t>WARNING</t>
        </is>
      </c>
    </row>
    <row r="19">
      <c r="A19" s="5" t="n">
        <v>2269</v>
      </c>
      <c r="B19" s="5" t="inlineStr">
        <is>
          <t>Final JUAN MARTINEZ LOPEZ DE ROZAS (1429) NAVELINA</t>
        </is>
      </c>
      <c r="C19" s="5" t="inlineStr">
        <is>
          <t>WARNING</t>
        </is>
      </c>
      <c r="D19" s="5" t="inlineStr">
        <is>
          <t>Warning</t>
        </is>
      </c>
      <c r="E19" s="5" t="inlineStr">
        <is>
          <t>No existe fuente acumulada disponible; saldo informativo calculado con cuota ya aplicada = 0.</t>
        </is>
      </c>
      <c r="F19" s="6" t="n">
        <v>46231.74488281704</v>
      </c>
      <c r="G19" s="5" t="inlineStr">
        <is>
          <t>WARNING</t>
        </is>
      </c>
    </row>
    <row r="20">
      <c r="A20" s="5" t="n">
        <v>2270</v>
      </c>
      <c r="B20" s="5" t="inlineStr">
        <is>
          <t>Final J. A. RODRIGUEZ MEJIAS (1523) FUKUMOTO</t>
        </is>
      </c>
      <c r="C20" s="5" t="inlineStr">
        <is>
          <t>WARNING</t>
        </is>
      </c>
      <c r="D20" s="5" t="inlineStr">
        <is>
          <t>Warning</t>
        </is>
      </c>
      <c r="E20" s="5" t="inlineStr">
        <is>
          <t>3 entregas ya figuran como liquidadas.</t>
        </is>
      </c>
      <c r="F20" s="6" t="n">
        <v>46231.74488281704</v>
      </c>
      <c r="G20" s="5" t="inlineStr">
        <is>
          <t>WARNING</t>
        </is>
      </c>
    </row>
    <row r="21">
      <c r="A21" s="5" t="n">
        <v>2270</v>
      </c>
      <c r="B21" s="5" t="inlineStr">
        <is>
          <t>Final J. A. RODRIGUEZ MEJIAS (1523) FUKUMOTO</t>
        </is>
      </c>
      <c r="C21" s="5" t="inlineStr">
        <is>
          <t>WARNING</t>
        </is>
      </c>
      <c r="D21" s="5" t="inlineStr">
        <is>
          <t>Warning</t>
        </is>
      </c>
      <c r="E21" s="5" t="inlineStr">
        <is>
          <t>No existe tarifa BonCalidad para socio=1523 campaña=2026 empresa=1 cultivo=DIRECTO.</t>
        </is>
      </c>
      <c r="F21" s="6" t="n">
        <v>46231.74488281704</v>
      </c>
      <c r="G21" s="5" t="inlineStr">
        <is>
          <t>WARNING</t>
        </is>
      </c>
    </row>
    <row r="22">
      <c r="A22" s="5" t="n">
        <v>2270</v>
      </c>
      <c r="B22" s="5" t="inlineStr">
        <is>
          <t>Final J. A. RODRIGUEZ MEJIAS (1523) FUKUMOTO</t>
        </is>
      </c>
      <c r="C22" s="5" t="inlineStr">
        <is>
          <t>WARNING</t>
        </is>
      </c>
      <c r="D22" s="5" t="inlineStr">
        <is>
          <t>Warning</t>
        </is>
      </c>
      <c r="E22" s="5" t="inlineStr">
        <is>
          <t>El socio 1523 figura certificado GlobalGAP en CITRICOS, KAKIS, MANDARINA pero no en CITRICOS. Se ha aplicado la certificación global del socio. Revise DEEPP.</t>
        </is>
      </c>
      <c r="F22" s="6" t="n">
        <v>46231.74488281704</v>
      </c>
      <c r="G22" s="5" t="inlineStr">
        <is>
          <t>WARNING</t>
        </is>
      </c>
    </row>
    <row r="23">
      <c r="A23" s="5" t="n">
        <v>2270</v>
      </c>
      <c r="B23" s="5" t="inlineStr">
        <is>
          <t>Final J. A. RODRIGUEZ MEJIAS (1523) FUKUMOTO</t>
        </is>
      </c>
      <c r="C23" s="5" t="inlineStr">
        <is>
          <t>WARNING</t>
        </is>
      </c>
      <c r="D23" s="5" t="inlineStr">
        <is>
          <t>Warning</t>
        </is>
      </c>
      <c r="E23" s="5" t="inlineStr">
        <is>
          <t>No existe fuente acumulada disponible; saldo informativo calculado con cuota ya aplicada = 0.</t>
        </is>
      </c>
      <c r="F23" s="6" t="n">
        <v>46231.74488281704</v>
      </c>
      <c r="G23" s="5" t="inlineStr">
        <is>
          <t>WARNING</t>
        </is>
      </c>
    </row>
    <row r="24">
      <c r="A24" s="5" t="n">
        <v>2271</v>
      </c>
      <c r="B24" s="5" t="inlineStr">
        <is>
          <t>Final J. A. RODRIGUEZ MEJIAS (1523) POMELOS</t>
        </is>
      </c>
      <c r="C24" s="5" t="inlineStr">
        <is>
          <t>WARNING</t>
        </is>
      </c>
      <c r="D24" s="5" t="inlineStr">
        <is>
          <t>Warning</t>
        </is>
      </c>
      <c r="E24" s="5" t="inlineStr">
        <is>
          <t>El socio 1523 figura certificado GlobalGAP en CITRICOS, KAKIS, MANDARINA pero no en CITRICOS. Se ha aplicado la certificación global del socio. Revise DEEPP.</t>
        </is>
      </c>
      <c r="F24" s="6" t="n">
        <v>46231.74488281704</v>
      </c>
      <c r="G24" s="5" t="inlineStr">
        <is>
          <t>WARNING</t>
        </is>
      </c>
    </row>
    <row r="25">
      <c r="A25" s="5" t="n">
        <v>2271</v>
      </c>
      <c r="B25" s="5" t="inlineStr">
        <is>
          <t>Final J. A. RODRIGUEZ MEJIAS (1523) POMELOS</t>
        </is>
      </c>
      <c r="C25" s="5" t="inlineStr">
        <is>
          <t>WARNING</t>
        </is>
      </c>
      <c r="D25" s="5" t="inlineStr">
        <is>
          <t>Warning</t>
        </is>
      </c>
      <c r="E25" s="5" t="inlineStr">
        <is>
          <t>No existe fuente acumulada disponible; saldo informativo calculado con cuota ya aplicada = 0.</t>
        </is>
      </c>
      <c r="F25" s="6" t="n">
        <v>46231.74488281704</v>
      </c>
      <c r="G25" s="5" t="inlineStr">
        <is>
          <t>WARNING</t>
        </is>
      </c>
    </row>
    <row r="26">
      <c r="A26" s="5" t="n">
        <v>2272</v>
      </c>
      <c r="B26" s="5" t="inlineStr">
        <is>
          <t>Final JUAN FRANCISCO BARRERA PERA (1463) NAVELINA</t>
        </is>
      </c>
      <c r="C26" s="5" t="inlineStr">
        <is>
          <t>WARNING</t>
        </is>
      </c>
      <c r="D26" s="5" t="inlineStr">
        <is>
          <t>Warning</t>
        </is>
      </c>
      <c r="E26" s="5" t="inlineStr">
        <is>
          <t>2 entregas ya figuran como liquidadas.</t>
        </is>
      </c>
      <c r="F26" s="6" t="n">
        <v>46231.74488281704</v>
      </c>
      <c r="G26" s="5" t="inlineStr">
        <is>
          <t>WARNING</t>
        </is>
      </c>
    </row>
    <row r="27">
      <c r="A27" s="5" t="n">
        <v>2272</v>
      </c>
      <c r="B27" s="5" t="inlineStr">
        <is>
          <t>Final JUAN FRANCISCO BARRERA PERA (1463) NAVELINA</t>
        </is>
      </c>
      <c r="C27" s="5" t="inlineStr">
        <is>
          <t>WARNING</t>
        </is>
      </c>
      <c r="D27" s="5" t="inlineStr">
        <is>
          <t>Warning</t>
        </is>
      </c>
      <c r="E27" s="5" t="inlineStr">
        <is>
          <t>No existe tarifa BonCalidad para socio=1463 campaña=2026 empresa=1 cultivo=DIRECTO.</t>
        </is>
      </c>
      <c r="F27" s="6" t="n">
        <v>46231.74488281704</v>
      </c>
      <c r="G27" s="5" t="inlineStr">
        <is>
          <t>WARNING</t>
        </is>
      </c>
    </row>
    <row r="28">
      <c r="A28" s="5" t="n">
        <v>2272</v>
      </c>
      <c r="B28" s="5" t="inlineStr">
        <is>
          <t>Final JUAN FRANCISCO BARRERA PERA (1463) NAVELINA</t>
        </is>
      </c>
      <c r="C28" s="5" t="inlineStr">
        <is>
          <t>WARNING</t>
        </is>
      </c>
      <c r="D28" s="5" t="inlineStr">
        <is>
          <t>Warning</t>
        </is>
      </c>
      <c r="E28" s="5" t="inlineStr">
        <is>
          <t>No existe fuente acumulada disponible; saldo informativo calculado con cuota ya aplicada = 0.</t>
        </is>
      </c>
      <c r="F28" s="6" t="n">
        <v>46231.74488281704</v>
      </c>
      <c r="G28" s="5" t="inlineStr">
        <is>
          <t>WARNING</t>
        </is>
      </c>
    </row>
    <row r="29">
      <c r="A29" s="5" t="n">
        <v>2273</v>
      </c>
      <c r="B29" s="5" t="inlineStr">
        <is>
          <t>Final M&amp;M (1571) NAVELINA</t>
        </is>
      </c>
      <c r="C29" s="5" t="inlineStr">
        <is>
          <t>WARNING</t>
        </is>
      </c>
      <c r="D29" s="5" t="inlineStr">
        <is>
          <t>Warning</t>
        </is>
      </c>
      <c r="E29" s="5" t="inlineStr">
        <is>
          <t>3 entregas ya figuran como liquidadas.</t>
        </is>
      </c>
      <c r="F29" s="6" t="n">
        <v>46231.74488281704</v>
      </c>
      <c r="G29" s="5" t="inlineStr">
        <is>
          <t>WARNING</t>
        </is>
      </c>
    </row>
    <row r="30">
      <c r="A30" s="5" t="n">
        <v>2273</v>
      </c>
      <c r="B30" s="5" t="inlineStr">
        <is>
          <t>Final M&amp;M (1571) NAVELINA</t>
        </is>
      </c>
      <c r="C30" s="5" t="inlineStr">
        <is>
          <t>WARNING</t>
        </is>
      </c>
      <c r="D30" s="5" t="inlineStr">
        <is>
          <t>Warning</t>
        </is>
      </c>
      <c r="E30" s="5" t="inlineStr">
        <is>
          <t>No existe tarifa BonCalidad para socio=1571 campaña=2026 empresa=1 cultivo=DIRECTO.</t>
        </is>
      </c>
      <c r="F30" s="6" t="n">
        <v>46231.74488281704</v>
      </c>
      <c r="G30" s="5" t="inlineStr">
        <is>
          <t>WARNING</t>
        </is>
      </c>
    </row>
    <row r="31">
      <c r="A31" s="5" t="n">
        <v>2273</v>
      </c>
      <c r="B31" s="5" t="inlineStr">
        <is>
          <t>Final M&amp;M (1571) NAVELINA</t>
        </is>
      </c>
      <c r="C31" s="5" t="inlineStr">
        <is>
          <t>WARNING</t>
        </is>
      </c>
      <c r="D31" s="5" t="inlineStr">
        <is>
          <t>Warning</t>
        </is>
      </c>
      <c r="E31" s="5" t="inlineStr">
        <is>
          <t>No existe fuente acumulada disponible; saldo informativo calculado con cuota ya aplicada = 0.</t>
        </is>
      </c>
      <c r="F31" s="6" t="n">
        <v>46231.74488281704</v>
      </c>
      <c r="G31" s="5" t="inlineStr">
        <is>
          <t>WARNING</t>
        </is>
      </c>
    </row>
    <row r="32">
      <c r="A32" s="5" t="n">
        <v>2274</v>
      </c>
      <c r="B32" s="5" t="inlineStr">
        <is>
          <t>Final EXP. AGR. ARJONA Y CRESPO (1313) NAVELINA</t>
        </is>
      </c>
      <c r="C32" s="5" t="inlineStr">
        <is>
          <t>WARNING</t>
        </is>
      </c>
      <c r="D32" s="5" t="inlineStr">
        <is>
          <t>Warning</t>
        </is>
      </c>
      <c r="E32" s="5" t="inlineStr">
        <is>
          <t>7 entregas ya figuran como liquidadas.</t>
        </is>
      </c>
      <c r="F32" s="6" t="n">
        <v>46231.74488281704</v>
      </c>
      <c r="G32" s="5" t="inlineStr">
        <is>
          <t>WARNING</t>
        </is>
      </c>
    </row>
    <row r="33">
      <c r="A33" s="5" t="n">
        <v>2274</v>
      </c>
      <c r="B33" s="5" t="inlineStr">
        <is>
          <t>Final EXP. AGR. ARJONA Y CRESPO (1313) NAVELINA</t>
        </is>
      </c>
      <c r="C33" s="5" t="inlineStr">
        <is>
          <t>WARNING</t>
        </is>
      </c>
      <c r="D33" s="5" t="inlineStr">
        <is>
          <t>Warning</t>
        </is>
      </c>
      <c r="E33" s="5" t="inlineStr">
        <is>
          <t>No existe tarifa BonCalidad para socio=1313 campaña=2026 empresa=1 cultivo=DIRECTO.</t>
        </is>
      </c>
      <c r="F33" s="6" t="n">
        <v>46231.74488281704</v>
      </c>
      <c r="G33" s="5" t="inlineStr">
        <is>
          <t>WARNING</t>
        </is>
      </c>
    </row>
    <row r="34">
      <c r="A34" s="5" t="n">
        <v>2274</v>
      </c>
      <c r="B34" s="5" t="inlineStr">
        <is>
          <t>Final EXP. AGR. ARJONA Y CRESPO (1313) NAVELINA</t>
        </is>
      </c>
      <c r="C34" s="5" t="inlineStr">
        <is>
          <t>WARNING</t>
        </is>
      </c>
      <c r="D34" s="5" t="inlineStr">
        <is>
          <t>Warning</t>
        </is>
      </c>
      <c r="E34" s="5" t="inlineStr">
        <is>
          <t>No existe fuente acumulada disponible; saldo informativo calculado con cuota ya aplicada = 0.</t>
        </is>
      </c>
      <c r="F34" s="6" t="n">
        <v>46231.74488281704</v>
      </c>
      <c r="G34" s="5" t="inlineStr">
        <is>
          <t>WARNING</t>
        </is>
      </c>
    </row>
    <row r="35">
      <c r="A35" s="5" t="n">
        <v>2275</v>
      </c>
      <c r="B35" s="5" t="inlineStr">
        <is>
          <t>Final MATIAS BARRERA (1456) NAVELINA</t>
        </is>
      </c>
      <c r="C35" s="5" t="inlineStr">
        <is>
          <t>WARNING</t>
        </is>
      </c>
      <c r="D35" s="5" t="inlineStr">
        <is>
          <t>Warning</t>
        </is>
      </c>
      <c r="E35" s="5" t="inlineStr">
        <is>
          <t>9 entregas ya figuran como liquidadas.</t>
        </is>
      </c>
      <c r="F35" s="6" t="n">
        <v>46231.74488281704</v>
      </c>
      <c r="G35" s="5" t="inlineStr">
        <is>
          <t>WARNING</t>
        </is>
      </c>
    </row>
    <row r="36">
      <c r="A36" s="5" t="n">
        <v>2275</v>
      </c>
      <c r="B36" s="5" t="inlineStr">
        <is>
          <t>Final MATIAS BARRERA (1456) NAVELINA</t>
        </is>
      </c>
      <c r="C36" s="5" t="inlineStr">
        <is>
          <t>WARNING</t>
        </is>
      </c>
      <c r="D36" s="5" t="inlineStr">
        <is>
          <t>Warning</t>
        </is>
      </c>
      <c r="E36" s="5" t="inlineStr">
        <is>
          <t>No existe tarifa BonCalidad para socio=1456 campaña=2026 empresa=1 cultivo=DIRECTO.</t>
        </is>
      </c>
      <c r="F36" s="6" t="n">
        <v>46231.74488281704</v>
      </c>
      <c r="G36" s="5" t="inlineStr">
        <is>
          <t>WARNING</t>
        </is>
      </c>
    </row>
    <row r="37">
      <c r="A37" s="5" t="n">
        <v>2275</v>
      </c>
      <c r="B37" s="5" t="inlineStr">
        <is>
          <t>Final MATIAS BARRERA (1456) NAVELINA</t>
        </is>
      </c>
      <c r="C37" s="5" t="inlineStr">
        <is>
          <t>WARNING</t>
        </is>
      </c>
      <c r="D37" s="5" t="inlineStr">
        <is>
          <t>Warning</t>
        </is>
      </c>
      <c r="E37" s="5" t="inlineStr">
        <is>
          <t>No existe fuente acumulada disponible; saldo informativo calculado con cuota ya aplicada = 0.</t>
        </is>
      </c>
      <c r="F37" s="6" t="n">
        <v>46231.74488281704</v>
      </c>
      <c r="G37" s="5" t="inlineStr">
        <is>
          <t>WARNING</t>
        </is>
      </c>
    </row>
    <row r="38">
      <c r="A38" s="5" t="n">
        <v>2276</v>
      </c>
      <c r="B38" s="5" t="inlineStr">
        <is>
          <t>Final LUIS HINIESTA (1181) NAVELINA</t>
        </is>
      </c>
      <c r="C38" s="5" t="inlineStr">
        <is>
          <t>WARNING</t>
        </is>
      </c>
      <c r="D38" s="5" t="inlineStr">
        <is>
          <t>Warning</t>
        </is>
      </c>
      <c r="E38" s="5" t="inlineStr">
        <is>
          <t>2 entregas ya figuran como liquidadas.</t>
        </is>
      </c>
      <c r="F38" s="6" t="n">
        <v>46231.74488281704</v>
      </c>
      <c r="G38" s="5" t="inlineStr">
        <is>
          <t>WARNING</t>
        </is>
      </c>
    </row>
    <row r="39">
      <c r="A39" s="5" t="n">
        <v>2276</v>
      </c>
      <c r="B39" s="5" t="inlineStr">
        <is>
          <t>Final LUIS HINIESTA (1181) NAVELINA</t>
        </is>
      </c>
      <c r="C39" s="5" t="inlineStr">
        <is>
          <t>WARNING</t>
        </is>
      </c>
      <c r="D39" s="5" t="inlineStr">
        <is>
          <t>Warning</t>
        </is>
      </c>
      <c r="E39" s="5" t="inlineStr">
        <is>
          <t>No existe tarifa BonCalidad para socio=1181 campaña=2026 empresa=1 cultivo=DIRECTO.</t>
        </is>
      </c>
      <c r="F39" s="6" t="n">
        <v>46231.74488281704</v>
      </c>
      <c r="G39" s="5" t="inlineStr">
        <is>
          <t>WARNING</t>
        </is>
      </c>
    </row>
    <row r="40">
      <c r="A40" s="5" t="n">
        <v>2276</v>
      </c>
      <c r="B40" s="5" t="inlineStr">
        <is>
          <t>Final LUIS HINIESTA (1181) NAVELINA</t>
        </is>
      </c>
      <c r="C40" s="5" t="inlineStr">
        <is>
          <t>WARNING</t>
        </is>
      </c>
      <c r="D40" s="5" t="inlineStr">
        <is>
          <t>Warning</t>
        </is>
      </c>
      <c r="E40" s="5" t="inlineStr">
        <is>
          <t>No existe fuente acumulada disponible; saldo informativo calculado con cuota ya aplicada = 0.</t>
        </is>
      </c>
      <c r="F40" s="6" t="n">
        <v>46231.74488281704</v>
      </c>
      <c r="G40" s="5" t="inlineStr">
        <is>
          <t>WARNING</t>
        </is>
      </c>
    </row>
    <row r="41">
      <c r="A41" s="5" t="n">
        <v>2277</v>
      </c>
      <c r="B41" s="5" t="inlineStr">
        <is>
          <t>Final ISABEL MOLINA HIDALGO (1283) NAVEL FOYOS</t>
        </is>
      </c>
      <c r="C41" s="5" t="inlineStr">
        <is>
          <t>WARNING</t>
        </is>
      </c>
      <c r="D41" s="5" t="inlineStr">
        <is>
          <t>Warning</t>
        </is>
      </c>
      <c r="E41" s="5" t="inlineStr">
        <is>
          <t>No existe tarifa BonCalidad para socio=1283 campaña=2026 empresa=1 cultivo=DIRECTO.</t>
        </is>
      </c>
      <c r="F41" s="6" t="n">
        <v>46231.74488281704</v>
      </c>
      <c r="G41" s="5" t="inlineStr">
        <is>
          <t>WARNING</t>
        </is>
      </c>
    </row>
    <row r="42">
      <c r="A42" s="5" t="n">
        <v>2277</v>
      </c>
      <c r="B42" s="5" t="inlineStr">
        <is>
          <t>Final ISABEL MOLINA HIDALGO (1283) NAVEL FOYOS</t>
        </is>
      </c>
      <c r="C42" s="5" t="inlineStr">
        <is>
          <t>WARNING</t>
        </is>
      </c>
      <c r="D42" s="5" t="inlineStr">
        <is>
          <t>Warning</t>
        </is>
      </c>
      <c r="E42" s="5" t="inlineStr">
        <is>
          <t>No existe fuente acumulada disponible; saldo informativo calculado con cuota ya aplicada = 0.</t>
        </is>
      </c>
      <c r="F42" s="6" t="n">
        <v>46231.74488281704</v>
      </c>
      <c r="G42" s="5" t="inlineStr">
        <is>
          <t>WARNING</t>
        </is>
      </c>
    </row>
    <row r="43">
      <c r="A43" s="5" t="n">
        <v>2278</v>
      </c>
      <c r="B43" s="5" t="inlineStr">
        <is>
          <t>Final PEDRO JIMENEZ MALDONADO (1500) SALUSTIANAS</t>
        </is>
      </c>
      <c r="C43" s="5" t="inlineStr">
        <is>
          <t>WARNING</t>
        </is>
      </c>
      <c r="D43" s="5" t="inlineStr">
        <is>
          <t>Warning</t>
        </is>
      </c>
      <c r="E43" s="5" t="inlineStr">
        <is>
          <t>6 entregas ya figuran como liquidadas.</t>
        </is>
      </c>
      <c r="F43" s="6" t="n">
        <v>46231.74488281704</v>
      </c>
      <c r="G43" s="5" t="inlineStr">
        <is>
          <t>WARNING</t>
        </is>
      </c>
    </row>
    <row r="44">
      <c r="A44" s="5" t="n">
        <v>2278</v>
      </c>
      <c r="B44" s="5" t="inlineStr">
        <is>
          <t>Final PEDRO JIMENEZ MALDONADO (1500) SALUSTIANAS</t>
        </is>
      </c>
      <c r="C44" s="5" t="inlineStr">
        <is>
          <t>WARNING</t>
        </is>
      </c>
      <c r="D44" s="5" t="inlineStr">
        <is>
          <t>Warning</t>
        </is>
      </c>
      <c r="E44" s="5" t="inlineStr">
        <is>
          <t>No existe tarifa BonCalidad para socio=1500 campaña=2026 empresa=1 cultivo=DIRECTO.</t>
        </is>
      </c>
      <c r="F44" s="6" t="n">
        <v>46231.74488281704</v>
      </c>
      <c r="G44" s="5" t="inlineStr">
        <is>
          <t>WARNING</t>
        </is>
      </c>
    </row>
    <row r="45">
      <c r="A45" s="5" t="n">
        <v>2278</v>
      </c>
      <c r="B45" s="5" t="inlineStr">
        <is>
          <t>Final PEDRO JIMENEZ MALDONADO (1500) SALUSTIANAS</t>
        </is>
      </c>
      <c r="C45" s="5" t="inlineStr">
        <is>
          <t>WARNING</t>
        </is>
      </c>
      <c r="D45" s="5" t="inlineStr">
        <is>
          <t>Warning</t>
        </is>
      </c>
      <c r="E45" s="5" t="inlineStr">
        <is>
          <t>No existe fuente acumulada disponible; saldo informativo calculado con cuota ya aplicada = 0.</t>
        </is>
      </c>
      <c r="F45" s="6" t="n">
        <v>46231.74488281704</v>
      </c>
      <c r="G45" s="5" t="inlineStr">
        <is>
          <t>WARNING</t>
        </is>
      </c>
    </row>
    <row r="46">
      <c r="A46" s="5" t="n">
        <v>2279</v>
      </c>
      <c r="B46" s="5" t="inlineStr">
        <is>
          <t>Final YOLANDA CALZADO RUIZ (1516) NEW HALL</t>
        </is>
      </c>
      <c r="C46" s="5" t="inlineStr">
        <is>
          <t>WARNING</t>
        </is>
      </c>
      <c r="D46" s="5" t="inlineStr">
        <is>
          <t>Warning</t>
        </is>
      </c>
      <c r="E46" s="5" t="inlineStr">
        <is>
          <t>7 entregas ya figuran como liquidadas.</t>
        </is>
      </c>
      <c r="F46" s="6" t="n">
        <v>46231.74488281704</v>
      </c>
      <c r="G46" s="5" t="inlineStr">
        <is>
          <t>WARNING</t>
        </is>
      </c>
    </row>
    <row r="47">
      <c r="A47" s="5" t="n">
        <v>2279</v>
      </c>
      <c r="B47" s="5" t="inlineStr">
        <is>
          <t>Final YOLANDA CALZADO RUIZ (1516) NEW HALL</t>
        </is>
      </c>
      <c r="C47" s="5" t="inlineStr">
        <is>
          <t>WARNING</t>
        </is>
      </c>
      <c r="D47" s="5" t="inlineStr">
        <is>
          <t>Warning</t>
        </is>
      </c>
      <c r="E47" s="5" t="inlineStr">
        <is>
          <t>No existe tarifa BonCalidad para socio=1516 campaña=2026 empresa=1 cultivo=DIRECTO.</t>
        </is>
      </c>
      <c r="F47" s="6" t="n">
        <v>46231.74488281704</v>
      </c>
      <c r="G47" s="5" t="inlineStr">
        <is>
          <t>WARNING</t>
        </is>
      </c>
    </row>
    <row r="48">
      <c r="A48" s="5" t="n">
        <v>2279</v>
      </c>
      <c r="B48" s="5" t="inlineStr">
        <is>
          <t>Final YOLANDA CALZADO RUIZ (1516) NEW HALL</t>
        </is>
      </c>
      <c r="C48" s="5" t="inlineStr">
        <is>
          <t>WARNING</t>
        </is>
      </c>
      <c r="D48" s="5" t="inlineStr">
        <is>
          <t>Warning</t>
        </is>
      </c>
      <c r="E48" s="5" t="inlineStr">
        <is>
          <t>No existe fuente acumulada disponible; saldo informativo calculado con cuota ya aplicada = 0.</t>
        </is>
      </c>
      <c r="F48" s="6" t="n">
        <v>46231.74488281704</v>
      </c>
      <c r="G48" s="5" t="inlineStr">
        <is>
          <t>WARNING</t>
        </is>
      </c>
    </row>
    <row r="49">
      <c r="A49" s="5" t="n">
        <v>2280</v>
      </c>
      <c r="B49" s="5" t="inlineStr">
        <is>
          <t>Final RURAL PRIME (BERBABE) (1615) LANE LATE</t>
        </is>
      </c>
      <c r="C49" s="5" t="inlineStr">
        <is>
          <t>WARNING</t>
        </is>
      </c>
      <c r="D49" s="5" t="inlineStr">
        <is>
          <t>Warning</t>
        </is>
      </c>
      <c r="E49" s="5" t="inlineStr">
        <is>
          <t>No existe tarifa BonCalidad para socio=1615 campaña=2026 empresa=1 cultivo=DIRECTO.</t>
        </is>
      </c>
      <c r="F49" s="6" t="n">
        <v>46231.74488281704</v>
      </c>
      <c r="G49" s="5" t="inlineStr">
        <is>
          <t>WARNING</t>
        </is>
      </c>
    </row>
    <row r="50">
      <c r="A50" s="5" t="n">
        <v>2280</v>
      </c>
      <c r="B50" s="5" t="inlineStr">
        <is>
          <t>Final RURAL PRIME (BERBABE) (1615) LANE LATE</t>
        </is>
      </c>
      <c r="C50" s="5" t="inlineStr">
        <is>
          <t>WARNING</t>
        </is>
      </c>
      <c r="D50" s="5" t="inlineStr">
        <is>
          <t>Warning</t>
        </is>
      </c>
      <c r="E50" s="5" t="inlineStr">
        <is>
          <t>No existe fuente acumulada disponible; saldo informativo calculado con cuota ya aplicada = 0.</t>
        </is>
      </c>
      <c r="F50" s="6" t="n">
        <v>46231.74488281704</v>
      </c>
      <c r="G50" s="5" t="inlineStr">
        <is>
          <t>WARNING</t>
        </is>
      </c>
    </row>
    <row r="51">
      <c r="A51" s="5" t="n">
        <v>2280</v>
      </c>
      <c r="B51" s="5" t="inlineStr">
        <is>
          <t>Final RURAL PRIME (BERBABE) (1615) LANE LATE</t>
        </is>
      </c>
      <c r="C51" s="5" t="inlineStr">
        <is>
          <t>WARNING</t>
        </is>
      </c>
      <c r="D51" s="5" t="inlineStr">
        <is>
          <t>Warning</t>
        </is>
      </c>
      <c r="E51" s="5" t="inlineStr">
        <is>
          <t>Cuota Ha no aplicable: sin superficie sujeta a cuota.</t>
        </is>
      </c>
      <c r="F51" s="6" t="n">
        <v>46231.74488281704</v>
      </c>
      <c r="G51" s="5" t="inlineStr">
        <is>
          <t>WARNING</t>
        </is>
      </c>
    </row>
    <row r="52">
      <c r="A52" s="5" t="n">
        <v>2282</v>
      </c>
      <c r="B52" s="5" t="inlineStr">
        <is>
          <t>Final MIGUEL ANGEL GUIL (1471) SALUSTIANAS</t>
        </is>
      </c>
      <c r="C52" s="5" t="inlineStr">
        <is>
          <t>WARNING</t>
        </is>
      </c>
      <c r="D52" s="5" t="inlineStr">
        <is>
          <t>Warning</t>
        </is>
      </c>
      <c r="E52" s="5" t="inlineStr">
        <is>
          <t>1 entregas ya figuran como liquidadas.</t>
        </is>
      </c>
      <c r="F52" s="6" t="n">
        <v>46231.74488281704</v>
      </c>
      <c r="G52" s="5" t="inlineStr">
        <is>
          <t>WARNING</t>
        </is>
      </c>
    </row>
    <row r="53">
      <c r="A53" s="5" t="n">
        <v>2282</v>
      </c>
      <c r="B53" s="5" t="inlineStr">
        <is>
          <t>Final MIGUEL ANGEL GUIL (1471) SALUSTIANAS</t>
        </is>
      </c>
      <c r="C53" s="5" t="inlineStr">
        <is>
          <t>WARNING</t>
        </is>
      </c>
      <c r="D53" s="5" t="inlineStr">
        <is>
          <t>Warning</t>
        </is>
      </c>
      <c r="E53" s="5" t="inlineStr">
        <is>
          <t>No existe tarifa BonCalidad para socio=1471 campaña=2026 empresa=1 cultivo=DIRECTO.</t>
        </is>
      </c>
      <c r="F53" s="6" t="n">
        <v>46231.74488281704</v>
      </c>
      <c r="G53" s="5" t="inlineStr">
        <is>
          <t>WARNING</t>
        </is>
      </c>
    </row>
    <row r="54">
      <c r="A54" s="5" t="n">
        <v>2282</v>
      </c>
      <c r="B54" s="5" t="inlineStr">
        <is>
          <t>Final MIGUEL ANGEL GUIL (1471) SALUSTIANAS</t>
        </is>
      </c>
      <c r="C54" s="5" t="inlineStr">
        <is>
          <t>WARNING</t>
        </is>
      </c>
      <c r="D54" s="5" t="inlineStr">
        <is>
          <t>Warning</t>
        </is>
      </c>
      <c r="E54" s="5" t="inlineStr">
        <is>
          <t>No existe fuente acumulada disponible; saldo informativo calculado con cuota ya aplicada = 0.</t>
        </is>
      </c>
      <c r="F54" s="6" t="n">
        <v>46231.74488281704</v>
      </c>
      <c r="G54" s="5" t="inlineStr">
        <is>
          <t>WARNING</t>
        </is>
      </c>
    </row>
    <row r="55">
      <c r="A55" s="5" t="n">
        <v>2283</v>
      </c>
      <c r="B55" s="5" t="inlineStr">
        <is>
          <t>Final JOSE MARIA GUIL (963) SALUSTIANAS</t>
        </is>
      </c>
      <c r="C55" s="5" t="inlineStr">
        <is>
          <t>WARNING</t>
        </is>
      </c>
      <c r="D55" s="5" t="inlineStr">
        <is>
          <t>Warning</t>
        </is>
      </c>
      <c r="E55" s="5" t="inlineStr">
        <is>
          <t>1 entregas ya figuran como liquidadas.</t>
        </is>
      </c>
      <c r="F55" s="6" t="n">
        <v>46231.74488281704</v>
      </c>
      <c r="G55" s="5" t="inlineStr">
        <is>
          <t>WARNING</t>
        </is>
      </c>
    </row>
    <row r="56">
      <c r="A56" s="5" t="n">
        <v>2283</v>
      </c>
      <c r="B56" s="5" t="inlineStr">
        <is>
          <t>Final JOSE MARIA GUIL (963) SALUSTIANAS</t>
        </is>
      </c>
      <c r="C56" s="5" t="inlineStr">
        <is>
          <t>WARNING</t>
        </is>
      </c>
      <c r="D56" s="5" t="inlineStr">
        <is>
          <t>Warning</t>
        </is>
      </c>
      <c r="E56" s="5" t="inlineStr">
        <is>
          <t>No existe tarifa BonCalidad para socio=963 campaña=2026 empresa=1 cultivo=DIRECTO.</t>
        </is>
      </c>
      <c r="F56" s="6" t="n">
        <v>46231.74488281704</v>
      </c>
      <c r="G56" s="5" t="inlineStr">
        <is>
          <t>WARNING</t>
        </is>
      </c>
    </row>
    <row r="57">
      <c r="A57" s="5" t="n">
        <v>2283</v>
      </c>
      <c r="B57" s="5" t="inlineStr">
        <is>
          <t>Final JOSE MARIA GUIL (963) SALUSTIANAS</t>
        </is>
      </c>
      <c r="C57" s="5" t="inlineStr">
        <is>
          <t>WARNING</t>
        </is>
      </c>
      <c r="D57" s="5" t="inlineStr">
        <is>
          <t>Warning</t>
        </is>
      </c>
      <c r="E57" s="5" t="inlineStr">
        <is>
          <t>No existe fuente acumulada disponible; saldo informativo calculado con cuota ya aplicada = 0.</t>
        </is>
      </c>
      <c r="F57" s="6" t="n">
        <v>46231.74488281704</v>
      </c>
      <c r="G57" s="5" t="inlineStr">
        <is>
          <t>WARNING</t>
        </is>
      </c>
    </row>
    <row r="58">
      <c r="A58" s="5" t="n">
        <v>2283</v>
      </c>
      <c r="B58" s="5" t="inlineStr">
        <is>
          <t>Final JOSE MARIA GUIL (963) SALUSTIANAS</t>
        </is>
      </c>
      <c r="C58" s="5" t="inlineStr">
        <is>
          <t>WARNING</t>
        </is>
      </c>
      <c r="D58" s="5" t="inlineStr">
        <is>
          <t>Warning</t>
        </is>
      </c>
      <c r="E58" s="5" t="inlineStr">
        <is>
          <t>Cuota Ha no aplicable: sin superficie sujeta a cuota.</t>
        </is>
      </c>
      <c r="F58" s="6" t="n">
        <v>46231.74488281704</v>
      </c>
      <c r="G58" s="5" t="inlineStr">
        <is>
          <t>WARNING</t>
        </is>
      </c>
    </row>
    <row r="59">
      <c r="A59" s="5" t="n">
        <v>2285</v>
      </c>
      <c r="B59" s="5" t="inlineStr">
        <is>
          <t>Final HILARIO  GARCIA (453) NAVEL</t>
        </is>
      </c>
      <c r="C59" s="5" t="inlineStr">
        <is>
          <t>WARNING</t>
        </is>
      </c>
      <c r="D59" s="5" t="inlineStr">
        <is>
          <t>Warning</t>
        </is>
      </c>
      <c r="E59" s="5" t="inlineStr">
        <is>
          <t>2 entregas ya figuran como liquidadas.</t>
        </is>
      </c>
      <c r="F59" s="6" t="n">
        <v>46231.74488281704</v>
      </c>
      <c r="G59" s="5" t="inlineStr">
        <is>
          <t>WARNING</t>
        </is>
      </c>
    </row>
    <row r="60">
      <c r="A60" s="5" t="n">
        <v>2285</v>
      </c>
      <c r="B60" s="5" t="inlineStr">
        <is>
          <t>Final HILARIO  GARCIA (453) NAVEL</t>
        </is>
      </c>
      <c r="C60" s="5" t="inlineStr">
        <is>
          <t>WARNING</t>
        </is>
      </c>
      <c r="D60" s="5" t="inlineStr">
        <is>
          <t>Warning</t>
        </is>
      </c>
      <c r="E60" s="5" t="inlineStr">
        <is>
          <t>No existe tarifa BonCalidad para socio=453 campaña=2026 empresa=1 cultivo=DIRECTO.</t>
        </is>
      </c>
      <c r="F60" s="6" t="n">
        <v>46231.74488281704</v>
      </c>
      <c r="G60" s="5" t="inlineStr">
        <is>
          <t>WARNING</t>
        </is>
      </c>
    </row>
    <row r="61">
      <c r="A61" s="5" t="n">
        <v>2285</v>
      </c>
      <c r="B61" s="5" t="inlineStr">
        <is>
          <t>Final HILARIO  GARCIA (453) NAVEL</t>
        </is>
      </c>
      <c r="C61" s="5" t="inlineStr">
        <is>
          <t>WARNING</t>
        </is>
      </c>
      <c r="D61" s="5" t="inlineStr">
        <is>
          <t>Warning</t>
        </is>
      </c>
      <c r="E61" s="5" t="inlineStr">
        <is>
          <t>No existe fuente acumulada disponible; saldo informativo calculado con cuota ya aplicada = 0.</t>
        </is>
      </c>
      <c r="F61" s="6" t="n">
        <v>46231.74488281704</v>
      </c>
      <c r="G61" s="5" t="inlineStr">
        <is>
          <t>WARNING</t>
        </is>
      </c>
    </row>
    <row r="62">
      <c r="A62" s="5" t="n">
        <v>2288</v>
      </c>
      <c r="B62" s="5" t="inlineStr">
        <is>
          <t>Final RAFAEL GARCIA (1462) NAVEL</t>
        </is>
      </c>
      <c r="C62" s="5" t="inlineStr">
        <is>
          <t>WARNING</t>
        </is>
      </c>
      <c r="D62" s="5" t="inlineStr">
        <is>
          <t>Warning</t>
        </is>
      </c>
      <c r="E62" s="5" t="inlineStr">
        <is>
          <t>2 entregas ya figuran como liquidadas.</t>
        </is>
      </c>
      <c r="F62" s="6" t="n">
        <v>46231.74488281704</v>
      </c>
      <c r="G62" s="5" t="inlineStr">
        <is>
          <t>WARNING</t>
        </is>
      </c>
    </row>
    <row r="63">
      <c r="A63" s="5" t="n">
        <v>2288</v>
      </c>
      <c r="B63" s="5" t="inlineStr">
        <is>
          <t>Final RAFAEL GARCIA (1462) NAVEL</t>
        </is>
      </c>
      <c r="C63" s="5" t="inlineStr">
        <is>
          <t>WARNING</t>
        </is>
      </c>
      <c r="D63" s="5" t="inlineStr">
        <is>
          <t>Warning</t>
        </is>
      </c>
      <c r="E63" s="5" t="inlineStr">
        <is>
          <t>No existe tarifa BonCalidad para socio=1462 campaña=2026 empresa=1 cultivo=DIRECTO.</t>
        </is>
      </c>
      <c r="F63" s="6" t="n">
        <v>46231.74488281704</v>
      </c>
      <c r="G63" s="5" t="inlineStr">
        <is>
          <t>WARNING</t>
        </is>
      </c>
    </row>
    <row r="64">
      <c r="A64" s="5" t="n">
        <v>2288</v>
      </c>
      <c r="B64" s="5" t="inlineStr">
        <is>
          <t>Final RAFAEL GARCIA (1462) NAVEL</t>
        </is>
      </c>
      <c r="C64" s="5" t="inlineStr">
        <is>
          <t>WARNING</t>
        </is>
      </c>
      <c r="D64" s="5" t="inlineStr">
        <is>
          <t>Warning</t>
        </is>
      </c>
      <c r="E64" s="5" t="inlineStr">
        <is>
          <t>No existe fuente acumulada disponible; saldo informativo calculado con cuota ya aplicada = 0.</t>
        </is>
      </c>
      <c r="F64" s="6" t="n">
        <v>46231.74488281704</v>
      </c>
      <c r="G64" s="5" t="inlineStr">
        <is>
          <t>WARNING</t>
        </is>
      </c>
    </row>
    <row r="65">
      <c r="A65" s="5" t="n">
        <v>2289</v>
      </c>
      <c r="B65" s="5" t="inlineStr">
        <is>
          <t>Final ALVARO HARO (1544) LANE LATE</t>
        </is>
      </c>
      <c r="C65" s="5" t="inlineStr">
        <is>
          <t>WARNING</t>
        </is>
      </c>
      <c r="D65" s="5" t="inlineStr">
        <is>
          <t>Warning</t>
        </is>
      </c>
      <c r="E65" s="5" t="inlineStr">
        <is>
          <t>No existe tarifa BonCalidad para socio=1544 campaña=2026 empresa=1 cultivo=DIRECTO.</t>
        </is>
      </c>
      <c r="F65" s="6" t="n">
        <v>46231.74488281704</v>
      </c>
      <c r="G65" s="5" t="inlineStr">
        <is>
          <t>WARNING</t>
        </is>
      </c>
    </row>
    <row r="66">
      <c r="A66" s="5" t="n">
        <v>2289</v>
      </c>
      <c r="B66" s="5" t="inlineStr">
        <is>
          <t>Final ALVARO HARO (1544) LANE LATE</t>
        </is>
      </c>
      <c r="C66" s="5" t="inlineStr">
        <is>
          <t>WARNING</t>
        </is>
      </c>
      <c r="D66" s="5" t="inlineStr">
        <is>
          <t>Warning</t>
        </is>
      </c>
      <c r="E66" s="5" t="inlineStr">
        <is>
          <t>No existe fuente acumulada disponible; saldo informativo calculado con cuota ya aplicada = 0.</t>
        </is>
      </c>
      <c r="F66" s="6" t="n">
        <v>46231.74488281704</v>
      </c>
      <c r="G66" s="5" t="inlineStr">
        <is>
          <t>WARNING</t>
        </is>
      </c>
    </row>
    <row r="67">
      <c r="A67" s="5" t="n">
        <v>2290</v>
      </c>
      <c r="B67" s="5" t="inlineStr">
        <is>
          <t>Final HNOS GONZALEZ ROLDAN (1272) LANE LATE</t>
        </is>
      </c>
      <c r="C67" s="5" t="inlineStr">
        <is>
          <t>WARNING</t>
        </is>
      </c>
      <c r="D67" s="5" t="inlineStr">
        <is>
          <t>Warning</t>
        </is>
      </c>
      <c r="E67" s="5" t="inlineStr">
        <is>
          <t>No existe tarifa BonCalidad para socio=1272 campaña=2026 empresa=1 cultivo=DIRECTO.</t>
        </is>
      </c>
      <c r="F67" s="6" t="n">
        <v>46231.74488281704</v>
      </c>
      <c r="G67" s="5" t="inlineStr">
        <is>
          <t>WARNING</t>
        </is>
      </c>
    </row>
    <row r="68">
      <c r="A68" s="5" t="n">
        <v>2290</v>
      </c>
      <c r="B68" s="5" t="inlineStr">
        <is>
          <t>Final HNOS GONZALEZ ROLDAN (1272) LANE LATE</t>
        </is>
      </c>
      <c r="C68" s="5" t="inlineStr">
        <is>
          <t>WARNING</t>
        </is>
      </c>
      <c r="D68" s="5" t="inlineStr">
        <is>
          <t>Warning</t>
        </is>
      </c>
      <c r="E68" s="5" t="inlineStr">
        <is>
          <t>No existe fuente acumulada disponible; saldo informativo calculado con cuota ya aplicada = 0.</t>
        </is>
      </c>
      <c r="F68" s="6" t="n">
        <v>46231.74488281704</v>
      </c>
      <c r="G68" s="5" t="inlineStr">
        <is>
          <t>WARNING</t>
        </is>
      </c>
    </row>
    <row r="69">
      <c r="A69" s="5" t="n">
        <v>2291</v>
      </c>
      <c r="B69" s="5" t="inlineStr">
        <is>
          <t>Final CRISTINA CALZADO (1519) LANE LATE</t>
        </is>
      </c>
      <c r="C69" s="5" t="inlineStr">
        <is>
          <t>WARNING</t>
        </is>
      </c>
      <c r="D69" s="5" t="inlineStr">
        <is>
          <t>Warning</t>
        </is>
      </c>
      <c r="E69" s="5" t="inlineStr">
        <is>
          <t>No existe tarifa BonCalidad para socio=1519 campaña=2026 empresa=1 cultivo=DIRECTO.</t>
        </is>
      </c>
      <c r="F69" s="6" t="n">
        <v>46231.74488281704</v>
      </c>
      <c r="G69" s="5" t="inlineStr">
        <is>
          <t>WARNING</t>
        </is>
      </c>
    </row>
    <row r="70">
      <c r="A70" s="5" t="n">
        <v>2291</v>
      </c>
      <c r="B70" s="5" t="inlineStr">
        <is>
          <t>Final CRISTINA CALZADO (1519) LANE LATE</t>
        </is>
      </c>
      <c r="C70" s="5" t="inlineStr">
        <is>
          <t>WARNING</t>
        </is>
      </c>
      <c r="D70" s="5" t="inlineStr">
        <is>
          <t>Warning</t>
        </is>
      </c>
      <c r="E70" s="5" t="inlineStr">
        <is>
          <t>No existe fuente acumulada disponible; saldo informativo calculado con cuota ya aplicada = 0.</t>
        </is>
      </c>
      <c r="F70" s="6" t="n">
        <v>46231.74488281704</v>
      </c>
      <c r="G70" s="5" t="inlineStr">
        <is>
          <t>WARNING</t>
        </is>
      </c>
    </row>
    <row r="71">
      <c r="A71" s="5" t="n">
        <v>2292</v>
      </c>
      <c r="B71" s="5" t="inlineStr">
        <is>
          <t>Final MARIA CALZADO (1518) LANE LATE</t>
        </is>
      </c>
      <c r="C71" s="5" t="inlineStr">
        <is>
          <t>WARNING</t>
        </is>
      </c>
      <c r="D71" s="5" t="inlineStr">
        <is>
          <t>Warning</t>
        </is>
      </c>
      <c r="E71" s="5" t="inlineStr">
        <is>
          <t>No existe tarifa BonCalidad para socio=1518 campaña=2026 empresa=1 cultivo=DIRECTO.</t>
        </is>
      </c>
      <c r="F71" s="6" t="n">
        <v>46231.74488281704</v>
      </c>
      <c r="G71" s="5" t="inlineStr">
        <is>
          <t>WARNING</t>
        </is>
      </c>
    </row>
    <row r="72">
      <c r="A72" s="5" t="n">
        <v>2292</v>
      </c>
      <c r="B72" s="5" t="inlineStr">
        <is>
          <t>Final MARIA CALZADO (1518) LANE LATE</t>
        </is>
      </c>
      <c r="C72" s="5" t="inlineStr">
        <is>
          <t>WARNING</t>
        </is>
      </c>
      <c r="D72" s="5" t="inlineStr">
        <is>
          <t>Warning</t>
        </is>
      </c>
      <c r="E72" s="5" t="inlineStr">
        <is>
          <t>No existe fuente acumulada disponible; saldo informativo calculado con cuota ya aplicada = 0.</t>
        </is>
      </c>
      <c r="F72" s="6" t="n">
        <v>46231.74488281704</v>
      </c>
      <c r="G72" s="5" t="inlineStr">
        <is>
          <t>WARNING</t>
        </is>
      </c>
    </row>
    <row r="73">
      <c r="A73" s="5" t="n">
        <v>2293</v>
      </c>
      <c r="B73" s="5" t="inlineStr">
        <is>
          <t>Final FRANCISCO GALVEZ (937) SALUSTIANAS</t>
        </is>
      </c>
      <c r="C73" s="5" t="inlineStr">
        <is>
          <t>WARNING</t>
        </is>
      </c>
      <c r="D73" s="5" t="inlineStr">
        <is>
          <t>Warning</t>
        </is>
      </c>
      <c r="E73" s="5" t="inlineStr">
        <is>
          <t>7 entregas ya figuran como liquidadas.</t>
        </is>
      </c>
      <c r="F73" s="6" t="n">
        <v>46231.74488281704</v>
      </c>
      <c r="G73" s="5" t="inlineStr">
        <is>
          <t>WARNING</t>
        </is>
      </c>
    </row>
    <row r="74">
      <c r="A74" s="5" t="n">
        <v>2293</v>
      </c>
      <c r="B74" s="5" t="inlineStr">
        <is>
          <t>Final FRANCISCO GALVEZ (937) SALUSTIANAS</t>
        </is>
      </c>
      <c r="C74" s="5" t="inlineStr">
        <is>
          <t>WARNING</t>
        </is>
      </c>
      <c r="D74" s="5" t="inlineStr">
        <is>
          <t>Warning</t>
        </is>
      </c>
      <c r="E74" s="5" t="inlineStr">
        <is>
          <t>No existe tarifa BonCalidad para socio=937 campaña=2026 empresa=1 cultivo=DIRECTO.</t>
        </is>
      </c>
      <c r="F74" s="6" t="n">
        <v>46231.74488281704</v>
      </c>
      <c r="G74" s="5" t="inlineStr">
        <is>
          <t>WARNING</t>
        </is>
      </c>
    </row>
    <row r="75">
      <c r="A75" s="5" t="n">
        <v>2293</v>
      </c>
      <c r="B75" s="5" t="inlineStr">
        <is>
          <t>Final FRANCISCO GALVEZ (937) SALUSTIANAS</t>
        </is>
      </c>
      <c r="C75" s="5" t="inlineStr">
        <is>
          <t>WARNING</t>
        </is>
      </c>
      <c r="D75" s="5" t="inlineStr">
        <is>
          <t>Warning</t>
        </is>
      </c>
      <c r="E75" s="5" t="inlineStr">
        <is>
          <t>No existe fuente acumulada disponible; saldo informativo calculado con cuota ya aplicada = 0.</t>
        </is>
      </c>
      <c r="F75" s="6" t="n">
        <v>46231.74488281704</v>
      </c>
      <c r="G75" s="5" t="inlineStr">
        <is>
          <t>WARNING</t>
        </is>
      </c>
    </row>
    <row r="76">
      <c r="A76" s="5" t="n">
        <v>2294</v>
      </c>
      <c r="B76" s="5" t="inlineStr">
        <is>
          <t>Final ESTIBEN HIDALGO (1602) SALUSTIANAS</t>
        </is>
      </c>
      <c r="C76" s="5" t="inlineStr">
        <is>
          <t>WARNING</t>
        </is>
      </c>
      <c r="D76" s="5" t="inlineStr">
        <is>
          <t>Warning</t>
        </is>
      </c>
      <c r="E76" s="5" t="inlineStr">
        <is>
          <t>3 entregas ya figuran como liquidadas.</t>
        </is>
      </c>
      <c r="F76" s="6" t="n">
        <v>46231.74488281704</v>
      </c>
      <c r="G76" s="5" t="inlineStr">
        <is>
          <t>WARNING</t>
        </is>
      </c>
    </row>
    <row r="77">
      <c r="A77" s="5" t="n">
        <v>2294</v>
      </c>
      <c r="B77" s="5" t="inlineStr">
        <is>
          <t>Final ESTIBEN HIDALGO (1602) SALUSTIANAS</t>
        </is>
      </c>
      <c r="C77" s="5" t="inlineStr">
        <is>
          <t>WARNING</t>
        </is>
      </c>
      <c r="D77" s="5" t="inlineStr">
        <is>
          <t>Warning</t>
        </is>
      </c>
      <c r="E77" s="5" t="inlineStr">
        <is>
          <t>No existe tarifa BonCalidad para socio=1602 campaña=2026 empresa=1 cultivo=DIRECTO.</t>
        </is>
      </c>
      <c r="F77" s="6" t="n">
        <v>46231.74488281704</v>
      </c>
      <c r="G77" s="5" t="inlineStr">
        <is>
          <t>WARNING</t>
        </is>
      </c>
    </row>
    <row r="78">
      <c r="A78" s="5" t="n">
        <v>2294</v>
      </c>
      <c r="B78" s="5" t="inlineStr">
        <is>
          <t>Final ESTIBEN HIDALGO (1602) SALUSTIANAS</t>
        </is>
      </c>
      <c r="C78" s="5" t="inlineStr">
        <is>
          <t>WARNING</t>
        </is>
      </c>
      <c r="D78" s="5" t="inlineStr">
        <is>
          <t>Warning</t>
        </is>
      </c>
      <c r="E78" s="5" t="inlineStr">
        <is>
          <t>No existe fuente acumulada disponible; saldo informativo calculado con cuota ya aplicada = 0.</t>
        </is>
      </c>
      <c r="F78" s="6" t="n">
        <v>46231.74488281704</v>
      </c>
      <c r="G78" s="5" t="inlineStr">
        <is>
          <t>WARNING</t>
        </is>
      </c>
    </row>
    <row r="79">
      <c r="A79" s="5" t="n">
        <v>2295</v>
      </c>
      <c r="B79" s="5" t="inlineStr">
        <is>
          <t>Final JOSE RINCON (824) SALUSTIANAS</t>
        </is>
      </c>
      <c r="C79" s="5" t="inlineStr">
        <is>
          <t>WARNING</t>
        </is>
      </c>
      <c r="D79" s="5" t="inlineStr">
        <is>
          <t>Warning</t>
        </is>
      </c>
      <c r="E79" s="5" t="inlineStr">
        <is>
          <t>2 entregas ya figuran como liquidadas.</t>
        </is>
      </c>
      <c r="F79" s="6" t="n">
        <v>46231.74488281704</v>
      </c>
      <c r="G79" s="5" t="inlineStr">
        <is>
          <t>WARNING</t>
        </is>
      </c>
    </row>
    <row r="80">
      <c r="A80" s="5" t="n">
        <v>2295</v>
      </c>
      <c r="B80" s="5" t="inlineStr">
        <is>
          <t>Final JOSE RINCON (824) SALUSTIANAS</t>
        </is>
      </c>
      <c r="C80" s="5" t="inlineStr">
        <is>
          <t>WARNING</t>
        </is>
      </c>
      <c r="D80" s="5" t="inlineStr">
        <is>
          <t>Warning</t>
        </is>
      </c>
      <c r="E80" s="5" t="inlineStr">
        <is>
          <t>No existe tarifa BonCalidad para socio=824 campaña=2026 empresa=1 cultivo=DIRECTO.</t>
        </is>
      </c>
      <c r="F80" s="6" t="n">
        <v>46231.74488281704</v>
      </c>
      <c r="G80" s="5" t="inlineStr">
        <is>
          <t>WARNING</t>
        </is>
      </c>
    </row>
    <row r="81">
      <c r="A81" s="5" t="n">
        <v>2295</v>
      </c>
      <c r="B81" s="5" t="inlineStr">
        <is>
          <t>Final JOSE RINCON (824) SALUSTIANAS</t>
        </is>
      </c>
      <c r="C81" s="5" t="inlineStr">
        <is>
          <t>WARNING</t>
        </is>
      </c>
      <c r="D81" s="5" t="inlineStr">
        <is>
          <t>Warning</t>
        </is>
      </c>
      <c r="E81" s="5" t="inlineStr">
        <is>
          <t>No existe fuente acumulada disponible; saldo informativo calculado con cuota ya aplicada = 0.</t>
        </is>
      </c>
      <c r="F81" s="6" t="n">
        <v>46231.74488281704</v>
      </c>
      <c r="G81" s="5" t="inlineStr">
        <is>
          <t>WARNING</t>
        </is>
      </c>
    </row>
    <row r="82">
      <c r="A82" s="5" t="n">
        <v>2296</v>
      </c>
      <c r="B82" s="5" t="inlineStr">
        <is>
          <t>Final LEON CARRASCO SL (1504) SALUSTIANAS</t>
        </is>
      </c>
      <c r="C82" s="5" t="inlineStr">
        <is>
          <t>WARNING</t>
        </is>
      </c>
      <c r="D82" s="5" t="inlineStr">
        <is>
          <t>Warning</t>
        </is>
      </c>
      <c r="E82" s="5" t="inlineStr">
        <is>
          <t>8 entregas ya figuran como liquidadas.</t>
        </is>
      </c>
      <c r="F82" s="6" t="n">
        <v>46231.74488281704</v>
      </c>
      <c r="G82" s="5" t="inlineStr">
        <is>
          <t>WARNING</t>
        </is>
      </c>
    </row>
    <row r="83">
      <c r="A83" s="5" t="n">
        <v>2296</v>
      </c>
      <c r="B83" s="5" t="inlineStr">
        <is>
          <t>Final LEON CARRASCO SL (1504) SALUSTIANAS</t>
        </is>
      </c>
      <c r="C83" s="5" t="inlineStr">
        <is>
          <t>WARNING</t>
        </is>
      </c>
      <c r="D83" s="5" t="inlineStr">
        <is>
          <t>Warning</t>
        </is>
      </c>
      <c r="E83" s="5" t="inlineStr">
        <is>
          <t>No existe tarifa BonCalidad para socio=1504 campaña=2026 empresa=1 cultivo=DIRECTO.</t>
        </is>
      </c>
      <c r="F83" s="6" t="n">
        <v>46231.74488281704</v>
      </c>
      <c r="G83" s="5" t="inlineStr">
        <is>
          <t>WARNING</t>
        </is>
      </c>
    </row>
    <row r="84">
      <c r="A84" s="5" t="n">
        <v>2296</v>
      </c>
      <c r="B84" s="5" t="inlineStr">
        <is>
          <t>Final LEON CARRASCO SL (1504) SALUSTIANAS</t>
        </is>
      </c>
      <c r="C84" s="5" t="inlineStr">
        <is>
          <t>WARNING</t>
        </is>
      </c>
      <c r="D84" s="5" t="inlineStr">
        <is>
          <t>Warning</t>
        </is>
      </c>
      <c r="E84" s="5" t="inlineStr">
        <is>
          <t>No existe fuente acumulada disponible; saldo informativo calculado con cuota ya aplicada = 0.</t>
        </is>
      </c>
      <c r="F84" s="6" t="n">
        <v>46231.74488281704</v>
      </c>
      <c r="G84" s="5" t="inlineStr">
        <is>
          <t>WARNING</t>
        </is>
      </c>
    </row>
    <row r="85">
      <c r="A85" s="5" t="n">
        <v>2297</v>
      </c>
      <c r="B85" s="5" t="inlineStr">
        <is>
          <t>Final CADORTAN SL (1550) LANE LATE</t>
        </is>
      </c>
      <c r="C85" s="5" t="inlineStr">
        <is>
          <t>WARNING</t>
        </is>
      </c>
      <c r="D85" s="5" t="inlineStr">
        <is>
          <t>Warning</t>
        </is>
      </c>
      <c r="E85" s="5" t="inlineStr">
        <is>
          <t>No existe tarifa BonCalidad para socio=1550 campaña=2026 empresa=1 cultivo=DIRECTO.</t>
        </is>
      </c>
      <c r="F85" s="6" t="n">
        <v>46231.74488281704</v>
      </c>
      <c r="G85" s="5" t="inlineStr">
        <is>
          <t>WARNING</t>
        </is>
      </c>
    </row>
    <row r="86">
      <c r="A86" s="5" t="n">
        <v>2297</v>
      </c>
      <c r="B86" s="5" t="inlineStr">
        <is>
          <t>Final CADORTAN SL (1550) LANE LATE</t>
        </is>
      </c>
      <c r="C86" s="5" t="inlineStr">
        <is>
          <t>WARNING</t>
        </is>
      </c>
      <c r="D86" s="5" t="inlineStr">
        <is>
          <t>Warning</t>
        </is>
      </c>
      <c r="E86" s="5" t="inlineStr">
        <is>
          <t>El socio 1550 figura certificado GlobalGAP en CITRICOS, MANDARINA pero no en CITRICOS, MANDARINA. Se ha aplicado la certificación global del socio. Revise DEEPP.</t>
        </is>
      </c>
      <c r="F86" s="6" t="n">
        <v>46231.74488281704</v>
      </c>
      <c r="G86" s="5" t="inlineStr">
        <is>
          <t>WARNING</t>
        </is>
      </c>
    </row>
    <row r="87">
      <c r="A87" s="5" t="n">
        <v>2297</v>
      </c>
      <c r="B87" s="5" t="inlineStr">
        <is>
          <t>Final CADORTAN SL (1550) LANE LATE</t>
        </is>
      </c>
      <c r="C87" s="5" t="inlineStr">
        <is>
          <t>WARNING</t>
        </is>
      </c>
      <c r="D87" s="5" t="inlineStr">
        <is>
          <t>Warning</t>
        </is>
      </c>
      <c r="E87" s="5" t="inlineStr">
        <is>
          <t>No existe fuente acumulada disponible; saldo informativo calculado con cuota ya aplicada = 0.</t>
        </is>
      </c>
      <c r="F87" s="6" t="n">
        <v>46231.74488281704</v>
      </c>
      <c r="G87" s="5" t="inlineStr">
        <is>
          <t>WARNING</t>
        </is>
      </c>
    </row>
    <row r="88">
      <c r="A88" s="5" t="n">
        <v>2298</v>
      </c>
      <c r="B88" s="5" t="inlineStr">
        <is>
          <t>Final FERNANDO TOMENO (1415) SALUSTIANAS</t>
        </is>
      </c>
      <c r="C88" s="5" t="inlineStr">
        <is>
          <t>WARNING</t>
        </is>
      </c>
      <c r="D88" s="5" t="inlineStr">
        <is>
          <t>Warning</t>
        </is>
      </c>
      <c r="E88" s="5" t="inlineStr">
        <is>
          <t>7 entregas ya figuran como liquidadas.</t>
        </is>
      </c>
      <c r="F88" s="6" t="n">
        <v>46231.74488281704</v>
      </c>
      <c r="G88" s="5" t="inlineStr">
        <is>
          <t>WARNING</t>
        </is>
      </c>
    </row>
    <row r="89">
      <c r="A89" s="5" t="n">
        <v>2298</v>
      </c>
      <c r="B89" s="5" t="inlineStr">
        <is>
          <t>Final FERNANDO TOMENO (1415) SALUSTIANAS</t>
        </is>
      </c>
      <c r="C89" s="5" t="inlineStr">
        <is>
          <t>WARNING</t>
        </is>
      </c>
      <c r="D89" s="5" t="inlineStr">
        <is>
          <t>Warning</t>
        </is>
      </c>
      <c r="E89" s="5" t="inlineStr">
        <is>
          <t>No existe tarifa BonCalidad para socio=1415 campaña=2026 empresa=1 cultivo=DIRECTO.</t>
        </is>
      </c>
      <c r="F89" s="6" t="n">
        <v>46231.74488281704</v>
      </c>
      <c r="G89" s="5" t="inlineStr">
        <is>
          <t>WARNING</t>
        </is>
      </c>
    </row>
    <row r="90">
      <c r="A90" s="5" t="n">
        <v>2298</v>
      </c>
      <c r="B90" s="5" t="inlineStr">
        <is>
          <t>Final FERNANDO TOMENO (1415) SALUSTIANAS</t>
        </is>
      </c>
      <c r="C90" s="5" t="inlineStr">
        <is>
          <t>WARNING</t>
        </is>
      </c>
      <c r="D90" s="5" t="inlineStr">
        <is>
          <t>Warning</t>
        </is>
      </c>
      <c r="E90" s="5" t="inlineStr">
        <is>
          <t>No existe fuente acumulada disponible; saldo informativo calculado con cuota ya aplicada = 0.</t>
        </is>
      </c>
      <c r="F90" s="6" t="n">
        <v>46231.74488281704</v>
      </c>
      <c r="G90" s="5" t="inlineStr">
        <is>
          <t>WARNING</t>
        </is>
      </c>
    </row>
    <row r="91">
      <c r="A91" s="5" t="n">
        <v>2299</v>
      </c>
      <c r="B91" s="5" t="inlineStr">
        <is>
          <t>Final DOLORES MUÑOZ  (1511) SALUSTIANAS</t>
        </is>
      </c>
      <c r="C91" s="5" t="inlineStr">
        <is>
          <t>WARNING</t>
        </is>
      </c>
      <c r="D91" s="5" t="inlineStr">
        <is>
          <t>Warning</t>
        </is>
      </c>
      <c r="E91" s="5" t="inlineStr">
        <is>
          <t>3 entregas ya figuran como liquidadas.</t>
        </is>
      </c>
      <c r="F91" s="6" t="n">
        <v>46231.74488281704</v>
      </c>
      <c r="G91" s="5" t="inlineStr">
        <is>
          <t>WARNING</t>
        </is>
      </c>
    </row>
    <row r="92">
      <c r="A92" s="5" t="n">
        <v>2299</v>
      </c>
      <c r="B92" s="5" t="inlineStr">
        <is>
          <t>Final DOLORES MUÑOZ  (1511) SALUSTIANAS</t>
        </is>
      </c>
      <c r="C92" s="5" t="inlineStr">
        <is>
          <t>WARNING</t>
        </is>
      </c>
      <c r="D92" s="5" t="inlineStr">
        <is>
          <t>Warning</t>
        </is>
      </c>
      <c r="E92" s="5" t="inlineStr">
        <is>
          <t>No existe tarifa BonCalidad para socio=1511 campaña=2026 empresa=1 cultivo=DIRECTO.</t>
        </is>
      </c>
      <c r="F92" s="6" t="n">
        <v>46231.74488281704</v>
      </c>
      <c r="G92" s="5" t="inlineStr">
        <is>
          <t>WARNING</t>
        </is>
      </c>
    </row>
    <row r="93">
      <c r="A93" s="5" t="n">
        <v>2299</v>
      </c>
      <c r="B93" s="5" t="inlineStr">
        <is>
          <t>Final DOLORES MUÑOZ  (1511) SALUSTIANAS</t>
        </is>
      </c>
      <c r="C93" s="5" t="inlineStr">
        <is>
          <t>WARNING</t>
        </is>
      </c>
      <c r="D93" s="5" t="inlineStr">
        <is>
          <t>Warning</t>
        </is>
      </c>
      <c r="E93" s="5" t="inlineStr">
        <is>
          <t>No existe fuente acumulada disponible; saldo informativo calculado con cuota ya aplicada = 0.</t>
        </is>
      </c>
      <c r="F93" s="6" t="n">
        <v>46231.74488281704</v>
      </c>
      <c r="G93" s="5" t="inlineStr">
        <is>
          <t>WARNING</t>
        </is>
      </c>
    </row>
    <row r="94">
      <c r="A94" s="5" t="n">
        <v>2300</v>
      </c>
      <c r="B94" s="5" t="inlineStr">
        <is>
          <t>Final DOLORES HDEZ (1549) SALUSTIANAS</t>
        </is>
      </c>
      <c r="C94" s="5" t="inlineStr">
        <is>
          <t>WARNING</t>
        </is>
      </c>
      <c r="D94" s="5" t="inlineStr">
        <is>
          <t>Warning</t>
        </is>
      </c>
      <c r="E94" s="5" t="inlineStr">
        <is>
          <t>4 entregas ya figuran como liquidadas.</t>
        </is>
      </c>
      <c r="F94" s="6" t="n">
        <v>46231.74488281704</v>
      </c>
      <c r="G94" s="5" t="inlineStr">
        <is>
          <t>WARNING</t>
        </is>
      </c>
    </row>
    <row r="95">
      <c r="A95" s="5" t="n">
        <v>2300</v>
      </c>
      <c r="B95" s="5" t="inlineStr">
        <is>
          <t>Final DOLORES HDEZ (1549) SALUSTIANAS</t>
        </is>
      </c>
      <c r="C95" s="5" t="inlineStr">
        <is>
          <t>WARNING</t>
        </is>
      </c>
      <c r="D95" s="5" t="inlineStr">
        <is>
          <t>Warning</t>
        </is>
      </c>
      <c r="E95" s="5" t="inlineStr">
        <is>
          <t>No existe tarifa BonCalidad para socio=1549 campaña=2026 empresa=1 cultivo=DIRECTO.</t>
        </is>
      </c>
      <c r="F95" s="6" t="n">
        <v>46231.74488281704</v>
      </c>
      <c r="G95" s="5" t="inlineStr">
        <is>
          <t>WARNING</t>
        </is>
      </c>
    </row>
    <row r="96">
      <c r="A96" s="5" t="n">
        <v>2300</v>
      </c>
      <c r="B96" s="5" t="inlineStr">
        <is>
          <t>Final DOLORES HDEZ (1549) SALUSTIANAS</t>
        </is>
      </c>
      <c r="C96" s="5" t="inlineStr">
        <is>
          <t>WARNING</t>
        </is>
      </c>
      <c r="D96" s="5" t="inlineStr">
        <is>
          <t>Warning</t>
        </is>
      </c>
      <c r="E96" s="5" t="inlineStr">
        <is>
          <t>No existe fuente acumulada disponible; saldo informativo calculado con cuota ya aplicada = 0.</t>
        </is>
      </c>
      <c r="F96" s="6" t="n">
        <v>46231.74488281704</v>
      </c>
      <c r="G96" s="5" t="inlineStr">
        <is>
          <t>WARNING</t>
        </is>
      </c>
    </row>
    <row r="97">
      <c r="A97" s="5" t="n">
        <v>2301</v>
      </c>
      <c r="B97" s="5" t="inlineStr">
        <is>
          <t>Final JESUS PADILLA (1611) LANE LATE</t>
        </is>
      </c>
      <c r="C97" s="5" t="inlineStr">
        <is>
          <t>WARNING</t>
        </is>
      </c>
      <c r="D97" s="5" t="inlineStr">
        <is>
          <t>Warning</t>
        </is>
      </c>
      <c r="E97" s="5" t="inlineStr">
        <is>
          <t>No existe tarifa BonCalidad para socio=1611 campaña=2026 empresa=1 cultivo=DIRECTO.</t>
        </is>
      </c>
      <c r="F97" s="6" t="n">
        <v>46231.74488281704</v>
      </c>
      <c r="G97" s="5" t="inlineStr">
        <is>
          <t>WARNING</t>
        </is>
      </c>
    </row>
    <row r="98">
      <c r="A98" s="5" t="n">
        <v>2301</v>
      </c>
      <c r="B98" s="5" t="inlineStr">
        <is>
          <t>Final JESUS PADILLA (1611) LANE LATE</t>
        </is>
      </c>
      <c r="C98" s="5" t="inlineStr">
        <is>
          <t>WARNING</t>
        </is>
      </c>
      <c r="D98" s="5" t="inlineStr">
        <is>
          <t>Warning</t>
        </is>
      </c>
      <c r="E98" s="5" t="inlineStr">
        <is>
          <t>No existe fuente acumulada disponible; saldo informativo calculado con cuota ya aplicada = 0.</t>
        </is>
      </c>
      <c r="F98" s="6" t="n">
        <v>46231.74488281704</v>
      </c>
      <c r="G98" s="5" t="inlineStr">
        <is>
          <t>WARNING</t>
        </is>
      </c>
    </row>
    <row r="99">
      <c r="A99" s="5" t="n">
        <v>2302</v>
      </c>
      <c r="B99" s="5" t="inlineStr">
        <is>
          <t>Final ALVARO HARO (1544) CHISSLET</t>
        </is>
      </c>
      <c r="C99" s="5" t="inlineStr">
        <is>
          <t>WARNING</t>
        </is>
      </c>
      <c r="D99" s="5" t="inlineStr">
        <is>
          <t>Warning</t>
        </is>
      </c>
      <c r="E99" s="5" t="inlineStr">
        <is>
          <t>No existe tarifa BonCalidad para socio=1544 campaña=2026 empresa=1 cultivo=DIRECTO.</t>
        </is>
      </c>
      <c r="F99" s="6" t="n">
        <v>46231.74488281704</v>
      </c>
      <c r="G99" s="5" t="inlineStr">
        <is>
          <t>WARNING</t>
        </is>
      </c>
    </row>
    <row r="100">
      <c r="A100" s="5" t="n">
        <v>2302</v>
      </c>
      <c r="B100" s="5" t="inlineStr">
        <is>
          <t>Final ALVARO HARO (1544) CHISSLET</t>
        </is>
      </c>
      <c r="C100" s="5" t="inlineStr">
        <is>
          <t>WARNING</t>
        </is>
      </c>
      <c r="D100" s="5" t="inlineStr">
        <is>
          <t>Warning</t>
        </is>
      </c>
      <c r="E100" s="5" t="inlineStr">
        <is>
          <t>No existe fuente acumulada disponible; saldo informativo calculado con cuota ya aplicada = 0.</t>
        </is>
      </c>
      <c r="F100" s="6" t="n">
        <v>46231.74488281704</v>
      </c>
      <c r="G100" s="5" t="inlineStr">
        <is>
          <t>WARNING</t>
        </is>
      </c>
    </row>
    <row r="101">
      <c r="A101" s="5" t="n">
        <v>2303</v>
      </c>
      <c r="B101" s="5" t="inlineStr">
        <is>
          <t>Final J. A. RODRIGUEZ MEJIAS (1523) LANE LATE</t>
        </is>
      </c>
      <c r="C101" s="5" t="inlineStr">
        <is>
          <t>WARNING</t>
        </is>
      </c>
      <c r="D101" s="5" t="inlineStr">
        <is>
          <t>Warning</t>
        </is>
      </c>
      <c r="E101" s="5" t="inlineStr">
        <is>
          <t>No existe tarifa BonCalidad para socio=1523 campaña=2026 empresa=1 cultivo=DIRECTO.</t>
        </is>
      </c>
      <c r="F101" s="6" t="n">
        <v>46231.74488281704</v>
      </c>
      <c r="G101" s="5" t="inlineStr">
        <is>
          <t>WARNING</t>
        </is>
      </c>
    </row>
    <row r="102">
      <c r="A102" s="5" t="n">
        <v>2303</v>
      </c>
      <c r="B102" s="5" t="inlineStr">
        <is>
          <t>Final J. A. RODRIGUEZ MEJIAS (1523) LANE LATE</t>
        </is>
      </c>
      <c r="C102" s="5" t="inlineStr">
        <is>
          <t>WARNING</t>
        </is>
      </c>
      <c r="D102" s="5" t="inlineStr">
        <is>
          <t>Warning</t>
        </is>
      </c>
      <c r="E102" s="5" t="inlineStr">
        <is>
          <t>El socio 1523 figura certificado GlobalGAP en CITRICOS, KAKIS, MANDARINA pero no en CITRICOS. Se ha aplicado la certificación global del socio. Revise DEEPP.</t>
        </is>
      </c>
      <c r="F102" s="6" t="n">
        <v>46231.74488281704</v>
      </c>
      <c r="G102" s="5" t="inlineStr">
        <is>
          <t>WARNING</t>
        </is>
      </c>
    </row>
    <row r="103">
      <c r="A103" s="5" t="n">
        <v>2303</v>
      </c>
      <c r="B103" s="5" t="inlineStr">
        <is>
          <t>Final J. A. RODRIGUEZ MEJIAS (1523) LANE LATE</t>
        </is>
      </c>
      <c r="C103" s="5" t="inlineStr">
        <is>
          <t>WARNING</t>
        </is>
      </c>
      <c r="D103" s="5" t="inlineStr">
        <is>
          <t>Warning</t>
        </is>
      </c>
      <c r="E103" s="5" t="inlineStr">
        <is>
          <t>No existe fuente acumulada disponible; saldo informativo calculado con cuota ya aplicada = 0.</t>
        </is>
      </c>
      <c r="F103" s="6" t="n">
        <v>46231.74488281704</v>
      </c>
      <c r="G103" s="5" t="inlineStr">
        <is>
          <t>WARNING</t>
        </is>
      </c>
    </row>
    <row r="104">
      <c r="A104" s="5" t="n">
        <v>2304</v>
      </c>
      <c r="B104" s="5" t="inlineStr">
        <is>
          <t>Final AGRONUÑEZ (1466) LANE LATE</t>
        </is>
      </c>
      <c r="C104" s="5" t="inlineStr">
        <is>
          <t>WARNING</t>
        </is>
      </c>
      <c r="D104" s="5" t="inlineStr">
        <is>
          <t>Warning</t>
        </is>
      </c>
      <c r="E104" s="5" t="inlineStr">
        <is>
          <t>No existe tarifa BonCalidad para socio=1466 campaña=2026 empresa=1 cultivo=DIRECTO.</t>
        </is>
      </c>
      <c r="F104" s="6" t="n">
        <v>46231.74488281704</v>
      </c>
      <c r="G104" s="5" t="inlineStr">
        <is>
          <t>WARNING</t>
        </is>
      </c>
    </row>
    <row r="105">
      <c r="A105" s="5" t="n">
        <v>2304</v>
      </c>
      <c r="B105" s="5" t="inlineStr">
        <is>
          <t>Final AGRONUÑEZ (1466) LANE LATE</t>
        </is>
      </c>
      <c r="C105" s="5" t="inlineStr">
        <is>
          <t>WARNING</t>
        </is>
      </c>
      <c r="D105" s="5" t="inlineStr">
        <is>
          <t>Warning</t>
        </is>
      </c>
      <c r="E105" s="5" t="inlineStr">
        <is>
          <t>No existe fuente acumulada disponible; saldo informativo calculado con cuota ya aplicada = 0.</t>
        </is>
      </c>
      <c r="F105" s="6" t="n">
        <v>46231.74488281704</v>
      </c>
      <c r="G105" s="5" t="inlineStr">
        <is>
          <t>WARNING</t>
        </is>
      </c>
    </row>
    <row r="106">
      <c r="A106" s="5" t="n">
        <v>2305</v>
      </c>
      <c r="B106" s="5" t="inlineStr">
        <is>
          <t>Final MANUEL JESUS NUÑEZ (1560) LANE LATE</t>
        </is>
      </c>
      <c r="C106" s="5" t="inlineStr">
        <is>
          <t>WARNING</t>
        </is>
      </c>
      <c r="D106" s="5" t="inlineStr">
        <is>
          <t>Warning</t>
        </is>
      </c>
      <c r="E106" s="5" t="inlineStr">
        <is>
          <t>No existe tarifa BonCalidad para socio=1560 campaña=2026 empresa=1 cultivo=DIRECTO.</t>
        </is>
      </c>
      <c r="F106" s="6" t="n">
        <v>46231.74488281704</v>
      </c>
      <c r="G106" s="5" t="inlineStr">
        <is>
          <t>WARNING</t>
        </is>
      </c>
    </row>
    <row r="107">
      <c r="A107" s="5" t="n">
        <v>2305</v>
      </c>
      <c r="B107" s="5" t="inlineStr">
        <is>
          <t>Final MANUEL JESUS NUÑEZ (1560) LANE LATE</t>
        </is>
      </c>
      <c r="C107" s="5" t="inlineStr">
        <is>
          <t>WARNING</t>
        </is>
      </c>
      <c r="D107" s="5" t="inlineStr">
        <is>
          <t>Warning</t>
        </is>
      </c>
      <c r="E107" s="5" t="inlineStr">
        <is>
          <t>No existe fuente acumulada disponible; saldo informativo calculado con cuota ya aplicada = 0.</t>
        </is>
      </c>
      <c r="F107" s="6" t="n">
        <v>46231.74488281704</v>
      </c>
      <c r="G107" s="5" t="inlineStr">
        <is>
          <t>WARNING</t>
        </is>
      </c>
    </row>
    <row r="108">
      <c r="A108" s="5" t="n">
        <v>2306</v>
      </c>
      <c r="B108" s="5" t="inlineStr">
        <is>
          <t>Final HNOS GONZALEZ ROLDAN (1272) LANE LATE 1</t>
        </is>
      </c>
      <c r="C108" s="5" t="inlineStr">
        <is>
          <t>WARNING</t>
        </is>
      </c>
      <c r="D108" s="5" t="inlineStr">
        <is>
          <t>Warning</t>
        </is>
      </c>
      <c r="E108" s="5" t="inlineStr">
        <is>
          <t>No existe tarifa BonCalidad para socio=1272 campaña=2026 empresa=1 cultivo=DIRECTO.</t>
        </is>
      </c>
      <c r="F108" s="6" t="n">
        <v>46231.74488281704</v>
      </c>
      <c r="G108" s="5" t="inlineStr">
        <is>
          <t>WARNING</t>
        </is>
      </c>
    </row>
    <row r="109">
      <c r="A109" s="5" t="n">
        <v>2306</v>
      </c>
      <c r="B109" s="5" t="inlineStr">
        <is>
          <t>Final HNOS GONZALEZ ROLDAN (1272) LANE LATE 1</t>
        </is>
      </c>
      <c r="C109" s="5" t="inlineStr">
        <is>
          <t>WARNING</t>
        </is>
      </c>
      <c r="D109" s="5" t="inlineStr">
        <is>
          <t>Warning</t>
        </is>
      </c>
      <c r="E109" s="5" t="inlineStr">
        <is>
          <t>No existe fuente acumulada disponible; saldo informativo calculado con cuota ya aplicada = 0.</t>
        </is>
      </c>
      <c r="F109" s="6" t="n">
        <v>46231.74488281704</v>
      </c>
      <c r="G109" s="5" t="inlineStr">
        <is>
          <t>WARNING</t>
        </is>
      </c>
    </row>
    <row r="110">
      <c r="A110" s="5" t="n">
        <v>2307</v>
      </c>
      <c r="B110" s="5" t="inlineStr">
        <is>
          <t>Final AGRICOLA HNOS BUIZA (1395) POWEL</t>
        </is>
      </c>
      <c r="C110" s="5" t="inlineStr">
        <is>
          <t>WARNING</t>
        </is>
      </c>
      <c r="D110" s="5" t="inlineStr">
        <is>
          <t>Warning</t>
        </is>
      </c>
      <c r="E110" s="5" t="inlineStr">
        <is>
          <t>No existe tarifa BonCalidad para socio=1395 campaña=2026 empresa=1 cultivo=DIRECTO.</t>
        </is>
      </c>
      <c r="F110" s="6" t="n">
        <v>46231.74488281704</v>
      </c>
      <c r="G110" s="5" t="inlineStr">
        <is>
          <t>WARNING</t>
        </is>
      </c>
    </row>
    <row r="111">
      <c r="A111" s="5" t="n">
        <v>2307</v>
      </c>
      <c r="B111" s="5" t="inlineStr">
        <is>
          <t>Final AGRICOLA HNOS BUIZA (1395) POWEL</t>
        </is>
      </c>
      <c r="C111" s="5" t="inlineStr">
        <is>
          <t>WARNING</t>
        </is>
      </c>
      <c r="D111" s="5" t="inlineStr">
        <is>
          <t>Warning</t>
        </is>
      </c>
      <c r="E111" s="5" t="inlineStr">
        <is>
          <t>No existe fuente acumulada disponible; saldo informativo calculado con cuota ya aplicada = 0.</t>
        </is>
      </c>
      <c r="F111" s="6" t="n">
        <v>46231.74488281704</v>
      </c>
      <c r="G111" s="5" t="inlineStr">
        <is>
          <t>WARNING</t>
        </is>
      </c>
    </row>
    <row r="112">
      <c r="A112" s="5" t="n">
        <v>2308</v>
      </c>
      <c r="B112" s="5" t="inlineStr">
        <is>
          <t>Final JAVIER SANCHEZ GUIL (1624) SALUSTIANAS</t>
        </is>
      </c>
      <c r="C112" s="5" t="inlineStr">
        <is>
          <t>WARNING</t>
        </is>
      </c>
      <c r="D112" s="5" t="inlineStr">
        <is>
          <t>Warning</t>
        </is>
      </c>
      <c r="E112" s="5" t="inlineStr">
        <is>
          <t>1 entregas ya figuran como liquidadas.</t>
        </is>
      </c>
      <c r="F112" s="6" t="n">
        <v>46231.74488281704</v>
      </c>
      <c r="G112" s="5" t="inlineStr">
        <is>
          <t>WARNING</t>
        </is>
      </c>
    </row>
    <row r="113">
      <c r="A113" s="5" t="n">
        <v>2308</v>
      </c>
      <c r="B113" s="5" t="inlineStr">
        <is>
          <t>Final JAVIER SANCHEZ GUIL (1624) SALUSTIANAS</t>
        </is>
      </c>
      <c r="C113" s="5" t="inlineStr">
        <is>
          <t>WARNING</t>
        </is>
      </c>
      <c r="D113" s="5" t="inlineStr">
        <is>
          <t>Warning</t>
        </is>
      </c>
      <c r="E113" s="5" t="inlineStr">
        <is>
          <t>No existe tarifa BonCalidad para socio=1624 campaña=2026 empresa=1 cultivo=DIRECTO.</t>
        </is>
      </c>
      <c r="F113" s="6" t="n">
        <v>46231.74488281704</v>
      </c>
      <c r="G113" s="5" t="inlineStr">
        <is>
          <t>WARNING</t>
        </is>
      </c>
    </row>
    <row r="114">
      <c r="A114" s="5" t="n">
        <v>2308</v>
      </c>
      <c r="B114" s="5" t="inlineStr">
        <is>
          <t>Final JAVIER SANCHEZ GUIL (1624) SALUSTIANAS</t>
        </is>
      </c>
      <c r="C114" s="5" t="inlineStr">
        <is>
          <t>WARNING</t>
        </is>
      </c>
      <c r="D114" s="5" t="inlineStr">
        <is>
          <t>Warning</t>
        </is>
      </c>
      <c r="E114" s="5" t="inlineStr">
        <is>
          <t>No existe fuente acumulada disponible; saldo informativo calculado con cuota ya aplicada = 0.</t>
        </is>
      </c>
      <c r="F114" s="6" t="n">
        <v>46231.74488281704</v>
      </c>
      <c r="G114" s="5" t="inlineStr">
        <is>
          <t>WARNING</t>
        </is>
      </c>
    </row>
    <row r="115">
      <c r="A115" s="5" t="n">
        <v>2309</v>
      </c>
      <c r="B115" s="5" t="inlineStr">
        <is>
          <t>Final J. A. PRIOR PORTILLO (1589) SALUSTIANAS</t>
        </is>
      </c>
      <c r="C115" s="5" t="inlineStr">
        <is>
          <t>WARNING</t>
        </is>
      </c>
      <c r="D115" s="5" t="inlineStr">
        <is>
          <t>Warning</t>
        </is>
      </c>
      <c r="E115" s="5" t="inlineStr">
        <is>
          <t>1 entregas ya figuran como liquidadas.</t>
        </is>
      </c>
      <c r="F115" s="6" t="n">
        <v>46231.74488281704</v>
      </c>
      <c r="G115" s="5" t="inlineStr">
        <is>
          <t>WARNING</t>
        </is>
      </c>
    </row>
    <row r="116">
      <c r="A116" s="5" t="n">
        <v>2309</v>
      </c>
      <c r="B116" s="5" t="inlineStr">
        <is>
          <t>Final J. A. PRIOR PORTILLO (1589) SALUSTIANAS</t>
        </is>
      </c>
      <c r="C116" s="5" t="inlineStr">
        <is>
          <t>WARNING</t>
        </is>
      </c>
      <c r="D116" s="5" t="inlineStr">
        <is>
          <t>Warning</t>
        </is>
      </c>
      <c r="E116" s="5" t="inlineStr">
        <is>
          <t>No existe tarifa BonCalidad para socio=1589 campaña=2026 empresa=1 cultivo=DIRECTO.</t>
        </is>
      </c>
      <c r="F116" s="6" t="n">
        <v>46231.74488281704</v>
      </c>
      <c r="G116" s="5" t="inlineStr">
        <is>
          <t>WARNING</t>
        </is>
      </c>
    </row>
    <row r="117">
      <c r="A117" s="5" t="n">
        <v>2309</v>
      </c>
      <c r="B117" s="5" t="inlineStr">
        <is>
          <t>Final J. A. PRIOR PORTILLO (1589) SALUSTIANAS</t>
        </is>
      </c>
      <c r="C117" s="5" t="inlineStr">
        <is>
          <t>WARNING</t>
        </is>
      </c>
      <c r="D117" s="5" t="inlineStr">
        <is>
          <t>Warning</t>
        </is>
      </c>
      <c r="E117" s="5" t="inlineStr">
        <is>
          <t>No existe fuente acumulada disponible; saldo informativo calculado con cuota ya aplicada = 0.</t>
        </is>
      </c>
      <c r="F117" s="6" t="n">
        <v>46231.74488281704</v>
      </c>
      <c r="G117" s="5" t="inlineStr">
        <is>
          <t>WARNING</t>
        </is>
      </c>
    </row>
    <row r="118">
      <c r="A118" s="5" t="n">
        <v>2310</v>
      </c>
      <c r="B118" s="5" t="inlineStr">
        <is>
          <t>Final LEON CARRASCO SL (1504) POWEL</t>
        </is>
      </c>
      <c r="C118" s="5" t="inlineStr">
        <is>
          <t>WARNING</t>
        </is>
      </c>
      <c r="D118" s="5" t="inlineStr">
        <is>
          <t>Warning</t>
        </is>
      </c>
      <c r="E118" s="5" t="inlineStr">
        <is>
          <t>No existe tarifa BonCalidad para socio=1504 campaña=2026 empresa=1 cultivo=DIRECTO.</t>
        </is>
      </c>
      <c r="F118" s="6" t="n">
        <v>46231.74488281704</v>
      </c>
      <c r="G118" s="5" t="inlineStr">
        <is>
          <t>WARNING</t>
        </is>
      </c>
    </row>
    <row r="119">
      <c r="A119" s="5" t="n">
        <v>2310</v>
      </c>
      <c r="B119" s="5" t="inlineStr">
        <is>
          <t>Final LEON CARRASCO SL (1504) POWEL</t>
        </is>
      </c>
      <c r="C119" s="5" t="inlineStr">
        <is>
          <t>WARNING</t>
        </is>
      </c>
      <c r="D119" s="5" t="inlineStr">
        <is>
          <t>Warning</t>
        </is>
      </c>
      <c r="E119" s="5" t="inlineStr">
        <is>
          <t>No existe fuente acumulada disponible; saldo informativo calculado con cuota ya aplicada = 0.</t>
        </is>
      </c>
      <c r="F119" s="6" t="n">
        <v>46231.74488281704</v>
      </c>
      <c r="G119" s="5" t="inlineStr">
        <is>
          <t>WARNING</t>
        </is>
      </c>
    </row>
    <row r="120">
      <c r="A120" s="5" t="n">
        <v>2311</v>
      </c>
      <c r="B120" s="5" t="inlineStr">
        <is>
          <t>Final MERCEDES GOMEZ (1577) POWEL</t>
        </is>
      </c>
      <c r="C120" s="5" t="inlineStr">
        <is>
          <t>WARNING</t>
        </is>
      </c>
      <c r="D120" s="5" t="inlineStr">
        <is>
          <t>Warning</t>
        </is>
      </c>
      <c r="E120" s="5" t="inlineStr">
        <is>
          <t>No existe tarifa BonCalidad para socio=1577 campaña=2026 empresa=1 cultivo=DIRECTO.</t>
        </is>
      </c>
      <c r="F120" s="6" t="n">
        <v>46231.74488281704</v>
      </c>
      <c r="G120" s="5" t="inlineStr">
        <is>
          <t>WARNING</t>
        </is>
      </c>
    </row>
    <row r="121">
      <c r="A121" s="5" t="n">
        <v>2311</v>
      </c>
      <c r="B121" s="5" t="inlineStr">
        <is>
          <t>Final MERCEDES GOMEZ (1577) POWEL</t>
        </is>
      </c>
      <c r="C121" s="5" t="inlineStr">
        <is>
          <t>WARNING</t>
        </is>
      </c>
      <c r="D121" s="5" t="inlineStr">
        <is>
          <t>Warning</t>
        </is>
      </c>
      <c r="E121" s="5" t="inlineStr">
        <is>
          <t>No existe fuente acumulada disponible; saldo informativo calculado con cuota ya aplicada = 0.</t>
        </is>
      </c>
      <c r="F121" s="6" t="n">
        <v>46231.74488281704</v>
      </c>
      <c r="G121" s="5" t="inlineStr">
        <is>
          <t>WARNING</t>
        </is>
      </c>
    </row>
    <row r="122">
      <c r="A122" s="5" t="n">
        <v>2312</v>
      </c>
      <c r="B122" s="5" t="inlineStr">
        <is>
          <t>Final FRANCISCO JAVIER CALZADO (1178) NAVEL POWEL</t>
        </is>
      </c>
      <c r="C122" s="5" t="inlineStr">
        <is>
          <t>WARNING</t>
        </is>
      </c>
      <c r="D122" s="5" t="inlineStr">
        <is>
          <t>Warning</t>
        </is>
      </c>
      <c r="E122" s="5" t="inlineStr">
        <is>
          <t>No existe tarifa BonCalidad para socio=1178 campaña=2026 empresa=1 cultivo=DIRECTO.</t>
        </is>
      </c>
      <c r="F122" s="6" t="n">
        <v>46231.74488281704</v>
      </c>
      <c r="G122" s="5" t="inlineStr">
        <is>
          <t>WARNING</t>
        </is>
      </c>
    </row>
    <row r="123">
      <c r="A123" s="5" t="n">
        <v>2312</v>
      </c>
      <c r="B123" s="5" t="inlineStr">
        <is>
          <t>Final FRANCISCO JAVIER CALZADO (1178) NAVEL POWEL</t>
        </is>
      </c>
      <c r="C123" s="5" t="inlineStr">
        <is>
          <t>WARNING</t>
        </is>
      </c>
      <c r="D123" s="5" t="inlineStr">
        <is>
          <t>Warning</t>
        </is>
      </c>
      <c r="E123" s="5" t="inlineStr">
        <is>
          <t>No existe fuente acumulada disponible; saldo informativo calculado con cuota ya aplicada = 0.</t>
        </is>
      </c>
      <c r="F123" s="6" t="n">
        <v>46231.74488281704</v>
      </c>
      <c r="G123" s="5" t="inlineStr">
        <is>
          <t>WARNING</t>
        </is>
      </c>
    </row>
    <row r="124">
      <c r="A124" s="5" t="n">
        <v>2313</v>
      </c>
      <c r="B124" s="5" t="inlineStr">
        <is>
          <t>Final FERNANDO TOMENO SUAREZ (1415) BARBERINA</t>
        </is>
      </c>
      <c r="C124" s="5" t="inlineStr">
        <is>
          <t>WARNING</t>
        </is>
      </c>
      <c r="D124" s="5" t="inlineStr">
        <is>
          <t>Warning</t>
        </is>
      </c>
      <c r="E124" s="5" t="inlineStr">
        <is>
          <t>No existe tarifa BonCalidad para socio=1415 campaña=2026 empresa=1 cultivo=DIRECTO.</t>
        </is>
      </c>
      <c r="F124" s="6" t="n">
        <v>46231.74488281704</v>
      </c>
      <c r="G124" s="5" t="inlineStr">
        <is>
          <t>WARNING</t>
        </is>
      </c>
    </row>
    <row r="125">
      <c r="A125" s="5" t="n">
        <v>2313</v>
      </c>
      <c r="B125" s="5" t="inlineStr">
        <is>
          <t>Final FERNANDO TOMENO SUAREZ (1415) BARBERINA</t>
        </is>
      </c>
      <c r="C125" s="5" t="inlineStr">
        <is>
          <t>WARNING</t>
        </is>
      </c>
      <c r="D125" s="5" t="inlineStr">
        <is>
          <t>Warning</t>
        </is>
      </c>
      <c r="E125" s="5" t="inlineStr">
        <is>
          <t>No existe fuente acumulada disponible; saldo informativo calculado con cuota ya aplicada = 0.</t>
        </is>
      </c>
      <c r="F125" s="6" t="n">
        <v>46231.74488281704</v>
      </c>
      <c r="G125" s="5" t="inlineStr">
        <is>
          <t>WARNING</t>
        </is>
      </c>
    </row>
    <row r="126">
      <c r="A126" s="5" t="n">
        <v>2314</v>
      </c>
      <c r="B126" s="5" t="inlineStr">
        <is>
          <t>Final FAMILIA GONZALEZ LACAL (1350) BARBERINA</t>
        </is>
      </c>
      <c r="C126" s="5" t="inlineStr">
        <is>
          <t>WARNING</t>
        </is>
      </c>
      <c r="D126" s="5" t="inlineStr">
        <is>
          <t>Warning</t>
        </is>
      </c>
      <c r="E126" s="5" t="inlineStr">
        <is>
          <t>No existe tarifa BonCalidad para socio=1350 campaña=2026 empresa=1 cultivo=DIRECTO.</t>
        </is>
      </c>
      <c r="F126" s="6" t="n">
        <v>46231.74488281704</v>
      </c>
      <c r="G126" s="5" t="inlineStr">
        <is>
          <t>WARNING</t>
        </is>
      </c>
    </row>
    <row r="127">
      <c r="A127" s="5" t="n">
        <v>2314</v>
      </c>
      <c r="B127" s="5" t="inlineStr">
        <is>
          <t>Final FAMILIA GONZALEZ LACAL (1350) BARBERINA</t>
        </is>
      </c>
      <c r="C127" s="5" t="inlineStr">
        <is>
          <t>WARNING</t>
        </is>
      </c>
      <c r="D127" s="5" t="inlineStr">
        <is>
          <t>Warning</t>
        </is>
      </c>
      <c r="E127" s="5" t="inlineStr">
        <is>
          <t>El socio 1350 figura certificado GlobalGAP en CITRICOS pero no en CITRICOS. Se ha aplicado la certificación global del socio. Revise DEEPP.</t>
        </is>
      </c>
      <c r="F127" s="6" t="n">
        <v>46231.74488281704</v>
      </c>
      <c r="G127" s="5" t="inlineStr">
        <is>
          <t>WARNING</t>
        </is>
      </c>
    </row>
    <row r="128">
      <c r="A128" s="5" t="n">
        <v>2314</v>
      </c>
      <c r="B128" s="5" t="inlineStr">
        <is>
          <t>Final FAMILIA GONZALEZ LACAL (1350) BARBERINA</t>
        </is>
      </c>
      <c r="C128" s="5" t="inlineStr">
        <is>
          <t>WARNING</t>
        </is>
      </c>
      <c r="D128" s="5" t="inlineStr">
        <is>
          <t>Warning</t>
        </is>
      </c>
      <c r="E128" s="5" t="inlineStr">
        <is>
          <t>No existe fuente acumulada disponible; saldo informativo calculado con cuota ya aplicada = 0.</t>
        </is>
      </c>
      <c r="F128" s="6" t="n">
        <v>46231.74488281704</v>
      </c>
      <c r="G128" s="5" t="inlineStr">
        <is>
          <t>WARNING</t>
        </is>
      </c>
    </row>
    <row r="129">
      <c r="A129" s="5" t="n">
        <v>2315</v>
      </c>
      <c r="B129" s="5" t="inlineStr">
        <is>
          <t>Final FRUTAS ANDALUZAS DE SEVILLA (1627) BARBERINA</t>
        </is>
      </c>
      <c r="C129" s="5" t="inlineStr">
        <is>
          <t>WARNING</t>
        </is>
      </c>
      <c r="D129" s="5" t="inlineStr">
        <is>
          <t>Warning</t>
        </is>
      </c>
      <c r="E129" s="5" t="inlineStr">
        <is>
          <t>No existe tarifa BonCalidad para socio=1627 campaña=2026 empresa=1 cultivo=DIRECTO.</t>
        </is>
      </c>
      <c r="F129" s="6" t="n">
        <v>46231.74488281704</v>
      </c>
      <c r="G129" s="5" t="inlineStr">
        <is>
          <t>WARNING</t>
        </is>
      </c>
    </row>
    <row r="130">
      <c r="A130" s="5" t="n">
        <v>2315</v>
      </c>
      <c r="B130" s="5" t="inlineStr">
        <is>
          <t>Final FRUTAS ANDALUZAS DE SEVILLA (1627) BARBERINA</t>
        </is>
      </c>
      <c r="C130" s="5" t="inlineStr">
        <is>
          <t>WARNING</t>
        </is>
      </c>
      <c r="D130" s="5" t="inlineStr">
        <is>
          <t>Warning</t>
        </is>
      </c>
      <c r="E130" s="5" t="inlineStr">
        <is>
          <t>No existe fuente acumulada disponible; saldo informativo calculado con cuota ya aplicada = 0.</t>
        </is>
      </c>
      <c r="F130" s="6" t="n">
        <v>46231.74488281704</v>
      </c>
      <c r="G130" s="5" t="inlineStr">
        <is>
          <t>WARNING</t>
        </is>
      </c>
    </row>
    <row r="131">
      <c r="A131" s="5" t="n">
        <v>2317</v>
      </c>
      <c r="B131" s="5" t="inlineStr">
        <is>
          <t>Final JUAN SERRANO CORZO (981) SALUSTIANAS</t>
        </is>
      </c>
      <c r="C131" s="5" t="inlineStr">
        <is>
          <t>WARNING</t>
        </is>
      </c>
      <c r="D131" s="5" t="inlineStr">
        <is>
          <t>Warning</t>
        </is>
      </c>
      <c r="E131" s="5" t="inlineStr">
        <is>
          <t>3 entregas ya figuran como liquidadas.</t>
        </is>
      </c>
      <c r="F131" s="6" t="n">
        <v>46231.74488281704</v>
      </c>
      <c r="G131" s="5" t="inlineStr">
        <is>
          <t>WARNING</t>
        </is>
      </c>
    </row>
    <row r="132">
      <c r="A132" s="5" t="n">
        <v>2317</v>
      </c>
      <c r="B132" s="5" t="inlineStr">
        <is>
          <t>Final JUAN SERRANO CORZO (981) SALUSTIANAS</t>
        </is>
      </c>
      <c r="C132" s="5" t="inlineStr">
        <is>
          <t>WARNING</t>
        </is>
      </c>
      <c r="D132" s="5" t="inlineStr">
        <is>
          <t>Warning</t>
        </is>
      </c>
      <c r="E132" s="5" t="inlineStr">
        <is>
          <t>No existe tarifa BonCalidad para socio=981 campaña=2026 empresa=1 cultivo=DIRECTO.</t>
        </is>
      </c>
      <c r="F132" s="6" t="n">
        <v>46231.74488281704</v>
      </c>
      <c r="G132" s="5" t="inlineStr">
        <is>
          <t>WARNING</t>
        </is>
      </c>
    </row>
    <row r="133">
      <c r="A133" s="5" t="n">
        <v>2317</v>
      </c>
      <c r="B133" s="5" t="inlineStr">
        <is>
          <t>Final JUAN SERRANO CORZO (981) SALUSTIANAS</t>
        </is>
      </c>
      <c r="C133" s="5" t="inlineStr">
        <is>
          <t>WARNING</t>
        </is>
      </c>
      <c r="D133" s="5" t="inlineStr">
        <is>
          <t>Warning</t>
        </is>
      </c>
      <c r="E133" s="5" t="inlineStr">
        <is>
          <t>No existe fuente acumulada disponible; saldo informativo calculado con cuota ya aplicada = 0.</t>
        </is>
      </c>
      <c r="F133" s="6" t="n">
        <v>46231.74488281704</v>
      </c>
      <c r="G133" s="5" t="inlineStr">
        <is>
          <t>WARNING</t>
        </is>
      </c>
    </row>
    <row r="134">
      <c r="A134" s="5" t="n">
        <v>2318</v>
      </c>
      <c r="B134" s="5" t="inlineStr">
        <is>
          <t>Final J. A. RODRIGUEZ MEJIAS (1523) VALENCIA</t>
        </is>
      </c>
      <c r="C134" s="5" t="inlineStr">
        <is>
          <t>WARNING</t>
        </is>
      </c>
      <c r="D134" s="5" t="inlineStr">
        <is>
          <t>Warning</t>
        </is>
      </c>
      <c r="E134" s="5" t="inlineStr">
        <is>
          <t>No existe tarifa BonCalidad para socio=1523 campaña=2026 empresa=1 cultivo=DIRECTO.</t>
        </is>
      </c>
      <c r="F134" s="6" t="n">
        <v>46231.74488281704</v>
      </c>
      <c r="G134" s="5" t="inlineStr">
        <is>
          <t>WARNING</t>
        </is>
      </c>
    </row>
    <row r="135">
      <c r="A135" s="5" t="n">
        <v>2318</v>
      </c>
      <c r="B135" s="5" t="inlineStr">
        <is>
          <t>Final J. A. RODRIGUEZ MEJIAS (1523) VALENCIA</t>
        </is>
      </c>
      <c r="C135" s="5" t="inlineStr">
        <is>
          <t>WARNING</t>
        </is>
      </c>
      <c r="D135" s="5" t="inlineStr">
        <is>
          <t>Warning</t>
        </is>
      </c>
      <c r="E135" s="5" t="inlineStr">
        <is>
          <t>El socio 1523 figura certificado GlobalGAP en CITRICOS, KAKIS, MANDARINA pero no en CITRICOS. Se ha aplicado la certificación global del socio. Revise DEEPP.</t>
        </is>
      </c>
      <c r="F135" s="6" t="n">
        <v>46231.74488281704</v>
      </c>
      <c r="G135" s="5" t="inlineStr">
        <is>
          <t>WARNING</t>
        </is>
      </c>
    </row>
    <row r="136">
      <c r="A136" s="5" t="n">
        <v>2318</v>
      </c>
      <c r="B136" s="5" t="inlineStr">
        <is>
          <t>Final J. A. RODRIGUEZ MEJIAS (1523) VALENCIA</t>
        </is>
      </c>
      <c r="C136" s="5" t="inlineStr">
        <is>
          <t>WARNING</t>
        </is>
      </c>
      <c r="D136" s="5" t="inlineStr">
        <is>
          <t>Warning</t>
        </is>
      </c>
      <c r="E136" s="5" t="inlineStr">
        <is>
          <t>No existe fuente acumulada disponible; saldo informativo calculado con cuota ya aplicada = 0.</t>
        </is>
      </c>
      <c r="F136" s="6" t="n">
        <v>46231.74488281704</v>
      </c>
      <c r="G136" s="5" t="inlineStr">
        <is>
          <t>WARNING</t>
        </is>
      </c>
    </row>
    <row r="137">
      <c r="A137" s="5" t="n">
        <v>2319</v>
      </c>
      <c r="B137" s="5" t="inlineStr">
        <is>
          <t>Final J. A. RODRIGUEZ GARCIA (1194) VALENCIA</t>
        </is>
      </c>
      <c r="C137" s="5" t="inlineStr">
        <is>
          <t>WARNING</t>
        </is>
      </c>
      <c r="D137" s="5" t="inlineStr">
        <is>
          <t>Warning</t>
        </is>
      </c>
      <c r="E137" s="5" t="inlineStr">
        <is>
          <t>No existe tarifa BonCalidad para socio=1194 campaña=2026 empresa=1 cultivo=DIRECTO.</t>
        </is>
      </c>
      <c r="F137" s="6" t="n">
        <v>46231.74488281704</v>
      </c>
      <c r="G137" s="5" t="inlineStr">
        <is>
          <t>WARNING</t>
        </is>
      </c>
    </row>
    <row r="138">
      <c r="A138" s="5" t="n">
        <v>2319</v>
      </c>
      <c r="B138" s="5" t="inlineStr">
        <is>
          <t>Final J. A. RODRIGUEZ GARCIA (1194) VALENCIA</t>
        </is>
      </c>
      <c r="C138" s="5" t="inlineStr">
        <is>
          <t>WARNING</t>
        </is>
      </c>
      <c r="D138" s="5" t="inlineStr">
        <is>
          <t>Warning</t>
        </is>
      </c>
      <c r="E138" s="5" t="inlineStr">
        <is>
          <t>No existe fuente acumulada disponible; saldo informativo calculado con cuota ya aplicada = 0.</t>
        </is>
      </c>
      <c r="F138" s="6" t="n">
        <v>46231.74488281704</v>
      </c>
      <c r="G138" s="5" t="inlineStr">
        <is>
          <t>WARNING</t>
        </is>
      </c>
    </row>
    <row r="139">
      <c r="A139" s="5" t="n">
        <v>2320</v>
      </c>
      <c r="B139" s="5" t="inlineStr">
        <is>
          <t>Final PEDRO JIMENEZ MALDONADO (1500) CHISSLET</t>
        </is>
      </c>
      <c r="C139" s="5" t="inlineStr">
        <is>
          <t>WARNING</t>
        </is>
      </c>
      <c r="D139" s="5" t="inlineStr">
        <is>
          <t>Warning</t>
        </is>
      </c>
      <c r="E139" s="5" t="inlineStr">
        <is>
          <t>No existe tarifa BonCalidad para socio=1500 campaña=2026 empresa=1 cultivo=DIRECTO.</t>
        </is>
      </c>
      <c r="F139" s="6" t="n">
        <v>46231.74488281704</v>
      </c>
      <c r="G139" s="5" t="inlineStr">
        <is>
          <t>WARNING</t>
        </is>
      </c>
    </row>
    <row r="140">
      <c r="A140" s="5" t="n">
        <v>2320</v>
      </c>
      <c r="B140" s="5" t="inlineStr">
        <is>
          <t>Final PEDRO JIMENEZ MALDONADO (1500) CHISSLET</t>
        </is>
      </c>
      <c r="C140" s="5" t="inlineStr">
        <is>
          <t>WARNING</t>
        </is>
      </c>
      <c r="D140" s="5" t="inlineStr">
        <is>
          <t>Warning</t>
        </is>
      </c>
      <c r="E140" s="5" t="inlineStr">
        <is>
          <t>No existe fuente acumulada disponible; saldo informativo calculado con cuota ya aplicada = 0.</t>
        </is>
      </c>
      <c r="F140" s="6" t="n">
        <v>46231.74488281704</v>
      </c>
      <c r="G140" s="5" t="inlineStr">
        <is>
          <t>WARNING</t>
        </is>
      </c>
    </row>
  </sheetData>
  <autoFilter ref="A1:G1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3" customWidth="1" min="1" max="1"/>
    <col width="45" customWidth="1" min="2" max="2"/>
  </cols>
  <sheetData>
    <row r="1">
      <c r="A1" s="1" t="inlineStr">
        <is>
          <t>Fecha y hora de inicio</t>
        </is>
      </c>
      <c r="B1" s="2" t="n">
        <v>46231.74474657089</v>
      </c>
    </row>
    <row r="2">
      <c r="A2" s="5" t="inlineStr">
        <is>
          <t>Fecha y hora de fin</t>
        </is>
      </c>
      <c r="B2" s="6" t="n">
        <v>46231.74488281704</v>
      </c>
    </row>
    <row r="3">
      <c r="A3" s="5" t="inlineStr">
        <is>
          <t>Campaña</t>
        </is>
      </c>
      <c r="B3" s="5" t="inlineStr">
        <is>
          <t>2026</t>
        </is>
      </c>
    </row>
    <row r="4">
      <c r="A4" s="5" t="inlineStr">
        <is>
          <t>Empresa</t>
        </is>
      </c>
      <c r="B4" s="5" t="inlineStr">
        <is>
          <t>1</t>
        </is>
      </c>
    </row>
    <row r="5">
      <c r="A5" s="5" t="inlineStr">
        <is>
          <t>Cultivo</t>
        </is>
      </c>
      <c r="B5" s="5" t="inlineStr">
        <is>
          <t>DIRECTO</t>
        </is>
      </c>
    </row>
    <row r="6">
      <c r="A6" s="5" t="inlineStr">
        <is>
          <t>Usuario</t>
        </is>
      </c>
      <c r="B6" s="5" t="inlineStr"/>
    </row>
    <row r="7">
      <c r="A7" s="5" t="inlineStr">
        <is>
          <t>Número de remesas seleccionadas</t>
        </is>
      </c>
      <c r="B7" s="7" t="n">
        <v>56</v>
      </c>
    </row>
    <row r="8">
      <c r="A8" s="5" t="inlineStr">
        <is>
          <t>Número correctas</t>
        </is>
      </c>
      <c r="B8" s="7" t="n">
        <v>51</v>
      </c>
    </row>
    <row r="9">
      <c r="A9" s="5" t="inlineStr">
        <is>
          <t>Número con error</t>
        </is>
      </c>
      <c r="B9" s="7" t="n">
        <v>5</v>
      </c>
    </row>
    <row r="10">
      <c r="A10" s="5" t="inlineStr">
        <is>
          <t>IDs seleccionados</t>
        </is>
      </c>
      <c r="B10" s="5" t="inlineStr">
        <is>
          <t>2185, 2186, 2267, 2268, 2269, 2270, 2271, 2272, 2273, 2274, 2275, 2276, 2277, 2278, 2279, 2280, 2282, 2283, 2285, 2288, 2289, 2290, 2291, 2292, 2293, 2294, 2295, 2296, 2297, 2298, 2299, 2300, 2301, 2302, 2303, 2304, 2305, 2306, 2307, 2308, 2309, 2310, 2311, 2312, 2313, 2314, 2315, 2317, 2318, 2319, 2320, 2281, 2284, 2286, 2287, 2316</t>
        </is>
      </c>
    </row>
    <row r="11">
      <c r="A11" s="5" t="inlineStr">
        <is>
          <t>Nombres de las remesas</t>
        </is>
      </c>
      <c r="B11" s="5" t="inlineStr">
        <is>
          <t>Tango Semana 5 NORMAL, Tango Semana 6 NORMAL, Final ANGELES DURAN (1251) NAVELINA, Final ALVARO HARO (1544) NAVELINA, Final JUAN MARTINEZ LOPEZ DE ROZAS (1429) NAVELINA, Final J. A. RODRIGUEZ MEJIAS (1523) FUKUMOTO, Final J. A. RODRIGUEZ MEJIAS (1523) POMELOS, Final JUAN FRANCISCO BARRERA PERA (1463) NAVELINA, Final M&amp;M (1571) NAVELINA, Final EXP. AGR. ARJONA Y CRESPO (1313) NAVELINA, Final MATIAS BARRERA (1456) NAVELINA, Final LUIS HINIESTA (1181) NAVELINA, Final ISABEL MOLINA HIDALGO (1283) NAVEL FOYOS, Final PEDRO JIMENEZ MALDONADO (1500) SALUSTIANAS, Final YOLANDA CALZADO RUIZ (1516) NEW HALL, Final RURAL PRIME (BERBABE) (1615) LANE LATE, Final MIGUEL ANGEL GUIL (1471) SALUSTIANAS, Final JOSE MARIA GUIL (963) SALUSTIANAS, Final HILARIO  GARCIA (453) NAVEL, Final RAFAEL GARCIA (1462) NAVEL, Final ALVARO HARO (1544) LANE LATE, Final HNOS GONZALEZ ROLDAN (1272) LANE LATE, Final CRISTINA CALZADO (1519) LANE LATE, Final MARIA CALZADO (1518) LANE LATE, Final FRANCISCO GALVEZ (937) SALUSTIANAS, Final ESTIBEN HIDALGO (1602) SALUSTIANAS, Final JOSE RINCON (824) SALUSTIANAS, Final LEON CARRASCO SL (1504) SALUSTIANAS, Final CADORTAN SL (1550) LANE LATE, Final FERNANDO TOMENO (1415) SALUSTIANAS, Final DOLORES MUÑOZ  (1511) SALUSTIANAS, Final DOLORES HDEZ (1549) SALUSTIANAS, Final JESUS PADILLA (1611) LANE LATE, Final ALVARO HARO (1544) CHISSLET, Final J. A. RODRIGUEZ MEJIAS (1523) LANE LATE, Final AGRONUÑEZ (1466) LANE LATE, Final MANUEL JESUS NUÑEZ (1560) LANE LATE, Final HNOS GONZALEZ ROLDAN (1272) LANE LATE 1, Final AGRICOLA HNOS BUIZA (1395) POWEL, Final JAVIER SANCHEZ GUIL (1624) SALUSTIANAS, Final J. A. PRIOR PORTILLO (1589) SALUSTIANAS, Final LEON CARRASCO SL (1504) POWEL, Final MERCEDES GOMEZ (1577) POWEL, Final FRANCISCO JAVIER CALZADO (1178) NAVEL POWEL, Final FERNANDO TOMENO SUAREZ (1415) BARBERINA, Final FAMILIA GONZALEZ LACAL (1350) BARBERINA, Final FRUTAS ANDALUZAS DE SEVILLA (1627) BARBERINA, Final JUAN SERRANO CORZO (981) SALUSTIANAS, Final J. A. RODRIGUEZ MEJIAS (1523) VALENCIA, Final J. A. RODRIGUEZ GARCIA (1194) VALENCIA, Final PEDRO JIMENEZ MALDONADO (1500) CHISSLET, Final JOSE MARIA GUIL (963) NAVEL, Final MIGUEL ANGEL GUIL (1471) NAVEL, Final RAFAEL GARCIA (1462) SALUSTIANAS, Final HILARIO  GARCIA (453) SALUSTIANAS, Final JUAN SERRANO CORZO (981) NAVELINA</t>
        </is>
      </c>
    </row>
    <row r="12">
      <c r="A12" s="5" t="inlineStr">
        <is>
          <t>Tarifa Cuota Ha</t>
        </is>
      </c>
      <c r="B12" s="8" t="n">
        <v>195</v>
      </c>
    </row>
    <row r="13">
      <c r="A13" s="5" t="inlineStr">
        <is>
          <t>Cultivos sujetos a Cuota Ha</t>
        </is>
      </c>
      <c r="B13" s="5" t="inlineStr">
        <is>
          <t>DIRECTOCHF, DIRECTO, MANDARINA, INDUSTRIA, CITRICOS</t>
        </is>
      </c>
    </row>
    <row r="14">
      <c r="A14" s="5" t="inlineStr">
        <is>
          <t>Versión de la aplicación</t>
        </is>
      </c>
      <c r="B14" s="5" t="inlineStr">
        <is>
          <t>Remesas</t>
        </is>
      </c>
    </row>
    <row r="15">
      <c r="A15" s="5" t="inlineStr">
        <is>
          <t>Ruta base de salida</t>
        </is>
      </c>
      <c r="B15" s="5" t="inlineStr">
        <is>
          <t>C:\Liquidaciones\salidas\remesas\2026\DIRECTO</t>
        </is>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2026-07-28T15:52:37Z</dcterms:created>
  <dcterms:modified xmlns:dcterms="http://purl.org/dc/terms/" xmlns:xsi="http://www.w3.org/2001/XMLSchema-instance" xsi:type="dcterms:W3CDTF">2026-07-28T15:52:38Z</dcterms:modified>
</cp:coreProperties>
</file>